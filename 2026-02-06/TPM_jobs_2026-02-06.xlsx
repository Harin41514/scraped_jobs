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deed" sheetId="1" state="visible" r:id="rId1"/>
    <sheet name="linkedin" sheetId="2" state="visible" r:id="rId2"/>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sheetData>
    <row r="1">
      <c r="A1" s="1" t="inlineStr">
        <is>
          <t>job id</t>
        </is>
      </c>
      <c r="B1" s="1" t="inlineStr">
        <is>
          <t>title</t>
        </is>
      </c>
      <c r="C1" s="1" t="inlineStr">
        <is>
          <t>company</t>
        </is>
      </c>
      <c r="D1" s="1" t="inlineStr">
        <is>
          <t>site</t>
        </is>
      </c>
      <c r="E1" s="1" t="inlineStr">
        <is>
          <t>job_url</t>
        </is>
      </c>
      <c r="F1" s="1" t="inlineStr">
        <is>
          <t>job_url_direct</t>
        </is>
      </c>
      <c r="G1" s="1" t="inlineStr">
        <is>
          <t>location</t>
        </is>
      </c>
      <c r="H1" s="1" t="inlineStr">
        <is>
          <t>date posted</t>
        </is>
      </c>
      <c r="I1" s="1" t="inlineStr">
        <is>
          <t>description</t>
        </is>
      </c>
    </row>
    <row r="2">
      <c r="A2" t="inlineStr">
        <is>
          <t>in-8c5b55a89d4f8a76</t>
        </is>
      </c>
      <c r="B2" t="inlineStr">
        <is>
          <t>Program Manager III, Policy, Communications, Cloud Networking</t>
        </is>
      </c>
      <c r="C2" t="inlineStr">
        <is>
          <t>Google</t>
        </is>
      </c>
      <c r="D2" t="inlineStr">
        <is>
          <t>indeed</t>
        </is>
      </c>
      <c r="E2">
        <f>HYPERLINK("https://www.indeed.com/viewjob?jk=8c5b55a89d4f8a76", "https://www.indeed.com/viewjob?jk=8c5b55a89d4f8a76")</f>
        <v/>
      </c>
      <c r="F2">
        <f>HYPERLINK("https://careers.google.com/jobs/results/107474990068048582-program-manager-iii/", "https://careers.google.com/jobs/results/107474990068048582-program-manager-iii/")</f>
        <v/>
      </c>
      <c r="G2" t="inlineStr">
        <is>
          <t>Sunnyvale, CA, US</t>
        </is>
      </c>
      <c r="H2" s="2" t="n">
        <v>46058</v>
      </c>
      <c r="I2" t="inlineStr">
        <is>
          <t>### **Minimum qualifications:**
* Bachelor's degree or equivalent practical experience.
* 5 years of experience in program or project management.
* Experience with policy communication.
* Experience with partnership negotiations and strategy.
### **Preferred qualifications:**
* 5 years of experience managing cross\-functional or cross\-team projects.
* Experience in continuous improvement, organizational change management, and stakeholder management.
* Experience with data center, networking, or telecom operations.
**About the job**
-----------------
A problem isn’t truly solved until it’s solved for all. That’s why Googlers build products that help create opportunities for everyone, whether down the street or across the globe. As a Program Manager at Google, you’ll lead complex, multi\-disciplinary projects from start to finish — working with stakeholders to plan requirements, manage project schedules, identify risks, and communicate clearly with cross\-functional partners across the company. Your projects will often span offices, time zones, and hemispheres. It's your job to coordinate the players and keep them up to date on progress and deadlines.
The Global Network Solutions (GNS) focuses on the strategic long\-term goals of Google’s networking infrastructure. It identifies governments, companies, and other partners that are key to long\-term networking success and stability. This international team collaborates with internal stakeholders and external government and multi\-stakeholder organizations as well as an array of suppliers to create construction agreements, oversee the delivery of each cable system, then operate and maintain infrastructure and relationships for reliability and security.
The AI and Infrastructure team is redefining what’s possible. We empower Google customers with breakthrough capabilities and insights by delivering AI and Infrastructure at unparalleled scale, efficiency, reliability and velocity. Our customers include Googlers, Google Cloud customers, and billions of Google users worldwide.
We're the driving force behind Google's groundbreaking innovations, empowering the development of our cutting\-edge AI models, delivering unparalleled computing power to global services, and providing the essential platforms that enable developers to build the future. From software to hardware our teams are shaping the future of world\-leading hyperscale computing, with key teams working on the development of our TPUs, Vertex AI for Google Cloud, Google Global Networking, Data Center operations, systems research, and much more.
The US base salary range for this full\-time position is $147,000\-$216,000 \+ bonus \+ equity \+ benefits. Our salary ranges are determined by role, level, and location. Within the range, individual pay is determined by work location and additional factors, including job\-related skills, experience, and relevant education or training. Your recruiter can share more about the specific salary range for your preferred location during the hiring process.
Please note that the compensation details listed in US role postings reflect the base salary only, and do not include bonus, equity, or benefits. Learn more about benefits at Google.
**Responsibilities**
--------------------
* Define, lead, and own program charters for cross\-organizational initiatives, outlining scope, timelines, Objectives and Key Results (OKRs), and resourcing.
* Identify and manage stakeholders, build trusted relationships, and guide alignment on timelines, goals, and deliverables.
* Establish program governance, monitor progress, manage risks and dependencies, and lead mitigation planning.
* Develop and manage change management rollout plans to ensure smooth adoption of program deliverables.
* Design and execute optimized communication plans for all levels, including executive and key partner communications.
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t>
        </is>
      </c>
    </row>
    <row r="3">
      <c r="A3" t="inlineStr">
        <is>
          <t>in-1c9c5c49b02c8a87</t>
        </is>
      </c>
      <c r="B3" t="inlineStr">
        <is>
          <t>Technical Program Manager III, Long Haul Planning, Cloud Networking</t>
        </is>
      </c>
      <c r="C3" t="inlineStr">
        <is>
          <t>Google</t>
        </is>
      </c>
      <c r="D3" t="inlineStr">
        <is>
          <t>indeed</t>
        </is>
      </c>
      <c r="E3">
        <f>HYPERLINK("https://www.indeed.com/viewjob?jk=1c9c5c49b02c8a87", "https://www.indeed.com/viewjob?jk=1c9c5c49b02c8a87")</f>
        <v/>
      </c>
      <c r="F3">
        <f>HYPERLINK("https://careers.google.com/jobs/results/119053603422773958-technical-program-manager-iii/", "https://careers.google.com/jobs/results/119053603422773958-technical-program-manager-iii/")</f>
        <v/>
      </c>
      <c r="G3" t="inlineStr">
        <is>
          <t>Thornton, CO, US</t>
        </is>
      </c>
      <c r="H3" s="2" t="n">
        <v>46058</v>
      </c>
      <c r="I3" t="inlineStr">
        <is>
          <t>The application window will be open until at least February 12, 2026\. This opportunity will remain online based on business needs which may be before or after the specified date.  
Note: By applying to this position you will have an opportunity to share your preferred working location from the following: **Reston, VA, USA; Thornton, CO, USA**.### **Minimum qualifications:**
* Bachelor's degree in a technical field, or equivalent practical experience.
* 5 years of experience in technical program management.
* Experience in network reliability or network health management for hyperscale optical networks (e.g., long\-haul terrestrial dark fiber, metro networks, or carrier hotels).
* Experience planning and executing network migrations or infrastructure expansions (e.g., capacity planning, asset transitions, or fiber route upgrades).
### **Preferred qualifications:**
* 5 years of experience managing cross\-functional or cross\-team projects.
* Knowledge of regional network providers and fiber networks.
* Excellent written and verbal communication skills with a data\-driven problem\-solving approach to solve issues.
**About the job**
-----------------
A problem isn’t truly solved until it’s solved for all. That’s why Googlers build products that help create opportunities for everyone, whether down the street or across the globe. As a Technical Program Manager at Google, you’ll use your technical expertise to lead multi\-disciplinary projects from start to finish. You’ll work with stakeholders to plan requirements, identify risks, manage project schedules, and communicate clearly with cross\-functional partners across the company. You're equally comfortable explaining your team's analyses and recommendations to executives as you are discussing the technical tradeoffs in product development with engineers.  
Our goal is to build a Google that looks like the world around us — and we want Googlers to stay and grow when they join us. As part of our efforts to build a Google for everyone, we build and aim to cultivate throughout the company.
As part of this team, you will plan, design, and acquire the scalable network infrastructure to deliver the fastest, most reliable experience to users across the region and around the globe. You will connect Google's fleet of data centers, Cloud customers, and users by planning and acquiring long\-haul and metro terrestrial dark fiber networks, colocation space and power, and other critical assets.Behind everything our users see online is the architecture built by the Technical Infrastructure team to keep it running. From developing and maintaining our data centers to building the next generation of Google platforms, we make Google's product portfolio possible. We're proud to be our engineers' engineers and love voiding warranties by taking things apart so we can rebuild them. We keep our networks up and running, ensuring our users have the best and fastest experience possible.  
The US base salary range for this full\-time position is $156,000\-$229,000 \+ bonus \+ equity \+ benefits. Our salary ranges are determined by role, level, and location. Within the range, individual pay is determined by work location and additional factors, including job\-related skills, experience, and relevant education or training. Your recruiter can share more about the specific salary range for your preferred location during the hiring process.  
Please note that the compensation details listed in US role postings reflect the base salary only, and do not include bonus, equity, or benefits. Learn more about benefits at Google.**Responsibilities**
--------------------
* Collaborate with internal business and cross\-functional networking technical teams to identify and define tactical initiatives necessary to meet Google's network infrastructure needs for both expansion and cost optimization.
* Translate demand forecasts into regional capacity plans over time, taking into account market trends and technology changes to ensure the most optimized and cost effective network solution, translating this to asset/infrastructure requirements.
* Present network plans and roadmaps for approval by all internal stakeholders that range from short\-term augments to long\-term region\-wide strategies for Google network.
* Manage the execution of approved network plans by co\-ordinating with internal contributors such as network negotiators or vendor delivery managers to ensure infrastructure is delivered on\-time and within allocated budget.
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t>
        </is>
      </c>
    </row>
    <row r="4">
      <c r="A4" t="inlineStr">
        <is>
          <t>in-4ad880bcbc089f09</t>
        </is>
      </c>
      <c r="B4" t="inlineStr">
        <is>
          <t>Technical Program Manager III, Long Haul Planning, Cloud Networking</t>
        </is>
      </c>
      <c r="C4" t="inlineStr">
        <is>
          <t>Google</t>
        </is>
      </c>
      <c r="D4" t="inlineStr">
        <is>
          <t>indeed</t>
        </is>
      </c>
      <c r="E4">
        <f>HYPERLINK("https://www.indeed.com/viewjob?jk=4ad880bcbc089f09", "https://www.indeed.com/viewjob?jk=4ad880bcbc089f09")</f>
        <v/>
      </c>
      <c r="F4">
        <f>HYPERLINK("https://careers.google.com/jobs/results/119053603422773958-technical-program-manager-iii/", "https://careers.google.com/jobs/results/119053603422773958-technical-program-manager-iii/")</f>
        <v/>
      </c>
      <c r="G4" t="inlineStr">
        <is>
          <t>Reston, VA, US</t>
        </is>
      </c>
      <c r="H4" s="2" t="n">
        <v>46058</v>
      </c>
      <c r="I4" t="inlineStr">
        <is>
          <t>The application window will be open until at least February 12, 2026\. This opportunity will remain online based on business needs which may be before or after the specified date.  
Note: By applying to this position you will have an opportunity to share your preferred working location from the following: **Reston, VA, USA; Thornton, CO, USA**.### **Minimum qualifications:**
* Bachelor's degree in a technical field, or equivalent practical experience.
* 5 years of experience in technical program management.
* Experience in network reliability or network health management for hyperscale optical networks (e.g., long\-haul terrestrial dark fiber, metro networks, or carrier hotels).
* Experience planning and executing network migrations or infrastructure expansions (e.g., capacity planning, asset transitions, or fiber route upgrades).
### **Preferred qualifications:**
* 5 years of experience managing cross\-functional or cross\-team projects.
* Knowledge of regional network providers and fiber networks.
* Excellent written and verbal communication skills with a data\-driven problem\-solving approach to solve issues.
**About the job**
-----------------
A problem isn’t truly solved until it’s solved for all. That’s why Googlers build products that help create opportunities for everyone, whether down the street or across the globe. As a Technical Program Manager at Google, you’ll use your technical expertise to lead multi\-disciplinary projects from start to finish. You’ll work with stakeholders to plan requirements, identify risks, manage project schedules, and communicate clearly with cross\-functional partners across the company. You're equally comfortable explaining your team's analyses and recommendations to executives as you are discussing the technical tradeoffs in product development with engineers.  
Our goal is to build a Google that looks like the world around us — and we want Googlers to stay and grow when they join us. As part of our efforts to build a Google for everyone, we build and aim to cultivate throughout the company.
As part of this team, you will plan, design, and acquire the scalable network infrastructure to deliver the fastest, most reliable experience to users across the region and around the globe. You will connect Google's fleet of data centers, Cloud customers, and users by planning and acquiring long\-haul and metro terrestrial dark fiber networks, colocation space and power, and other critical assets.Behind everything our users see online is the architecture built by the Technical Infrastructure team to keep it running. From developing and maintaining our data centers to building the next generation of Google platforms, we make Google's product portfolio possible. We're proud to be our engineers' engineers and love voiding warranties by taking things apart so we can rebuild them. We keep our networks up and running, ensuring our users have the best and fastest experience possible.  
The US base salary range for this full\-time position is $156,000\-$229,000 \+ bonus \+ equity \+ benefits. Our salary ranges are determined by role, level, and location. Within the range, individual pay is determined by work location and additional factors, including job\-related skills, experience, and relevant education or training. Your recruiter can share more about the specific salary range for your preferred location during the hiring process.  
Please note that the compensation details listed in US role postings reflect the base salary only, and do not include bonus, equity, or benefits. Learn more about benefits at Google.**Responsibilities**
--------------------
* Collaborate with internal business and cross\-functional networking technical teams to identify and define tactical initiatives necessary to meet Google's network infrastructure needs for both expansion and cost optimization.
* Translate demand forecasts into regional capacity plans over time, taking into account market trends and technology changes to ensure the most optimized and cost effective network solution, translating this to asset/infrastructure requirements.
* Present network plans and roadmaps for approval by all internal stakeholders that range from short\-term augments to long\-term region\-wide strategies for Google network.
* Manage the execution of approved network plans by co\-ordinating with internal contributors such as network negotiators or vendor delivery managers to ensure infrastructure is delivered on\-time and within allocated budget.
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t>
        </is>
      </c>
    </row>
    <row r="5">
      <c r="A5" t="inlineStr">
        <is>
          <t>in-16a7fc1e70036fc4</t>
        </is>
      </c>
      <c r="B5" t="inlineStr">
        <is>
          <t>National CAD Program Manager</t>
        </is>
      </c>
      <c r="C5" t="inlineStr">
        <is>
          <t>Kimley-Horn</t>
        </is>
      </c>
      <c r="D5" t="inlineStr">
        <is>
          <t>indeed</t>
        </is>
      </c>
      <c r="E5">
        <f>HYPERLINK("https://www.indeed.com/viewjob?jk=16a7fc1e70036fc4", "https://www.indeed.com/viewjob?jk=16a7fc1e70036fc4")</f>
        <v/>
      </c>
      <c r="F5">
        <f>HYPERLINK("https://careers-kimley-horn.icims.com/jobs/22321/job?utm_source=indeed_integration&amp;iis=Job%20Board&amp;iisn=Indeed&amp;indeed-apply-token=73a2d2b2a8d6d5c0a62696875eaebd669103652d3f0c2cd5445d3e66b1592b0f", "https://careers-kimley-horn.icims.com/jobs/22321/job?utm_source=indeed_integration&amp;iis=Job%20Board&amp;iisn=Indeed&amp;indeed-apply-token=73a2d2b2a8d6d5c0a62696875eaebd669103652d3f0c2cd5445d3e66b1592b0f")</f>
        <v/>
      </c>
      <c r="G5" t="inlineStr">
        <is>
          <t>Atlanta, GA, US</t>
        </is>
      </c>
      <c r="H5" s="2" t="n">
        <v>46057</v>
      </c>
      <c r="I5" t="inlineStr">
        <is>
          <t>Overview:
Our Atlanta Midtown, Georgia (GA) office is looking for a Civil Operator or Designer with 10\+ years of experience to join our Development Services team!
Responsibilities:
* Implement and manage drafting and plan preparation standards
* Partner with staff across the country to work on large national clients and projects
* Develop technical drawings and plans
* The person in this position will make and quality check drawings and plans of substantial complexity and may perform some multifaceted calculations
* Requires minimal supervision to perform day to day tasks
* Has knowledge of engineering principles and suggests design changes
* Maintains drawing database
* Will supervise and train CAD staff
* Coordinates work activities to maintain schedules and ensure quality control
* Develop familiarity with Kimley\-Horn’s practices, procedures, and standards
Qualifications:
* 10\+ years of relevant experience
* High school diploma or equivalent (associates degree preferred)
* Ability to set up and manage printing/plotting settings
* Advanced knowledge and proficiency in Autodesk or Bentley products
* Strong work ethic, interpersonal communication/writing skills and desire to learn
* Ability to work independently and with a team
* Willingness to mentor and teach others
* Detail oriented, professional attitude, good communication, team player, self\-starter
Why Kimley\-Horn?:
At Kimley\-Horn, we do things differently. People, clients, and employees are at the forefront of who we are. Clients know we prioritize achieving their goals and growing their success. Employees know our culture and approach to business are built on a desire to provide an environment for everyone to flourish. Our commitment to quality is only as good as the people behind it— that’s why we welcome and develop passionate, hardworking, and proactive employees. We take pride in how our employee retention, robust benefits package, and company values have led to Kimley\-Horn’s placement on the Fortune “100 Best Companies to Work” list for 18 years! *Key Benefits at Kimley\-Horn** Exceptional Retirement Plan: 2\-to1\- company match on up to 4% of eligible compensation (salary \+ bonus) and additional profit\-sharing contribution.
* Comprehensive Health Coverage: Low\-cost medical, dental, and vision insurance options.
* Time Off: Personal leave, flexible scheduling, floating holidays, and half\-day Fridays.
* Financial Wellness: Student loan matching in our 401(k), and performance\-based bonuses.
* Professional Development: Tuition reimbursement and extensive internal training programs.
* Family\-Friendly Benefits: New Parent Leave, family building benefits, and childcare resources.</t>
        </is>
      </c>
    </row>
    <row r="6">
      <c r="A6" t="inlineStr">
        <is>
          <t>in-e2fea43de55fa784</t>
        </is>
      </c>
      <c r="B6" t="inlineStr">
        <is>
          <t>National CAD Program Manager</t>
        </is>
      </c>
      <c r="C6" t="inlineStr">
        <is>
          <t>Kimley-Horn</t>
        </is>
      </c>
      <c r="D6" t="inlineStr">
        <is>
          <t>indeed</t>
        </is>
      </c>
      <c r="E6">
        <f>HYPERLINK("https://www.indeed.com/viewjob?jk=e2fea43de55fa784", "https://www.indeed.com/viewjob?jk=e2fea43de55fa784")</f>
        <v/>
      </c>
      <c r="F6">
        <f>HYPERLINK("https://careers-kimley-horn.icims.com/jobs/22323/job?utm_source=indeed_integration&amp;iis=Job%20Board&amp;iisn=Indeed&amp;indeed-apply-token=73a2d2b2a8d6d5c0a62696875eaebd669103652d3f0c2cd5445d3e66b1592b0f", "https://careers-kimley-horn.icims.com/jobs/22323/job?utm_source=indeed_integration&amp;iis=Job%20Board&amp;iisn=Indeed&amp;indeed-apply-token=73a2d2b2a8d6d5c0a62696875eaebd669103652d3f0c2cd5445d3e66b1592b0f")</f>
        <v/>
      </c>
      <c r="G6" t="inlineStr">
        <is>
          <t>Phoenix, AZ, US</t>
        </is>
      </c>
      <c r="H6" s="2" t="n">
        <v>46057</v>
      </c>
      <c r="I6" t="inlineStr">
        <is>
          <t>Overview:
Our Phoenix, Arizona (AZ) office is looking for a Civil Operator or Designer with 10\+ years of experience to join our Development Services team!
Responsibilities:
* Implement and manage drafting and plan preparation standards
* Partner with staff across the country to work on large national clients and projects
* Develop technical drawings and plans
* The person in this position will make and quality check drawings and plans of substantial complexity and may perform some multifaceted calculations
* Requires minimal supervision to perform day to day tasks
* Has knowledge of engineering principles and suggests design changes
* Maintains drawing database
* Will supervise and train CAD staff
* Coordinates work activities to maintain schedules and ensure quality control
* Develop familiarity with Kimley\-Horn’s practices, procedures, and standards
Qualifications:
* 10\+ years of relevant experience
* High school diploma or equivalent (associates degree preferred)
* Ability to set up and manage printing/plotting settings
* Advanced knowledge and proficiency in Autodesk or Bentley products
* Strong work ethic, interpersonal communication/writing skills and desire to learn
* Ability to work independently and with a team
* Willingness to mentor and teach others
* Detail oriented, professional attitude, good communication, team player, self\-starter
Why Kimley\-Horn?:
At Kimley\-Horn, we do things differently. People, clients, and employees are at the forefront of who we are. Clients know we prioritize achieving their goals and growing their success. Employees know our culture and approach to business are built on a desire to provide an environment for everyone to flourish. Our commitment to quality is only as good as the people behind it— that’s why we welcome and develop passionate, hardworking, and proactive employees. We take pride in how our employee retention, robust benefits package, and company values have led to Kimley\-Horn’s placement on the Fortune “100 Best Companies to Work” list for 18 years! *Key Benefits at Kimley\-Horn** Exceptional Retirement Plan: 2\-to1\- company match on up to 4% of eligible compensation (salary \+ bonus) and additional profit\-sharing contribution.
* Comprehensive Health Coverage: Low\-cost medical, dental, and vision insurance options.
* Time Off: Personal leave, flexible scheduling, floating holidays, and half\-day Fridays.
* Financial Wellness: Student loan matching in our 401(k), and performance\-based bonuses.
* Professional Development: Tuition reimbursement and extensive internal training programs.
* Family\-Friendly Benefits: New Parent Leave, family building benefits, and childcare resources.</t>
        </is>
      </c>
    </row>
    <row r="7">
      <c r="A7" t="inlineStr">
        <is>
          <t>in-3d9bc2f362759876</t>
        </is>
      </c>
      <c r="B7" t="inlineStr">
        <is>
          <t>SDA Data Fusion Systems Acquisition Program Manager</t>
        </is>
      </c>
      <c r="C7" t="inlineStr">
        <is>
          <t>Odyssey Systems Consulting Group</t>
        </is>
      </c>
      <c r="D7" t="inlineStr">
        <is>
          <t>indeed</t>
        </is>
      </c>
      <c r="E7">
        <f>HYPERLINK("https://www.indeed.com/viewjob?jk=3d9bc2f362759876", "https://www.indeed.com/viewjob?jk=3d9bc2f362759876")</f>
        <v/>
      </c>
      <c r="F7">
        <f>HYPERLINK("https://careers-odysseyconsult.icims.com/jobs/7402/job?utm_source=indeed_integration&amp;iis=Job%20Board&amp;iisn=Indeed&amp;indeed-apply-token=73a2d2b2a8d6d5c0a62696875eaebd669103652d3f0c2cd5445d3e66b1592b0f", "https://careers-odysseyconsult.icims.com/jobs/7402/job?utm_source=indeed_integration&amp;iis=Job%20Board&amp;iisn=Indeed&amp;indeed-apply-token=73a2d2b2a8d6d5c0a62696875eaebd669103652d3f0c2cd5445d3e66b1592b0f")</f>
        <v/>
      </c>
      <c r="G7" t="inlineStr">
        <is>
          <t>Colorado Springs, CO, US</t>
        </is>
      </c>
      <c r="H7" s="2" t="n">
        <v>46057</v>
      </c>
      <c r="I7" t="inlineStr">
        <is>
          <t>Position Summary:
Odyssey Systems has an exciting new opportunity for an **Acquisition Program Manager/Financial Analyst** providing Advisory and Assistance Services (A\&amp;AS) supporting the Space Command and Control (Space C2\) Program as part of the Sensor System Support (S3\) contract supporting the United States Space Force Space Systems Command's Battlespace Integration Network Branch (USSF SSC/SYD85/BNN).  
This position provides Advisory and Assistance Services (A\&amp;AS) support moving science and technology efforts to real\-world execution. The Battlespace Integration Network Branch is executing sensor communication upgrades and systems of systems integration and automation projects to prototype and field the next\-generation Space Domain Awareness network and command and control systems.  
This is a full\-time position at 2424 Garden of the Gods Rd. in Colorado Springs, CO with the opportunity to telework 1 day per week at the discretion of the Government.  
Responsibilities:
An A\&amp;AS contractor is a knowledgeable and trusted advisor to the Government Program Office. As an **SDA Data Fusion Systems Acquisition Program Manager/Financial Analyst**, you will work closely with the Government Program Manager and provide Advisory and Assistance Services support in various program management disciplines including but not limited to; providing support to the Government Space C2 Program Manager for all aspects of program management with a focus in contract finance, execution, program execution and performance. You will support the Distributed Space Command and Control (C2\) System – Dahlgren (DSC2\-D) program portfolio of C2 systems from a programmatic and financial planning analyst perspective. The DSC2\-D portfolio is part of the US Space Force’s Cross Mission Data (XMD) branch. Assist in the development, execution, and oversight of action plans, schedules, risk management, contractual oversight of initiatives associated with the development, modification, upgrade, and sustainment of the mission. You will also assist in the oversight for multiple small\- to mid\-sized contracts developing and fielding war fighting systems.
Duties include, but are not limited to:* Provide programmatic planning and execution support for DSC2\-D initiatives in conjunction with the SDANet mission by conducting analysis of project and program data requirements
* Experienced with the oversight of and reporting on project cost, schedule, and risk and risk mitigation
* Perform financial analysis, budget planning, and forecasting to include analysis of program and budget spending, component analysis, status report narratives, variances, issues and provide weekly status updates
* Support analysis and inputs associated with contract performance, project/program performance, and project independent government cost estimates
* Assist with preparing and delivering monthly budget execution reviews and status of funds reports
* Perform funds management. Prepare and coordinate funding documents from multiple funding streams. Maintain cognizance of the status of approved, deferred, and released funds.
* Track budget requests, supporting documents, reports, and responses in approved repositories, such as share\-drives and Microsoft Teams
* Monitor program level contract and risk mitigation performance
* Establish obligation and expenditure plans for active year appropriations, monitor execution throughout the fiscal year, and provided analysis at the requirement project, or appropriation level, as required by the Program Manager
* Coordinate inputs and provide forward\-looking analysis for the 5\-year financial outlook for the portfolio
* Assist with implementing earned value management (EVM) applications within an agile environment to drive contract performance
* Track development and sustainment risks in support of Government activities; develop and execute technology insertion and risk reduction strategies, studies, and recommendations to mitigate identified risk conditions
* Support the coordination of the resolution of portfolio programmatic, technical, and system issues and deficiencies with prime contractors, depot contractors other support contractors related to contract performance
* Support acquisition planning and release activities to include requirements development and request for proposals (RFPs). Familiarity with government acquisition and proposal process and documentation helpful, to include RFI, RFP, BOE, SOW, Acquisition Plans, etc. support the analysis and evaluation of proposals and provide recommendations with supporting rationale.
* Assist with translating user requirements into statement of work objectives and cost documentation.
* Provide relevant input to acquisition planning activities, upgrades and modifications, and studies and interface with stakeholders, contractor personnel, and product integrators
* Travel to CONUS and OCONUS locations upon Government direction
* Other duties as required and requested by the Government within the constraints of the S3 contract
Qualifications:
**Citizenship: Must be a US citizen** **Minimum Required Qualifications****:****Clearance:** Active TS/SCI clearance
**Education:** Bachelor’s degree in business, Systems Engineering, Engineering Management, Computer Science, Software Engineering or a related field
**Years of Experience:** 8 years of directly relevant experience, 2 of which must be in the DoD, **OR**, MS degree and 4 years of directly relevant experience, 2 of which must be in the DoD
 **Other Qualifications****:*** Overall programmatic and project portfolio experience. Demonstrated experience successfully executing major project/program efforts, providing expert advice to colleagues, and presenting innovative recommendations for advancing programs and/or methods
* Understanding of and experience with government financial and contract management systems and regulationsKnowledge of and experience with Agile Systems implementation as it relates to financial performance and earned value metrics
* Great interpersonal skills within a professional environment, positive attitude, and ability to work through tough interpersonal and technical issues in complex inter\-agency teams across a distributed environment
* Excellent analytical, problem\-solving, and communication skills
**Preferred Qualifications****:****Clearance:** Active TS/SCI, agreeable to polygraph
**Education:** Master’s degree in business, Systems Engineering, Engineering Management, Computer Science, Software Engineering or a related field
**Years of Experience:** 12 years of directly relevant experience, 5 of which must be in the DoD **Certifications:** PMP Certification; DAU DAWIA, or equivalent Acquisition Program Management Level II or III training**Other Qualifications****:**
* Overall programmatic experience in a leadership role with strengths in government finance and contract performance
* Knowledge of and experience with Agile Systems implementation as it relates to financial performance and earned value metrics
* Knowledge of Federal Acquisition Regulations (FAR), Defense Federal Acquisition Regulation Supplement (DFARS), and other applicable guidelines
* Technical and mission awareness of space domain awareness proprietary systems to include CCaR, DTS, DEAMS, SPERS
* Demonstrated experience successfully executing major project/program efforts, providing expert advice to colleagues, and presenting innovative recommendations for advancing programs and/or methods
* Excellent analytical, problem\-solving, and communication skills
**Additional Information****:****Location:** Work is performed at 2424 Garden of the Gods Rd. in Colorado Springs, CO
**Travel:** Up to 25% to CONUS and OCONUS locations upon Government direction
Hybrid with the opportunity to telework 1 day per week at the discretion of the Government
\#LI\-JK1
Company Overview:
**Odyssey Systems** is a world\-class technical, engineering, and integration company serving the warfighting ecosystem with airborne integration, ISR, C2, and warfighter readiness capabilities. Odyssey meets the military’s operational needs by integrating layered defense systems from equipment, technology, and services to data, information, and business operations. We streamline defense acquisition and sustainment, engineering the technical battlefield with domain\-specific proficiency to ensure lethality. Odyssey is dedicated to excellent contract execution, peak organizational performance, and fostering a workplace built on employee care.  
Odyssey is proud to live out our core values of commitment, ambition, and respect in our work and communities through OdysseyCares, a philanthropic group focused on giving back through direct donations, an employer match program, and volunteering events. ***Equal Opportunity Employer/Protected Veterans/Individuals with Disabilities***
Please Note::
Final compensation for this position will be determined by various factors such as the Federal Government contract labor categories and contract wage rates, relevant work experience, specific skills and competencies, geographic location, education, and certifications.
This position is filled through continuous recruitment and will remain open until a sufficient pool of applications has been received.  
Hired applicants may be eligible for benefits, including but not limited to, medical, dental, vision, life insurance, Tricare supplement, short\-term disability, long\-term disability, 401(k) match, flexible spending accounts, health savings accounts, employee assistance program, learning and development benefit, paid time off, and holidays.  
Odyssey Benefits</t>
        </is>
      </c>
    </row>
    <row r="8">
      <c r="A8" t="inlineStr">
        <is>
          <t>in-7413c9f00c222c99</t>
        </is>
      </c>
      <c r="B8" t="inlineStr">
        <is>
          <t>Program Manager/Admin Support Specialist</t>
        </is>
      </c>
      <c r="C8" t="inlineStr">
        <is>
          <t>Odyssey Systems Consulting Group</t>
        </is>
      </c>
      <c r="D8" t="inlineStr">
        <is>
          <t>indeed</t>
        </is>
      </c>
      <c r="E8">
        <f>HYPERLINK("https://www.indeed.com/viewjob?jk=7413c9f00c222c99", "https://www.indeed.com/viewjob?jk=7413c9f00c222c99")</f>
        <v/>
      </c>
      <c r="F8">
        <f>HYPERLINK("https://careers-odysseyconsult.icims.com/jobs/7400/job?utm_source=indeed_integration&amp;iis=Job%20Board&amp;iisn=Indeed&amp;indeed-apply-token=73a2d2b2a8d6d5c0a62696875eaebd669103652d3f0c2cd5445d3e66b1592b0f", "https://careers-odysseyconsult.icims.com/jobs/7400/job?utm_source=indeed_integration&amp;iis=Job%20Board&amp;iisn=Indeed&amp;indeed-apply-token=73a2d2b2a8d6d5c0a62696875eaebd669103652d3f0c2cd5445d3e66b1592b0f")</f>
        <v/>
      </c>
      <c r="G8" t="inlineStr">
        <is>
          <t>Hanscom AFB, MA, US</t>
        </is>
      </c>
      <c r="H8" s="2" t="n">
        <v>46057</v>
      </c>
      <c r="I8" t="inlineStr">
        <is>
          <t>Position Summary:
Odyssey Systems has an exciting opportunity for a **Program Manager/ Admin Support Specialist** providing support to Command, Control, Communications, and Battle Management (C3BM).  
Command, Control, Communications, and Battle Management (C3BM) has been tasked with delivering an integrated Department of the Air Force (DAF) Battle Network providing resilient decision advantage and enabling the USAF, USSF, Joint, and Coalition Force to win against the pacing challenge. C3BM supports execution in many different focus areas. C3BM’s main efforts are Architecture and Systems Engineering (ASE), Operational Response Team (ORT), and multiple mission integration teams such
as Air, Maritime and multiple acquisitions consisting of both the Advanced Battle Management System (ABMS) and Space.  
The DAF BATTLE NETWORK is the integrated system\-of\-systems fusing sensors, effectors, and sustainment grids to build situational awareness, make operational decisions, and direct the force to create needed lethal and nonlethal effects in support of the Joint Force Commander’s scheme of maneuver. The DAF PEO C3BM has the responsibility of technically and programmatically integrating the DAF’s larger system\-of\-systems architecture needed to deliver an integrated Command and Control (C2\) core function for the DAF, Joint, and Coalition forces, by teaming with all other DAF PEOs, as needed.  
This is a full time position located at Hanscom AFB, Bedford, MA  
Responsibilities:
Responsibilities may include but are not limited to:* Ensures the leadership is kept informed of all issues of interest that relate to the mission of the directorate
* Monitors progress toward accomplishment of various taskings and initiatives.
* Provides support by supplying the information and background for the preparation of program events
* Drafts documents for the approval and signature of leadership
* Disseminates program policy and specific initiative guidance for members of the organization
* Coordinates, documents, monitors, and supports a variety of meetings and conferences to include, but not limited to, scheduling and set up of physical and virtual meetings and in support office staff and external participates
* Prepare background information and invite required meeting participants ensuring documentation of the meetings are filed IAW organizational policy
* Documentation may include but is not limited to attendance logs, minutes and/or action items with corresponding action officers
* Maintains scheduling documents and requirements for video and online conferencing set up and execution, which may include but is not limited to the maintenance logs on the equipment, the corresponding instructions on equipment set up, and meeting execution
* Prepare correspondence, reports, papers and briefings IAW applicable policies and templates
* Maintain appointment calendars and conference room schedules
* Answer telephones, forward messages, and provide responses to routine queries
* Assist with coordination, consolidation, analysis, distribution and monitoring of action items, suspense’s and responses
* Provide inputs and recommendations regarding administrative and office management processes and procedures
* Assist with preparation of and updates to program office file management documents
* Prepare agendas, reports and briefings for staff meetings
* Assist Government with management of organization’s workflow
* Assist with travel planning, travel arrangements and execution IAW with the Defense Travel Administrator’s Manual utilizing the Defense Travel System
* Answer telephones, forward messages to appropriate Acquisition program team members, as required, and provide Government initiated/approved responses to routine queries
* Support cost and schedule reduction activities for acquisition and development efforts.
* Provide program level acquisition support to the Program Manager and Integrated Product Team
* Leads by helping guide successful program execution to maintain the acquisition battle rhythm and deliver warfighter capability
* Provide support and solutions to program leadership to facilitate successful contract execution for the program and analyzes overall program health and advises program leadership on options to maintain cost, schedule and performance objectives
* Support and develop various briefings/schedules of program status and acquisition tasks to senior
* management
* Provide Program Management inputs to Request for Proposal (RFPs) including systems
* specs, Electronic Warfare Systems (SRDs), Statement of Work (SOWs), and Contract Data Requirements List (CDRLs), and other RFP products
* Review acquisition documents and provides comments with programmatic perspective to ensure consistency and accuracy. Documents may include, but are not limited to, ADMs, LCSP, Acquisition Strategies, APBs, Risk Management Plans, PMRs and milestone decision briefings
Qualifications:
**Citizenship: Must be a US citizen** ***Minimum Required Qualifications*****Clearance****:** Must have and be able to maintain a Secret Level Clearance ***Preferred Qualifications*****Clearance:** Top Secret Level Clearance with Current SCI Eligibility**Education:** Bachelor's or Master's Degree in related field**Years of experience:** 3\+ years of related experience with at least 3 years in the DoD ***Additional Information*****Location:** Hanscom AFB, Bedford, MA**Travel:** May be required at customer's discretion  
\#LI\-MK1
Company Overview:
**Odyssey Systems** is a world\-class technical, engineering, and integration company serving the warfighting ecosystem with airborne integration, ISR, C2, and warfighter readiness capabilities. Odyssey meets the military’s operational needs by integrating layered defense systems from equipment, technology, and services to data, information, and business operations. We streamline defense acquisition and sustainment, engineering the technical battlefield with domain\-specific proficiency to ensure lethality. Odyssey is dedicated to excellent contract execution, peak organizational performance, and fostering a workplace built on employee care.  
Odyssey is proud to live out our core values of commitment, ambition, and respect in our work and communities through OdysseyCares, a philanthropic group focused on giving back through direct donations, an employer match program, and volunteering events. ***Equal Opportunity Employer/Protected Veterans/Individuals with Disabilities***
Please Note::
Final compensation for this position will be determined by various factors such as the Federal Government contract labor categories and contract wage rates, relevant work experience, specific skills and competencies, geographic location, education, and certifications.
This position is filled through continuous recruitment and will remain open until a sufficient pool of applications has been received.  
Hired applicants may be eligible for benefits, including but not limited to, medical, dental, vision, life insurance, Tricare supplement, short\-term disability, long\-term disability, 401(k) match, flexible spending accounts, health savings accounts, employee assistance program, learning and development benefit, paid time off, and holidays.  
Odyssey Benefits</t>
        </is>
      </c>
    </row>
    <row r="9">
      <c r="A9" t="inlineStr">
        <is>
          <t>in-8f1f2cdcb80e01e6</t>
        </is>
      </c>
      <c r="B9" t="inlineStr">
        <is>
          <t>Treatment Center Director/Program Manager</t>
        </is>
      </c>
      <c r="C9" t="inlineStr">
        <is>
          <t>BayMark Health Services</t>
        </is>
      </c>
      <c r="D9" t="inlineStr">
        <is>
          <t>indeed</t>
        </is>
      </c>
      <c r="E9">
        <f>HYPERLINK("https://www.indeed.com/viewjob?jk=8f1f2cdcb80e01e6", "https://www.indeed.com/viewjob?jk=8f1f2cdcb80e01e6")</f>
        <v/>
      </c>
      <c r="F9">
        <f>HYPERLINK("https://careers.baymark.com/jobs/17308825-treatment-center-director-slash-program-manager?tm_job=2026-6376&amp;tm_event=view&amp;tm_company=14099", "https://careers.baymark.com/jobs/17308825-treatment-center-director-slash-program-manager?tm_job=2026-6376&amp;tm_event=view&amp;tm_company=14099")</f>
        <v/>
      </c>
      <c r="G9" t="inlineStr">
        <is>
          <t>San Antonio, TX, US</t>
        </is>
      </c>
      <c r="H9" s="2" t="n">
        <v>46057</v>
      </c>
      <c r="I9" t="inlineStr">
        <is>
          <t>**Description**  
Treatment Center Director/Program Director
MedMark Treatment Centers is looking for an accountable, process oriented and efficient leader of operations for our Opiate Treatment Program. A great Treatment Center Director leads a diverse team of nurses, counselors, and auxiliary staff to understand the needs of patients undergoing treatment for opioid addiction while maintaining responsibility for daily operations and performance of the clinic.
Essential Duties \&amp; Responsibilities:
* Responsible for the operation \&amp; performance of the Opiate Treatment Program (OTP) clinic
* Manages OTP clinic operations to budgeted/planned results
* Participates in the interviewing, hiring, training of clinic staff
* Evaluates, manages, counsels and terminates subordinate personnel
* Provides direction to clinic personnel and relays corporate mandates, goals and objectives to field personnel
* Works closely with staff via regular supervision to ensure the completion of performance goals
* Communicates with and insures compliance with the various regulatory bodies (SAMHSA, DEA, CARF, JCAHO, HIPAA, etc.); manages preparation of various federal, state \&amp; local applications, filings, licensure, permits, approvals, etc.
* Identifies cost\-saving opportunities, operational efficiencies, etc. and implements
* Assists with partnering opportunities, linkage/support agreements and other critical relationships to drive census growth \&amp; meet regulatory requirements
* Develops, monitors and provides reports on key performance indicators of clinic measures and reacts accordingly
* Works closely with OTP Medical Director, Psychiatric consultant as applicable, OTP Compliance Manager and QA/QI activities in a variety of areas including, but not limited to – compliance with federal \&amp; state rules, laws \&amp; regulations; compliance with CARF / JCAHO, performance improvement initiatives, productivity goals, quality patient care, customer service, operational enhancement, growth of patient census, contractual requirements, standardization \&amp; conformity, best practices and plans for continuous improvement
* Becomes familiar with OTP federal \&amp; state laws, regulations, etc. and the application of such
* Becomes familiar with CARF/JCAHO standards and the application of such
* Responsible for maintenance \&amp; updating of policy \&amp; procedure manual and clinic operations manuals and procedures
* Serves as a clinic resource and provides or arranges for clinic training as requested/necessary
* Maintains patient, employee and company confidentiality
Development Responsibilities:
* Participates in community relations, education and development activities to drive and maintain census
* Identifies and implements tactical steps to increase and retain census
* Works with clinic team to insure operations are prepared to handle increased census
* Participates in political activities to keep company connected within appropriate circles such as local government board meetings, MTP advisory board meetings, city/county administrator meetings, ADAA meetings, etc.
* Leads effort to identify, hire \&amp; train personnel with cultural diversity to meet the future clinic needs based on patient demographics – identifies cultural community leaders and networks
* Participation in the overall Company Performance Improvement Process
* Familiar with standards required by Board of Health, OSHA, etc. and the application of such
* Assists as requested with marketing programs \&amp; literature development
* Other duties as assigned
Qualifications:
* Multiple years of experience as an administrator of a clinical program
* Bachelor's degree (in business administration or related) from an accredited college or university
* Understanding of clinic operations, with significant amount of time working in the field of substance abuse
* Understanding of HIPAA, Federal, State \&amp; CARF standards \&amp; regulations
* Demonstrated organizational and leadership skills with the ability to supervise and manage personnel
* Strategic thinker to be able to recommend alternative solutions, execute and monitor
* Self\-starter, able to work autonomously and generate ideas and benefits for the Company
* Customer service focused, eager and energetic
* Excellent interpersonal and communication skills
* Satisfactory drug screen and criminal background check.
Benefits:
* Competitive salary
* Comprehensive benefits package, including medical, dental, vision and 401(K)
* Generous paid time off
* Excellent growth and development opportunities
* Satisfying and rewarding work striving to overcome the opioid epidemic
Here is what you can expect from us:
MedMark Treatment Centers, a progressive substance abuse treatment organization is committed to the highest quality of patient care in a comfortable outpatient clinic setting. Our ultimate goal is to address the physical, emotional, and mental aspects of opioid use disorder to help each of our patients achieve long\-term recovery and an improved quality of life.  
MedMark Treatment Centers is committed to Equal Employment Opportunity (EEO) and to compliance with all Federal, State and local laws that prohibit employment discrimination on the basis of race, color, age, natural origin, ethnicity, religion, gender, pregnancy, marital status, sexual orientation, citizenship, genetic disposition, disability or veteran’s status or any other classification protected by State/Federal laws.</t>
        </is>
      </c>
    </row>
    <row r="10">
      <c r="A10" t="inlineStr">
        <is>
          <t>in-1297bf49ee3bfb6c</t>
        </is>
      </c>
      <c r="B10" t="inlineStr">
        <is>
          <t>Treatment Center Director/Program Manager - Temporary</t>
        </is>
      </c>
      <c r="C10" t="inlineStr">
        <is>
          <t>BayMark Health Services</t>
        </is>
      </c>
      <c r="D10" t="inlineStr">
        <is>
          <t>indeed</t>
        </is>
      </c>
      <c r="E10">
        <f>HYPERLINK("https://www.indeed.com/viewjob?jk=1297bf49ee3bfb6c", "https://www.indeed.com/viewjob?jk=1297bf49ee3bfb6c")</f>
        <v/>
      </c>
      <c r="F10">
        <f>HYPERLINK("https://careers.baymark.com/jobs/17308822-treatment-center-director-slash-program-manager-temporary?tm_job=2026-6352&amp;tm_event=view&amp;tm_company=14099", "https://careers.baymark.com/jobs/17308822-treatment-center-director-slash-program-manager-temporary?tm_job=2026-6352&amp;tm_event=view&amp;tm_company=14099")</f>
        <v/>
      </c>
      <c r="G10" t="inlineStr">
        <is>
          <t>Kent, OH, US</t>
        </is>
      </c>
      <c r="H10" s="2" t="n">
        <v>46057</v>
      </c>
      <c r="I10" t="inlineStr">
        <is>
          <t>**Description**  
TEMPORARY/Full Time \- Treatment Center Director/Program Director
MedMark Treatment Centers is looking for an accountable, process oriented and efficient leader of operations for our Opiate Treatment Program. A great Treatment Center Director leads a diverse team of nurses, counselors, and auxiliary staff to understand the needs of patients undergoing treatment for opioid addiction while maintaining responsibility for daily operations and performance of the clinic.
Essential Duties \&amp; Responsibilities:
* Responsible for the operation \&amp; performance of the Opiate Treatment Program (OTP) clinic
* Manages OTP clinic operations to budgeted/planned results
* Participates in the interviewing, hiring, training of clinic staff
* Evaluates, manages, counsels and terminates subordinate personnel
* Provides direction to clinic personnel and relays corporate mandates, goals and objectives to field personnel
* Works closely with staff via regular supervision to ensure the completion of performance goals
* Communicates with and insures compliance with the various regulatory bodies (SAMHSA, DEA, CARF, JCAHO, HIPAA, etc.); manages preparation of various federal, state \&amp; local applications, filings, licensure, permits, approvals, etc.
* Identifies cost\-saving opportunities, operational efficiencies, etc. and implements
* Assists with partnering opportunities, linkage/support agreements and other critical relationships to drive census growth \&amp; meet regulatory requirements
* Develops, monitors and provides reports on key performance indicators of clinic measures and reacts accordingly
* Works closely with OTP Medical Director, Psychiatric consultant as applicable, OTP Compliance Manager and QA/QI activities in a variety of areas including, but not limited to – compliance with federal \&amp; state rules, laws \&amp; regulations; compliance with CARF / JCAHO, performance improvement initiatives, productivity goals, quality patient care, customer service, operational enhancement, growth of patient census, contractual requirements, standardization \&amp; conformity, best practices and plans for continuous improvement
* Becomes familiar with OTP federal \&amp; state laws, regulations, etc. and the application of such
* Becomes familiar with CARF/JCAHO standards and the application of such
* Responsible for maintenance \&amp; updating of policy \&amp; procedure manual and clinic operations manuals and procedures
* Serves as a clinic resource and provides or arranges for clinic training as requested/necessary
* Maintains patient, employee and company confidentiality
Development Responsibilities:
* Participates in community relations, education and development activities to drive and maintain census
* Identifies and implements tactical steps to increase and retain census
* Works with clinic team to insure operations are prepared to handle increased census
* Participates in political activities to keep company connected within appropriate circles such as local government board meetings, MTP advisory board meetings, city/county administrator meetings, ADAA meetings, etc.
* Leads effort to identify, hire \&amp; train personnel with cultural diversity to meet the future clinic needs based on patient demographics – identifies cultural community leaders and networks
* Participation in the overall Company Performance Improvement Process
* Familiar with standards required by Board of Health, OSHA, etc. and the application of such
* Assists as requested with marketing programs \&amp; literature development
* Other duties as assigned
Qualifications:
* Multiple years of experience as an administrator of a clinical program
* Bachelor's degree (in business administration or related) from an accredited college or university
* Understanding of clinic operations, with significant amount of time working in the field of substance abuse
* Understanding of HIPAA, Federal, State \&amp; CARF standards \&amp; regulations
* Demonstrated organizational and leadership skills with the ability to supervise and manage personnel
* Strategic thinker to be able to recommend alternative solutions, execute and monitor
* Self\-starter, able to work autonomously and generate ideas and benefits for the Company
* Customer service focused, eager and energetic
* Excellent interpersonal and communication skills
* Satisfactory drug screen and criminal background check.
Here is what you can expect from us:
MedMark Treatment Centers, a progressive substance abuse treatment organization is committed to the highest quality of patient care in a comfortable outpatient clinic setting. Our ultimate goal is to address the physical, emotional, and mental aspects of opioid use disorder to help each of our patients achieve long\-term recovery and an improved quality of life.  
MedMark Treatment Centers is committed to Equal Employment Opportunity (EEO) and to compliance with all Federal, State and local laws that prohibit employment discrimination on the basis of race, color, age, natural origin, ethnicity, religion, gender, pregnancy, marital status, sexual orientation, citizenship, genetic disposition, disability or veteran’s status or any other classification protected by State/Federal laws.</t>
        </is>
      </c>
    </row>
    <row r="11">
      <c r="A11" t="inlineStr">
        <is>
          <t>in-86cb6f35c7c34fb3</t>
        </is>
      </c>
      <c r="B11" t="inlineStr">
        <is>
          <t>Senior Product Owner</t>
        </is>
      </c>
      <c r="C11" t="inlineStr">
        <is>
          <t>Amica Insurance Company</t>
        </is>
      </c>
      <c r="D11" t="inlineStr">
        <is>
          <t>indeed</t>
        </is>
      </c>
      <c r="E11">
        <f>HYPERLINK("https://www.indeed.com/viewjob?jk=86cb6f35c7c34fb3", "https://www.indeed.com/viewjob?jk=86cb6f35c7c34fb3")</f>
        <v/>
      </c>
      <c r="F11">
        <f>HYPERLINK("https://careers.amica.com/jobs/17306429-senior-product-owner?tm_job=2026-736&amp;tm_event=view&amp;tm_company=92581", "https://careers.amica.com/jobs/17306429-senior-product-owner?tm_job=2026-736&amp;tm_event=view&amp;tm_company=92581")</f>
        <v/>
      </c>
      <c r="G11" t="inlineStr">
        <is>
          <t>Lincoln, RI, US</t>
        </is>
      </c>
      <c r="H11" s="2" t="n">
        <v>46057</v>
      </c>
      <c r="I11" t="inlineStr">
        <is>
          <t>**Description**  
**Senior Product Owner (Marketing Communications \&amp; Growth)**  
**50 Amica Way, Lincoln, RI 02865**  
Thank you for considering Amica as part of your career journey, where your future is our business.  
At Amica, we strive to build a culture of belonging where employees are encouraged to share their unique experience to enrich our workplace, strengthen our company’s mission and broaden our vision of what’s possible. We’re focused on creating a workplace that works for all. We’ll continue to provide training, guidance, and resources to make Amica a true place of belonging for all employees. Want to learn more about our commitment to diversity, equity, and inclusion? Visit our **DEI page** to read about it!  
As a mutual company, our people are our priority. We seek differences of opinion, life experience and perspective to represent the diversity of our policyholders and achieve the best possible outcomes.  
**Job Overview****:**  
We are looking for a highly motivated Senior Product Owner to drive product vision and execution. This role requires strong business acumen, exceptional organizational skills, and the ability to communicate effectively across teams. The ideal candidate is detail\-oriented, a compelling storyteller, and thrives in fast\-paced environments.  
**Responsibilities****:**  
* Ensure consistent delivery of business value by analyzing, prioritizing and delivering features and initiatives that align with organizational goals.
* Own and manage a product backlog, ensuring alignment with business goals and customer needs.
* Write user stories, acceptance criteria, and prioritize delivery for maximum impact.
* Partner with cross\-functional teams to deliver high\-quality, customer\-centric digital features.
* Use analytics, testing, and feedback to optimize digital experiences.
* Communicate delivery progress, risks, and results with stakeholders and leadership.
The 37\.5\-hour work week is scheduled from Monday through Friday, between the core hours of 8:00 AM and 5:00 PM.  
*A hybrid schedule will be available once trained to work independently, with three days reporting to our Lincoln, RI office and two days working from home.*  
**This role does not currently offer employment visa sponsorship.**  
**Total Rewards****:**  
* Medical, dental, vision coverage, short\- and long\-term disability, and life insurance
* Paid Vacation – you will receive at least 13 vacation days in the first 12 months, amounts could be greater depending on the role. While able to use prior to accrual, vacation time will accrue monthly
* Holidays \- 14 paid holidays observed
* Sick time \- 6 days sick time at hire, 6 additional days sick time at 90 days of employment
* Generous 401k with company match and immediate vesting. Additionally, annual 3% non\-elective employer contribution
* Annual Success Sharing Plan \- Paid to eligible employees if company meets or exceeds combined ratio, growth and/or service goals
* Generous leave programs, including paid parental bonding leave
* Student Loan Repayment and Tuition Reimbursement programs
* Generous fitness and wellness reimbursement
* Employee community involvement
* Strong relationships, lifelong friendships
* Opportunities for advancement in a successful and growing company
**Requirements****:**  
* Bachelor’s degree and/or an equivalent combination of education and experience sufficient to successfully perform the essential functions of the job.
* Minimum of 4 years of experience in product ownership or digital product delivery.
* Proven experience working in Agile environments and leading scrum teams.
* Strong analytical and problem\-solving skills, with experience in digital analytics platforms.
* Excellent communication skills as well as engaging and collaborative.
* Demonstrated ability to drive measurable outcomes and coach others.
* Proven ability to deliver results in dynamic environments.
* Ability to story tell and craft compelling narratives for product vision and features
Amica conducts background checks which includes a review of criminal, educational, employment and social media histories, and if the role involves use of a company vehicle, a motor vehicle or driving history report. The background check will not be initiated until after a conditional offer of employment is made and the candidate accepts the offer. Qualified applicants with arrest or conviction records will be considered for employment.  
The safety and security of our employees and our customers is a top priority. Employees may have access to employees’ and customers’ personal and financial information in order to perform their job duties. Candidates with a criminal history that imposes a direct or indirect threat to our employees’ or customers’ physical, mental or financial well\-being may result in the withdrawal of the conditional offer of employment.  
**About Amica**  
Amica Mutual Insurance Company is America’s oldest mutual insurer of automobiles. A direct national writer, Amica also offers home, marine and umbrella insurance. Amica Life Insurance Company, a wholly owned subsidiary, provides life insurance and retirement solutions. Amica was founded on the principles of creating peace of mind and building enduring relationships for and with our exceptionally loyal policyholders, a mission that thousands of employees in offices nationwide share and support.  
Equal Opportunity Policy: All qualified applicants who are authorized to work in the United States will receive consideration for employment without regard to race, color, religion, sex, gender, gender identity, gender expression, sexual orientation, family status, ethnicity, age, national origin, ancestry, physical and/or mental disability, mental condition, military status, genetic information or any other class protected by law. The Age Discrimination in Employment Act prohibits discrimination on the basis of age with respect to individuals who are 40 years of age or older. Employees are subject to the provisions of the Workers' Compensation Act.  
Amica Mutual Insurance Company is committed to protecting job seekers from recruitment fraud. We never request sensitive personal information or payment during the interview process. All legitimate job opportunities are listed on our official careers site: **https://careers.amica.com**. Learn more in the "Is Amica hiring?" section of our **FAQ**.  
rp</t>
        </is>
      </c>
    </row>
    <row r="12">
      <c r="A12" t="inlineStr">
        <is>
          <t>in-30945ff8feaec604</t>
        </is>
      </c>
      <c r="B12" t="inlineStr">
        <is>
          <t>Program Manager</t>
        </is>
      </c>
      <c r="C12" t="inlineStr">
        <is>
          <t>Community Options</t>
        </is>
      </c>
      <c r="D12" t="inlineStr">
        <is>
          <t>indeed</t>
        </is>
      </c>
      <c r="E12">
        <f>HYPERLINK("https://www.indeed.com/viewjob?jk=30945ff8feaec604", "https://www.indeed.com/viewjob?jk=30945ff8feaec604")</f>
        <v/>
      </c>
      <c r="F12">
        <f>HYPERLINK("https://careers.comop.org/jobs/17305811-program-manager?tm_job=5658&amp;tm_event=view&amp;tm_company=91238", "https://careers.comop.org/jobs/17305811-program-manager?tm_job=5658&amp;tm_event=view&amp;tm_company=91238")</f>
        <v/>
      </c>
      <c r="G12" t="inlineStr">
        <is>
          <t>Harrisburg, PA, US</t>
        </is>
      </c>
      <c r="H12" s="2" t="n">
        <v>46057</v>
      </c>
      <c r="I12" t="inlineStr">
        <is>
          <t>**Description**  
**Community Options, Inc.** is a national non\-profit agency providing services to individuals with disabilities in 12 states.  
We are actively seeking an experienced **Residential Program Manager** in **Mechanicsburg, PA.** The Program Manager leads a team to provide person\-centered care tailored to meet the needs of individuals with intellectual and developmental disabilities. This person will support teams with day\-to\-day operations and challenges to achieve programmatic goals.  
*Starting pay is $53,000/per year*  
**Responsibilities*** Manage staff schedules and ensure shifts are adequately staffed
* Manage team performance through effective communication, training, performance management, staff meetings, and employee recognition
* Develop and implement activity programs including the Meaningful Day curriculum
* Communicate with the families and guardians of individuals we support as needed
* Ensure individuals are supported per their ISP/PCP including medication management, meal planning, and behavior management
* Ensure program documentation and billable records are completed accurately and timely
* Monitor the health and medical needs of individuals and immediately report any concerns
* Manage relationships with the families and guardians of the individuals in our care
* Ensure work locations and vehicles are clean, well maintained, and stocked with necessary supplies including groceries, medications, and cleaning supplies
* Additional tasks and responsibilities may be assigned
* Employee must cooperate with the license and department staff in any inspection, inquiry, or investigation
**Minimum Requirements*** Bachelor's degree preferred; High school diploma or equivalent required
* Two years’ full\-time work experience in supporting people with disabilities
* Valid driver’s license with a satisfactory driving record
* Knowledge of state regulatory agency operations and standards relevant to supporting individuals with intellectual or developmental disabilities
* Employment is contingent upon successful completion of checks of criminal background, central registry, child abuse registry, and drug testing
**Working Conditions**  
* Work in residential programs, day programs, and in the community
* Schedule may change due to business needs and may include evening and weekend hours
* May be required to be on\-call in cooperation with other management staff
**Why Community Options?*** Competitive Insurance Benefits (Medical, Dental, Vision)
* Paid Holidays—Including a Birthday Holiday
* Generous PTO
* Employee Incentive \&amp; Discount Programs
* 403b Retirement Plan
* Incredible career growth opportunities
* University partnerships that include tuition reduction
**Please Visit Our Website to Complete an Online Application!** Careers.comop.org  
*Community Options is an Equal Opportunity Employer M/F/D/V*  
*\#IND\-CP*</t>
        </is>
      </c>
    </row>
    <row r="13">
      <c r="A13" t="inlineStr">
        <is>
          <t>in-29d19975dd1da467</t>
        </is>
      </c>
      <c r="B13" t="inlineStr">
        <is>
          <t>Residential Program Manager</t>
        </is>
      </c>
      <c r="C13" t="inlineStr">
        <is>
          <t>Community Options</t>
        </is>
      </c>
      <c r="D13" t="inlineStr">
        <is>
          <t>indeed</t>
        </is>
      </c>
      <c r="E13">
        <f>HYPERLINK("https://www.indeed.com/viewjob?jk=29d19975dd1da467", "https://www.indeed.com/viewjob?jk=29d19975dd1da467")</f>
        <v/>
      </c>
      <c r="F13">
        <f>HYPERLINK("https://careers.comop.org/jobs/17305512-residential-program-manager?tm_job=5654&amp;tm_event=view&amp;tm_company=91238", "https://careers.comop.org/jobs/17305512-residential-program-manager?tm_job=5654&amp;tm_event=view&amp;tm_company=91238")</f>
        <v/>
      </c>
      <c r="G13" t="inlineStr">
        <is>
          <t>Nashua, NH, US</t>
        </is>
      </c>
      <c r="H13" s="2" t="n">
        <v>46057</v>
      </c>
      <c r="I13" t="inlineStr">
        <is>
          <t>**Description**  
**Community Options, Inc.** is a national non\-profit agency providing services to individuals with disabilities in 12 states.  
We are actively seeking an experienced **Residential Program Manager** in **Chester, NH.** The Program Manager leads a team to provide person\-centered care tailored to meet the needs of individuals with intellectual and developmental disabilities. This person will support teams with day\-to\-day operations and challenges to achieve programmatic goals.  
***Starting pay is $50,000/annually***  
***Work Schedule: Tuesday \- Saturday (11am \- 7pm) and/or Sunday \- Thursday (11am \- 7pm)***  
**Responsibilities*** Manage staff schedules and ensure shifts are adequately staffed
* Manage team performance through effective communication, training, performance management, staff meetings, and employee recognition
* Develop and implement activity programs including the Meaningful Day curriculum
* Communicate with the families and guardians of individuals we support as needed
* Ensure individuals are supported per their ISP/PCP including medication management, meal planning, and behavior management
* Ensure program documentation and billable records are completed accurately and timely
* Monitor the health and medical needs of individuals and immediately report any concerns
* Manage relationships with the families and guardians of the individuals in our care
* Ensure work locations and vehicles are clean, well maintained, and stocked with necessary supplies including groceries, medications, and cleaning supplies
* Additional tasks and responsibilities may be assigned
* Employees must cooperate with the licensee and department staff in any inspection, inquiry or investigation
**Minimum Requirements*** Bachelor's degree preferred; High school diploma or equivalent required
* Two years' full\-time work experience in supporting people with disabilities
* Valid driver’s license with a satisfactory driving record
* Knowledge of state regulatory agency operations and standards relevant to supporting individuals with intellectual or developmental disabilities
* Employment is contingent upon successful completion of checks of criminal background, central registry, child abuse registry, and drug testing
**Working Conditions*** Work in residential programs, day programs, and in the community
* Schedule may change due to business needs and may include evening and weekend hours
* May be required to be on\-call in cooperation with other management staff
**Why Community Options?*** Competitive Insurance Benefits (Medical, Dental, Vision)
* Paid Holidays—Including a Birthday Holiday
* Generous PTO
* Employee Incentive \&amp; Discount Programs
* 403b Retirement Plan
* Incredible career growth opportunities
* University partnerships that include tuition reduction
**Please Visit Our Website to Complete an Online Application!** Careers.comop.org  
*Community Options is an Equal Opportunity Employer* *M/F/D/V*  
*\#IND\-NS*</t>
        </is>
      </c>
    </row>
    <row r="14">
      <c r="A14" t="inlineStr">
        <is>
          <t>in-c012c655a0d1f33b</t>
        </is>
      </c>
      <c r="B14" t="inlineStr">
        <is>
          <t>Program Manager Pointcore Construction</t>
        </is>
      </c>
      <c r="C14" t="inlineStr">
        <is>
          <t>OSF HealthCare</t>
        </is>
      </c>
      <c r="D14" t="inlineStr">
        <is>
          <t>indeed</t>
        </is>
      </c>
      <c r="E14">
        <f>HYPERLINK("https://www.indeed.com/viewjob?jk=c012c655a0d1f33b", "https://www.indeed.com/viewjob?jk=c012c655a0d1f33b")</f>
        <v/>
      </c>
      <c r="F14">
        <f>HYPERLINK("https://www.osfcareers.org/jobs/101059/job?utm_source=indeed_integration&amp;iis=Job%20Board&amp;iisn=Indeed&amp;indeed-apply-token=73a2d2b2a8d6d5c0a62696875eaebd669103652d3f0c2cd5445d3e66b1592b0f", "https://www.osfcareers.org/jobs/101059/job?utm_source=indeed_integration&amp;iis=Job%20Board&amp;iisn=Indeed&amp;indeed-apply-token=73a2d2b2a8d6d5c0a62696875eaebd669103652d3f0c2cd5445d3e66b1592b0f")</f>
        <v/>
      </c>
      <c r="G14" t="inlineStr">
        <is>
          <t>Peoria, IL, US</t>
        </is>
      </c>
      <c r="H14" s="2" t="n">
        <v>46057</v>
      </c>
      <c r="I14" t="inlineStr">
        <is>
          <t>Total Rewards:
"Your life \- our Mission"  
OSF HealthCare is dedicated to provide Mission Partners with a comprehensive and market\-competitive total rewards package that includes benefits, compensation, recognition and well\-being offerings that focus on the whole person and engage with their current stage of life and career. Click here to learn more about benefits and the total rewards at OSF.  
Expected pay for this position is $37\.41 \- $55\.84/hour. Actual pay will be determined by experience, skills and internal equity. This is a Salaried position.
Overview:
**About Pointcore, Inc.**  
Pointcore serves the healthcare industry through proven excellence in key services that enable patient care including technology services (application, IT, network and cybersecurity), healthcare technology management (HTM or biomedical equipment services), supply chain, business and construction. As an extension of OSF HealthCare, one of the nation’s leading healthcare organizations, Pointcore leverages decades of experience serving hospitals and clinics of all sizes to extend resources, share cost and utilize common infrastructure with external clients, all to the benefit of patients. Learn more about Pointcore innovation by following us on LinkedIn and at Pointcore.com. **POSITION SUMMARY**: The Program Manager will serve as a trusted partner to the client on behalf of Pointcore Construction. This position will bear responsibility for acting in the client's best interest under an owner's representative model for capital improvement projects at multiple medical centers and medical office buildings. The Program Manager Pointcore Construction will lead, advise, and coordinate specified planning/design, preconstruction, construction, and closeout activities for all assigned projects included in the program agreement.
Qualifications:
**REQUIRED QUALIFICATIONS:*** Education: Bachelor’s Degree in construction management, architecture, engineering, healthcare administration, or a related field.
* Experience: 5 years’ experience serving in healthcare construction project management, facilities management, owner’s representative, and/or client management role.
* Licensure/Certification: Active state driver's license
Other Skills/ Knowledge:* Strong analytical and problem\-solving skills, with the ability to be detail oriented.
* Demonstrated progressive leadership success with a strong commitment to the virtues of servant leadership.
* Strong business, finance, and operations acumen.
* Exemplary presentation, communication (both written and verbal), organizational, and team\-building skills.
* Advanced knowledge of current healthcare programming, planning, design, and construction processes.
* Understanding of healthcare delivery operational considerations in both the inpatient and ambulatory environments.
* Demonstrated commitment to client advocacy and maintaining relationships through successful project delivery.
* Ability to collaborate and work within integrated project teams.
**PREFERRED QUALIFICATIONS:*** Experience: 10 years’ experience serving in healthcare construction project management, facilities management, owner’s representative, and/or client management role.
* Licensure/Certification: Certified Healthcare Constructor (CHC)
 *OSF HealthCare is an Equal Opportunity Employer.*</t>
        </is>
      </c>
    </row>
    <row r="15">
      <c r="A15" t="inlineStr">
        <is>
          <t>in-898a0e8630625c6c</t>
        </is>
      </c>
      <c r="B15" t="inlineStr">
        <is>
          <t>Privacy Program Manager</t>
        </is>
      </c>
      <c r="C15" t="inlineStr">
        <is>
          <t>Chenega Corporation</t>
        </is>
      </c>
      <c r="D15" t="inlineStr">
        <is>
          <t>indeed</t>
        </is>
      </c>
      <c r="E15">
        <f>HYPERLINK("https://www.indeed.com/viewjob?jk=898a0e8630625c6c", "https://www.indeed.com/viewjob?jk=898a0e8630625c6c")</f>
        <v/>
      </c>
      <c r="F15">
        <f>HYPERLINK("https://chenega.jibeapply.com/jobs/39222/job?utm_source=indeed_integration&amp;iis=Job%20Board&amp;iisn=Indeed&amp;indeed-apply-token=73a2d2b2a8d6d5c0a62696875eaebd669103652d3f0c2cd5445d3e66b1592b0f", "https://chenega.jibeapply.com/jobs/39222/job?utm_source=indeed_integration&amp;iis=Job%20Board&amp;iisn=Indeed&amp;indeed-apply-token=73a2d2b2a8d6d5c0a62696875eaebd669103652d3f0c2cd5445d3e66b1592b0f")</f>
        <v/>
      </c>
      <c r="G15" t="inlineStr">
        <is>
          <t>Huntsville, AL, US</t>
        </is>
      </c>
      <c r="H15" s="2" t="n">
        <v>46057</v>
      </c>
      <c r="I15" t="inlineStr">
        <is>
          <t>Overview:
**Privacy Program Manager** **Huntsville, Alabama**  
Are you ready to enhance your skills and build your career in a rapidly evolving business climate? Are you looking for a career where professional development is embedded in your employer’s core culture? If so, Chenega Military, Intelligence \&amp; Operations Support (MIOS) could be the place for you! Join our team of professionals who support large\-scale government operations by leveraging cutting\-edge technology and take your career to the next level!  
Chronos Operations (CO) is a wholly\-owned subsidiary of Chenega Corporation, an Alaska Native Corporation based in Anchorage, AK. Belonging to the Military, Intelligence, and Operations Support (MIOS) Strategic Business Unit (SBU), Chronos has a culture rooted in integrity, respect, and exceptional performance. Chronos is headquartered in Colorado Springs, CO, and provides mission\-critical services in Advanced Analytics \&amp; AI, Software Engineering, Cybersecurity, Information Technology, and Intelligence.  
Chronos Operations, LLC is seeking a **Privacy Program Manager** with a strong background in cybersecurity and privacy compliance for the Army Materiel Command (AMC), Chief Information Office (CIO). This role is responsible for developing, implementing, and managing privacy programs that ensure compliance with federal laws, DoD policies, and cybersecurity regulations.
Responsibilities:
* Develop and implement Privacy Programs in accordance with DoD and Federal regulations.
* Conduct privacy risk assessments and ensure compliance with privacy regulations.
* Author and develop a Privacy Program Plan to streamline privacy risk assessments around system vulnerabilities, threat assessments, and operational mission impacts.
* Interactions involving clients and interfacing with senior management and the government.
* Develop and oversee implementation of the organization's privacy policies and procedures in alignment with DoD and federal privacy guidelines.
* Develop authoritative system inventories, implementing standardized Privacy Threshold Analysis (PTA) and Privacy Impact Assessment (PIA) processes, and linking privacy assessments to vulnerability and threat intelligence.
* Act as the subject matter expert (SME) on PII, PHI, and sensitive data protection, ensuring appropriate controls are integrated within IT systems.
* Coordinate with Cybersecurity, Information Assurance (IA), Legal, and Risk Management teams to ensure privacy is embedded in security operations.
* Manage Data Loss Prevention (DLP) strategies in conjunction with cybersecurity tools to prevent unauthorized access or disclosure.
* Lead privacy incident response efforts and investigations involving breaches of PII.
* Train and educate employees on privacy best practices and federal/DoD privacy regulations.
* Participate in audits and prepare documentation and reports to demonstrate privacy compliance.
* Provide regular updates to senior leadership regarding privacy risks, gaps, and improvement strategies.
* Develop, implement, and maintain security policies, procedures, and documentation to ensure compliance with DoD security standards and regulations (e.g., NIST, RMF, FISMA).
* Achieve and maintain compliance with cybersecurity regulations, and optimize the current process to streamline the approval process.
* Maintain and track security documentation, including system security plans (SSPs), risk assessments, and Plan of Actions \&amp; Milestones (POA\&amp;Ms).
* Supports the Information System Security Manager (ISSM) in ensuring system information is accurately entered into the Enterprise Mission Assurance Support Service (eMASS).
* Conducts detailed cybersecurity and privacy risk assessments of systems, including facility\-related control systems and OT systems.
* Assists the RMF team with reviewing and maintaining RMF packages and system ATO artifacts.
* Stay current with emerging cybersecurity threats, vulnerabilities, and trends to ensure the program adapts to evolving security challenges.
* Supervisory duties as assigned.
* Other duties as assigned.
Qualifications:
* Associate's Degree or Bachelor's Degree in Computer Science, Engineering, Cyber Security, or equivalent experience in lieu of a degree.
* 5\+ years of experience developing and implementing Privacy within RMF systems in accordance with DoD and Federal regulations.
* 3\+ years of experience in privacy, compliance, or risk management roles is common.
	+ Must have experience with developing and implementing privacy policies and procedures.
	+ Certification in Privacy (e.g., CIPP, CIPM) is highly desirable and preferred.
	+ Experience with federal systems accreditation (A\&amp;A) and FISMA compliance reporting.
* Must have an active Secret Clearance with the ability to obtain TS with SCI eligibility.
 **Knowledge, Skills, and Abilities:*** Knowledge of RMF/DevSecOps/Zero Trust integration points.
* Ability to develop and maintain data maps.
* Extensive knowledge of NIST SP 800\-53, eMASS, and POA\&amp;Ms.
* Effective communication skills for information between various functional disciplines, as well as strong briefing skills with senior customer and corporate leadership.
* Proven leadership skills, including working in a team environment, fostering communication, listening to teammates' concerns, and reconciling internal issues or differences.
* Proven ability to solicit and process complex information and data to solve complex problems and make sound decisions.
* Analytical and strong organizational skills, with excellent verbal and written ability.
* Good work ethic and active desire to learn.
* Skillful time management and organizational skills to set and meet deadlines.
* Ability to work both independently and within a team.
* Ability to work effectively in a team environment to encourage collaboration, innovation, and continuous improvement.
* Ability to supervise and manage others.
* Ability to meet minimum clearance requirements.
* Ability to work nights, weekends, and holidays as required.
* Ability to travel up to 10%
 **How you’ll grow**
At Chenega MIOS, our professional development plan focuses on helping our team members at every level of their careers to identify and use their strengths to do their best work every day. From entry\-level employees to senior leaders, we believe there’s always room to learn.  
We offer opportunities to help sharpen skills in addition to hands\-on experience in the global, fast\-changing business world. From on\-the\-job learning experiences to formal development programs, our professionals have a variety of opportunities to continue to grow throughout their careers. **Benefits**
At Chenega MIOS, we know that great people make a great organization. We value our team members and offer them a broad range of benefits.
Learn more about what working at Chenega MIOS can mean for you. **Chenega MIOS’s culture**
Our positive and supportive culture encourages our team members to do their best work every day. We celebrate individuals by recognizing their uniqueness and offering them the flexibility to make daily choices that can help them be healthy, centered, confident, and aware. We offer well\-being programs and continuously look for new ways to maintain a culture where we excel and lead healthy, happy lives. **Corporate citizenship**
Chenega MIOS is led by a purpose to make an impact that matters. This purpose defines who we are and extends to relationships with our clients, our team members, and our communities. We believe that business has the power to inspire and transform. We focus on education, giving, skill\-based volunteerism, and leadership to help drive positive social impact in our communities.
Learn more about Chenega’s impact on the world.
Chenega MIOS News\- https://chenegamios.com/news/ **Tips from your Talent Acquisition Team**
We want job seekers exploring opportunities at Chenega MIOS to feel prepared and confident. To help you with your research, we suggest you review the following links:
Chenega MIOS web site \- www.chenegamios.com
Glassdoor \- https://www.glassdoor.com/Overview/Working\-at\-Chenega\-MIOS\-EI\_IE369514\.11,23\.htm
LinkedIn \- https://www.linkedin.com/company/1472684/
Facebook \- https://www.facebook.com/chenegamios/  
\#Chronos Operations, LLC
Teleworking Permitted?: false</t>
        </is>
      </c>
    </row>
    <row r="16">
      <c r="A16" t="inlineStr">
        <is>
          <t>in-d9c060ceb05423db</t>
        </is>
      </c>
      <c r="B16" t="inlineStr">
        <is>
          <t>Technical Program Manager, Airframe</t>
        </is>
      </c>
      <c r="C16" t="inlineStr">
        <is>
          <t>Joby Aviation</t>
        </is>
      </c>
      <c r="D16" t="inlineStr">
        <is>
          <t>indeed</t>
        </is>
      </c>
      <c r="E16">
        <f>HYPERLINK("https://www.indeed.com/viewjob?jk=d9c060ceb05423db", "https://www.indeed.com/viewjob?jk=d9c060ceb05423db")</f>
        <v/>
      </c>
      <c r="F16">
        <f>HYPERLINK("https://careers-jobyaviation.icims.com/jobs/4682/job?utm_source=indeed_integration&amp;iis=Job%20Board&amp;iisn=Indeed&amp;indeed-apply-token=73a2d2b2a8d6d5c0a62696875eaebd669103652d3f0c2cd5445d3e66b1592b0f", "https://careers-jobyaviation.icims.com/jobs/4682/job?utm_source=indeed_integration&amp;iis=Job%20Board&amp;iisn=Indeed&amp;indeed-apply-token=73a2d2b2a8d6d5c0a62696875eaebd669103652d3f0c2cd5445d3e66b1592b0f")</f>
        <v/>
      </c>
      <c r="G16" t="inlineStr">
        <is>
          <t>Santa Cruz, CA, US</t>
        </is>
      </c>
      <c r="H16" s="2" t="n">
        <v>46057</v>
      </c>
      <c r="I16" t="inlineStr">
        <is>
          <t>Company Overview:
Imagine a piloted air taxi that takes off vertically, then quietly carries you and your fellow passengers over the congested city streets below, enabling you to spend more time with the people and places that matter most. At Joby, we've been working to make that dream a reality since 2009 and we're now in the final stages of certifying our aircraft with the FAA. With plans to launch our aircraft in the US and Dubai, we're now scaling manufacturing and preparing for the launch of our commercial service.
Overview:
Joby Aviation is seeking a Technical Program Manager who is a highly organized, passionate individual with excellent oral, written and interpersonal skills. This position will be based in our Santa Cruz headquarters with an expectation to work from our Marina Manufacturing site a minimum of one day per week. This role will actively work with a cross functional team at Joby Aviation, including Airframe engineering, systems engineering, system safety, manufacturing, supply chain, integration and test, certification, and more. This role will operate in a fast\-paced, demanding, and rewarding environment with very high expectations for individual contribution.
Responsibilities:
* Work closely with the airframe and interiors teams to develop and maintain hardware project timelines, from design through manufacturing introduction and aircraft type certification.
* Provide line\-side program support, coordinating with cross\-functional teams to drive timely resolution of build issues.
* Find creative solutions to remove blockers and drive progress through design, build, and test phase.
* Analyze critical path and constraints to determine the effect of changes to schedule and recommend alternate courses of action or means of recovery on slipped schedules.
* Coordinate cost, schedule and technical issue and risk resolution.
* Coordinate with suppliers and as needed, interfacing with legal, shipping, quality, and other Joby support organizations.
* Evaluate project schedule progress and performance and identify developing problem areas.
* Maintain timely and effective change management processes and procedures.
* Facilitate implementation of new processes and improvements.
* Facilitate communication, discussion, decision making, and conflict resolution.
Required:
* Bachelor’s in engineering or relevant field.
* 5\+ years of experience in an engineering environment with responsibility for implementing or managing change.
* Demonstrated experience in High\-Integrity Product Development, with a focus on 'Safety of Flight' (or equivalent) mindsets and documented evidence of compliance.
* Demonstrated organizational skills and attention to detail.
* Strong communication skills, both oral and written.
* Demonstrated experience in the simultaneous management of multiple high\-paced engineering projects.
* Demonstrated understanding of the product development cycle for hardware\-centric projects from early design through to completion and launch.
* Experience in project management tools such as MS Project, Smartsheet, Confluence, and JIRA.
* Proficient in common workplace software (word processor, spreadsheet, presentation software, etc.)
Desired:
* Experience in the design and certification of composite airframe structures.
* Experience working with AC interiors.
* Knowledge of FAA regulations Part 23, Part 25 or Part 27, guidance material and industry standards.
Additional Information:
Compensation at Joby is a combination of base pay and Restricted Stock Units (RSUs). The target base pay for this position is $118,700 \- $205,600/yr. The compensation package will be determined by job\-related knowledge, skills, and experience.  
Joby also offers a comprehensive benefits package, including paid time off, healthcare benefits, a 401(k) plan with a company match, an employee stock purchase plan (ESPP), short\-term and long\-term disability coverage, life insurance, and more. **Joby is an Equal Opportunity Employer**</t>
        </is>
      </c>
    </row>
    <row r="17">
      <c r="A17" t="inlineStr">
        <is>
          <t>in-62f44565589e3bcb</t>
        </is>
      </c>
      <c r="B17" t="inlineStr">
        <is>
          <t>Program Manager - Healthcare Transformation</t>
        </is>
      </c>
      <c r="C17" t="inlineStr">
        <is>
          <t>Customer Value Partners (CVP)</t>
        </is>
      </c>
      <c r="D17" t="inlineStr">
        <is>
          <t>indeed</t>
        </is>
      </c>
      <c r="E17">
        <f>HYPERLINK("https://www.indeed.com/viewjob?jk=62f44565589e3bcb", "https://www.indeed.com/viewjob?jk=62f44565589e3bcb")</f>
        <v/>
      </c>
      <c r="F17">
        <f>HYPERLINK("https://careers-cvpcorp.icims.com/jobs/3063/job?utm_source=indeed_integration&amp;iis=Job%20Board&amp;iisn=Indeed&amp;indeed-apply-token=73a2d2b2a8d6d5c0a62696875eaebd669103652d3f0c2cd5445d3e66b1592b0f", "https://careers-cvpcorp.icims.com/jobs/3063/job?utm_source=indeed_integration&amp;iis=Job%20Board&amp;iisn=Indeed&amp;indeed-apply-token=73a2d2b2a8d6d5c0a62696875eaebd669103652d3f0c2cd5445d3e66b1592b0f")</f>
        <v/>
      </c>
      <c r="G17" t="inlineStr">
        <is>
          <t>Washington, DC, US</t>
        </is>
      </c>
      <c r="H17" s="2" t="n">
        <v>46057</v>
      </c>
      <c r="I17" t="inlineStr">
        <is>
          <t>Overview:
CVP seeks a highly motivated and organized Program Manager to lead large\-scale healthcare transformation programs enhancing care delivery for Veterans across VA medical centers nationwide. The Program Manager will oversee complex, healthcare initiatives, managing cross\-functional teams to implement integrated healthcare solutions that directly improve Veterans' access to quality care. This role requires driving strategic program execution across multiple VA facilities, coordinating with clinical leadership, IT teams, and executive stakeholders to ensure successful delivery of healthcare transformation projects. The position focuses on implementing disciplined program management processes, optimizing healthcare workflows, and driving measurable improvements in Veterans' healthcare outcomes while managing substantial budgets and complex project portfolios within the federal healthcare environment.
Responsibilities:
* Lead large integrated healthcare program management initiatives
* Implement disciplined program management processes and best practices
* Perform independent analysis on program performance with cost/schedule/performance monitoring
* Apply performance measurement knowledge to performance reporting and program governance
* Manage program risks and recommend mitigation strategies
* Support senior leadership decision boards and program governance processes
* Develop program management artifacts (charters, project plans, performance dashboards)
Qualifications:
* Master's degree from an accredited college or university
* 10\+ years of experience in healthcare IT program management
* PMP certification required
* Experience leading large integrated healthcare program management initiatives
* Knowledge of Federal performance measurement frameworks
* Experience with disciplined program management processes
* Strong risk management and performance monitoring capabilities
* Advanced proficiency with MS Word, Excel, and PowerPoint
* Ability to obtain a US Security Public Trust Clearance
* Ability to work without sponsorship in the US indefinitely
**Desired Skills:**
* Experience with VHA or federal healthcare systems
* Healthcare IT transformation program experience
* Experience with integrated healthcare PM best practices
 *Please note, this role is pending program award.* **About CVP**  
CVP is an award\-winning healthcare and next\-gen technology and consulting services firm solving critical problems for healthcare, national security, and public sector clients. We help organizations achieve lasting transformation.  
CVP is an Equal Opportunity Employer dedicated to actively recruiting individuals and providing advancement opportunities based on merit and legitimate job qualifications. We ensure that all associates receive equal opportunities based on their personal qualifications and job requirements. CVP strictly prohibits any form of discrimination or harassment.  
At CVP, we cultivate a work environment that encourages fairness, teamwork, and respect among all associated. We are committed to maintaining a workplace where everyone can grow both personally and professionally.</t>
        </is>
      </c>
    </row>
    <row r="18">
      <c r="A18" t="inlineStr">
        <is>
          <t>in-3fba30d08dbb9c7b</t>
        </is>
      </c>
      <c r="B18" t="inlineStr">
        <is>
          <t>Senior Technical Planning Program Manager (DOT/GO/PINF #74633)</t>
        </is>
      </c>
      <c r="C18" t="inlineStr">
        <is>
          <t>State of New Mexico</t>
        </is>
      </c>
      <c r="D18" t="inlineStr">
        <is>
          <t>indeed</t>
        </is>
      </c>
      <c r="E18">
        <f>HYPERLINK("https://www.indeed.com/viewjob?jk=3fba30d08dbb9c7b", "https://www.indeed.com/viewjob?jk=3fba30d08dbb9c7b")</f>
        <v/>
      </c>
      <c r="F18">
        <f>HYPERLINK("https://careers.share.nm.gov/psp/hprdcg/EMPLOYEE/HRMS/c/HRS_HRAM_FL.HRS_CG_SEARCH_FL.GBL?Page=HRS_APP_JBPST_FL&amp;Action=U&amp;SiteId=1&amp;JobOpeningId=161074&amp;PostingSeq=1", "https://careers.share.nm.gov/psp/hprdcg/EMPLOYEE/HRMS/c/HRS_HRAM_FL.HRS_CG_SEARCH_FL.GBL?Page=HRS_APP_JBPST_FL&amp;Action=U&amp;SiteId=1&amp;JobOpeningId=161074&amp;PostingSeq=1")</f>
        <v/>
      </c>
      <c r="G18" t="inlineStr">
        <is>
          <t>Santa Fe, NM, US</t>
        </is>
      </c>
      <c r="H18" s="2" t="n">
        <v>46057</v>
      </c>
      <c r="I18" t="inlineStr">
        <is>
          <t>Posting Details
This posting will be used for ongoing recruitment and may close at any time. Applicant lists may be screened more than once.
The New Mexico Department of Transportation (NMDOT) works to provide a safe and efficient transportation system for the traveling public in New Mexico. The Multimodal Planning and Programs Bureau is part of the Planning Division and is focused on providing multimodal transportation planning services for the Department, as well as managing several federal funding programs, and coordinating with governmental agencies around New Mexico.
As a valued new employee to NMDOT, you may be eligible to receive three (3\) days of administrate leave upon your start date. This is applicable to external hires not within the State of New Mexico Government.
Why does the job exist?
The Senior Technical Planning Program Manager will primarily be responsible for:
**Managing the National Highway Freight Program (23 USC 167:** NHFP), a program that includes an approximately $15 million per year Federal\-Aid Highway Program funding source.
Serving as the Subject Matter Expert (SME) and the Department's primary freight planner, which requires continuous engagement on the topic, attending professional development opportunities, including conferences, and representing the Department in freight\-related matters, including at relevant American Association of State Highway and Transportation Officials (AASHTO) Committees. This duty may also include assisting others in the department with freight\-related inquiries, such as legislative analysis and committee presentations.
Serving as the Department's Functional Classification Coordinator and oversee the federally mandated classification system of all roadways in NM, which relates to the roadway's characteristics and purpose and determines its funding eligibility.
Managing the federally mandated performance measures (23 Code of Federal Regulations 460\.501\-613\) that track transportation system reliability, including the Level of Travel Time Reliability (LOTTR) metrics and the Truck Travel Time Reliability Index (TTTR).
How does it get done?
**Key responsibilities of this position will include:**  
**Managing the National Highway Freight Program (NHFP):**  
To maintain the Department's eligibility for the funds, this position will complete all the federally mandated work products including the State Freight Plan, the Freight Investment Plan, the Commercial Motor Vehicle Parking Facilities Assessment, and the designation of the Critical Urban and Rural Freight Corridors. This includes reviewing and satisfying all federal requirements, coordinating with internal and external stakeholders such as the Freight Advisory Committee, procuring and working with consultants to complete required analyses and work products, responding to freight related inquiries and sharing of relevant information, and engaging with national freight\-related committees and groups to stay up to date on the state of the practices.
Managing the Functional Classification System for the Department:
This will include responding to District and Tribal/Local Public Agency (T/LPA) inquiries and applications for Functional Classification System changes. Working with consultants and spatial roadway data to analyze the overall system to ensure it matches the federal requirements as closely as possible and working with the affected parties to process any changes to the Functional Classification System, including the FHWA.
Managing federally mandated performance measure processes for transportation system reliability:
Continual monitoring of data, tracking the Department's performance, and the bi\-annual setting of targets for the mandated measures. This also includes coordination with the Department and Metropolitan Planning Organizations on the data and target setting, and the Federal Highway Administration (FHWA) on reporting the targets and progress. This will include the LOTTR metrics and the TTTR Index. Using external data sources to track performance and progress, coordinating with the Department and Metropolitan Planning Organizations on data sharing and target setting, and ultimately working with the FHWA to report on performance, progress and target setting on a bi\-annual basis.
Who are the customers?
The position serves the traveling public of New Mexico, including the freight industry, NMDOT staff in the General Office and the Districts, the Metropolitan Planning Organizations and their member entities, and Regional Transportation Planning Organizations and their member entities.
Ideal Candidate
The position serves the traveling public of New Mexico, including the freight industry, NMDOT staff in the General Office and the Districts, the Metropolitan Planning Organizations and their member entities, and Regional Transportation Planning Organizations and their member entities.
Minimum Qualification
Bachelor's Degree in a relevant field of study from an accredited college or university and four (4\) years of professional level experience with a tactical impact directly related to the purpose of the position defined by the agency at the time of recruitment. Any combination of education from an accredited college or university in a related field and/or direct experience in this occupation totaling eight (8\) years may substitute for the required education and experience.
Employment Requirements
Must possess and maintain a valid Driver's License. Must possess and maintain a current Defensive Driving Course certificate from the State of New Mexico or must pass and receive a Defensive Driving Course certificate as a condition of continued employment.
Working Conditions
Work is performed in a general office setting with occasional travel around New Mexico via a Department vehicle. The office setting includes significant use of visual/video display terminal (VDT), extensive computer and telephone usage with possible extended periods of sitting, and telephone and virtual meeting platforms. Some standing, bending and reaching may be required.
Supplemental Information
Do you know what Total Compensation is? Click here
**Agency Contact Information:** Rosa Kozub, (505\) 231\-9869\. Email
For information on Statutory Requirements for this position, click the Classification Description link on the job advertisement.
Bargaining Unit Position
This position is not covered by a collective bargaining agreement.</t>
        </is>
      </c>
    </row>
    <row r="19">
      <c r="A19" t="inlineStr">
        <is>
          <t>in-dc1101b588b57d80</t>
        </is>
      </c>
      <c r="B19" t="inlineStr">
        <is>
          <t>Product Manager-Annuities WMS</t>
        </is>
      </c>
      <c r="C19" t="inlineStr">
        <is>
          <t>Ameriprise Financial</t>
        </is>
      </c>
      <c r="D19" t="inlineStr">
        <is>
          <t>indeed</t>
        </is>
      </c>
      <c r="E19">
        <f>HYPERLINK("https://www.indeed.com/viewjob?jk=dc1101b588b57d80", "https://www.indeed.com/viewjob?jk=dc1101b588b57d80")</f>
        <v/>
      </c>
      <c r="F19">
        <f>HYPERLINK("https://ameriprise.wd5.myworkdayjobs.com/Ameriprise/job/Charlotte-North-Carolina/Product-Manager-Annuities-WMS_R26_0123-1", "https://ameriprise.wd5.myworkdayjobs.com/Ameriprise/job/Charlotte-North-Carolina/Product-Manager-Annuities-WMS_R26_0123-1")</f>
        <v/>
      </c>
      <c r="G19" t="inlineStr">
        <is>
          <t>Minneapolis, MN, US</t>
        </is>
      </c>
      <c r="H19" s="2" t="n">
        <v>46041</v>
      </c>
      <c r="I19" t="inlineStr">
        <is>
          <t>The Product Manager role, within Wealth Management Solutions, will be responsible for the product management and growth of the annuity platform. Overall responsibilities will include carrier relationship management, product and concept knowledge, industry rules and regulations, projects and initiatives, operations, compensation maintenance, and advisor communications, education and marketing.**Key Responsibilities**
* Manage carrier relationships
* Provide insights and actionable recommendations to support advisor and client experience improvements
* Assist in due diligence of carriers, products and concepts
* Support firm recruiting efforts
* Develop effective and relevant advisor education and training opportunities
* Guide carrier and product onboarding process
* Provide support for annuity sales desk
* Support annuity related initiatives
 **Required Qualifications**
* Bachelor's degree or equivalent experience with 5\+ years financial services experience, preferably in annuity product management
* Excellent strategic and analytical skills to solve complex problems and identify new product solutions along with attention to detail and personal accountability
* Relationship and Project Management experience preferably with background in annuities
* Strong written and verbal communication skills, organizational skills and proficiency in Microsoft Excel
* Knowledge of laws and regulations related to broker dealer responsibilities with regard to annuity products preferred
* Active Series 7 or the ability to obtain within 120 days
 **About Our Company**  
We’re a diversified financial services leader with more than $1\.5 trillion in assets under management, administration and advisement as of 2024\. With our team of more than 20,000 people in 20 countries, we advise, manage and protect assets and income of more than 3\.5 million individual, small business and institutional clients. We are a longstanding leader in financial planning and advice, a global asset manager and an insurer. Our unwavering focus on our clients and strong financial foundation connects each of our unique businesses \- Ameriprise Financial, Columbia Threadneedle Investments and RiverSource Insurance and Annuities. Here, we foster meaningful careers, invest in the future, and make a difference for clients, institutions and communities around the world.
**Base Pay Salary**
The estimated base salary for this role is $90,000 \- $110,000 / year. We have a pay\-for\-performance compensation philosophy. Your initial total compensation may vary based on job\-related knowledge, skills, experience, and geographical work location. In addition, most of our roles are eligible for variable pay in the form of bonus, commissions, and/or long\-term incentives depending on the role. We also have a competitive and comprehensive benefits program that supports all aspects of your health and well\-being, including but not limited to vacation time, sick time, 401(k), and health, dental and life insurance.
Ameriprise Financial is an equal opportunity employer. We consider all qualified applicants without regard to race, color, religion, sex, national origin, genetic information, age, sexual orientation, citizenship, gender identity, disability, veteran status, marital status, family status or any other basis prohibited by law.
**Full\-Time/Part\-Time**
Full time**Exempt/Non\-Exempt**
Exempt**Job Family Group**
Marketing/Product Management**Line of Business**
FPPS Wealth Management Solutions</t>
        </is>
      </c>
    </row>
    <row r="20">
      <c r="A20" t="inlineStr">
        <is>
          <t>in-5a3baeebe91839a5</t>
        </is>
      </c>
      <c r="B20" t="inlineStr">
        <is>
          <t>Global Signage &amp; Wayfinding Designer Program Manager, Workplace Design &amp; Construction (WD&amp;C)</t>
        </is>
      </c>
      <c r="C20" t="inlineStr">
        <is>
          <t>Amazon.com</t>
        </is>
      </c>
      <c r="D20" t="inlineStr">
        <is>
          <t>indeed</t>
        </is>
      </c>
      <c r="E20">
        <f>HYPERLINK("https://www.indeed.com/viewjob?jk=5a3baeebe91839a5", "https://www.indeed.com/viewjob?jk=5a3baeebe91839a5")</f>
        <v/>
      </c>
      <c r="F20">
        <f>HYPERLINK("https://www.amazon.jobs/jobs/3139013/global-signage--wayfinding-designer-program-manager-workplace-design--construction-wdc?cmpid=DA_INAD200785B", "https://www.amazon.jobs/jobs/3139013/global-signage--wayfinding-designer-program-manager-workplace-design--construction-wdc?cmpid=DA_INAD200785B")</f>
        <v/>
      </c>
      <c r="G20" t="inlineStr">
        <is>
          <t>Arlington, VA, US</t>
        </is>
      </c>
      <c r="H20" s="2" t="n">
        <v>45998</v>
      </c>
      <c r="I20" t="inlineStr">
        <is>
          <t>**DESCRIPTION**
---------------
The Global Design team is looking for a creative, innovative, results\-oriented designer with experience leading the design of Signage and Wayfinding systems for corporate workplace. This role will be based in Arlington, VA, and will be responsible for supporting the Global Design Team, reporting to the Senior Manager, Global Design. This role will support the Design teams across 3 global regions (AMER, EMEA and APAC) and will work closely with the Design \&amp; Construction (D\&amp;C) team, the Workplace Guidelines \&amp; Standards team and the Regional Portfolio Managers (RPM) team.  
This role will be responsible for managing, updating and evolving the Signage and Wayfinding Design System for Corporate Workplace, including the development of new elements as needed to ensure standardization. The Signage and Wayfinding Designer will work to leverage the system as it’s been designed, and evolve it as\-needed for regional or new requirements in a way that ensures high\-quality deliverables and on\-time delivery. Over time, this role should gain familiarity with Amazon’s Global corporate workplace portfolio in order to ensure that the elements of the signage and wayfinding system are applicable regionally. This role will also work with the Workplace Guidelines \&amp; Standards team, and the Design \&amp; Construction Delivery teams, though the role is not responsible for updating the Guidelines \&amp;Standards, nor for Delivery of the final signage elements.  
The successful candidate has experience in design of signage and wayfinding for corporate workplace – including education and experience in design of signage and wayfinding system, deep knowledge of industry benchmarks, and the ability to evaluate potential solutions on the basis of aesthetic and budget specific knowledge. The successful candidate will be able to communicate clearly about the design of the signage and wayfinding system at all levels, and yet is not afraid to dive deep into details and is able to design certain elements independently, if required. This role works autonomously and creatively in a fast\-paced, ambiguous environment, and will be working on multiple projects, most of which have very tight delivery timelines. Attention to detail and ability to inspect issues and processes brings simplified solutions to complex problems is paramount. The candidate must be able to balance frugality with creativity in offering solutions and approach problem\-solving with an emphasis on root cause.  
This role supports our Global team, so may requires travel approximately 10% of the time.  
Key job responsibilities  
* With the support of Workplace Design \&amp; Construction Teams, maintain the Signage and Wayfinding Design System for Amazon’s Corporate Workplace, including assessing design requirements of any new request, updating the design of individual elements, proposing root updates, and communicating the design rationale of any changes.
* Collaborate with GREF partner teams, including Regional Portfolio Management, Sustainability and Environmental Health and Safety, and Travel and Events, to ensure the system meets all requirements and improve the quality of Amazon workspace with a focus on resiliency, efficiency, health, and safety.
* Routinely connect to external industry, professional bodies and communities, ensuring new industry standards, best practices, technology, and innovations are adopted into the program.
About the team  
The Global Real Estate and Facilities (GREF) team provides real estate transaction expertise, business partnering, space and occupancy planning, capital investment program management, facility maintenance, and operations in more than 60 countries. GREF is organized into three pillars: Regional Portfolio Management, Global Centers of Enablement, and Global Centers of Expertise. Workplace Design and Construction sits within the Global Centers of Excellence and includes the disciplines of Global Design, Workplace Guidelines, Business Development, Global Integrated Facilities Management, and regional Design and Construction (D\&amp;C) delivery.  
The Global Design team owns the design of GREF spaces, shaping design concepts that align with GREF’s strategic vision and the GREF Workplace Design Style Guide, while enhancing employee well\-being. Ultimately this team defines spaces that best support the way Amazonians work. The team’s Concept Designers develop foundational concepts for each space type—headcount floors, Centers of Energy, Food and Beverage, Meetings and Events, and other specialty spaces—that are in line with foundational design principles. The regional Design Managers ensure that GREF design concepts and standards are seamlessly integrated into new projects and renovations.  
The Workplace Guidelines team owns the creation, implementation, and ongoing refinement of Amazon’s Global Workplace Design Guidelines and Standards, ensuring regional teams have comprehensive documentation to support delivering and refreshing spaces that best support how Amazonians work in the office. This team includes global furniture, fixture and equipment (FF\&amp;E) development and implementation, as well as signage and wayfinding guidelines and standards.**BASIC QUALIFICATIONS**
------------------------
* Have a portfolio demonstrating past work experience and deliverables (e.g., study plans, reports, personas)
* Bachelor's degree in Visual Design, Graphic Design, Art, Architecture (or related professional experience in a design role).
* 5\+ years of design experience in design of signage and wayfinding for corporate workplace, demonstrating ability to lead design for a signage and wayfinding system for a large corporate workplace portfolio.
**PREFERRED QUALIFICATIONS**
----------------------------
* Experience escalating issues and anticipating and making hard trade\-offs between business and customer need
* Proven decision making and problem\-solving capabilities with strong follow up skills and attention to detail.
* Excellent oral and written communication skills with exceptional ability to translate ideas and thoughts into written documents.
* Continuous learning mindset and commitment to staying up\-to\-date with industry trends and best practices.
* Able to build constructive and effective relationships and use them to maneuver through complex situations.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$116,500/year in our lowest geographic market up to $192,600/year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21">
      <c r="A21" t="inlineStr">
        <is>
          <t>in-39484d11071db735</t>
        </is>
      </c>
      <c r="B21" t="inlineStr">
        <is>
          <t>Global Signage &amp; Wayfinding Designer Program Manager, Workplace Design &amp; Construction (WD&amp;C)</t>
        </is>
      </c>
      <c r="C21" t="inlineStr">
        <is>
          <t>Amazon.com</t>
        </is>
      </c>
      <c r="D21" t="inlineStr">
        <is>
          <t>indeed</t>
        </is>
      </c>
      <c r="E21">
        <f>HYPERLINK("https://www.indeed.com/viewjob?jk=39484d11071db735", "https://www.indeed.com/viewjob?jk=39484d11071db735")</f>
        <v/>
      </c>
      <c r="F21">
        <f>HYPERLINK("https://www.amazon.jobs/jobs/3139013/global-signage--wayfinding-designer-program-manager-workplace-design--construction-wdc?cmpid=DA_INAD200785B", "https://www.amazon.jobs/jobs/3139013/global-signage--wayfinding-designer-program-manager-workplace-design--construction-wdc?cmpid=DA_INAD200785B")</f>
        <v/>
      </c>
      <c r="G21" t="inlineStr">
        <is>
          <t>Seattle, WA, US</t>
        </is>
      </c>
      <c r="H21" s="2" t="n">
        <v>45998</v>
      </c>
      <c r="I21" t="inlineStr">
        <is>
          <t>**DESCRIPTION**
---------------
The Global Design team is looking for a creative, innovative, results\-oriented designer with experience leading the design of Signage and Wayfinding systems for corporate workplace. This role will be based in Arlington, VA, and will be responsible for supporting the Global Design Team, reporting to the Senior Manager, Global Design. This role will support the Design teams across 3 global regions (AMER, EMEA and APAC) and will work closely with the Design \&amp; Construction (D\&amp;C) team, the Workplace Guidelines \&amp; Standards team and the Regional Portfolio Managers (RPM) team.  
This role will be responsible for managing, updating and evolving the Signage and Wayfinding Design System for Corporate Workplace, including the development of new elements as needed to ensure standardization. The Signage and Wayfinding Designer will work to leverage the system as it’s been designed, and evolve it as\-needed for regional or new requirements in a way that ensures high\-quality deliverables and on\-time delivery. Over time, this role should gain familiarity with Amazon’s Global corporate workplace portfolio in order to ensure that the elements of the signage and wayfinding system are applicable regionally. This role will also work with the Workplace Guidelines \&amp; Standards team, and the Design \&amp; Construction Delivery teams, though the role is not responsible for updating the Guidelines \&amp;Standards, nor for Delivery of the final signage elements.  
The successful candidate has experience in design of signage and wayfinding for corporate workplace – including education and experience in design of signage and wayfinding system, deep knowledge of industry benchmarks, and the ability to evaluate potential solutions on the basis of aesthetic and budget specific knowledge. The successful candidate will be able to communicate clearly about the design of the signage and wayfinding system at all levels, and yet is not afraid to dive deep into details and is able to design certain elements independently, if required. This role works autonomously and creatively in a fast\-paced, ambiguous environment, and will be working on multiple projects, most of which have very tight delivery timelines. Attention to detail and ability to inspect issues and processes brings simplified solutions to complex problems is paramount. The candidate must be able to balance frugality with creativity in offering solutions and approach problem\-solving with an emphasis on root cause.  
This role supports our Global team, so may requires travel approximately 10% of the time.  
Key job responsibilities  
* With the support of Workplace Design \&amp; Construction Teams, maintain the Signage and Wayfinding Design System for Amazon’s Corporate Workplace, including assessing design requirements of any new request, updating the design of individual elements, proposing root updates, and communicating the design rationale of any changes.
* Collaborate with GREF partner teams, including Regional Portfolio Management, Sustainability and Environmental Health and Safety, and Travel and Events, to ensure the system meets all requirements and improve the quality of Amazon workspace with a focus on resiliency, efficiency, health, and safety.
* Routinely connect to external industry, professional bodies and communities, ensuring new industry standards, best practices, technology, and innovations are adopted into the program.
About the team  
The Global Real Estate and Facilities (GREF) team provides real estate transaction expertise, business partnering, space and occupancy planning, capital investment program management, facility maintenance, and operations in more than 60 countries. GREF is organized into three pillars: Regional Portfolio Management, Global Centers of Enablement, and Global Centers of Expertise. Workplace Design and Construction sits within the Global Centers of Excellence and includes the disciplines of Global Design, Workplace Guidelines, Business Development, Global Integrated Facilities Management, and regional Design and Construction (D\&amp;C) delivery.  
The Global Design team owns the design of GREF spaces, shaping design concepts that align with GREF’s strategic vision and the GREF Workplace Design Style Guide, while enhancing employee well\-being. Ultimately this team defines spaces that best support the way Amazonians work. The team’s Concept Designers develop foundational concepts for each space type—headcount floors, Centers of Energy, Food and Beverage, Meetings and Events, and other specialty spaces—that are in line with foundational design principles. The regional Design Managers ensure that GREF design concepts and standards are seamlessly integrated into new projects and renovations.  
The Workplace Guidelines team owns the creation, implementation, and ongoing refinement of Amazon’s Global Workplace Design Guidelines and Standards, ensuring regional teams have comprehensive documentation to support delivering and refreshing spaces that best support how Amazonians work in the office. This team includes global furniture, fixture and equipment (FF\&amp;E) development and implementation, as well as signage and wayfinding guidelines and standards.**BASIC QUALIFICATIONS**
------------------------
* Have a portfolio demonstrating past work experience and deliverables (e.g., study plans, reports, personas)
* Bachelor's degree in Visual Design, Graphic Design, Art, Architecture (or related professional experience in a design role).
* 5\+ years of design experience in design of signage and wayfinding for corporate workplace, demonstrating ability to lead design for a signage and wayfinding system for a large corporate workplace portfolio.
**PREFERRED QUALIFICATIONS**
----------------------------
* Experience escalating issues and anticipating and making hard trade\-offs between business and customer need
* Proven decision making and problem\-solving capabilities with strong follow up skills and attention to detail.
* Excellent oral and written communication skills with exceptional ability to translate ideas and thoughts into written documents.
* Continuous learning mindset and commitment to staying up\-to\-date with industry trends and best practices.
* Able to build constructive and effective relationships and use them to maneuver through complex situations.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$116,500/year in our lowest geographic market up to $192,600/year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22">
      <c r="A22" t="inlineStr">
        <is>
          <t>in-795dfe1d794cd3c1</t>
        </is>
      </c>
      <c r="B22" t="inlineStr">
        <is>
          <t>Senior Product Manager, Ads</t>
        </is>
      </c>
      <c r="C22" t="inlineStr">
        <is>
          <t>Amazon.com</t>
        </is>
      </c>
      <c r="D22" t="inlineStr">
        <is>
          <t>indeed</t>
        </is>
      </c>
      <c r="E22">
        <f>HYPERLINK("https://www.indeed.com/viewjob?jk=795dfe1d794cd3c1", "https://www.indeed.com/viewjob?jk=795dfe1d794cd3c1")</f>
        <v/>
      </c>
      <c r="F22">
        <f>HYPERLINK("https://www.amazon.jobs/jobs/3137568/senior-product-manager-ads?cmpid=DA_INAD200785B", "https://www.amazon.jobs/jobs/3137568/senior-product-manager-ads?cmpid=DA_INAD200785B")</f>
        <v/>
      </c>
      <c r="G22" t="inlineStr">
        <is>
          <t>Los Angeles, CA, US</t>
        </is>
      </c>
      <c r="H22" s="2" t="n">
        <v>45994</v>
      </c>
      <c r="I22"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The Twitch Ad Products team's goal is to help streamers earn money by connecting them with brands they authentically endorse and offering the best ad experiences for their communities. We are looking for a product leader who has experience leading product initiatives from concept to successful launch. The ideal candidate is a strong communicator with high levels of customer obsession, strong technical judgment, demonstrated ability to build scalable processes and products, and is an independent operator, experienced working across teams to deliver on behalf of customers.  
As a Sr. Product Manager on the Ad Products team, you’ll have an end\-to\-end ownership of the product(s), design, and technology required to ensure our end customers have a relevant and compliant Twitch advertising experience, reporting to the Director of Ad Products.  
You can work from Twitch’s headquarters in San Francisco, CA; or from one of our hub locations in Seattle, WA; Irvine, CA; or New York City, NY \- with West Coast (PST) working hours.  
You Will:  
* Lead the development and execution of a bold customer\-focused product strategy and vision for identity, addressability, and brand suitability; ensuring compliance with privacy and accessibility regulations
* Collaborate closely with cross\-functional teams, including engineering, science, policy, operations, and business stakeholders, to define and execute a product roadmap
* Work back from our customers by learning from their feedback, behavioral measurements, and other data sources to identify pain points and ensure we are building the right features over time.
* Monitor key performance indicators (KPIs) and analyze metrics to measure the impact of addressable inventory, identify areas for improvement, and drive optimization.
* Experience contributing to engineering discussions around technology decisions and strategy related to a product
* Collaborate with other teams at Twitch and Amazon to elevate our overall advertising experience.
* Own your launches by partnering with engineering, marketing and other teams to maximize the outcomes of your team's work.
Perks  
* Medical, Dental, Vision \&amp; Disability Insurance
* 401(k)
* Maternity \&amp; Parental Leave
* Flexible PTO
* Amazon Employee Discount
**BASIC QUALIFICATIONS**
------------------------
* Bachelor's degree
* 5\+ years of work experience as a Product Manager
* Experience leading cross\-functional initiatives
* Experience defining 1\-2 year product strategies, and working on associated roadmaps.
* Demonstrated advocacy of the needs of our customers including end\-users (viewers \&amp; creators) and advertisers.
* Run product experiments with in\-depth product performance analysis.
* Translated your product ideas into expected impact.
**PREFERRED QUALIFICATIONS**
----------------------------
* Experience in building and driving adoption of new tools
* Experience working on new ad demand channels
* Experience working on innovative ad supply generation initiatives including new formats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$136,100/year in our lowest geographic market up to $235,200/year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23">
      <c r="A23" t="inlineStr">
        <is>
          <t>in-08a2f06f06d805c9</t>
        </is>
      </c>
      <c r="B23" t="inlineStr">
        <is>
          <t>Senior Product Manager, Ads</t>
        </is>
      </c>
      <c r="C23" t="inlineStr">
        <is>
          <t>Amazon.com</t>
        </is>
      </c>
      <c r="D23" t="inlineStr">
        <is>
          <t>indeed</t>
        </is>
      </c>
      <c r="E23">
        <f>HYPERLINK("https://www.indeed.com/viewjob?jk=08a2f06f06d805c9", "https://www.indeed.com/viewjob?jk=08a2f06f06d805c9")</f>
        <v/>
      </c>
      <c r="F23">
        <f>HYPERLINK("https://www.amazon.jobs/jobs/3137568/senior-product-manager-ads?cmpid=DA_INAD200785B", "https://www.amazon.jobs/jobs/3137568/senior-product-manager-ads?cmpid=DA_INAD200785B")</f>
        <v/>
      </c>
      <c r="G23" t="inlineStr">
        <is>
          <t>Irvine, CA, US</t>
        </is>
      </c>
      <c r="H23" s="2" t="n">
        <v>45994</v>
      </c>
      <c r="I23"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The Twitch Ad Products team's goal is to help streamers earn money by connecting them with brands they authentically endorse and offering the best ad experiences for their communities. We are looking for a product leader who has experience leading product initiatives from concept to successful launch. The ideal candidate is a strong communicator with high levels of customer obsession, strong technical judgment, demonstrated ability to build scalable processes and products, and is an independent operator, experienced working across teams to deliver on behalf of customers.  
As a Sr. Product Manager on the Ad Products team, you’ll have an end\-to\-end ownership of the product(s), design, and technology required to ensure our end customers have a relevant and compliant Twitch advertising experience, reporting to the Director of Ad Products.  
You can work from Twitch’s headquarters in San Francisco, CA; or from one of our hub locations in Seattle, WA; Irvine, CA; or New York City, NY \- with West Coast (PST) working hours.  
You Will:  
* Lead the development and execution of a bold customer\-focused product strategy and vision for identity, addressability, and brand suitability; ensuring compliance with privacy and accessibility regulations
* Collaborate closely with cross\-functional teams, including engineering, science, policy, operations, and business stakeholders, to define and execute a product roadmap
* Work back from our customers by learning from their feedback, behavioral measurements, and other data sources to identify pain points and ensure we are building the right features over time.
* Monitor key performance indicators (KPIs) and analyze metrics to measure the impact of addressable inventory, identify areas for improvement, and drive optimization.
* Experience contributing to engineering discussions around technology decisions and strategy related to a product
* Collaborate with other teams at Twitch and Amazon to elevate our overall advertising experience.
* Own your launches by partnering with engineering, marketing and other teams to maximize the outcomes of your team's work.
Perks  
* Medical, Dental, Vision \&amp; Disability Insurance
* 401(k)
* Maternity \&amp; Parental Leave
* Flexible PTO
* Amazon Employee Discount
**BASIC QUALIFICATIONS**
------------------------
* Bachelor's degree
* 5\+ years of work experience as a Product Manager
* Experience leading cross\-functional initiatives
* Experience defining 1\-2 year product strategies, and working on associated roadmaps.
* Demonstrated advocacy of the needs of our customers including end\-users (viewers \&amp; creators) and advertisers.
* Run product experiments with in\-depth product performance analysis.
* Translated your product ideas into expected impact.
**PREFERRED QUALIFICATIONS**
----------------------------
* Experience in building and driving adoption of new tools
* Experience working on new ad demand channels
* Experience working on innovative ad supply generation initiatives including new formats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$136,100/year in our lowest geographic market up to $235,200/year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24">
      <c r="A24" t="inlineStr">
        <is>
          <t>in-39b7894f5a419cd2</t>
        </is>
      </c>
      <c r="B24" t="inlineStr">
        <is>
          <t>Senior Product Manager, Ads</t>
        </is>
      </c>
      <c r="C24" t="inlineStr">
        <is>
          <t>Amazon.com</t>
        </is>
      </c>
      <c r="D24" t="inlineStr">
        <is>
          <t>indeed</t>
        </is>
      </c>
      <c r="E24">
        <f>HYPERLINK("https://www.indeed.com/viewjob?jk=39b7894f5a419cd2", "https://www.indeed.com/viewjob?jk=39b7894f5a419cd2")</f>
        <v/>
      </c>
      <c r="F24">
        <f>HYPERLINK("https://www.amazon.jobs/jobs/3137568/senior-product-manager-ads?cmpid=DA_INAD200785B", "https://www.amazon.jobs/jobs/3137568/senior-product-manager-ads?cmpid=DA_INAD200785B")</f>
        <v/>
      </c>
      <c r="G24" t="inlineStr">
        <is>
          <t>San Francisco, CA, US</t>
        </is>
      </c>
      <c r="H24" s="2" t="n">
        <v>45994</v>
      </c>
      <c r="I24"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The Twitch Ad Products team's goal is to help streamers earn money by connecting them with brands they authentically endorse and offering the best ad experiences for their communities. We are looking for a product leader who has experience leading product initiatives from concept to successful launch. The ideal candidate is a strong communicator with high levels of customer obsession, strong technical judgment, demonstrated ability to build scalable processes and products, and is an independent operator, experienced working across teams to deliver on behalf of customers.  
As a Sr. Product Manager on the Ad Products team, you’ll have an end\-to\-end ownership of the product(s), design, and technology required to ensure our end customers have a relevant and compliant Twitch advertising experience, reporting to the Director of Ad Products.  
You can work from Twitch’s headquarters in San Francisco, CA; or from one of our hub locations in Seattle, WA; Irvine, CA; or New York City, NY \- with West Coast (PST) working hours.  
You Will:  
* Lead the development and execution of a bold customer\-focused product strategy and vision for identity, addressability, and brand suitability; ensuring compliance with privacy and accessibility regulations
* Collaborate closely with cross\-functional teams, including engineering, science, policy, operations, and business stakeholders, to define and execute a product roadmap
* Work back from our customers by learning from their feedback, behavioral measurements, and other data sources to identify pain points and ensure we are building the right features over time.
* Monitor key performance indicators (KPIs) and analyze metrics to measure the impact of addressable inventory, identify areas for improvement, and drive optimization.
* Experience contributing to engineering discussions around technology decisions and strategy related to a product
* Collaborate with other teams at Twitch and Amazon to elevate our overall advertising experience.
* Own your launches by partnering with engineering, marketing and other teams to maximize the outcomes of your team's work.
Perks  
* Medical, Dental, Vision \&amp; Disability Insurance
* 401(k)
* Maternity \&amp; Parental Leave
* Flexible PTO
* Amazon Employee Discount
**BASIC QUALIFICATIONS**
------------------------
* Bachelor's degree
* 5\+ years of work experience as a Product Manager
* Experience leading cross\-functional initiatives
* Experience defining 1\-2 year product strategies, and working on associated roadmaps.
* Demonstrated advocacy of the needs of our customers including end\-users (viewers \&amp; creators) and advertisers.
* Run product experiments with in\-depth product performance analysis.
* Translated your product ideas into expected impact.
**PREFERRED QUALIFICATIONS**
----------------------------
* Experience in building and driving adoption of new tools
* Experience working on new ad demand channels
* Experience working on innovative ad supply generation initiatives including new formats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$136,100/year in our lowest geographic market up to $235,200/year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25">
      <c r="A25" t="inlineStr">
        <is>
          <t>in-286150a1fa7d0b39</t>
        </is>
      </c>
      <c r="B25" t="inlineStr">
        <is>
          <t>Senior Product Manager, Ads</t>
        </is>
      </c>
      <c r="C25" t="inlineStr">
        <is>
          <t>Amazon.com</t>
        </is>
      </c>
      <c r="D25" t="inlineStr">
        <is>
          <t>indeed</t>
        </is>
      </c>
      <c r="E25">
        <f>HYPERLINK("https://www.indeed.com/viewjob?jk=286150a1fa7d0b39", "https://www.indeed.com/viewjob?jk=286150a1fa7d0b39")</f>
        <v/>
      </c>
      <c r="F25">
        <f>HYPERLINK("https://www.amazon.jobs/jobs/3137569/senior-product-manager-ads?cmpid=DA_INAD200785B", "https://www.amazon.jobs/jobs/3137569/senior-product-manager-ads?cmpid=DA_INAD200785B")</f>
        <v/>
      </c>
      <c r="G25" t="inlineStr">
        <is>
          <t>San Francisco, CA, US</t>
        </is>
      </c>
      <c r="H25" s="2" t="n">
        <v>45994</v>
      </c>
      <c r="I25"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The Twitch Ad Products team's goal is to help streamers earn money by connecting them with brands they authentically endorse and offering the best ad experiences for their communities. We are looking for a product leader who has experience leading product initiatives from concept to successful launch. The ideal candidate is a strong communicator with high levels of customer obsession, strong technical judgment, demonstrated ability to build scalable processes and products, and is an independent operator, experienced working across teams to deliver on behalf of customers.  
As a Sr. Product Manager on the Ad Products team, you’ll have an end\-to\-end ownership of the product(s), design, and technology required to ensure our end customers have a relevant and compliant Twitch advertising experience, reporting to the Director of Ad Products.  
You can work from Twitch’s headquarters in San Francisco, CA; or from one of our hub locations in Seattle, WA; Irvine, CA; or New York City, NY \- with West Coast (PST) working hours.  
You Will:  
* Lead the development and execution of a bold customer\-focused product strategy and vision for identity, addressability, and brand suitability; ensuring compliance with privacy and accessibility regulations
* Collaborate closely with cross\-functional teams, including engineering, science, policy, operations, and business stakeholders, to define and execute a product roadmap
* Work back from our customers by learning from their feedback, behavioral measurements, and other data sources to identify pain points and ensure we are building the right features over time.
* Monitor key performance indicators (KPIs) and analyze metrics to measure the impact of addressable inventory, identify areas for improvement, and drive optimization.
* Experience contributing to engineering discussions around technology decisions and strategy related to a product
* Collaborate with other teams at Twitch and Amazon to elevate our overall advertising experience.
* Own your launches by partnering with engineering, marketing and other teams to maximize the outcomes of your team's work.
Perks  
* Medical, Dental, Vision \&amp; Disability Insurance
* 401(k)
* Maternity \&amp; Parental Leave
* Flexible PTO
* Amazon Employee Discount
**BASIC QUALIFICATIONS**
------------------------
* Bachelor's degree
* 5\+ years of work experience as a Product Manager
* Experience leading cross\-functional initiatives
* Experience defining 1\-2 year product strategies, and working on associated roadmaps.
* Demonstrated advocacy of the needs of our customers including end\-users (viewers \&amp; creators) and advertisers.
* Run product experiments with in\-depth product performance analysis.
* Translated your product ideas into expected impact.
**PREFERRED QUALIFICATIONS**
----------------------------
* Experience in building and driving adoption of new tools
* Experience working on new ad demand channels
* Experience working on innovative ad supply generation initiatives including new formats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$136,100/year in our lowest geographic market up to $235,200/year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26">
      <c r="A26" t="inlineStr">
        <is>
          <t>in-871ca69e4e9bc8a8</t>
        </is>
      </c>
      <c r="B26" t="inlineStr">
        <is>
          <t>Senior Product Manager, Ads</t>
        </is>
      </c>
      <c r="C26" t="inlineStr">
        <is>
          <t>Amazon.com</t>
        </is>
      </c>
      <c r="D26" t="inlineStr">
        <is>
          <t>indeed</t>
        </is>
      </c>
      <c r="E26">
        <f>HYPERLINK("https://www.indeed.com/viewjob?jk=871ca69e4e9bc8a8", "https://www.indeed.com/viewjob?jk=871ca69e4e9bc8a8")</f>
        <v/>
      </c>
      <c r="F26">
        <f>HYPERLINK("https://www.amazon.jobs/jobs/3137568/senior-product-manager-ads?cmpid=DA_INAD200785B", "https://www.amazon.jobs/jobs/3137568/senior-product-manager-ads?cmpid=DA_INAD200785B")</f>
        <v/>
      </c>
      <c r="G26" t="inlineStr">
        <is>
          <t>New York, NY, US</t>
        </is>
      </c>
      <c r="H26" s="2" t="n">
        <v>45994</v>
      </c>
      <c r="I26"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The Twitch Ad Products team's goal is to help streamers earn money by connecting them with brands they authentically endorse and offering the best ad experiences for their communities. We are looking for a product leader who has experience leading product initiatives from concept to successful launch. The ideal candidate is a strong communicator with high levels of customer obsession, strong technical judgment, demonstrated ability to build scalable processes and products, and is an independent operator, experienced working across teams to deliver on behalf of customers.  
As a Sr. Product Manager on the Ad Products team, you’ll have an end\-to\-end ownership of the product(s), design, and technology required to ensure our end customers have a relevant and compliant Twitch advertising experience, reporting to the Director of Ad Products.  
You can work from Twitch’s headquarters in San Francisco, CA; or from one of our hub locations in Seattle, WA; Irvine, CA; or New York City, NY \- with West Coast (PST) working hours.  
You Will:  
* Lead the development and execution of a bold customer\-focused product strategy and vision for identity, addressability, and brand suitability; ensuring compliance with privacy and accessibility regulations
* Collaborate closely with cross\-functional teams, including engineering, science, policy, operations, and business stakeholders, to define and execute a product roadmap
* Work back from our customers by learning from their feedback, behavioral measurements, and other data sources to identify pain points and ensure we are building the right features over time.
* Monitor key performance indicators (KPIs) and analyze metrics to measure the impact of addressable inventory, identify areas for improvement, and drive optimization.
* Experience contributing to engineering discussions around technology decisions and strategy related to a product
* Collaborate with other teams at Twitch and Amazon to elevate our overall advertising experience.
* Own your launches by partnering with engineering, marketing and other teams to maximize the outcomes of your team's work.
Perks  
* Medical, Dental, Vision \&amp; Disability Insurance
* 401(k)
* Maternity \&amp; Parental Leave
* Flexible PTO
* Amazon Employee Discount
**BASIC QUALIFICATIONS**
------------------------
* Bachelor's degree
* 5\+ years of work experience as a Product Manager
* Experience leading cross\-functional initiatives
* Experience defining 1\-2 year product strategies, and working on associated roadmaps.
* Demonstrated advocacy of the needs of our customers including end\-users (viewers \&amp; creators) and advertisers.
* Run product experiments with in\-depth product performance analysis.
* Translated your product ideas into expected impact.
**PREFERRED QUALIFICATIONS**
----------------------------
* Experience in building and driving adoption of new tools
* Experience working on new ad demand channels
* Experience working on innovative ad supply generation initiatives including new formats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$136,100/year in our lowest geographic market up to $235,200/year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27">
      <c r="A27" t="inlineStr">
        <is>
          <t>in-298077695e497845</t>
        </is>
      </c>
      <c r="B27" t="inlineStr">
        <is>
          <t>Senior Product Manager, Ads</t>
        </is>
      </c>
      <c r="C27" t="inlineStr">
        <is>
          <t>Amazon.com</t>
        </is>
      </c>
      <c r="D27" t="inlineStr">
        <is>
          <t>indeed</t>
        </is>
      </c>
      <c r="E27">
        <f>HYPERLINK("https://www.indeed.com/viewjob?jk=298077695e497845", "https://www.indeed.com/viewjob?jk=298077695e497845")</f>
        <v/>
      </c>
      <c r="F27">
        <f>HYPERLINK("https://www.amazon.jobs/jobs/3137569/senior-product-manager-ads?cmpid=DA_INAD200785B", "https://www.amazon.jobs/jobs/3137569/senior-product-manager-ads?cmpid=DA_INAD200785B")</f>
        <v/>
      </c>
      <c r="G27" t="inlineStr">
        <is>
          <t>Seattle, WA, US</t>
        </is>
      </c>
      <c r="H27" s="2" t="n">
        <v>45994</v>
      </c>
      <c r="I27"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The Twitch Ad Products team's goal is to help streamers earn money by connecting them with brands they authentically endorse and offering the best ad experiences for their communities. We are looking for a product leader who has experience leading product initiatives from concept to successful launch. The ideal candidate is a strong communicator with high levels of customer obsession, strong technical judgment, demonstrated ability to build scalable processes and products, and is an independent operator, experienced working across teams to deliver on behalf of customers.  
As a Sr. Product Manager on the Ad Products team, you’ll have an end\-to\-end ownership of the product(s), design, and technology required to ensure our end customers have a relevant and compliant Twitch advertising experience, reporting to the Director of Ad Products.  
You can work from Twitch’s headquarters in San Francisco, CA; or from one of our hub locations in Seattle, WA; Irvine, CA; or New York City, NY \- with West Coast (PST) working hours.  
You Will:  
* Lead the development and execution of a bold customer\-focused product strategy and vision for identity, addressability, and brand suitability; ensuring compliance with privacy and accessibility regulations
* Collaborate closely with cross\-functional teams, including engineering, science, policy, operations, and business stakeholders, to define and execute a product roadmap
* Work back from our customers by learning from their feedback, behavioral measurements, and other data sources to identify pain points and ensure we are building the right features over time.
* Monitor key performance indicators (KPIs) and analyze metrics to measure the impact of addressable inventory, identify areas for improvement, and drive optimization.
* Experience contributing to engineering discussions around technology decisions and strategy related to a product
* Collaborate with other teams at Twitch and Amazon to elevate our overall advertising experience.
* Own your launches by partnering with engineering, marketing and other teams to maximize the outcomes of your team's work.
Perks  
* Medical, Dental, Vision \&amp; Disability Insurance
* 401(k)
* Maternity \&amp; Parental Leave
* Flexible PTO
* Amazon Employee Discount
**BASIC QUALIFICATIONS**
------------------------
* Bachelor's degree
* 5\+ years of work experience as a Product Manager
* Experience leading cross\-functional initiatives
* Experience defining 1\-2 year product strategies, and working on associated roadmaps.
* Demonstrated advocacy of the needs of our customers including end\-users (viewers \&amp; creators) and advertisers.
* Run product experiments with in\-depth product performance analysis.
* Translated your product ideas into expected impact.
**PREFERRED QUALIFICATIONS**
----------------------------
* Experience in building and driving adoption of new tools
* Experience working on new ad demand channels
* Experience working on innovative ad supply generation initiatives including new formats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$136,100/year in our lowest geographic market up to $235,200/year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28">
      <c r="A28" t="inlineStr">
        <is>
          <t>in-5b50e823537246b1</t>
        </is>
      </c>
      <c r="B28" t="inlineStr">
        <is>
          <t>Senior Product Manager, Ads</t>
        </is>
      </c>
      <c r="C28" t="inlineStr">
        <is>
          <t>Amazon.com</t>
        </is>
      </c>
      <c r="D28" t="inlineStr">
        <is>
          <t>indeed</t>
        </is>
      </c>
      <c r="E28">
        <f>HYPERLINK("https://www.indeed.com/viewjob?jk=5b50e823537246b1", "https://www.indeed.com/viewjob?jk=5b50e823537246b1")</f>
        <v/>
      </c>
      <c r="F28">
        <f>HYPERLINK("https://www.amazon.jobs/jobs/3137568/senior-product-manager-ads?cmpid=DA_INAD200785B", "https://www.amazon.jobs/jobs/3137568/senior-product-manager-ads?cmpid=DA_INAD200785B")</f>
        <v/>
      </c>
      <c r="G28" t="inlineStr">
        <is>
          <t>Seattle, WA, US</t>
        </is>
      </c>
      <c r="H28" s="2" t="n">
        <v>45994</v>
      </c>
      <c r="I28"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The Twitch Ad Products team's goal is to help streamers earn money by connecting them with brands they authentically endorse and offering the best ad experiences for their communities. We are looking for a product leader who has experience leading product initiatives from concept to successful launch. The ideal candidate is a strong communicator with high levels of customer obsession, strong technical judgment, demonstrated ability to build scalable processes and products, and is an independent operator, experienced working across teams to deliver on behalf of customers.  
As a Sr. Product Manager on the Ad Products team, you’ll have an end\-to\-end ownership of the product(s), design, and technology required to ensure our end customers have a relevant and compliant Twitch advertising experience, reporting to the Director of Ad Products.  
You can work from Twitch’s headquarters in San Francisco, CA; or from one of our hub locations in Seattle, WA; Irvine, CA; or New York City, NY \- with West Coast (PST) working hours.  
You Will:  
* Lead the development and execution of a bold customer\-focused product strategy and vision for identity, addressability, and brand suitability; ensuring compliance with privacy and accessibility regulations
* Collaborate closely with cross\-functional teams, including engineering, science, policy, operations, and business stakeholders, to define and execute a product roadmap
* Work back from our customers by learning from their feedback, behavioral measurements, and other data sources to identify pain points and ensure we are building the right features over time.
* Monitor key performance indicators (KPIs) and analyze metrics to measure the impact of addressable inventory, identify areas for improvement, and drive optimization.
* Experience contributing to engineering discussions around technology decisions and strategy related to a product
* Collaborate with other teams at Twitch and Amazon to elevate our overall advertising experience.
* Own your launches by partnering with engineering, marketing and other teams to maximize the outcomes of your team's work.
Perks  
* Medical, Dental, Vision \&amp; Disability Insurance
* 401(k)
* Maternity \&amp; Parental Leave
* Flexible PTO
* Amazon Employee Discount
**BASIC QUALIFICATIONS**
------------------------
* Bachelor's degree
* 5\+ years of work experience as a Product Manager
* Experience leading cross\-functional initiatives
* Experience defining 1\-2 year product strategies, and working on associated roadmaps.
* Demonstrated advocacy of the needs of our customers including end\-users (viewers \&amp; creators) and advertisers.
* Run product experiments with in\-depth product performance analysis.
* Translated your product ideas into expected impact.
**PREFERRED QUALIFICATIONS**
----------------------------
* Experience in building and driving adoption of new tools
* Experience working on new ad demand channels
* Experience working on innovative ad supply generation initiatives including new formats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$136,100/year in our lowest geographic market up to $235,200/year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29">
      <c r="A29" t="inlineStr">
        <is>
          <t>in-caee2970ba53f79a</t>
        </is>
      </c>
      <c r="B29" t="inlineStr">
        <is>
          <t>Senior Product Manager, Ads</t>
        </is>
      </c>
      <c r="C29" t="inlineStr">
        <is>
          <t>Amazon.com</t>
        </is>
      </c>
      <c r="D29" t="inlineStr">
        <is>
          <t>indeed</t>
        </is>
      </c>
      <c r="E29">
        <f>HYPERLINK("https://www.indeed.com/viewjob?jk=caee2970ba53f79a", "https://www.indeed.com/viewjob?jk=caee2970ba53f79a")</f>
        <v/>
      </c>
      <c r="F29">
        <f>HYPERLINK("https://www.amazon.jobs/jobs/3137569/senior-product-manager-ads?cmpid=DA_INAD200785B", "https://www.amazon.jobs/jobs/3137569/senior-product-manager-ads?cmpid=DA_INAD200785B")</f>
        <v/>
      </c>
      <c r="G29" t="inlineStr">
        <is>
          <t>New York, NY, US</t>
        </is>
      </c>
      <c r="H29" s="2" t="n">
        <v>45994</v>
      </c>
      <c r="I29"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The Twitch Ad Products team's goal is to help streamers earn money by connecting them with brands they authentically endorse and offering the best ad experiences for their communities. We are looking for a product leader who has experience leading product initiatives from concept to successful launch. The ideal candidate is a strong communicator with high levels of customer obsession, strong technical judgment, demonstrated ability to build scalable processes and products, and is an independent operator, experienced working across teams to deliver on behalf of customers.  
As a Sr. Product Manager on the Ad Products team, you’ll have an end\-to\-end ownership of the product(s), design, and technology required to ensure our end customers have a relevant and compliant Twitch advertising experience, reporting to the Director of Ad Products.  
You can work from Twitch’s headquarters in San Francisco, CA; or from one of our hub locations in Seattle, WA; Irvine, CA; or New York City, NY \- with West Coast (PST) working hours.  
You Will:  
* Lead the development and execution of a bold customer\-focused product strategy and vision for identity, addressability, and brand suitability; ensuring compliance with privacy and accessibility regulations
* Collaborate closely with cross\-functional teams, including engineering, science, policy, operations, and business stakeholders, to define and execute a product roadmap
* Work back from our customers by learning from their feedback, behavioral measurements, and other data sources to identify pain points and ensure we are building the right features over time.
* Monitor key performance indicators (KPIs) and analyze metrics to measure the impact of addressable inventory, identify areas for improvement, and drive optimization.
* Experience contributing to engineering discussions around technology decisions and strategy related to a product
* Collaborate with other teams at Twitch and Amazon to elevate our overall advertising experience.
* Own your launches by partnering with engineering, marketing and other teams to maximize the outcomes of your team's work.
Perks  
* Medical, Dental, Vision \&amp; Disability Insurance
* 401(k)
* Maternity \&amp; Parental Leave
* Flexible PTO
* Amazon Employee Discount
**BASIC QUALIFICATIONS**
------------------------
* Bachelor's degree
* 5\+ years of work experience as a Product Manager
* Experience leading cross\-functional initiatives
* Experience defining 1\-2 year product strategies, and working on associated roadmaps.
* Demonstrated advocacy of the needs of our customers including end\-users (viewers \&amp; creators) and advertisers.
* Run product experiments with in\-depth product performance analysis.
* Translated your product ideas into expected impact.
**PREFERRED QUALIFICATIONS**
----------------------------
* Experience in building and driving adoption of new tools
* Experience working on new ad demand channels
* Experience working on innovative ad supply generation initiatives including new formats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$136,100/year in our lowest geographic market up to $235,200/year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30">
      <c r="A30" t="inlineStr">
        <is>
          <t>in-b25a51a903635529</t>
        </is>
      </c>
      <c r="B30" t="inlineStr">
        <is>
          <t>Senior Product Manager, Ads</t>
        </is>
      </c>
      <c r="C30" t="inlineStr">
        <is>
          <t>Amazon.com</t>
        </is>
      </c>
      <c r="D30" t="inlineStr">
        <is>
          <t>indeed</t>
        </is>
      </c>
      <c r="E30">
        <f>HYPERLINK("https://www.indeed.com/viewjob?jk=b25a51a903635529", "https://www.indeed.com/viewjob?jk=b25a51a903635529")</f>
        <v/>
      </c>
      <c r="F30">
        <f>HYPERLINK("https://www.amazon.jobs/jobs/3137569/senior-product-manager-ads?cmpid=DA_INAD200785B", "https://www.amazon.jobs/jobs/3137569/senior-product-manager-ads?cmpid=DA_INAD200785B")</f>
        <v/>
      </c>
      <c r="G30" t="inlineStr">
        <is>
          <t>Irvine, CA, US</t>
        </is>
      </c>
      <c r="H30" s="2" t="n">
        <v>45994</v>
      </c>
      <c r="I30"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The Twitch Ad Products team's goal is to help streamers earn money by connecting them with brands they authentically endorse and offering the best ad experiences for their communities. We are looking for a product leader who has experience leading product initiatives from concept to successful launch. The ideal candidate is a strong communicator with high levels of customer obsession, strong technical judgment, demonstrated ability to build scalable processes and products, and is an independent operator, experienced working across teams to deliver on behalf of customers.  
As a Sr. Product Manager on the Ad Products team, you’ll have an end\-to\-end ownership of the product(s), design, and technology required to ensure our end customers have a relevant and compliant Twitch advertising experience, reporting to the Director of Ad Products.  
You can work from Twitch’s headquarters in San Francisco, CA; or from one of our hub locations in Seattle, WA; Irvine, CA; or New York City, NY \- with West Coast (PST) working hours.  
You Will:  
* Lead the development and execution of a bold customer\-focused product strategy and vision for identity, addressability, and brand suitability; ensuring compliance with privacy and accessibility regulations
* Collaborate closely with cross\-functional teams, including engineering, science, policy, operations, and business stakeholders, to define and execute a product roadmap
* Work back from our customers by learning from their feedback, behavioral measurements, and other data sources to identify pain points and ensure we are building the right features over time.
* Monitor key performance indicators (KPIs) and analyze metrics to measure the impact of addressable inventory, identify areas for improvement, and drive optimization.
* Experience contributing to engineering discussions around technology decisions and strategy related to a product
* Collaborate with other teams at Twitch and Amazon to elevate our overall advertising experience.
* Own your launches by partnering with engineering, marketing and other teams to maximize the outcomes of your team's work.
Perks  
* Medical, Dental, Vision \&amp; Disability Insurance
* 401(k)
* Maternity \&amp; Parental Leave
* Flexible PTO
* Amazon Employee Discount
**BASIC QUALIFICATIONS**
------------------------
* Bachelor's degree
* 5\+ years of work experience as a Product Manager
* Experience leading cross\-functional initiatives
* Experience defining 1\-2 year product strategies, and working on associated roadmaps.
* Demonstrated advocacy of the needs of our customers including end\-users (viewers \&amp; creators) and advertisers.
* Run product experiments with in\-depth product performance analysis.
* Translated your product ideas into expected impact.
**PREFERRED QUALIFICATIONS**
----------------------------
* Experience in building and driving adoption of new tools
* Experience working on new ad demand channels
* Experience working on innovative ad supply generation initiatives including new formats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$136,100/year in our lowest geographic market up to $235,200/year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31">
      <c r="A31" t="inlineStr">
        <is>
          <t>in-784e3f27e708981f</t>
        </is>
      </c>
      <c r="B31" t="inlineStr">
        <is>
          <t>Senior Product Manager, Ads</t>
        </is>
      </c>
      <c r="C31" t="inlineStr">
        <is>
          <t>Amazon.com</t>
        </is>
      </c>
      <c r="D31" t="inlineStr">
        <is>
          <t>indeed</t>
        </is>
      </c>
      <c r="E31">
        <f>HYPERLINK("https://www.indeed.com/viewjob?jk=784e3f27e708981f", "https://www.indeed.com/viewjob?jk=784e3f27e708981f")</f>
        <v/>
      </c>
      <c r="F31">
        <f>HYPERLINK("https://www.amazon.jobs/jobs/3137569/senior-product-manager-ads?cmpid=DA_INAD200785B", "https://www.amazon.jobs/jobs/3137569/senior-product-manager-ads?cmpid=DA_INAD200785B")</f>
        <v/>
      </c>
      <c r="G31" t="inlineStr">
        <is>
          <t>Los Angeles, CA, US</t>
        </is>
      </c>
      <c r="H31" s="2" t="n">
        <v>45994</v>
      </c>
      <c r="I31"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The Twitch Ad Products team's goal is to help streamers earn money by connecting them with brands they authentically endorse and offering the best ad experiences for their communities. We are looking for a product leader who has experience leading product initiatives from concept to successful launch. The ideal candidate is a strong communicator with high levels of customer obsession, strong technical judgment, demonstrated ability to build scalable processes and products, and is an independent operator, experienced working across teams to deliver on behalf of customers.  
As a Sr. Product Manager on the Ad Products team, you’ll have an end\-to\-end ownership of the product(s), design, and technology required to ensure our end customers have a relevant and compliant Twitch advertising experience, reporting to the Director of Ad Products.  
You can work from Twitch’s headquarters in San Francisco, CA; or from one of our hub locations in Seattle, WA; Irvine, CA; or New York City, NY \- with West Coast (PST) working hours.  
You Will:  
* Lead the development and execution of a bold customer\-focused product strategy and vision for identity, addressability, and brand suitability; ensuring compliance with privacy and accessibility regulations
* Collaborate closely with cross\-functional teams, including engineering, science, policy, operations, and business stakeholders, to define and execute a product roadmap
* Work back from our customers by learning from their feedback, behavioral measurements, and other data sources to identify pain points and ensure we are building the right features over time.
* Monitor key performance indicators (KPIs) and analyze metrics to measure the impact of addressable inventory, identify areas for improvement, and drive optimization.
* Experience contributing to engineering discussions around technology decisions and strategy related to a product
* Collaborate with other teams at Twitch and Amazon to elevate our overall advertising experience.
* Own your launches by partnering with engineering, marketing and other teams to maximize the outcomes of your team's work.
Perks  
* Medical, Dental, Vision \&amp; Disability Insurance
* 401(k)
* Maternity \&amp; Parental Leave
* Flexible PTO
* Amazon Employee Discount
**BASIC QUALIFICATIONS**
------------------------
* Bachelor's degree
* 5\+ years of work experience as a Product Manager
* Experience leading cross\-functional initiatives
* Experience defining 1\-2 year product strategies, and working on associated roadmaps.
* Demonstrated advocacy of the needs of our customers including end\-users (viewers \&amp; creators) and advertisers.
* Run product experiments with in\-depth product performance analysis.
* Translated your product ideas into expected impact.
**PREFERRED QUALIFICATIONS**
----------------------------
* Experience in building and driving adoption of new tools
* Experience working on new ad demand channels
* Experience working on innovative ad supply generation initiatives including new formats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$136,100/year in our lowest geographic market up to $235,200/year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32">
      <c r="A32" t="inlineStr">
        <is>
          <t>in-b28fc3fe3468a434</t>
        </is>
      </c>
      <c r="B32" t="inlineStr">
        <is>
          <t>Sr. Product Manager</t>
        </is>
      </c>
      <c r="C32" t="inlineStr">
        <is>
          <t>Amazon.com</t>
        </is>
      </c>
      <c r="D32" t="inlineStr">
        <is>
          <t>indeed</t>
        </is>
      </c>
      <c r="E32">
        <f>HYPERLINK("https://www.indeed.com/viewjob?jk=b28fc3fe3468a434", "https://www.indeed.com/viewjob?jk=b28fc3fe3468a434")</f>
        <v/>
      </c>
      <c r="F32">
        <f>HYPERLINK("https://www.amazon.jobs/jobs/3129468/sr-product-manager?cmpid=DA_INAD200785B", "https://www.amazon.jobs/jobs/3129468/sr-product-manager?cmpid=DA_INAD200785B")</f>
        <v/>
      </c>
      <c r="G32" t="inlineStr">
        <is>
          <t>New York, NY, US</t>
        </is>
      </c>
      <c r="H32" s="2" t="n">
        <v>45979</v>
      </c>
      <c r="I32"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We're seeking a Senior Product Manager to lead our onboarding and safety initiatives, making account management a strategic tool for platform growth while maintaining user safety and trust. You'll work at the intersection of user experience, regulatory compliance, and community health to protect our most vulnerable users while enabling seamless platform access for millions of creators and viewers worldwide.  
This role sits within our Health organization and requires deep expertise in trust \&amp; safety product development, including age assurance, parental controls, and complex compliance requirements. You'll balance user friction with necessary protections, ensuring Twitch remains a safe space for all communities.  
You can be based out of one of the Twitch offices including San Francisco, Seattle, Los Angeles, Irvine, or New York City.  
You Will  
* Own and develop account\-related features that drive both growth and user safety across all user segments
* Design and implement complex user flows for age assurance, parental controls, and passwordless authentication experiences
* Ensure compliance with global safety and health regulations including COPPA, GDPR\-Age, UK Age Appropriate Design Code, and emerging legislation
* Lead strategy for age verification and minor protection features, setting the standard for how Twitch protects young users
* Balance user friction with necessary data collection to optimize for both safety outcomes and platform growth
* Drive platform health through strategic account management decisions that impact millions of users
* Partner closely with community product, design, engineering, legal, policy, trust \&amp; safety, and data teams to deliver comprehensive solutions
* Translate complex regulatory requirements into actionable product requirements and elegant user experiences
Perks  
* Medical, Dental, Vision \&amp; Disability Insurance
* 401(k)
* Maternity \&amp; Parental Leave
* Flexible PTO
* Amazon Employee Discount
**BASIC QUALIFICATIONS**
------------------------
* Experience communicating effectively with senior leadership
* 8\+ years of product management experience, with at least 4 years focusing on trust \&amp; safety, community health, or user protection products at consumer platforms (we count time as engineer as PM time)
* Proven track record developing authentication systems, content moderation tools, user protection features, and/or community health products at scale
* Deep understanding of online safety regulations and compliance requirements across multiple jurisdictions
* Demonstrated ability to balance competing priorities: platform growth, user trust, safety needs, and regulatory compliance
* Experience managing complex multi\-stakeholder initiatives involving policy, legal, trust \&amp; safety experts, and community health teams
* Strong understanding of nuanced user behavior, community standards, and varying safety needs across different user segments and age groups
**PREFERRED QUALIFICATIONS**
----------------------------
* MS/MA or MBA in a technology or business related field
* Background in authentication systems or identity verification
* Hands\-on experience from major consumer platforms tackling age assurance or minor protection at scale
* Experience implementing COPPA, GDPR\-Age, or other child safety compliance frameworks
* Proficiency in SQL and data\-driven decision making
* Previous work in gaming, social media, or live streaming platforms
* Experience with customer experience (CX) and creator tools (CT) teams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$136,100/year in our lowest geographic market up to $235,200/year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33">
      <c r="A33" t="inlineStr">
        <is>
          <t>in-27b15e32287c102c</t>
        </is>
      </c>
      <c r="B33" t="inlineStr">
        <is>
          <t>Sr. Product Manager</t>
        </is>
      </c>
      <c r="C33" t="inlineStr">
        <is>
          <t>Amazon.com</t>
        </is>
      </c>
      <c r="D33" t="inlineStr">
        <is>
          <t>indeed</t>
        </is>
      </c>
      <c r="E33">
        <f>HYPERLINK("https://www.indeed.com/viewjob?jk=27b15e32287c102c", "https://www.indeed.com/viewjob?jk=27b15e32287c102c")</f>
        <v/>
      </c>
      <c r="F33">
        <f>HYPERLINK("https://www.amazon.jobs/jobs/3129468/sr-product-manager?cmpid=DA_INAD200785B", "https://www.amazon.jobs/jobs/3129468/sr-product-manager?cmpid=DA_INAD200785B")</f>
        <v/>
      </c>
      <c r="G33" t="inlineStr">
        <is>
          <t>San Francisco, CA, US</t>
        </is>
      </c>
      <c r="H33" s="2" t="n">
        <v>45979</v>
      </c>
      <c r="I33"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We're seeking a Senior Product Manager to lead our onboarding and safety initiatives, making account management a strategic tool for platform growth while maintaining user safety and trust. You'll work at the intersection of user experience, regulatory compliance, and community health to protect our most vulnerable users while enabling seamless platform access for millions of creators and viewers worldwide.  
This role sits within our Health organization and requires deep expertise in trust \&amp; safety product development, including age assurance, parental controls, and complex compliance requirements. You'll balance user friction with necessary protections, ensuring Twitch remains a safe space for all communities.  
You can be based out of one of the Twitch offices including San Francisco, Seattle, Los Angeles, Irvine, or New York City.  
You Will  
* Own and develop account\-related features that drive both growth and user safety across all user segments
* Design and implement complex user flows for age assurance, parental controls, and passwordless authentication experiences
* Ensure compliance with global safety and health regulations including COPPA, GDPR\-Age, UK Age Appropriate Design Code, and emerging legislation
* Lead strategy for age verification and minor protection features, setting the standard for how Twitch protects young users
* Balance user friction with necessary data collection to optimize for both safety outcomes and platform growth
* Drive platform health through strategic account management decisions that impact millions of users
* Partner closely with community product, design, engineering, legal, policy, trust \&amp; safety, and data teams to deliver comprehensive solutions
* Translate complex regulatory requirements into actionable product requirements and elegant user experiences
Perks  
* Medical, Dental, Vision \&amp; Disability Insurance
* 401(k)
* Maternity \&amp; Parental Leave
* Flexible PTO
* Amazon Employee Discount
**BASIC QUALIFICATIONS**
------------------------
* Experience communicating effectively with senior leadership
* 8\+ years of product management experience, with at least 4 years focusing on trust \&amp; safety, community health, or user protection products at consumer platforms (we count time as engineer as PM time)
* Proven track record developing authentication systems, content moderation tools, user protection features, and/or community health products at scale
* Deep understanding of online safety regulations and compliance requirements across multiple jurisdictions
* Demonstrated ability to balance competing priorities: platform growth, user trust, safety needs, and regulatory compliance
* Experience managing complex multi\-stakeholder initiatives involving policy, legal, trust \&amp; safety experts, and community health teams
* Strong understanding of nuanced user behavior, community standards, and varying safety needs across different user segments and age groups
**PREFERRED QUALIFICATIONS**
----------------------------
* MS/MA or MBA in a technology or business related field
* Background in authentication systems or identity verification
* Hands\-on experience from major consumer platforms tackling age assurance or minor protection at scale
* Experience implementing COPPA, GDPR\-Age, or other child safety compliance frameworks
* Proficiency in SQL and data\-driven decision making
* Previous work in gaming, social media, or live streaming platforms
* Experience with customer experience (CX) and creator tools (CT) teams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$136,100/year in our lowest geographic market up to $235,200/year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34">
      <c r="A34" t="inlineStr">
        <is>
          <t>in-8d0efe8bbc321297</t>
        </is>
      </c>
      <c r="B34" t="inlineStr">
        <is>
          <t>Sr. Product Manager</t>
        </is>
      </c>
      <c r="C34" t="inlineStr">
        <is>
          <t>Amazon.com</t>
        </is>
      </c>
      <c r="D34" t="inlineStr">
        <is>
          <t>indeed</t>
        </is>
      </c>
      <c r="E34">
        <f>HYPERLINK("https://www.indeed.com/viewjob?jk=8d0efe8bbc321297", "https://www.indeed.com/viewjob?jk=8d0efe8bbc321297")</f>
        <v/>
      </c>
      <c r="F34">
        <f>HYPERLINK("https://www.amazon.jobs/jobs/3129468/sr-product-manager?cmpid=DA_INAD200785B", "https://www.amazon.jobs/jobs/3129468/sr-product-manager?cmpid=DA_INAD200785B")</f>
        <v/>
      </c>
      <c r="G34" t="inlineStr">
        <is>
          <t>Los Angeles, CA, US</t>
        </is>
      </c>
      <c r="H34" s="2" t="n">
        <v>45979</v>
      </c>
      <c r="I34"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We're seeking a Senior Product Manager to lead our onboarding and safety initiatives, making account management a strategic tool for platform growth while maintaining user safety and trust. You'll work at the intersection of user experience, regulatory compliance, and community health to protect our most vulnerable users while enabling seamless platform access for millions of creators and viewers worldwide.  
This role sits within our Health organization and requires deep expertise in trust \&amp; safety product development, including age assurance, parental controls, and complex compliance requirements. You'll balance user friction with necessary protections, ensuring Twitch remains a safe space for all communities.  
You can be based out of one of the Twitch offices including San Francisco, Seattle, Los Angeles, Irvine, or New York City.  
You Will  
* Own and develop account\-related features that drive both growth and user safety across all user segments
* Design and implement complex user flows for age assurance, parental controls, and passwordless authentication experiences
* Ensure compliance with global safety and health regulations including COPPA, GDPR\-Age, UK Age Appropriate Design Code, and emerging legislation
* Lead strategy for age verification and minor protection features, setting the standard for how Twitch protects young users
* Balance user friction with necessary data collection to optimize for both safety outcomes and platform growth
* Drive platform health through strategic account management decisions that impact millions of users
* Partner closely with community product, design, engineering, legal, policy, trust \&amp; safety, and data teams to deliver comprehensive solutions
* Translate complex regulatory requirements into actionable product requirements and elegant user experiences
Perks  
* Medical, Dental, Vision \&amp; Disability Insurance
* 401(k)
* Maternity \&amp; Parental Leave
* Flexible PTO
* Amazon Employee Discount
**BASIC QUALIFICATIONS**
------------------------
* Experience communicating effectively with senior leadership
* 8\+ years of product management experience, with at least 4 years focusing on trust \&amp; safety, community health, or user protection products at consumer platforms (we count time as engineer as PM time)
* Proven track record developing authentication systems, content moderation tools, user protection features, and/or community health products at scale
* Deep understanding of online safety regulations and compliance requirements across multiple jurisdictions
* Demonstrated ability to balance competing priorities: platform growth, user trust, safety needs, and regulatory compliance
* Experience managing complex multi\-stakeholder initiatives involving policy, legal, trust \&amp; safety experts, and community health teams
* Strong understanding of nuanced user behavior, community standards, and varying safety needs across different user segments and age groups
**PREFERRED QUALIFICATIONS**
----------------------------
* MS/MA or MBA in a technology or business related field
* Background in authentication systems or identity verification
* Hands\-on experience from major consumer platforms tackling age assurance or minor protection at scale
* Experience implementing COPPA, GDPR\-Age, or other child safety compliance frameworks
* Proficiency in SQL and data\-driven decision making
* Previous work in gaming, social media, or live streaming platforms
* Experience with customer experience (CX) and creator tools (CT) teams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$136,100/year in our lowest geographic market up to $235,200/year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35">
      <c r="A35" t="inlineStr">
        <is>
          <t>in-735abc9d75a3b763</t>
        </is>
      </c>
      <c r="B35" t="inlineStr">
        <is>
          <t>Sr. Product Manager</t>
        </is>
      </c>
      <c r="C35" t="inlineStr">
        <is>
          <t>Amazon.com</t>
        </is>
      </c>
      <c r="D35" t="inlineStr">
        <is>
          <t>indeed</t>
        </is>
      </c>
      <c r="E35">
        <f>HYPERLINK("https://www.indeed.com/viewjob?jk=735abc9d75a3b763", "https://www.indeed.com/viewjob?jk=735abc9d75a3b763")</f>
        <v/>
      </c>
      <c r="F35">
        <f>HYPERLINK("https://www.amazon.jobs/jobs/3129468/sr-product-manager?cmpid=DA_INAD200785B", "https://www.amazon.jobs/jobs/3129468/sr-product-manager?cmpid=DA_INAD200785B")</f>
        <v/>
      </c>
      <c r="G35" t="inlineStr">
        <is>
          <t>Irvine, CA, US</t>
        </is>
      </c>
      <c r="H35" s="2" t="n">
        <v>45979</v>
      </c>
      <c r="I35"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We're seeking a Senior Product Manager to lead our onboarding and safety initiatives, making account management a strategic tool for platform growth while maintaining user safety and trust. You'll work at the intersection of user experience, regulatory compliance, and community health to protect our most vulnerable users while enabling seamless platform access for millions of creators and viewers worldwide.  
This role sits within our Health organization and requires deep expertise in trust \&amp; safety product development, including age assurance, parental controls, and complex compliance requirements. You'll balance user friction with necessary protections, ensuring Twitch remains a safe space for all communities.  
You can be based out of one of the Twitch offices including San Francisco, Seattle, Los Angeles, Irvine, or New York City.  
You Will  
* Own and develop account\-related features that drive both growth and user safety across all user segments
* Design and implement complex user flows for age assurance, parental controls, and passwordless authentication experiences
* Ensure compliance with global safety and health regulations including COPPA, GDPR\-Age, UK Age Appropriate Design Code, and emerging legislation
* Lead strategy for age verification and minor protection features, setting the standard for how Twitch protects young users
* Balance user friction with necessary data collection to optimize for both safety outcomes and platform growth
* Drive platform health through strategic account management decisions that impact millions of users
* Partner closely with community product, design, engineering, legal, policy, trust \&amp; safety, and data teams to deliver comprehensive solutions
* Translate complex regulatory requirements into actionable product requirements and elegant user experiences
Perks  
* Medical, Dental, Vision \&amp; Disability Insurance
* 401(k)
* Maternity \&amp; Parental Leave
* Flexible PTO
* Amazon Employee Discount
**BASIC QUALIFICATIONS**
------------------------
* Experience communicating effectively with senior leadership
* 8\+ years of product management experience, with at least 4 years focusing on trust \&amp; safety, community health, or user protection products at consumer platforms (we count time as engineer as PM time)
* Proven track record developing authentication systems, content moderation tools, user protection features, and/or community health products at scale
* Deep understanding of online safety regulations and compliance requirements across multiple jurisdictions
* Demonstrated ability to balance competing priorities: platform growth, user trust, safety needs, and regulatory compliance
* Experience managing complex multi\-stakeholder initiatives involving policy, legal, trust \&amp; safety experts, and community health teams
* Strong understanding of nuanced user behavior, community standards, and varying safety needs across different user segments and age groups
**PREFERRED QUALIFICATIONS**
----------------------------
* MS/MA or MBA in a technology or business related field
* Background in authentication systems or identity verification
* Hands\-on experience from major consumer platforms tackling age assurance or minor protection at scale
* Experience implementing COPPA, GDPR\-Age, or other child safety compliance frameworks
* Proficiency in SQL and data\-driven decision making
* Previous work in gaming, social media, or live streaming platforms
* Experience with customer experience (CX) and creator tools (CT) teams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$136,100/year in our lowest geographic market up to $235,200/year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36">
      <c r="A36" t="inlineStr">
        <is>
          <t>in-eb62e7ab0128c7fe</t>
        </is>
      </c>
      <c r="B36" t="inlineStr">
        <is>
          <t>Sr. Product Manager</t>
        </is>
      </c>
      <c r="C36" t="inlineStr">
        <is>
          <t>Amazon.com</t>
        </is>
      </c>
      <c r="D36" t="inlineStr">
        <is>
          <t>indeed</t>
        </is>
      </c>
      <c r="E36">
        <f>HYPERLINK("https://www.indeed.com/viewjob?jk=eb62e7ab0128c7fe", "https://www.indeed.com/viewjob?jk=eb62e7ab0128c7fe")</f>
        <v/>
      </c>
      <c r="F36">
        <f>HYPERLINK("https://www.amazon.jobs/jobs/3129468/sr-product-manager?cmpid=DA_INAD200785B", "https://www.amazon.jobs/jobs/3129468/sr-product-manager?cmpid=DA_INAD200785B")</f>
        <v/>
      </c>
      <c r="G36" t="inlineStr">
        <is>
          <t>Seattle, WA, US</t>
        </is>
      </c>
      <c r="H36" s="2" t="n">
        <v>45979</v>
      </c>
      <c r="I36"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We're seeking a Senior Product Manager to lead our onboarding and safety initiatives, making account management a strategic tool for platform growth while maintaining user safety and trust. You'll work at the intersection of user experience, regulatory compliance, and community health to protect our most vulnerable users while enabling seamless platform access for millions of creators and viewers worldwide.  
This role sits within our Health organization and requires deep expertise in trust \&amp; safety product development, including age assurance, parental controls, and complex compliance requirements. You'll balance user friction with necessary protections, ensuring Twitch remains a safe space for all communities.  
You can be based out of one of the Twitch offices including San Francisco, Seattle, Los Angeles, Irvine, or New York City.  
You Will  
* Own and develop account\-related features that drive both growth and user safety across all user segments
* Design and implement complex user flows for age assurance, parental controls, and passwordless authentication experiences
* Ensure compliance with global safety and health regulations including COPPA, GDPR\-Age, UK Age Appropriate Design Code, and emerging legislation
* Lead strategy for age verification and minor protection features, setting the standard for how Twitch protects young users
* Balance user friction with necessary data collection to optimize for both safety outcomes and platform growth
* Drive platform health through strategic account management decisions that impact millions of users
* Partner closely with community product, design, engineering, legal, policy, trust \&amp; safety, and data teams to deliver comprehensive solutions
* Translate complex regulatory requirements into actionable product requirements and elegant user experiences
Perks  
* Medical, Dental, Vision \&amp; Disability Insurance
* 401(k)
* Maternity \&amp; Parental Leave
* Flexible PTO
* Amazon Employee Discount
**BASIC QUALIFICATIONS**
------------------------
* Experience communicating effectively with senior leadership
* 8\+ years of product management experience, with at least 4 years focusing on trust \&amp; safety, community health, or user protection products at consumer platforms (we count time as engineer as PM time)
* Proven track record developing authentication systems, content moderation tools, user protection features, and/or community health products at scale
* Deep understanding of online safety regulations and compliance requirements across multiple jurisdictions
* Demonstrated ability to balance competing priorities: platform growth, user trust, safety needs, and regulatory compliance
* Experience managing complex multi\-stakeholder initiatives involving policy, legal, trust \&amp; safety experts, and community health teams
* Strong understanding of nuanced user behavior, community standards, and varying safety needs across different user segments and age groups
**PREFERRED QUALIFICATIONS**
----------------------------
* MS/MA or MBA in a technology or business related field
* Background in authentication systems or identity verification
* Hands\-on experience from major consumer platforms tackling age assurance or minor protection at scale
* Experience implementing COPPA, GDPR\-Age, or other child safety compliance frameworks
* Proficiency in SQL and data\-driven decision making
* Previous work in gaming, social media, or live streaming platforms
* Experience with customer experience (CX) and creator tools (CT) teams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$136,100/year in our lowest geographic market up to $235,200/year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37">
      <c r="A37" t="inlineStr">
        <is>
          <t>in-f9b21268e6f3b71a</t>
        </is>
      </c>
      <c r="B37" t="inlineStr">
        <is>
          <t>Program Manager, Executive Content and Programs, Global Executive Marketing</t>
        </is>
      </c>
      <c r="C37" t="inlineStr">
        <is>
          <t>Amazon Web Services</t>
        </is>
      </c>
      <c r="D37" t="inlineStr">
        <is>
          <t>indeed</t>
        </is>
      </c>
      <c r="E37">
        <f>HYPERLINK("https://www.indeed.com/viewjob?jk=f9b21268e6f3b71a", "https://www.indeed.com/viewjob?jk=f9b21268e6f3b71a")</f>
        <v/>
      </c>
      <c r="F37">
        <f>HYPERLINK("https://www.amazon.jobs/jobs/3125520/program-manager-executive-content-and-programs-global-executive-marketing?cmpid=DA_INAD200785B", "https://www.amazon.jobs/jobs/3125520/program-manager-executive-content-and-programs-global-executive-marketing?cmpid=DA_INAD200785B")</f>
        <v/>
      </c>
      <c r="G37" t="inlineStr">
        <is>
          <t>Seattle, WA, US</t>
        </is>
      </c>
      <c r="H37" s="2" t="n">
        <v>45970</v>
      </c>
      <c r="I37" t="inlineStr">
        <is>
          <t>**DESCRIPTION**
---------------
Global Executive Marketing (GEM) creates 1:1 and 1:many engagements between AWS leaders and executive customers through content, messaging, and digital and in\-person experiences. As part of this organization, you'll execute content operations that help forge and strengthen relationships with influential decision\-makers who are transforming their industries using AWS cloud and generative AI.  
We're seeking a Program Manager to lead execution of content strategy for select executive programs, including Executive Summit at AWS re:Invent and digital content initiatives. This role will focus on operational coordination and execution across touchpoints while supporting content development. The candidate will have hands\-on experience in content production, digital asset management, and tactical program execution. This position works on high visibility programs and interacts with a diverse group of globally distributed stakeholders.  
Key job responsibilities  
In this role, you'll:  
* Develop and execute compelling content that supports C\-suite engagement and translates strategic narratives into deliverable assets
* Implement scalable content frameworks and playbooks aligned with AWS priorities, managing day\-to\-day content operations and production workflows
* Coordinate innovative programming across multiple formats including digital, events, and experiential activations to drive executive engagement
* Provide tactical editorial support across marquee 1P executive events to ensure consistent execution and delivery
* Manage content production workflows and coordinate with agencies, vendors, and production teams
* Execute event logistics and content coordination for Executive Summit and other high\-visibility executive programs
* Coordinate digital content initiatives including executive podcasts, video content, and interactive digital experiences
* Manage content calendars, asset libraries, and version control across all executive content initiatives
* Track and report on tactical metrics that support broader engagement and business outcome measurement
A day in the life  
* Coordinate with agencies and vendors on content production timelines and deliverables for upcoming executive programs
* Manage content asset updates and maintain version control across digital platforms and event materials
* Execute logistics and coordination for Executive Summit sessions, including speaker preparation materials and technical requirements
* Collaborate with cross\-functional teams to ensure seamless delivery of digital content initiatives and event programming
* Update project trackers, manage content calendars, and provide status reports on tactical execution progress
About the team  
GEM helps architect the relationships with C\-suite customers, helping to shape the future of cloud computing and AI. Every day brings a new challenge, a chance to innovate, and an opportunity to influence decision\-maker customers.  
AWS Sales, Marketing, and Global Services (SMGS) is responsible for driving revenue, adoption, and growth from the largest and fastest growing small\- and mid\-market accounts to enterprise\-level customers including public sector. The AWS Global Support team interacts with leading companies and believes that world\-class support is critical to customer success. AWS Support also partners with a global list of customers that are building mission\-critical applications on top of AWS services.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Diverse Experiences
Amazon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 in the cloud.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(gender diversity) conferences, inspire us to never stop embracing our uniqueness.  
Mentorship and Career Growth  
We’re continuously raising our performance bar as we strive to become Earth’s Best Employer. That’s why you’ll find endless knowledge\-sharing, mentorship and other career\-advancing resources here to help you develop into a better\-rounded professional**BASIC QUALIFICATIONS**
------------------------
* 5\+ years of program or project management experience
* Experience using data and metrics to determine and drive improvements
* Experience working cross functionally with tech and non\-tech teams
**PREFERRED QUALIFICATIONS**
----------------------------
* 3\+ years of driving end to end delivery, and communicating results to senior leadership experience
* 3\+ years of driving process improvements experience
* Experience in stakeholder management, dealing with multiple stakeholders at varied levels of the organization
* Experience building processes, project management, and schedules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$66,800/year in our lowest geographic market up to $142,800/year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38">
      <c r="A38" t="inlineStr">
        <is>
          <t>in-8d91688255ba10b4</t>
        </is>
      </c>
      <c r="B38" t="inlineStr">
        <is>
          <t>Program Manager, Executive Content and Programs, Global Executive Marketing</t>
        </is>
      </c>
      <c r="C38" t="inlineStr">
        <is>
          <t>Amazon Web Services</t>
        </is>
      </c>
      <c r="D38" t="inlineStr">
        <is>
          <t>indeed</t>
        </is>
      </c>
      <c r="E38">
        <f>HYPERLINK("https://www.indeed.com/viewjob?jk=8d91688255ba10b4", "https://www.indeed.com/viewjob?jk=8d91688255ba10b4")</f>
        <v/>
      </c>
      <c r="F38">
        <f>HYPERLINK("https://www.amazon.jobs/jobs/3125520/program-manager-executive-content-and-programs-global-executive-marketing?cmpid=DA_INAD200785B", "https://www.amazon.jobs/jobs/3125520/program-manager-executive-content-and-programs-global-executive-marketing?cmpid=DA_INAD200785B")</f>
        <v/>
      </c>
      <c r="G38" t="inlineStr">
        <is>
          <t>Arlington, VA, US</t>
        </is>
      </c>
      <c r="H38" s="2" t="n">
        <v>45970</v>
      </c>
      <c r="I38" t="inlineStr">
        <is>
          <t>**DESCRIPTION**
---------------
Global Executive Marketing (GEM) creates 1:1 and 1:many engagements between AWS leaders and executive customers through content, messaging, and digital and in\-person experiences. As part of this organization, you'll execute content operations that help forge and strengthen relationships with influential decision\-makers who are transforming their industries using AWS cloud and generative AI.  
We're seeking a Program Manager to lead execution of content strategy for select executive programs, including Executive Summit at AWS re:Invent and digital content initiatives. This role will focus on operational coordination and execution across touchpoints while supporting content development. The candidate will have hands\-on experience in content production, digital asset management, and tactical program execution. This position works on high visibility programs and interacts with a diverse group of globally distributed stakeholders.  
Key job responsibilities  
In this role, you'll:  
* Develop and execute compelling content that supports C\-suite engagement and translates strategic narratives into deliverable assets
* Implement scalable content frameworks and playbooks aligned with AWS priorities, managing day\-to\-day content operations and production workflows
* Coordinate innovative programming across multiple formats including digital, events, and experiential activations to drive executive engagement
* Provide tactical editorial support across marquee 1P executive events to ensure consistent execution and delivery
* Manage content production workflows and coordinate with agencies, vendors, and production teams
* Execute event logistics and content coordination for Executive Summit and other high\-visibility executive programs
* Coordinate digital content initiatives including executive podcasts, video content, and interactive digital experiences
* Manage content calendars, asset libraries, and version control across all executive content initiatives
* Track and report on tactical metrics that support broader engagement and business outcome measurement
A day in the life  
* Coordinate with agencies and vendors on content production timelines and deliverables for upcoming executive programs
* Manage content asset updates and maintain version control across digital platforms and event materials
* Execute logistics and coordination for Executive Summit sessions, including speaker preparation materials and technical requirements
* Collaborate with cross\-functional teams to ensure seamless delivery of digital content initiatives and event programming
* Update project trackers, manage content calendars, and provide status reports on tactical execution progress
About the team  
GEM helps architect the relationships with C\-suite customers, helping to shape the future of cloud computing and AI. Every day brings a new challenge, a chance to innovate, and an opportunity to influence decision\-maker customers.  
AWS Sales, Marketing, and Global Services (SMGS) is responsible for driving revenue, adoption, and growth from the largest and fastest growing small\- and mid\-market accounts to enterprise\-level customers including public sector. The AWS Global Support team interacts with leading companies and believes that world\-class support is critical to customer success. AWS Support also partners with a global list of customers that are building mission\-critical applications on top of AWS services.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Diverse Experiences
Amazon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 in the cloud.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(gender diversity) conferences, inspire us to never stop embracing our uniqueness.  
Mentorship and Career Growth  
We’re continuously raising our performance bar as we strive to become Earth’s Best Employer. That’s why you’ll find endless knowledge\-sharing, mentorship and other career\-advancing resources here to help you develop into a better\-rounded professional**BASIC QUALIFICATIONS**
------------------------
* 5\+ years of program or project management experience
* Experience using data and metrics to determine and drive improvements
* Experience working cross functionally with tech and non\-tech teams
**PREFERRED QUALIFICATIONS**
----------------------------
* 3\+ years of driving end to end delivery, and communicating results to senior leadership experience
* 3\+ years of driving process improvements experience
* Experience in stakeholder management, dealing with multiple stakeholders at varied levels of the organization
* Experience building processes, project management, and schedules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$66,800/year in our lowest geographic market up to $142,800/year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39">
      <c r="A39" t="inlineStr">
        <is>
          <t>in-0ea5399bbd898c41</t>
        </is>
      </c>
      <c r="B39" t="inlineStr">
        <is>
          <t>Senior Product Manager, Sub Same Day</t>
        </is>
      </c>
      <c r="C39" t="inlineStr">
        <is>
          <t>Amazon.com</t>
        </is>
      </c>
      <c r="D39" t="inlineStr">
        <is>
          <t>indeed</t>
        </is>
      </c>
      <c r="E39">
        <f>HYPERLINK("https://www.indeed.com/viewjob?jk=0ea5399bbd898c41", "https://www.indeed.com/viewjob?jk=0ea5399bbd898c41")</f>
        <v/>
      </c>
      <c r="F39">
        <f>HYPERLINK("https://www.amazon.jobs/jobs/3122677/senior-product-manager-sub-same-day?cmpid=DA_INAD200785B", "https://www.amazon.jobs/jobs/3122677/senior-product-manager-sub-same-day?cmpid=DA_INAD200785B")</f>
        <v/>
      </c>
      <c r="G39" t="inlineStr">
        <is>
          <t>Nashville, TN, US</t>
        </is>
      </c>
      <c r="H39" s="2" t="n">
        <v>45957</v>
      </c>
      <c r="I39" t="inlineStr">
        <is>
          <t>**DESCRIPTION**
---------------
Transform Supply Chain Innovation with Data\-Driven Strategy and Collaborative Leadership  
Seeking an exceptional Product Manager to drive transformative solutions in Amazon's complex supply chain ecosystem. You'll leverage data science and strategic thinking to solve intricate challenges, creating impactful product roadmaps that revolutionize how we deliver customer experiences.  
Key job responsibilities  
* Develop Compelling Product Strategies: Create clear, data\-driven product visions and roadmaps that align with business objectives
* Cross\-Functional Collaboration: Partner closely with engineering, finance, and business teams to drive holistic product development
* Complex Project Management: Manage full lifecycle of cross\-organizational initiatives with significant strategic impact
* Performance Optimization: Design and implement KPI reporting frameworks to track project milestones and performance
* Problem\-Solving Excellence: Identify and bridge gaps between teams, processes, and systems to mitigate potential failure modes
A day in the life  
Imagine diving into complex supply chain problems, using analytical insights to design innovative solutions. Your day will involve collaborating with engineering teams, supply chain managers, and business partners to develop strategic initiatives that enhance operational efficiency and customer satisfaction.  
About the team  
We are a dynamic team committed to pushing the boundaries of supply chain technology. Our vision is to create seamless, intelligent delivery systems that set new industry standards. By joining us, you'll be at the forefront of solving critical logistical challenges and shaping the future of Amazon's delivery infrastructure.**BASIC QUALIFICATIONS**
------------------------
* 5\+ years of product or program management, product marketing, business development or technology experience
* Bachelor's degree or equivalent
* Experience owning/driving roadmap strategy and definition
* Experience with end to end product delivery
* Experience with feature delivery and tradeoffs of a product
* Experience as a product manager or owner
* Experience owning technology products
* Experience owning feature delivery and tradeoffs of a product
**PREFERRED QUALIFICATIONS**
----------------------------
* Experience in influencing senior leadership through data driven insights
* Experience working across functional teams and senior stakeholders
* Master's degree or equivalent
* Knowledge of key customer experience metrics and methodology (e.g., NPS)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$124,500/year in our lowest geographic market up to $206,000/year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40">
      <c r="A40" t="inlineStr">
        <is>
          <t>in-d3fffe165398e46b</t>
        </is>
      </c>
      <c r="B40" t="inlineStr">
        <is>
          <t>Senior Product Manager, Sub Same Day</t>
        </is>
      </c>
      <c r="C40" t="inlineStr">
        <is>
          <t>Amazon.com</t>
        </is>
      </c>
      <c r="D40" t="inlineStr">
        <is>
          <t>indeed</t>
        </is>
      </c>
      <c r="E40">
        <f>HYPERLINK("https://www.indeed.com/viewjob?jk=d3fffe165398e46b", "https://www.indeed.com/viewjob?jk=d3fffe165398e46b")</f>
        <v/>
      </c>
      <c r="F40">
        <f>HYPERLINK("https://www.amazon.jobs/jobs/3122677/senior-product-manager-sub-same-day?cmpid=DA_INAD200785B", "https://www.amazon.jobs/jobs/3122677/senior-product-manager-sub-same-day?cmpid=DA_INAD200785B")</f>
        <v/>
      </c>
      <c r="G40" t="inlineStr">
        <is>
          <t>New York, NY, US</t>
        </is>
      </c>
      <c r="H40" s="2" t="n">
        <v>45957</v>
      </c>
      <c r="I40" t="inlineStr">
        <is>
          <t>**DESCRIPTION**
---------------
Transform Supply Chain Innovation with Data\-Driven Strategy and Collaborative Leadership  
Seeking an exceptional Product Manager to drive transformative solutions in Amazon's complex supply chain ecosystem. You'll leverage data science and strategic thinking to solve intricate challenges, creating impactful product roadmaps that revolutionize how we deliver customer experiences.  
Key job responsibilities  
* Develop Compelling Product Strategies: Create clear, data\-driven product visions and roadmaps that align with business objectives
* Cross\-Functional Collaboration: Partner closely with engineering, finance, and business teams to drive holistic product development
* Complex Project Management: Manage full lifecycle of cross\-organizational initiatives with significant strategic impact
* Performance Optimization: Design and implement KPI reporting frameworks to track project milestones and performance
* Problem\-Solving Excellence: Identify and bridge gaps between teams, processes, and systems to mitigate potential failure modes
A day in the life  
Imagine diving into complex supply chain problems, using analytical insights to design innovative solutions. Your day will involve collaborating with engineering teams, supply chain managers, and business partners to develop strategic initiatives that enhance operational efficiency and customer satisfaction.  
About the team  
We are a dynamic team committed to pushing the boundaries of supply chain technology. Our vision is to create seamless, intelligent delivery systems that set new industry standards. By joining us, you'll be at the forefront of solving critical logistical challenges and shaping the future of Amazon's delivery infrastructure.**BASIC QUALIFICATIONS**
------------------------
* 5\+ years of product or program management, product marketing, business development or technology experience
* Bachelor's degree or equivalent
* Experience owning/driving roadmap strategy and definition
* Experience with end to end product delivery
* Experience with feature delivery and tradeoffs of a product
* Experience as a product manager or owner
* Experience owning technology products
* Experience owning feature delivery and tradeoffs of a product
**PREFERRED QUALIFICATIONS**
----------------------------
* Experience in influencing senior leadership through data driven insights
* Experience working across functional teams and senior stakeholders
* Master's degree or equivalent
* Knowledge of key customer experience metrics and methodology (e.g., NPS)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$124,500/year in our lowest geographic market up to $206,000/year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41">
      <c r="A41" t="inlineStr">
        <is>
          <t>in-b35e491e8c03a3ef</t>
        </is>
      </c>
      <c r="B41" t="inlineStr">
        <is>
          <t>Senior Product Manager, Sub Same Day</t>
        </is>
      </c>
      <c r="C41" t="inlineStr">
        <is>
          <t>Amazon.com</t>
        </is>
      </c>
      <c r="D41" t="inlineStr">
        <is>
          <t>indeed</t>
        </is>
      </c>
      <c r="E41">
        <f>HYPERLINK("https://www.indeed.com/viewjob?jk=b35e491e8c03a3ef", "https://www.indeed.com/viewjob?jk=b35e491e8c03a3ef")</f>
        <v/>
      </c>
      <c r="F41">
        <f>HYPERLINK("https://www.amazon.jobs/jobs/3122677/senior-product-manager-sub-same-day?cmpid=DA_INAD200785B", "https://www.amazon.jobs/jobs/3122677/senior-product-manager-sub-same-day?cmpid=DA_INAD200785B")</f>
        <v/>
      </c>
      <c r="G41" t="inlineStr">
        <is>
          <t>Bellevue, WA, US</t>
        </is>
      </c>
      <c r="H41" s="2" t="n">
        <v>45957</v>
      </c>
      <c r="I41" t="inlineStr">
        <is>
          <t>**DESCRIPTION**
---------------
Transform Supply Chain Innovation with Data\-Driven Strategy and Collaborative Leadership  
Seeking an exceptional Product Manager to drive transformative solutions in Amazon's complex supply chain ecosystem. You'll leverage data science and strategic thinking to solve intricate challenges, creating impactful product roadmaps that revolutionize how we deliver customer experiences.  
Key job responsibilities  
* Develop Compelling Product Strategies: Create clear, data\-driven product visions and roadmaps that align with business objectives
* Cross\-Functional Collaboration: Partner closely with engineering, finance, and business teams to drive holistic product development
* Complex Project Management: Manage full lifecycle of cross\-organizational initiatives with significant strategic impact
* Performance Optimization: Design and implement KPI reporting frameworks to track project milestones and performance
* Problem\-Solving Excellence: Identify and bridge gaps between teams, processes, and systems to mitigate potential failure modes
A day in the life  
Imagine diving into complex supply chain problems, using analytical insights to design innovative solutions. Your day will involve collaborating with engineering teams, supply chain managers, and business partners to develop strategic initiatives that enhance operational efficiency and customer satisfaction.  
About the team  
We are a dynamic team committed to pushing the boundaries of supply chain technology. Our vision is to create seamless, intelligent delivery systems that set new industry standards. By joining us, you'll be at the forefront of solving critical logistical challenges and shaping the future of Amazon's delivery infrastructure.**BASIC QUALIFICATIONS**
------------------------
* 5\+ years of product or program management, product marketing, business development or technology experience
* Bachelor's degree or equivalent
* Experience owning/driving roadmap strategy and definition
* Experience with end to end product delivery
* Experience with feature delivery and tradeoffs of a product
* Experience as a product manager or owner
* Experience owning technology products
* Experience owning feature delivery and tradeoffs of a product
**PREFERRED QUALIFICATIONS**
----------------------------
* Experience in influencing senior leadership through data driven insights
* Experience working across functional teams and senior stakeholders
* Master's degree or equivalent
* Knowledge of key customer experience metrics and methodology (e.g., NPS)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$124,500/year in our lowest geographic market up to $206,000/year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42">
      <c r="A42" t="inlineStr">
        <is>
          <t>in-5a4cc428fe1ad671</t>
        </is>
      </c>
      <c r="B42" t="inlineStr">
        <is>
          <t>Sr. Program Manager, Planning &amp; Automation, Global Fleet and Products Electrification and Infrastructure</t>
        </is>
      </c>
      <c r="C42" t="inlineStr">
        <is>
          <t>Amazon.com</t>
        </is>
      </c>
      <c r="D42" t="inlineStr">
        <is>
          <t>indeed</t>
        </is>
      </c>
      <c r="E42">
        <f>HYPERLINK("https://www.indeed.com/viewjob?jk=5a4cc428fe1ad671", "https://www.indeed.com/viewjob?jk=5a4cc428fe1ad671")</f>
        <v/>
      </c>
      <c r="F42">
        <f>HYPERLINK("https://www.amazon.jobs/jobs/3126463/sr-program-manager-planning--automation-global-fleet-and-products-electrification-and-infrastructure?cmpid=DA_INAD200785B", "https://www.amazon.jobs/jobs/3126463/sr-program-manager-planning--automation-global-fleet-and-products-electrification-and-infrastructure?cmpid=DA_INAD200785B")</f>
        <v/>
      </c>
      <c r="G42" t="inlineStr">
        <is>
          <t>Nashville, TN, US</t>
        </is>
      </c>
      <c r="H42" s="2" t="n">
        <v>45949</v>
      </c>
      <c r="I42" t="inlineStr">
        <is>
          <t>**DESCRIPTION**
---------------
Amazon is committed to building a sustainable business for our employees, customers, and communities. From leading The Climate Pledge to our goal of Net Zero Carbon by 2040, Amazon continues to drive industry transformation. Deploying a fleet of 100,000 electric delivery vehicles is one of the most impactful levers we have—and the technology, automation, and intelligent systems behind that fleet are critical to our success.  
Amazon’s Global Fleet Electrification \&amp; Infrastructure (GFP E\&amp;I) team is seeking a results\-driven leader with strong business judgment and cross\-functional collaboration skills to own planning and automation initiatives for our electrification and infrastructure supply chain. Our Program Managers are high\-energy self\-starters who thrive on building scalable, tech\-enabled mechanisms that connect engineering, sourcing, logistics, and construction to deliver critical EVSE to Amazon’s fleet\-charging sites worldwide.  
As a member of the Electrification \&amp; Infrastructure Supply Chain team, you will own material readiness and end\-to\-end automation strategy across the Americas to support Amazon’s rapidly expanding fleet\-electrification network. This role’s primary focus is to design and operationalize next\-generation forecasting, AI\-supported demand\-planning models, and automated data pipelines for key electrical systems—including switchgear, transformers, rectifiers, and chargers. You will work closely with design engineering, deployment, and supplier partners to build an integrated, data\-driven planning tool that aligns global supply with real\-time demand signals.  
You will also be responsible for tracking and auditing material status from purchase order through site delivery, ensuring supply continuity, reducing latency in data handoffs, and implementing proactive, tech\-driven strategies to mitigate risk and accelerate deployment. Additionally, you will architect and implement automation workflows (including ETL pipelines, dashboarding, and exception\-handling mechanisms) to eliminate manual work, improve data quality, and increase operating efficiency across the supply chain.  
Key job responsibilities  
Lead end\-to\-end materials management for power distribution products and chargers across global projects.  
Develop and execute demand\- and supply\-planning processes ensuring on\-time equipment availability aligned with deployment schedules.  
Partner with Engineering, Sourcing, and Construction to translate design changes and forecasts into executable procurement plans.  
Manage Sales \&amp; Operations Planning (S\&amp;OP) cadence for electrification hardware, integrating supplier lead\-times and manufacturing constraints.  
Build and automate forecasting models using internal data pipelines and supplier inputs to improve accuracy and reduce inventory exposure.  
Drive supplier continuous improvement initiatives.  
Track global inventory, shipments, and at\-risk materials; mitigate disruptions through proactive allocation and supplier collaboration.  
Support business reviews and executive updates on supply continuity, delivery metrics, and cost performance.  
About the team  
We are building the largest commercial EV fleet in the world, join us for exciting and challenging infrastructure challenges at an unprecedented scale!
**BASIC QUALIFICATIONS**
------------------------
* Bachelor's degree in engineering, mechanical, operations, supply chain, business administration, or equivalent STEM field
* Experience in a highly analytical, results\-oriented environment with cross functional interactions
* Experience communicating technical details verbally and in writing
* Can work proactively and independently, meet deadlines, and deliver on projects and tasks
* 6\+ years of experience in supply chain management, material planning and/or supply planning role
* Strong Working knowledge of S\&amp;OE and S\&amp;OP with implementation experience
**PREFERRED QUALIFICATIONS**
----------------------------
* Knowledge of Microsoft Office products and applications at an advanced level
* 10\+ years of experience in Supply Chain (Forecasting, Demand Planning, Supply Planning, Inventory Planning, Materials Management, Master Planning, Scheduling, Lifecycle management)
* Tools and Advanced Planning Systems Software
* APICS and/or IBF certification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$103,900/year in our lowest geographic market up to $181,400/year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43">
      <c r="A43" t="inlineStr">
        <is>
          <t>in-66ddf9431248612a</t>
        </is>
      </c>
      <c r="B43" t="inlineStr">
        <is>
          <t>Sr. Program Manager, Planning &amp; Automation, Global Fleet and Products Electrification and Infrastructure</t>
        </is>
      </c>
      <c r="C43" t="inlineStr">
        <is>
          <t>Amazon.com</t>
        </is>
      </c>
      <c r="D43" t="inlineStr">
        <is>
          <t>indeed</t>
        </is>
      </c>
      <c r="E43">
        <f>HYPERLINK("https://www.indeed.com/viewjob?jk=66ddf9431248612a", "https://www.indeed.com/viewjob?jk=66ddf9431248612a")</f>
        <v/>
      </c>
      <c r="F43">
        <f>HYPERLINK("https://www.amazon.jobs/jobs/3126463/sr-program-manager-planning--automation-global-fleet-and-products-electrification-and-infrastructure?cmpid=DA_INAD200785B", "https://www.amazon.jobs/jobs/3126463/sr-program-manager-planning--automation-global-fleet-and-products-electrification-and-infrastructure?cmpid=DA_INAD200785B")</f>
        <v/>
      </c>
      <c r="G43" t="inlineStr">
        <is>
          <t>San Francisco, CA, US</t>
        </is>
      </c>
      <c r="H43" s="2" t="n">
        <v>45949</v>
      </c>
      <c r="I43" t="inlineStr">
        <is>
          <t>**DESCRIPTION**
---------------
Amazon is committed to building a sustainable business for our employees, customers, and communities. From leading The Climate Pledge to our goal of Net Zero Carbon by 2040, Amazon continues to drive industry transformation. Deploying a fleet of 100,000 electric delivery vehicles is one of the most impactful levers we have—and the technology, automation, and intelligent systems behind that fleet are critical to our success.  
Amazon’s Global Fleet Electrification \&amp; Infrastructure (GFP E\&amp;I) team is seeking a results\-driven leader with strong business judgment and cross\-functional collaboration skills to own planning and automation initiatives for our electrification and infrastructure supply chain. Our Program Managers are high\-energy self\-starters who thrive on building scalable, tech\-enabled mechanisms that connect engineering, sourcing, logistics, and construction to deliver critical EVSE to Amazon’s fleet\-charging sites worldwide.  
As a member of the Electrification \&amp; Infrastructure Supply Chain team, you will own material readiness and end\-to\-end automation strategy across the Americas to support Amazon’s rapidly expanding fleet\-electrification network. This role’s primary focus is to design and operationalize next\-generation forecasting, AI\-supported demand\-planning models, and automated data pipelines for key electrical systems—including switchgear, transformers, rectifiers, and chargers. You will work closely with design engineering, deployment, and supplier partners to build an integrated, data\-driven planning tool that aligns global supply with real\-time demand signals.  
You will also be responsible for tracking and auditing material status from purchase order through site delivery, ensuring supply continuity, reducing latency in data handoffs, and implementing proactive, tech\-driven strategies to mitigate risk and accelerate deployment. Additionally, you will architect and implement automation workflows (including ETL pipelines, dashboarding, and exception\-handling mechanisms) to eliminate manual work, improve data quality, and increase operating efficiency across the supply chain.  
Key job responsibilities  
Lead end\-to\-end materials management for power distribution products and chargers across global projects.  
Develop and execute demand\- and supply\-planning processes ensuring on\-time equipment availability aligned with deployment schedules.  
Partner with Engineering, Sourcing, and Construction to translate design changes and forecasts into executable procurement plans.  
Manage Sales \&amp; Operations Planning (S\&amp;OP) cadence for electrification hardware, integrating supplier lead\-times and manufacturing constraints.  
Build and automate forecasting models using internal data pipelines and supplier inputs to improve accuracy and reduce inventory exposure.  
Drive supplier continuous improvement initiatives.  
Track global inventory, shipments, and at\-risk materials; mitigate disruptions through proactive allocation and supplier collaboration.  
Support business reviews and executive updates on supply continuity, delivery metrics, and cost performance.  
About the team  
We are building the largest commercial EV fleet in the world, join us for exciting and challenging infrastructure challenges at an unprecedented scale!
**BASIC QUALIFICATIONS**
------------------------
* Bachelor's degree in engineering, mechanical, operations, supply chain, business administration, or equivalent STEM field
* Experience in a highly analytical, results\-oriented environment with cross functional interactions
* Experience communicating technical details verbally and in writing
* Can work proactively and independently, meet deadlines, and deliver on projects and tasks
* 6\+ years of experience in supply chain management, material planning and/or supply planning role
* Strong Working knowledge of S\&amp;OE and S\&amp;OP with implementation experience
**PREFERRED QUALIFICATIONS**
----------------------------
* Knowledge of Microsoft Office products and applications at an advanced level
* 10\+ years of experience in Supply Chain (Forecasting, Demand Planning, Supply Planning, Inventory Planning, Materials Management, Master Planning, Scheduling, Lifecycle management)
* Tools and Advanced Planning Systems Software
* APICS and/or IBF certification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$103,900/year in our lowest geographic market up to $181,400/year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44">
      <c r="A44" t="inlineStr">
        <is>
          <t>in-1df29699ac5f7185</t>
        </is>
      </c>
      <c r="B44" t="inlineStr">
        <is>
          <t>Sr. Program Manager, Planning &amp; Automation, Global Fleet and Products Electrification and Infrastructure</t>
        </is>
      </c>
      <c r="C44" t="inlineStr">
        <is>
          <t>Amazon.com</t>
        </is>
      </c>
      <c r="D44" t="inlineStr">
        <is>
          <t>indeed</t>
        </is>
      </c>
      <c r="E44">
        <f>HYPERLINK("https://www.indeed.com/viewjob?jk=1df29699ac5f7185", "https://www.indeed.com/viewjob?jk=1df29699ac5f7185")</f>
        <v/>
      </c>
      <c r="F44">
        <f>HYPERLINK("https://www.amazon.jobs/jobs/3126463/sr-program-manager-planning--automation-global-fleet-and-products-electrification-and-infrastructure?cmpid=DA_INAD200785B", "https://www.amazon.jobs/jobs/3126463/sr-program-manager-planning--automation-global-fleet-and-products-electrification-and-infrastructure?cmpid=DA_INAD200785B")</f>
        <v/>
      </c>
      <c r="G44" t="inlineStr">
        <is>
          <t>Bellevue, WA, US</t>
        </is>
      </c>
      <c r="H44" s="2" t="n">
        <v>45949</v>
      </c>
      <c r="I44" t="inlineStr">
        <is>
          <t>**DESCRIPTION**
---------------
Amazon is committed to building a sustainable business for our employees, customers, and communities. From leading The Climate Pledge to our goal of Net Zero Carbon by 2040, Amazon continues to drive industry transformation. Deploying a fleet of 100,000 electric delivery vehicles is one of the most impactful levers we have—and the technology, automation, and intelligent systems behind that fleet are critical to our success.  
Amazon’s Global Fleet Electrification \&amp; Infrastructure (GFP E\&amp;I) team is seeking a results\-driven leader with strong business judgment and cross\-functional collaboration skills to own planning and automation initiatives for our electrification and infrastructure supply chain. Our Program Managers are high\-energy self\-starters who thrive on building scalable, tech\-enabled mechanisms that connect engineering, sourcing, logistics, and construction to deliver critical EVSE to Amazon’s fleet\-charging sites worldwide.  
As a member of the Electrification \&amp; Infrastructure Supply Chain team, you will own material readiness and end\-to\-end automation strategy across the Americas to support Amazon’s rapidly expanding fleet\-electrification network. This role’s primary focus is to design and operationalize next\-generation forecasting, AI\-supported demand\-planning models, and automated data pipelines for key electrical systems—including switchgear, transformers, rectifiers, and chargers. You will work closely with design engineering, deployment, and supplier partners to build an integrated, data\-driven planning tool that aligns global supply with real\-time demand signals.  
You will also be responsible for tracking and auditing material status from purchase order through site delivery, ensuring supply continuity, reducing latency in data handoffs, and implementing proactive, tech\-driven strategies to mitigate risk and accelerate deployment. Additionally, you will architect and implement automation workflows (including ETL pipelines, dashboarding, and exception\-handling mechanisms) to eliminate manual work, improve data quality, and increase operating efficiency across the supply chain.  
Key job responsibilities  
Lead end\-to\-end materials management for power distribution products and chargers across global projects.  
Develop and execute demand\- and supply\-planning processes ensuring on\-time equipment availability aligned with deployment schedules.  
Partner with Engineering, Sourcing, and Construction to translate design changes and forecasts into executable procurement plans.  
Manage Sales \&amp; Operations Planning (S\&amp;OP) cadence for electrification hardware, integrating supplier lead\-times and manufacturing constraints.  
Build and automate forecasting models using internal data pipelines and supplier inputs to improve accuracy and reduce inventory exposure.  
Drive supplier continuous improvement initiatives.  
Track global inventory, shipments, and at\-risk materials; mitigate disruptions through proactive allocation and supplier collaboration.  
Support business reviews and executive updates on supply continuity, delivery metrics, and cost performance.  
About the team  
We are building the largest commercial EV fleet in the world, join us for exciting and challenging infrastructure challenges at an unprecedented scale!
**BASIC QUALIFICATIONS**
------------------------
* Bachelor's degree in engineering, mechanical, operations, supply chain, business administration, or equivalent STEM field
* Experience in a highly analytical, results\-oriented environment with cross functional interactions
* Experience communicating technical details verbally and in writing
* Can work proactively and independently, meet deadlines, and deliver on projects and tasks
* 6\+ years of experience in supply chain management, material planning and/or supply planning role
* Strong Working knowledge of S\&amp;OE and S\&amp;OP with implementation experience
**PREFERRED QUALIFICATIONS**
----------------------------
* Knowledge of Microsoft Office products and applications at an advanced level
* 10\+ years of experience in Supply Chain (Forecasting, Demand Planning, Supply Planning, Inventory Planning, Materials Management, Master Planning, Scheduling, Lifecycle management)
* Tools and Advanced Planning Systems Software
* APICS and/or IBF certification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$103,900/year in our lowest geographic market up to $181,400/year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45">
      <c r="A45" t="inlineStr">
        <is>
          <t>in-df492da82d334051</t>
        </is>
      </c>
      <c r="B45" t="inlineStr">
        <is>
          <t>Sr Program Manager, Procurement Operations, SSD OI</t>
        </is>
      </c>
      <c r="C45" t="inlineStr">
        <is>
          <t>Amazon.com</t>
        </is>
      </c>
      <c r="D45" t="inlineStr">
        <is>
          <t>indeed</t>
        </is>
      </c>
      <c r="E45">
        <f>HYPERLINK("https://www.indeed.com/viewjob?jk=df492da82d334051", "https://www.indeed.com/viewjob?jk=df492da82d334051")</f>
        <v/>
      </c>
      <c r="F45">
        <f>HYPERLINK("https://www.amazon.jobs/jobs/3120809/sr-program-manager-procurement-operations-ssd-oi-?cmpid=DA_INAD200785B", "https://www.amazon.jobs/jobs/3120809/sr-program-manager-procurement-operations-ssd-oi-?cmpid=DA_INAD200785B")</f>
        <v/>
      </c>
      <c r="G45" t="inlineStr">
        <is>
          <t>Bellevue, WA, US</t>
        </is>
      </c>
      <c r="H45" s="2" t="n">
        <v>45938</v>
      </c>
      <c r="I45" t="inlineStr">
        <is>
          <t>**DESCRIPTION**
---------------
The Procurement Services team is looking for Services Procurement Sr Program Manager with proven procurement and project management experience. The Procurement Services team supports building services from third party vendors across the North American Same Day and Rural Super Rural operations. This role requires the management of new and existing procurement programs, forecasting and spend control, scoping and creating project plans, coordinating and driving execution, and clear communication to senior management. Cross\-team coordination, program management and procurement skills are essential. This role requires the management of new and existing procurement programs, forecasting and spend control, scoping and creating project plans, coordinating and driving execution, and clear communication to senior management. Cross\-team coordination, program management and procurement skills are essential.  
Key job responsibilities  
The primary responsibilities of the successful candidate include, but are not limited to, the following:  
* Manage new and existing procurement programs, delivering desired results across multiple Amazon organizations. Example of nationwide procurement programs we support include Janitorial services, Pest Control, Powered Equipment, Waste/Recycling Streams, Security, PPE Supplies services, as well as many other services categories.
* Drive supplier relationship development by holding regular business reviews to assess performance and areas of opportunity
* Influence design and development of strategic procurement programs.
* Create and manage program communication, accelerating progress by driving clear and timely decisions, removing obstacles and escalating as appropriate.
* Develop, implement, and govern KPI reporting for a portfolio of programs, providing visibility to the milestones, and performance across all projects and using this data to drive/influence business decisions.
* Work directly with external providers, customers, and partner teams to create and deliver scalable solutions.
* Execute and own large\-scale process improvement opportunities within new business launches existing processes and controls, including defining scope, goals and deliverables in collaboration with senior leadership and stakeholders.
* Utilize numerous standard analytical tools to analyze business metrics for optimization and derive actionable recommendations to meet business and procurement objectives.
* Ensure service levels across multiple vendors/providers ensuring quality services. This includes management of day to day program escalations such as vendor concerns, vendor performance support, scoping changes, and many other day to day field team needs across the services portfolios.
* Develop and manage tactical procurement services and daily operations including Purchase Orders and Invoice management.
* Recognize and resolve issues and provide hands\-on support to ensure procurement programs operate successfully across all locations.
A day in the life**BASIC QUALIFICATIONS**
------------------------
* Bachelor's degree
* 5\+ years of program or project management experience
* Experience using data and metrics to determine and drive improvements
* Experience owning program strategy, end to end delivery, and communicating results to senior leadership
**PREFERRED QUALIFICATIONS**
----------------------------
* 2\+ years of driving process improvements experience
* Master's degree, or MBA in business, operations, human resources, adult education, organizational development, instructional design or related field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$104,100/year in our lowest geographic market up to $185,000/year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46">
      <c r="A46" t="inlineStr">
        <is>
          <t>in-8089bdb2044487bf</t>
        </is>
      </c>
      <c r="B46" t="inlineStr">
        <is>
          <t>Sr Program Manager, Procurement Operations, SSD OI</t>
        </is>
      </c>
      <c r="C46" t="inlineStr">
        <is>
          <t>Amazon.com</t>
        </is>
      </c>
      <c r="D46" t="inlineStr">
        <is>
          <t>indeed</t>
        </is>
      </c>
      <c r="E46">
        <f>HYPERLINK("https://www.indeed.com/viewjob?jk=8089bdb2044487bf", "https://www.indeed.com/viewjob?jk=8089bdb2044487bf")</f>
        <v/>
      </c>
      <c r="F46">
        <f>HYPERLINK("https://www.amazon.jobs/jobs/3120809/sr-program-manager-procurement-operations-ssd-oi-?cmpid=DA_INAD200785B", "https://www.amazon.jobs/jobs/3120809/sr-program-manager-procurement-operations-ssd-oi-?cmpid=DA_INAD200785B")</f>
        <v/>
      </c>
      <c r="G46" t="inlineStr">
        <is>
          <t>New York, NY, US</t>
        </is>
      </c>
      <c r="H46" s="2" t="n">
        <v>45938</v>
      </c>
      <c r="I46" t="inlineStr">
        <is>
          <t>**DESCRIPTION**
---------------
The Procurement Services team is looking for Services Procurement Sr Program Manager with proven procurement and project management experience. The Procurement Services team supports building services from third party vendors across the North American Same Day and Rural Super Rural operations. This role requires the management of new and existing procurement programs, forecasting and spend control, scoping and creating project plans, coordinating and driving execution, and clear communication to senior management. Cross\-team coordination, program management and procurement skills are essential. This role requires the management of new and existing procurement programs, forecasting and spend control, scoping and creating project plans, coordinating and driving execution, and clear communication to senior management. Cross\-team coordination, program management and procurement skills are essential.  
Key job responsibilities  
The primary responsibilities of the successful candidate include, but are not limited to, the following:  
* Manage new and existing procurement programs, delivering desired results across multiple Amazon organizations. Example of nationwide procurement programs we support include Janitorial services, Pest Control, Powered Equipment, Waste/Recycling Streams, Security, PPE Supplies services, as well as many other services categories.
* Drive supplier relationship development by holding regular business reviews to assess performance and areas of opportunity
* Influence design and development of strategic procurement programs.
* Create and manage program communication, accelerating progress by driving clear and timely decisions, removing obstacles and escalating as appropriate.
* Develop, implement, and govern KPI reporting for a portfolio of programs, providing visibility to the milestones, and performance across all projects and using this data to drive/influence business decisions.
* Work directly with external providers, customers, and partner teams to create and deliver scalable solutions.
* Execute and own large\-scale process improvement opportunities within new business launches existing processes and controls, including defining scope, goals and deliverables in collaboration with senior leadership and stakeholders.
* Utilize numerous standard analytical tools to analyze business metrics for optimization and derive actionable recommendations to meet business and procurement objectives.
* Ensure service levels across multiple vendors/providers ensuring quality services. This includes management of day to day program escalations such as vendor concerns, vendor performance support, scoping changes, and many other day to day field team needs across the services portfolios.
* Develop and manage tactical procurement services and daily operations including Purchase Orders and Invoice management.
* Recognize and resolve issues and provide hands\-on support to ensure procurement programs operate successfully across all locations.
A day in the life**BASIC QUALIFICATIONS**
------------------------
* Bachelor's degree
* 5\+ years of program or project management experience
* Experience using data and metrics to determine and drive improvements
* Experience owning program strategy, end to end delivery, and communicating results to senior leadership
**PREFERRED QUALIFICATIONS**
----------------------------
* 2\+ years of driving process improvements experience
* Master's degree, or MBA in business, operations, human resources, adult education, organizational development, instructional design or related field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$104,100/year in our lowest geographic market up to $185,000/year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47">
      <c r="A47" t="inlineStr">
        <is>
          <t>in-8c87fbd626fbd054</t>
        </is>
      </c>
      <c r="B47" t="inlineStr">
        <is>
          <t>Sr Program Manager, Procurement Operations, SSD OI</t>
        </is>
      </c>
      <c r="C47" t="inlineStr">
        <is>
          <t>Amazon.com</t>
        </is>
      </c>
      <c r="D47" t="inlineStr">
        <is>
          <t>indeed</t>
        </is>
      </c>
      <c r="E47">
        <f>HYPERLINK("https://www.indeed.com/viewjob?jk=8c87fbd626fbd054", "https://www.indeed.com/viewjob?jk=8c87fbd626fbd054")</f>
        <v/>
      </c>
      <c r="F47">
        <f>HYPERLINK("https://www.amazon.jobs/jobs/3120809/sr-program-manager-procurement-operations-ssd-oi-?cmpid=DA_INAD200785B", "https://www.amazon.jobs/jobs/3120809/sr-program-manager-procurement-operations-ssd-oi-?cmpid=DA_INAD200785B")</f>
        <v/>
      </c>
      <c r="G47" t="inlineStr">
        <is>
          <t>Nashville, TN, US</t>
        </is>
      </c>
      <c r="H47" s="2" t="n">
        <v>45938</v>
      </c>
      <c r="I47" t="inlineStr">
        <is>
          <t>**DESCRIPTION**
---------------
The Procurement Services team is looking for Services Procurement Sr Program Manager with proven procurement and project management experience. The Procurement Services team supports building services from third party vendors across the North American Same Day and Rural Super Rural operations. This role requires the management of new and existing procurement programs, forecasting and spend control, scoping and creating project plans, coordinating and driving execution, and clear communication to senior management. Cross\-team coordination, program management and procurement skills are essential. This role requires the management of new and existing procurement programs, forecasting and spend control, scoping and creating project plans, coordinating and driving execution, and clear communication to senior management. Cross\-team coordination, program management and procurement skills are essential.  
Key job responsibilities  
The primary responsibilities of the successful candidate include, but are not limited to, the following:  
* Manage new and existing procurement programs, delivering desired results across multiple Amazon organizations. Example of nationwide procurement programs we support include Janitorial services, Pest Control, Powered Equipment, Waste/Recycling Streams, Security, PPE Supplies services, as well as many other services categories.
* Drive supplier relationship development by holding regular business reviews to assess performance and areas of opportunity
* Influence design and development of strategic procurement programs.
* Create and manage program communication, accelerating progress by driving clear and timely decisions, removing obstacles and escalating as appropriate.
* Develop, implement, and govern KPI reporting for a portfolio of programs, providing visibility to the milestones, and performance across all projects and using this data to drive/influence business decisions.
* Work directly with external providers, customers, and partner teams to create and deliver scalable solutions.
* Execute and own large\-scale process improvement opportunities within new business launches existing processes and controls, including defining scope, goals and deliverables in collaboration with senior leadership and stakeholders.
* Utilize numerous standard analytical tools to analyze business metrics for optimization and derive actionable recommendations to meet business and procurement objectives.
* Ensure service levels across multiple vendors/providers ensuring quality services. This includes management of day to day program escalations such as vendor concerns, vendor performance support, scoping changes, and many other day to day field team needs across the services portfolios.
* Develop and manage tactical procurement services and daily operations including Purchase Orders and Invoice management.
* Recognize and resolve issues and provide hands\-on support to ensure procurement programs operate successfully across all locations.
A day in the life**BASIC QUALIFICATIONS**
------------------------
* Bachelor's degree
* 5\+ years of program or project management experience
* Experience using data and metrics to determine and drive improvements
* Experience owning program strategy, end to end delivery, and communicating results to senior leadership
**PREFERRED QUALIFICATIONS**
----------------------------
* 2\+ years of driving process improvements experience
* Master's degree, or MBA in business, operations, human resources, adult education, organizational development, instructional design or related field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$104,100/year in our lowest geographic market up to $185,000/year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48">
      <c r="A48" t="inlineStr">
        <is>
          <t>in-e5ea74dc7255df3a</t>
        </is>
      </c>
      <c r="B48" t="inlineStr">
        <is>
          <t>Sr. Supply Chain Product Manager, Amazon Custom Modules</t>
        </is>
      </c>
      <c r="C48" t="inlineStr">
        <is>
          <t>Amazon.com</t>
        </is>
      </c>
      <c r="D48" t="inlineStr">
        <is>
          <t>indeed</t>
        </is>
      </c>
      <c r="E48">
        <f>HYPERLINK("https://www.indeed.com/viewjob?jk=e5ea74dc7255df3a", "https://www.indeed.com/viewjob?jk=e5ea74dc7255df3a")</f>
        <v/>
      </c>
      <c r="F48">
        <f>HYPERLINK("https://www.amazon.jobs/jobs/3109372/sr-supply-chain-product-manager-amazon-custom-modules?cmpid=DA_INAD200785B", "https://www.amazon.jobs/jobs/3109372/sr-supply-chain-product-manager-amazon-custom-modules?cmpid=DA_INAD200785B")</f>
        <v/>
      </c>
      <c r="G48" t="inlineStr">
        <is>
          <t>Cupertino, CA, US</t>
        </is>
      </c>
      <c r="H48" s="2" t="n">
        <v>45935</v>
      </c>
      <c r="I48" t="inlineStr">
        <is>
          <t>**DESCRIPTION**
---------------
AWS Infrastructure Services owns the design, planning, delivery, and operation of all AWS global infrastructure. In other words, we’re the people who keep the cloud running. We support all AWS data centers and all of the servers, storage, networking, power, and cooling equipment that ensure our customers have continual access to the innovation they rely on. We work on the most challenging problems, with thousands of variables impacting the supply chain — and we’re looking for talented people who want to help.
You’ll join a diverse team of software, hardware, and network engineers, supply chain specialists, security experts, operations managers, and other vital roles. You’ll collaborate with people across AWS to help us deliver the highest standards for safety and security while providing seemingly infinite capacity at the lowest possible cost for our customers. And you’ll experience an inclusive culture that welcomes bold ideas and empowers you to own them to completion.  
Amazon Web Services (AWS) provides a highly reliable, scalable, and low\-cost cloud platform that powers thousands of businesses in over 190 countries. AWS’ Infrastructure Supply Chain \&amp; Procurement (ISCaP) organization works to deliver solutions to source, build and maintain our socially responsible data center supply chains. We are a team of highly\-motivated, engaged, and responsive professionals who enable the core sustainable infrastructure of AWS. Come join our team and be a part of history as we deliver results for the largest cloud services company on Earth!  
WS is looking for an experienced professional who loves technology, is hungry for driving change and looking to make a Global impact. Come armed with your knowledge for a position where you will own, build, and run technology sourcing and operations and engage with multiple teams to drive plans and execution to satisfy the demanding needs of a high growth industry impacting markets worldwide. This is a great opportunity for someone who obsesses over customers, thinks long\-term and get things done.  
Our AWS procurement team is looking for a results\-oriented individual to assume responsibility for launching new Printed Circuit Board Assembly (PCBA) products, geography expansions and contract manufacturing. Our Supply Chain Product Managers are responsible for developing Alternate or Multi Sourcing Strategies and clear action plans to support the launch of new products and sustainment of existing products as we meet and exceed customer demand. In this role you will lead internal and supplier engagements across Supply Chain, Engineering and Business organizations while diving deep into the technologies and operations both from a product and Supply Chain perspective. You will analyze trends involving the industry players – vendors, customers, and technology to develop strategies to reduce cost, minimize risk, protect continuity of supply, and utilize emerging opportunities, allowing AWS to meet and exceed its goals.  
Skills:  
* Extensive knowledge of supply chain, PCBA manufacturing, product lifecycle management, roadmap planning, and product requirement decision making.
* Entrepreneurial drive, and proven ability take ownership and influence others.
* Proven ability to drive cohesion and collaboration among many different people \&amp; functions.
* Exceptional communication skills which includes clear written and verbal communication as well as the ability to listen effectively.
* Excellent creative thinking skills with emphasis on developing innovative solutions to solve complex problems that may not have one clear answer.
* Demonstrable capability to negotiate requirements and decisions effectively across a diverse range of teams and to lead through influence.
* Proven ability to execute in all phases of the product development life cycle, resulting in high\-quality hardware products, delivered on time.
* Demonstrated ability to work in a self\-directed manner, seeking out areas that need attention, rather than being asked to look at specific problem areas.
Key job responsibilities  
Drive Amazon PCBA introductions by qualifying and securing multiple sub\-tier component sources pre\-launch, ensuring supply chain resiliency through validated alternate suppliers while meeting launch timing, cost, and quality objectives.  
* Partner with design, manufacturing teams and suppliers to implement robust product/configuration management processes, driving timely qualification of alternate sources to guarantee supply availability at launch.
* Matrix manage team members from across all functions to develop new product plans and sustaining processes. Typical functions to interact with include Global Commodity Managers, Global Supply Managers, Technical PM, SQE, Supply Chain, DFX, Finance, etc.
* Represent ISCaP with the product design teams. Use production expertise to influence and negotiate for design for supply chain.
* Communicate project status updates to various project stakeholders, including team members and executives. Synthesize a multitude of issues into a clear, concise and focused message. Present with confidence and brevity.
* Drive improved visibility around transition planning events, especially as they relate to End of Marketing (EOM), End of Sales (EOS) and End of Production (EOP).
About the team  
Diverse Experiences
AWS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Diverse Experiences  
Amazon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(diversity) conferences, inspire us to never stop embracing our uniqueness.  
Mentorship and Career Growth  
We’re continuously raising our performance bar as we strive to become Earth’s Best Employer. That’s why you’ll find endless knowledge\-sharing, mentorship and other career\-advancing resources here to help you develop into a better\-rounded professional.**BASIC QUALIFICATIONS**
------------------------
* Bachelor's degree, or Master's degree in supply chain, business, engineering, finance or related technical or quantitative field
* 2\+ years of data analysis using tools such as Excel, Pivot Tables, SQL, Tableau, or equivalent experience
* 5\+ years of PCBA Supply chain/manufacturing experience
* 6\+ years of work experience in program, project, or product management, or leading an implementation of a technical products, or 4\+ with advanced degree
**PREFERRED QUALIFICATIONS**
----------------------------
* Experience communicating and handling cross\-functional programs including project stakeholders, technical program managers, and software development teams
* 10\+ years of experience overseeing global project management teams
* MBA or advanced degree in engineering, operations research, mathematics or other quantitative disciplines
* Excellent creative thinking skills with emphasis on developing innovative solutions to solve complex problems that may not have one clear answer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$133,200/year in our lowest geographic market up to $220,200/year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49">
      <c r="A49" t="inlineStr">
        <is>
          <t>in-bb33a217f377e52b</t>
        </is>
      </c>
      <c r="B49" t="inlineStr">
        <is>
          <t>Sr. Supply Chain Product Manager, Amazon Custom Modules</t>
        </is>
      </c>
      <c r="C49" t="inlineStr">
        <is>
          <t>Amazon.com</t>
        </is>
      </c>
      <c r="D49" t="inlineStr">
        <is>
          <t>indeed</t>
        </is>
      </c>
      <c r="E49">
        <f>HYPERLINK("https://www.indeed.com/viewjob?jk=bb33a217f377e52b", "https://www.indeed.com/viewjob?jk=bb33a217f377e52b")</f>
        <v/>
      </c>
      <c r="F49">
        <f>HYPERLINK("https://www.amazon.jobs/jobs/3109372/sr-supply-chain-product-manager-amazon-custom-modules?cmpid=DA_INAD200785B", "https://www.amazon.jobs/jobs/3109372/sr-supply-chain-product-manager-amazon-custom-modules?cmpid=DA_INAD200785B")</f>
        <v/>
      </c>
      <c r="G49" t="inlineStr">
        <is>
          <t>Austin, TX, US</t>
        </is>
      </c>
      <c r="H49" s="2" t="n">
        <v>45935</v>
      </c>
      <c r="I49" t="inlineStr">
        <is>
          <t>**DESCRIPTION**
---------------
AWS Infrastructure Services owns the design, planning, delivery, and operation of all AWS global infrastructure. In other words, we’re the people who keep the cloud running. We support all AWS data centers and all of the servers, storage, networking, power, and cooling equipment that ensure our customers have continual access to the innovation they rely on. We work on the most challenging problems, with thousands of variables impacting the supply chain — and we’re looking for talented people who want to help.
You’ll join a diverse team of software, hardware, and network engineers, supply chain specialists, security experts, operations managers, and other vital roles. You’ll collaborate with people across AWS to help us deliver the highest standards for safety and security while providing seemingly infinite capacity at the lowest possible cost for our customers. And you’ll experience an inclusive culture that welcomes bold ideas and empowers you to own them to completion.  
Amazon Web Services (AWS) provides a highly reliable, scalable, and low\-cost cloud platform that powers thousands of businesses in over 190 countries. AWS’ Infrastructure Supply Chain \&amp; Procurement (ISCaP) organization works to deliver solutions to source, build and maintain our socially responsible data center supply chains. We are a team of highly\-motivated, engaged, and responsive professionals who enable the core sustainable infrastructure of AWS. Come join our team and be a part of history as we deliver results for the largest cloud services company on Earth!  
WS is looking for an experienced professional who loves technology, is hungry for driving change and looking to make a Global impact. Come armed with your knowledge for a position where you will own, build, and run technology sourcing and operations and engage with multiple teams to drive plans and execution to satisfy the demanding needs of a high growth industry impacting markets worldwide. This is a great opportunity for someone who obsesses over customers, thinks long\-term and get things done.  
Our AWS procurement team is looking for a results\-oriented individual to assume responsibility for launching new Printed Circuit Board Assembly (PCBA) products, geography expansions and contract manufacturing. Our Supply Chain Product Managers are responsible for developing Alternate or Multi Sourcing Strategies and clear action plans to support the launch of new products and sustainment of existing products as we meet and exceed customer demand. In this role you will lead internal and supplier engagements across Supply Chain, Engineering and Business organizations while diving deep into the technologies and operations both from a product and Supply Chain perspective. You will analyze trends involving the industry players – vendors, customers, and technology to develop strategies to reduce cost, minimize risk, protect continuity of supply, and utilize emerging opportunities, allowing AWS to meet and exceed its goals.  
Skills:  
* Extensive knowledge of supply chain, PCBA manufacturing, product lifecycle management, roadmap planning, and product requirement decision making.
* Entrepreneurial drive, and proven ability take ownership and influence others.
* Proven ability to drive cohesion and collaboration among many different people \&amp; functions.
* Exceptional communication skills which includes clear written and verbal communication as well as the ability to listen effectively.
* Excellent creative thinking skills with emphasis on developing innovative solutions to solve complex problems that may not have one clear answer.
* Demonstrable capability to negotiate requirements and decisions effectively across a diverse range of teams and to lead through influence.
* Proven ability to execute in all phases of the product development life cycle, resulting in high\-quality hardware products, delivered on time.
* Demonstrated ability to work in a self\-directed manner, seeking out areas that need attention, rather than being asked to look at specific problem areas.
Key job responsibilities  
Drive Amazon PCBA introductions by qualifying and securing multiple sub\-tier component sources pre\-launch, ensuring supply chain resiliency through validated alternate suppliers while meeting launch timing, cost, and quality objectives.  
* Partner with design, manufacturing teams and suppliers to implement robust product/configuration management processes, driving timely qualification of alternate sources to guarantee supply availability at launch.
* Matrix manage team members from across all functions to develop new product plans and sustaining processes. Typical functions to interact with include Global Commodity Managers, Global Supply Managers, Technical PM, SQE, Supply Chain, DFX, Finance, etc.
* Represent ISCaP with the product design teams. Use production expertise to influence and negotiate for design for supply chain.
* Communicate project status updates to various project stakeholders, including team members and executives. Synthesize a multitude of issues into a clear, concise and focused message. Present with confidence and brevity.
* Drive improved visibility around transition planning events, especially as they relate to End of Marketing (EOM), End of Sales (EOS) and End of Production (EOP).
About the team  
Diverse Experiences
AWS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Diverse Experiences  
Amazon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(diversity) conferences, inspire us to never stop embracing our uniqueness.  
Mentorship and Career Growth  
We’re continuously raising our performance bar as we strive to become Earth’s Best Employer. That’s why you’ll find endless knowledge\-sharing, mentorship and other career\-advancing resources here to help you develop into a better\-rounded professional.**BASIC QUALIFICATIONS**
------------------------
* Bachelor's degree, or Master's degree in supply chain, business, engineering, finance or related technical or quantitative field
* 2\+ years of data analysis using tools such as Excel, Pivot Tables, SQL, Tableau, or equivalent experience
* 5\+ years of PCBA Supply chain/manufacturing experience
* 6\+ years of work experience in program, project, or product management, or leading an implementation of a technical products, or 4\+ with advanced degree
**PREFERRED QUALIFICATIONS**
----------------------------
* Experience communicating and handling cross\-functional programs including project stakeholders, technical program managers, and software development teams
* 10\+ years of experience overseeing global project management teams
* MBA or advanced degree in engineering, operations research, mathematics or other quantitative disciplines
* Excellent creative thinking skills with emphasis on developing innovative solutions to solve complex problems that may not have one clear answer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$133,200/year in our lowest geographic market up to $220,200/year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0">
      <c r="A50" t="inlineStr">
        <is>
          <t>in-ada6d1d30a67ed5a</t>
        </is>
      </c>
      <c r="B50" t="inlineStr">
        <is>
          <t>Sr. Supply Chain Product Manager, Amazon Custom Modules</t>
        </is>
      </c>
      <c r="C50" t="inlineStr">
        <is>
          <t>Amazon.com</t>
        </is>
      </c>
      <c r="D50" t="inlineStr">
        <is>
          <t>indeed</t>
        </is>
      </c>
      <c r="E50">
        <f>HYPERLINK("https://www.indeed.com/viewjob?jk=ada6d1d30a67ed5a", "https://www.indeed.com/viewjob?jk=ada6d1d30a67ed5a")</f>
        <v/>
      </c>
      <c r="F50">
        <f>HYPERLINK("https://www.amazon.jobs/jobs/3109372/sr-supply-chain-product-manager-amazon-custom-modules?cmpid=DA_INAD200785B", "https://www.amazon.jobs/jobs/3109372/sr-supply-chain-product-manager-amazon-custom-modules?cmpid=DA_INAD200785B")</f>
        <v/>
      </c>
      <c r="G50" t="inlineStr">
        <is>
          <t>Seattle, WA, US</t>
        </is>
      </c>
      <c r="H50" s="2" t="n">
        <v>45935</v>
      </c>
      <c r="I50" t="inlineStr">
        <is>
          <t>**DESCRIPTION**
---------------
AWS Infrastructure Services owns the design, planning, delivery, and operation of all AWS global infrastructure. In other words, we’re the people who keep the cloud running. We support all AWS data centers and all of the servers, storage, networking, power, and cooling equipment that ensure our customers have continual access to the innovation they rely on. We work on the most challenging problems, with thousands of variables impacting the supply chain — and we’re looking for talented people who want to help.
You’ll join a diverse team of software, hardware, and network engineers, supply chain specialists, security experts, operations managers, and other vital roles. You’ll collaborate with people across AWS to help us deliver the highest standards for safety and security while providing seemingly infinite capacity at the lowest possible cost for our customers. And you’ll experience an inclusive culture that welcomes bold ideas and empowers you to own them to completion.  
Amazon Web Services (AWS) provides a highly reliable, scalable, and low\-cost cloud platform that powers thousands of businesses in over 190 countries. AWS’ Infrastructure Supply Chain \&amp; Procurement (ISCaP) organization works to deliver solutions to source, build and maintain our socially responsible data center supply chains. We are a team of highly\-motivated, engaged, and responsive professionals who enable the core sustainable infrastructure of AWS. Come join our team and be a part of history as we deliver results for the largest cloud services company on Earth!  
WS is looking for an experienced professional who loves technology, is hungry for driving change and looking to make a Global impact. Come armed with your knowledge for a position where you will own, build, and run technology sourcing and operations and engage with multiple teams to drive plans and execution to satisfy the demanding needs of a high growth industry impacting markets worldwide. This is a great opportunity for someone who obsesses over customers, thinks long\-term and get things done.  
Our AWS procurement team is looking for a results\-oriented individual to assume responsibility for launching new Printed Circuit Board Assembly (PCBA) products, geography expansions and contract manufacturing. Our Supply Chain Product Managers are responsible for developing Alternate or Multi Sourcing Strategies and clear action plans to support the launch of new products and sustainment of existing products as we meet and exceed customer demand. In this role you will lead internal and supplier engagements across Supply Chain, Engineering and Business organizations while diving deep into the technologies and operations both from a product and Supply Chain perspective. You will analyze trends involving the industry players – vendors, customers, and technology to develop strategies to reduce cost, minimize risk, protect continuity of supply, and utilize emerging opportunities, allowing AWS to meet and exceed its goals.  
Skills:  
* Extensive knowledge of supply chain, PCBA manufacturing, product lifecycle management, roadmap planning, and product requirement decision making.
* Entrepreneurial drive, and proven ability take ownership and influence others.
* Proven ability to drive cohesion and collaboration among many different people \&amp; functions.
* Exceptional communication skills which includes clear written and verbal communication as well as the ability to listen effectively.
* Excellent creative thinking skills with emphasis on developing innovative solutions to solve complex problems that may not have one clear answer.
* Demonstrable capability to negotiate requirements and decisions effectively across a diverse range of teams and to lead through influence.
* Proven ability to execute in all phases of the product development life cycle, resulting in high\-quality hardware products, delivered on time.
* Demonstrated ability to work in a self\-directed manner, seeking out areas that need attention, rather than being asked to look at specific problem areas.
Key job responsibilities  
Drive Amazon PCBA introductions by qualifying and securing multiple sub\-tier component sources pre\-launch, ensuring supply chain resiliency through validated alternate suppliers while meeting launch timing, cost, and quality objectives.  
* Partner with design, manufacturing teams and suppliers to implement robust product/configuration management processes, driving timely qualification of alternate sources to guarantee supply availability at launch.
* Matrix manage team members from across all functions to develop new product plans and sustaining processes. Typical functions to interact with include Global Commodity Managers, Global Supply Managers, Technical PM, SQE, Supply Chain, DFX, Finance, etc.
* Represent ISCaP with the product design teams. Use production expertise to influence and negotiate for design for supply chain.
* Communicate project status updates to various project stakeholders, including team members and executives. Synthesize a multitude of issues into a clear, concise and focused message. Present with confidence and brevity.
* Drive improved visibility around transition planning events, especially as they relate to End of Marketing (EOM), End of Sales (EOS) and End of Production (EOP).
About the team  
Diverse Experiences
AWS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Diverse Experiences  
Amazon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(diversity) conferences, inspire us to never stop embracing our uniqueness.  
Mentorship and Career Growth  
We’re continuously raising our performance bar as we strive to become Earth’s Best Employer. That’s why you’ll find endless knowledge\-sharing, mentorship and other career\-advancing resources here to help you develop into a better\-rounded professional.**BASIC QUALIFICATIONS**
------------------------
* Bachelor's degree, or Master's degree in supply chain, business, engineering, finance or related technical or quantitative field
* 2\+ years of data analysis using tools such as Excel, Pivot Tables, SQL, Tableau, or equivalent experience
* 5\+ years of PCBA Supply chain/manufacturing experience
* 6\+ years of work experience in program, project, or product management, or leading an implementation of a technical products, or 4\+ with advanced degree
**PREFERRED QUALIFICATIONS**
----------------------------
* Experience communicating and handling cross\-functional programs including project stakeholders, technical program managers, and software development teams
* 10\+ years of experience overseeing global project management teams
* MBA or advanced degree in engineering, operations research, mathematics or other quantitative disciplines
* Excellent creative thinking skills with emphasis on developing innovative solutions to solve complex problems that may not have one clear answer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$133,200/year in our lowest geographic market up to $220,200/year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1">
      <c r="A51" t="inlineStr">
        <is>
          <t>in-05bdc005b88b6340</t>
        </is>
      </c>
      <c r="B51" t="inlineStr">
        <is>
          <t>Sr. Program Manager, Same Day Programs,</t>
        </is>
      </c>
      <c r="C51" t="inlineStr">
        <is>
          <t>Amazon.com</t>
        </is>
      </c>
      <c r="D51" t="inlineStr">
        <is>
          <t>indeed</t>
        </is>
      </c>
      <c r="E51">
        <f>HYPERLINK("https://www.indeed.com/viewjob?jk=05bdc005b88b6340", "https://www.indeed.com/viewjob?jk=05bdc005b88b6340")</f>
        <v/>
      </c>
      <c r="F51">
        <f>HYPERLINK("https://www.amazon.jobs/jobs/3106368/sr-program-manager-same-day-programs--?cmpid=DA_INAD200785B", "https://www.amazon.jobs/jobs/3106368/sr-program-manager-same-day-programs--?cmpid=DA_INAD200785B")</f>
        <v/>
      </c>
      <c r="G51" t="inlineStr">
        <is>
          <t>Bellevue, WA, US</t>
        </is>
      </c>
      <c r="H51" s="2" t="n">
        <v>45931</v>
      </c>
      <c r="I51" t="inlineStr">
        <is>
          <t>**DESCRIPTION**
---------------
Rapid and Rural Logistics is looking for a Sr. Program Manager with a delivery record and proven project management experience to own and execute strategic, cross\-functional operations and technology projects for our faster than Same Day operations. Robust understanding of fulfillment operations including under\-the\-roof processes, inventory flows, constrained FC assets (capacity and labor), quality, and long term roadmaps will help develop new innovations. This role will play a critical role in the expansion of the sub\-same day program. It requires a high\-level of ownership over the end\-to\-end process, the ability to think outside of the box, willingness to disrupt the current processes to create a new process, the ability to design sustainable solutions and influence stakeholders. This role requires scoping large ambiguous projects, managing to project timelines, and communicating to senior management on status, risks, and process/product changes. Cross\-team coordination, project management and executive presentation skills are essential.  
This role can be located in Bellevue or Nashville corporate offices.  
Key job responsibilities  
Key job responsibilities  
* Driving innovation that improves the under\-the\-roof processes and continuously removes cost from our fulfillment and delivery network
* Partnering with cross\-functional teams to plan, organize, execute, and standardize complex projects to achieve 2025\+ variable cost and quality goals
* Gathering and analyzing data across fulfillment and delivery functions to establish global standards for operations and other cross functional teams
* Analyzing and solving operational barriers with a focus on understanding root causes and driving forward opportunities
* Developing Amazon best practices for internal operations
* Leveraging analytics to support the future state of the business
The Sr. Program Manager will also demonstrate:  
* Confidence operating in a highly ambiguous and iterative business space
* High attention to detail including proven ability to manage multiple, competing priorities simultaneously
* Willingness to challenge and influence big leaders
* Ability to think strategically and execute methodically
* Ability to work in a fast\-paced environment where continuous innovation is desired
* Demonstrated analytical and quantitative skills and ability to use hard data and metrics to back up assumptions and develop business cases
* Ability to clearly communicate data insights to others
**BASIC QUALIFICATIONS**
------------------------
* Bachelor's degree
* 5\+ years of program or project management experience
* Experience using data and metrics to determine and drive improvements
* Experience owning program strategy, end to end delivery, and communicating results to senior leadership
* Experience with complex automated material handling equipment, packaging technologies, and systems and high\-speed manufacturing
**PREFERRED QUALIFICATIONS**
----------------------------
* 2\+ years of driving process improvements experience
* Master's degree, or MBA in business, operations, human resources, adult education, organizational development, instructional design or related field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$104,100/year in our lowest geographic market up to $185,000/year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2">
      <c r="A52" t="inlineStr">
        <is>
          <t>in-3d59abced03965c6</t>
        </is>
      </c>
      <c r="B52" t="inlineStr">
        <is>
          <t>Sr. Program Manager, Same Day Programs,</t>
        </is>
      </c>
      <c r="C52" t="inlineStr">
        <is>
          <t>Amazon.com</t>
        </is>
      </c>
      <c r="D52" t="inlineStr">
        <is>
          <t>indeed</t>
        </is>
      </c>
      <c r="E52">
        <f>HYPERLINK("https://www.indeed.com/viewjob?jk=3d59abced03965c6", "https://www.indeed.com/viewjob?jk=3d59abced03965c6")</f>
        <v/>
      </c>
      <c r="F52">
        <f>HYPERLINK("https://www.amazon.jobs/jobs/3106368/sr-program-manager-same-day-programs--?cmpid=DA_INAD200785B", "https://www.amazon.jobs/jobs/3106368/sr-program-manager-same-day-programs--?cmpid=DA_INAD200785B")</f>
        <v/>
      </c>
      <c r="G52" t="inlineStr">
        <is>
          <t>Nashville, TN, US</t>
        </is>
      </c>
      <c r="H52" s="2" t="n">
        <v>45931</v>
      </c>
      <c r="I52" t="inlineStr">
        <is>
          <t>**DESCRIPTION**
---------------
Rapid and Rural Logistics is looking for a Sr. Program Manager with a delivery record and proven project management experience to own and execute strategic, cross\-functional operations and technology projects for our faster than Same Day operations. Robust understanding of fulfillment operations including under\-the\-roof processes, inventory flows, constrained FC assets (capacity and labor), quality, and long term roadmaps will help develop new innovations. This role will play a critical role in the expansion of the sub\-same day program. It requires a high\-level of ownership over the end\-to\-end process, the ability to think outside of the box, willingness to disrupt the current processes to create a new process, the ability to design sustainable solutions and influence stakeholders. This role requires scoping large ambiguous projects, managing to project timelines, and communicating to senior management on status, risks, and process/product changes. Cross\-team coordination, project management and executive presentation skills are essential.  
This role can be located in Bellevue or Nashville corporate offices.  
Key job responsibilities  
Key job responsibilities  
* Driving innovation that improves the under\-the\-roof processes and continuously removes cost from our fulfillment and delivery network
* Partnering with cross\-functional teams to plan, organize, execute, and standardize complex projects to achieve 2025\+ variable cost and quality goals
* Gathering and analyzing data across fulfillment and delivery functions to establish global standards for operations and other cross functional teams
* Analyzing and solving operational barriers with a focus on understanding root causes and driving forward opportunities
* Developing Amazon best practices for internal operations
* Leveraging analytics to support the future state of the business
The Sr. Program Manager will also demonstrate:  
* Confidence operating in a highly ambiguous and iterative business space
* High attention to detail including proven ability to manage multiple, competing priorities simultaneously
* Willingness to challenge and influence big leaders
* Ability to think strategically and execute methodically
* Ability to work in a fast\-paced environment where continuous innovation is desired
* Demonstrated analytical and quantitative skills and ability to use hard data and metrics to back up assumptions and develop business cases
* Ability to clearly communicate data insights to others
**BASIC QUALIFICATIONS**
------------------------
* Bachelor's degree
* 5\+ years of program or project management experience
* Experience using data and metrics to determine and drive improvements
* Experience owning program strategy, end to end delivery, and communicating results to senior leadership
* Experience with complex automated material handling equipment, packaging technologies, and systems and high\-speed manufacturing
**PREFERRED QUALIFICATIONS**
----------------------------
* 2\+ years of driving process improvements experience
* Master's degree, or MBA in business, operations, human resources, adult education, organizational development, instructional design or related field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$104,100/year in our lowest geographic market up to $185,000/year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3">
      <c r="A53" t="inlineStr">
        <is>
          <t>in-c122a261decac4ff</t>
        </is>
      </c>
      <c r="B53" t="inlineStr">
        <is>
          <t>Tech Infrastructure Program Manager - AV , IT Services - CIS</t>
        </is>
      </c>
      <c r="C53" t="inlineStr">
        <is>
          <t>Amazon.com</t>
        </is>
      </c>
      <c r="D53" t="inlineStr">
        <is>
          <t>indeed</t>
        </is>
      </c>
      <c r="E53">
        <f>HYPERLINK("https://www.indeed.com/viewjob?jk=c122a261decac4ff", "https://www.indeed.com/viewjob?jk=c122a261decac4ff")</f>
        <v/>
      </c>
      <c r="F53">
        <f>HYPERLINK("https://www.amazon.jobs/jobs/3114622/tech-infrastructure-program-manager--av--it-services--cis?cmpid=DA_INAD200785B", "https://www.amazon.jobs/jobs/3114622/tech-infrastructure-program-manager--av--it-services--cis?cmpid=DA_INAD200785B")</f>
        <v/>
      </c>
      <c r="G53" t="inlineStr">
        <is>
          <t>Arlington, VA, US</t>
        </is>
      </c>
      <c r="H53" s="2" t="n">
        <v>45923</v>
      </c>
      <c r="I53" t="inlineStr">
        <is>
          <t>**DESCRIPTION**
---------------
Are you interested in a challenge that will reward your unique blend of strategy and technology skills? Do you enjoy the challenge and ownership that comes from delivering large, cross\-functional, AV/IT projects? As a Technical Infrastructure Program Manager (TIPM), you will have the opportunity to play a pivotal role in the future of our infrastructure deployment, to ensure our customers receive the right outcomes. You will have the opportunity to be central in addressing significant business\-impacting processes and products.  
In this role, you will be responsible for identifying, scoping, and delivering the AV solutions with the agreed success measures, budget, schedule and quality. You will develop and improve processes to deliver standard and non\-standard AV infrastructure programs, supporting Amazon’s growth in new and existing offices. You will be the primary point of contact within the team and for the cross\-function teams, to drive the AV intake and design function successfully.  
The right candidate possesses a strong technical background on AV infrastructure, but also knows the core networking elements which represent a requirement to a successful AV infrastructure deployment. The right candidate possesses effective written and verbal communication, program and project management experience. High judgment, ability to influence, and delivering results are essential to success in this role.  
Key job responsibilities  
The key job functions of the Technical Infrastructure Program Manager are:  
Own the identification, scoping, and delivery strategy for the AV solutions in Amazon offices.  
Own projects and initiatives having regional impact, including project schedules and milestones.  
Effectively manage stakeholders to successfully deliver the agreed scope.  
Understand and identify technical obstacles to successfully deliver the designed architecture, identify and mitigate risks.  
Assess costs and benefits and maintain financial reporting control.  
Manage escalation, anticipate and make tradeoffs and balance business needs with technical constraints.  
Clearly communicate project and program status, responsibilities and issues to stakeholders  
A day in the life  
Reviewing AV requests from customers, ensuring that required information is available to understand the Ask. Working on new designs, collaborating with customers and stakeholder teams, designing AV installations to standards. Removing blockers, and handling customer concerns and escalations. Timely updating of project work through the tracking tool, ensuring that updates are concise, but informative for senior management and customers. Working on cross collaboration projects that need AV expertise and guidance in the AV field.  
About the team  
About the team  
The Corporate Infrastructure Services team (CIS) is part of the IT Services organization that supports all Amazonians at corporate offices. CIS designs, plan, builds, maintains and deprecates the infrastructure in all corporate offices worldwide. This includes running Amazon’s corporate campus \&amp; building infrastructure worldwide. We are passionate about ensuring our customers receive world class IT Services and making sure they have the best possible experience while working from the office.
**BASIC QUALIFICATIONS**
------------------------
* 3\+ years of technical infrastructure management experience
* Knowledge of best practices and emerging technologies, related to infrastructure (i.e. network, data center, hardware, software)
* Experience with varying scenarios of infrastructure builds
* 2\+ Years’ Experience of managing cross\-functional AV Infrastructure projects.
* 2\+ Years’ Experience of Managing Enterprise Level AV Services \[Support, Design, Hardware Deployment]
**PREFERRED QUALIFICATIONS**
----------------------------
* 3\+ years of working directly with engineering teams experience
* 5\+ Years’ Experience of Enterprise Level Program Management \[leading or operating]
* 5\+ Years’ Experience of Managing Enterprise Level AV Infrastructure
* Exposure to multiple project management methodologies is a plus.
* Experience with information security, relational databases and cloud computing.
* Experience within complex organizational settings (e.g., geographic dispersion).
* Familiarity with information security, relational databases and cloud computing
* Excellent organization, quantitative, and presentation skills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$114,400/year in our lowest geographic market up to $205,500/year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4">
      <c r="A54" t="inlineStr">
        <is>
          <t>in-54a0e7273331d420</t>
        </is>
      </c>
      <c r="B54" t="inlineStr">
        <is>
          <t>Tech Infrastructure Program Manager - AV , IT Services - CIS</t>
        </is>
      </c>
      <c r="C54" t="inlineStr">
        <is>
          <t>Amazon.com</t>
        </is>
      </c>
      <c r="D54" t="inlineStr">
        <is>
          <t>indeed</t>
        </is>
      </c>
      <c r="E54">
        <f>HYPERLINK("https://www.indeed.com/viewjob?jk=54a0e7273331d420", "https://www.indeed.com/viewjob?jk=54a0e7273331d420")</f>
        <v/>
      </c>
      <c r="F54">
        <f>HYPERLINK("https://www.amazon.jobs/jobs/3114622/tech-infrastructure-program-manager--av--it-services--cis?cmpid=DA_INAD200785B", "https://www.amazon.jobs/jobs/3114622/tech-infrastructure-program-manager--av--it-services--cis?cmpid=DA_INAD200785B")</f>
        <v/>
      </c>
      <c r="G54" t="inlineStr">
        <is>
          <t>Austin, TX, US</t>
        </is>
      </c>
      <c r="H54" s="2" t="n">
        <v>45923</v>
      </c>
      <c r="I54" t="inlineStr">
        <is>
          <t>**DESCRIPTION**
---------------
Are you interested in a challenge that will reward your unique blend of strategy and technology skills? Do you enjoy the challenge and ownership that comes from delivering large, cross\-functional, AV/IT projects? As a Technical Infrastructure Program Manager (TIPM), you will have the opportunity to play a pivotal role in the future of our infrastructure deployment, to ensure our customers receive the right outcomes. You will have the opportunity to be central in addressing significant business\-impacting processes and products.  
In this role, you will be responsible for identifying, scoping, and delivering the AV solutions with the agreed success measures, budget, schedule and quality. You will develop and improve processes to deliver standard and non\-standard AV infrastructure programs, supporting Amazon’s growth in new and existing offices. You will be the primary point of contact within the team and for the cross\-function teams, to drive the AV intake and design function successfully.  
The right candidate possesses a strong technical background on AV infrastructure, but also knows the core networking elements which represent a requirement to a successful AV infrastructure deployment. The right candidate possesses effective written and verbal communication, program and project management experience. High judgment, ability to influence, and delivering results are essential to success in this role.  
Key job responsibilities  
The key job functions of the Technical Infrastructure Program Manager are:  
Own the identification, scoping, and delivery strategy for the AV solutions in Amazon offices.  
Own projects and initiatives having regional impact, including project schedules and milestones.  
Effectively manage stakeholders to successfully deliver the agreed scope.  
Understand and identify technical obstacles to successfully deliver the designed architecture, identify and mitigate risks.  
Assess costs and benefits and maintain financial reporting control.  
Manage escalation, anticipate and make tradeoffs and balance business needs with technical constraints.  
Clearly communicate project and program status, responsibilities and issues to stakeholders  
A day in the life  
Reviewing AV requests from customers, ensuring that required information is available to understand the Ask. Working on new designs, collaborating with customers and stakeholder teams, designing AV installations to standards. Removing blockers, and handling customer concerns and escalations. Timely updating of project work through the tracking tool, ensuring that updates are concise, but informative for senior management and customers. Working on cross collaboration projects that need AV expertise and guidance in the AV field.  
About the team  
About the team  
The Corporate Infrastructure Services team (CIS) is part of the IT Services organization that supports all Amazonians at corporate offices. CIS designs, plan, builds, maintains and deprecates the infrastructure in all corporate offices worldwide. This includes running Amazon’s corporate campus \&amp; building infrastructure worldwide. We are passionate about ensuring our customers receive world class IT Services and making sure they have the best possible experience while working from the office.
**BASIC QUALIFICATIONS**
------------------------
* 3\+ years of technical infrastructure management experience
* Knowledge of best practices and emerging technologies, related to infrastructure (i.e. network, data center, hardware, software)
* Experience with varying scenarios of infrastructure builds
* 2\+ Years’ Experience of managing cross\-functional AV Infrastructure projects.
* 2\+ Years’ Experience of Managing Enterprise Level AV Services \[Support, Design, Hardware Deployment]
**PREFERRED QUALIFICATIONS**
----------------------------
* 3\+ years of working directly with engineering teams experience
* 5\+ Years’ Experience of Enterprise Level Program Management \[leading or operating]
* 5\+ Years’ Experience of Managing Enterprise Level AV Infrastructure
* Exposure to multiple project management methodologies is a plus.
* Experience with information security, relational databases and cloud computing.
* Experience within complex organizational settings (e.g., geographic dispersion).
* Familiarity with information security, relational databases and cloud computing
* Excellent organization, quantitative, and presentation skills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$114,400/year in our lowest geographic market up to $205,500/year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5">
      <c r="A55" t="inlineStr">
        <is>
          <t>in-ee64baa71a25c130</t>
        </is>
      </c>
      <c r="B55" t="inlineStr">
        <is>
          <t>Tech Infrastructure Program Manager - AV , IT Services - CIS</t>
        </is>
      </c>
      <c r="C55" t="inlineStr">
        <is>
          <t>Amazon.com</t>
        </is>
      </c>
      <c r="D55" t="inlineStr">
        <is>
          <t>indeed</t>
        </is>
      </c>
      <c r="E55">
        <f>HYPERLINK("https://www.indeed.com/viewjob?jk=ee64baa71a25c130", "https://www.indeed.com/viewjob?jk=ee64baa71a25c130")</f>
        <v/>
      </c>
      <c r="F55">
        <f>HYPERLINK("https://www.amazon.jobs/jobs/3114622/tech-infrastructure-program-manager--av--it-services--cis?cmpid=DA_INAD200785B", "https://www.amazon.jobs/jobs/3114622/tech-infrastructure-program-manager--av--it-services--cis?cmpid=DA_INAD200785B")</f>
        <v/>
      </c>
      <c r="G55" t="inlineStr">
        <is>
          <t>Seattle, WA, US</t>
        </is>
      </c>
      <c r="H55" s="2" t="n">
        <v>45923</v>
      </c>
      <c r="I55" t="inlineStr">
        <is>
          <t>**DESCRIPTION**
---------------
Are you interested in a challenge that will reward your unique blend of strategy and technology skills? Do you enjoy the challenge and ownership that comes from delivering large, cross\-functional, AV/IT projects? As a Technical Infrastructure Program Manager (TIPM), you will have the opportunity to play a pivotal role in the future of our infrastructure deployment, to ensure our customers receive the right outcomes. You will have the opportunity to be central in addressing significant business\-impacting processes and products.  
In this role, you will be responsible for identifying, scoping, and delivering the AV solutions with the agreed success measures, budget, schedule and quality. You will develop and improve processes to deliver standard and non\-standard AV infrastructure programs, supporting Amazon’s growth in new and existing offices. You will be the primary point of contact within the team and for the cross\-function teams, to drive the AV intake and design function successfully.  
The right candidate possesses a strong technical background on AV infrastructure, but also knows the core networking elements which represent a requirement to a successful AV infrastructure deployment. The right candidate possesses effective written and verbal communication, program and project management experience. High judgment, ability to influence, and delivering results are essential to success in this role.  
Key job responsibilities  
The key job functions of the Technical Infrastructure Program Manager are:  
Own the identification, scoping, and delivery strategy for the AV solutions in Amazon offices.  
Own projects and initiatives having regional impact, including project schedules and milestones.  
Effectively manage stakeholders to successfully deliver the agreed scope.  
Understand and identify technical obstacles to successfully deliver the designed architecture, identify and mitigate risks.  
Assess costs and benefits and maintain financial reporting control.  
Manage escalation, anticipate and make tradeoffs and balance business needs with technical constraints.  
Clearly communicate project and program status, responsibilities and issues to stakeholders  
A day in the life  
Reviewing AV requests from customers, ensuring that required information is available to understand the Ask. Working on new designs, collaborating with customers and stakeholder teams, designing AV installations to standards. Removing blockers, and handling customer concerns and escalations. Timely updating of project work through the tracking tool, ensuring that updates are concise, but informative for senior management and customers. Working on cross collaboration projects that need AV expertise and guidance in the AV field.  
About the team  
About the team  
The Corporate Infrastructure Services team (CIS) is part of the IT Services organization that supports all Amazonians at corporate offices. CIS designs, plan, builds, maintains and deprecates the infrastructure in all corporate offices worldwide. This includes running Amazon’s corporate campus \&amp; building infrastructure worldwide. We are passionate about ensuring our customers receive world class IT Services and making sure they have the best possible experience while working from the office.
**BASIC QUALIFICATIONS**
------------------------
* 3\+ years of technical infrastructure management experience
* Knowledge of best practices and emerging technologies, related to infrastructure (i.e. network, data center, hardware, software)
* Experience with varying scenarios of infrastructure builds
* 2\+ Years’ Experience of managing cross\-functional AV Infrastructure projects.
* 2\+ Years’ Experience of Managing Enterprise Level AV Services \[Support, Design, Hardware Deployment]
**PREFERRED QUALIFICATIONS**
----------------------------
* 3\+ years of working directly with engineering teams experience
* 5\+ Years’ Experience of Enterprise Level Program Management \[leading or operating]
* 5\+ Years’ Experience of Managing Enterprise Level AV Infrastructure
* Exposure to multiple project management methodologies is a plus.
* Experience with information security, relational databases and cloud computing.
* Experience within complex organizational settings (e.g., geographic dispersion).
* Familiarity with information security, relational databases and cloud computing
* Excellent organization, quantitative, and presentation skills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$114,400/year in our lowest geographic market up to $205,500/year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6">
      <c r="A56" t="inlineStr">
        <is>
          <t>in-dc2f390449832c4d</t>
        </is>
      </c>
      <c r="B56" t="inlineStr">
        <is>
          <t>Tech Infrastructure Program Manager - AV , IT Services - CIS</t>
        </is>
      </c>
      <c r="C56" t="inlineStr">
        <is>
          <t>Amazon.com</t>
        </is>
      </c>
      <c r="D56" t="inlineStr">
        <is>
          <t>indeed</t>
        </is>
      </c>
      <c r="E56">
        <f>HYPERLINK("https://www.indeed.com/viewjob?jk=dc2f390449832c4d", "https://www.indeed.com/viewjob?jk=dc2f390449832c4d")</f>
        <v/>
      </c>
      <c r="F56">
        <f>HYPERLINK("https://www.amazon.jobs/jobs/3114622/tech-infrastructure-program-manager--av--it-services--cis?cmpid=DA_INAD200785B", "https://www.amazon.jobs/jobs/3114622/tech-infrastructure-program-manager--av--it-services--cis?cmpid=DA_INAD200785B")</f>
        <v/>
      </c>
      <c r="G56" t="inlineStr">
        <is>
          <t>Sunnyvale, CA, US</t>
        </is>
      </c>
      <c r="H56" s="2" t="n">
        <v>45923</v>
      </c>
      <c r="I56" t="inlineStr">
        <is>
          <t>**DESCRIPTION**
---------------
Are you interested in a challenge that will reward your unique blend of strategy and technology skills? Do you enjoy the challenge and ownership that comes from delivering large, cross\-functional, AV/IT projects? As a Technical Infrastructure Program Manager (TIPM), you will have the opportunity to play a pivotal role in the future of our infrastructure deployment, to ensure our customers receive the right outcomes. You will have the opportunity to be central in addressing significant business\-impacting processes and products.  
In this role, you will be responsible for identifying, scoping, and delivering the AV solutions with the agreed success measures, budget, schedule and quality. You will develop and improve processes to deliver standard and non\-standard AV infrastructure programs, supporting Amazon’s growth in new and existing offices. You will be the primary point of contact within the team and for the cross\-function teams, to drive the AV intake and design function successfully.  
The right candidate possesses a strong technical background on AV infrastructure, but also knows the core networking elements which represent a requirement to a successful AV infrastructure deployment. The right candidate possesses effective written and verbal communication, program and project management experience. High judgment, ability to influence, and delivering results are essential to success in this role.  
Key job responsibilities  
The key job functions of the Technical Infrastructure Program Manager are:  
Own the identification, scoping, and delivery strategy for the AV solutions in Amazon offices.  
Own projects and initiatives having regional impact, including project schedules and milestones.  
Effectively manage stakeholders to successfully deliver the agreed scope.  
Understand and identify technical obstacles to successfully deliver the designed architecture, identify and mitigate risks.  
Assess costs and benefits and maintain financial reporting control.  
Manage escalation, anticipate and make tradeoffs and balance business needs with technical constraints.  
Clearly communicate project and program status, responsibilities and issues to stakeholders  
A day in the life  
Reviewing AV requests from customers, ensuring that required information is available to understand the Ask. Working on new designs, collaborating with customers and stakeholder teams, designing AV installations to standards. Removing blockers, and handling customer concerns and escalations. Timely updating of project work through the tracking tool, ensuring that updates are concise, but informative for senior management and customers. Working on cross collaboration projects that need AV expertise and guidance in the AV field.  
About the team  
About the team  
The Corporate Infrastructure Services team (CIS) is part of the IT Services organization that supports all Amazonians at corporate offices. CIS designs, plan, builds, maintains and deprecates the infrastructure in all corporate offices worldwide. This includes running Amazon’s corporate campus \&amp; building infrastructure worldwide. We are passionate about ensuring our customers receive world class IT Services and making sure they have the best possible experience while working from the office.
**BASIC QUALIFICATIONS**
------------------------
* 3\+ years of technical infrastructure management experience
* Knowledge of best practices and emerging technologies, related to infrastructure (i.e. network, data center, hardware, software)
* Experience with varying scenarios of infrastructure builds
* 2\+ Years’ Experience of managing cross\-functional AV Infrastructure projects.
* 2\+ Years’ Experience of Managing Enterprise Level AV Services \[Support, Design, Hardware Deployment]
**PREFERRED QUALIFICATIONS**
----------------------------
* 3\+ years of working directly with engineering teams experience
* 5\+ Years’ Experience of Enterprise Level Program Management \[leading or operating]
* 5\+ Years’ Experience of Managing Enterprise Level AV Infrastructure
* Exposure to multiple project management methodologies is a plus.
* Experience with information security, relational databases and cloud computing.
* Experience within complex organizational settings (e.g., geographic dispersion).
* Familiarity with information security, relational databases and cloud computing
* Excellent organization, quantitative, and presentation skills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$114,400/year in our lowest geographic market up to $205,500/year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7">
      <c r="A57" t="inlineStr">
        <is>
          <t>in-3d37a27c1c8c21be</t>
        </is>
      </c>
      <c r="B57" t="inlineStr">
        <is>
          <t>Amazon Last Mile Fleet Program Manager, In Life Services-Recalls, Retrofits, and Tires</t>
        </is>
      </c>
      <c r="C57" t="inlineStr">
        <is>
          <t>Amazon.com</t>
        </is>
      </c>
      <c r="D57" t="inlineStr">
        <is>
          <t>indeed</t>
        </is>
      </c>
      <c r="E57">
        <f>HYPERLINK("https://www.indeed.com/viewjob?jk=3d37a27c1c8c21be", "https://www.indeed.com/viewjob?jk=3d37a27c1c8c21be")</f>
        <v/>
      </c>
      <c r="F57">
        <f>HYPERLINK("https://www.amazon.jobs/jobs/3083275/amazon-last-mile-fleet-program-manager-in-life-servicesrecalls-retrofits-and-tires?cmpid=DA_INAD200785B", "https://www.amazon.jobs/jobs/3083275/amazon-last-mile-fleet-program-manager-in-life-servicesrecalls-retrofits-and-tires?cmpid=DA_INAD200785B")</f>
        <v/>
      </c>
      <c r="G57" t="inlineStr">
        <is>
          <t>Arlington, VA, US</t>
        </is>
      </c>
      <c r="H57" s="2" t="n">
        <v>45911</v>
      </c>
      <c r="I57" t="inlineStr">
        <is>
          <t>**DESCRIPTION**
---------------
Amazon Worldwide Operations Last Mile is looking for a Senior Program Manager, to own strategic, tactical, cross\-functional and technology projects and programs within Amazon Logistics in OEM recalls and aftermarket vehicle retrofits. In this role, the individual will need to be able to work cross\-functionally with internal and external stakeholders in order to improve vehicle uptime and optimization while eliminating barriers for our internal customers. You will be the owner leading various initiatives building out products from scratch.  
Travel up to 20% travel  
Key job responsibilities  
* Build a program from theoretical to an efficient and sustainable process
* Scope, create, and drive project plans and budgets
* Communicate to Senior Management on status, risks and process/product changes
* Manage full lifecycle of complex cross\-functional programs with considerable impact across multiple organizations
* Development of the overall program strategy, tactically driving teams in and outside of your organization to deliver
* Define the program (mission, vision, tenets), set objectives, analyze data and drive improvements that are quantified with metrics
* Work autonomously in an ambiguous environment, seeking to understand business problems, and automation limitations
* Partner with customers, internal/external teams, and engineering teams to determine what projects move forward and in what priority order
* Oversee gaps between teams, processes and systems, helping teams reduce exposure to classic failure modes (e.g., requirements not sufficiently understood or documented, ineffective cross\-team collaboration, long\-term impact(s) from third\-party solutions, security not considered, insufficient stakeholder review, etc.)
* Work with vendors, business leaders and executive team to communicate and impact critical business initiatives
* Develop, implement, and govern KPI reporting for a portfolio of programs the milestones
* Manage vendors and built sustainable mechanisms to drive program efficiencies.
**BASIC QUALIFICATIONS**
------------------------
* 5\+ years of program or project management experience
* Experience using data and metrics to determine and drive improvements
* Experience owning program strategy, end to end delivery, and communicating results to senior leadership
**PREFERRED QUALIFICATIONS**
----------------------------
* 2\+ years of driving process improvements experience
* Master's degree, or MBA in business, operations, human resources, adult education, organizational development, instructional design or related field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$104,100/year in our lowest geographic market up to $185,000/year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8">
      <c r="A58" t="inlineStr">
        <is>
          <t>in-c03ce6bbfbf1798d</t>
        </is>
      </c>
      <c r="B58" t="inlineStr">
        <is>
          <t>Amazon Last Mile Fleet Program Manager, In Life Services-Recalls, Retrofits, and Tires</t>
        </is>
      </c>
      <c r="C58" t="inlineStr">
        <is>
          <t>Amazon.com</t>
        </is>
      </c>
      <c r="D58" t="inlineStr">
        <is>
          <t>indeed</t>
        </is>
      </c>
      <c r="E58">
        <f>HYPERLINK("https://www.indeed.com/viewjob?jk=c03ce6bbfbf1798d", "https://www.indeed.com/viewjob?jk=c03ce6bbfbf1798d")</f>
        <v/>
      </c>
      <c r="F58">
        <f>HYPERLINK("https://www.amazon.jobs/jobs/3083275/amazon-last-mile-fleet-program-manager-in-life-servicesrecalls-retrofits-and-tires?cmpid=DA_INAD200785B", "https://www.amazon.jobs/jobs/3083275/amazon-last-mile-fleet-program-manager-in-life-servicesrecalls-retrofits-and-tires?cmpid=DA_INAD200785B")</f>
        <v/>
      </c>
      <c r="G58" t="inlineStr">
        <is>
          <t>Nashville, TN, US</t>
        </is>
      </c>
      <c r="H58" s="2" t="n">
        <v>45911</v>
      </c>
      <c r="I58" t="inlineStr">
        <is>
          <t>**DESCRIPTION**
---------------
Amazon Worldwide Operations Last Mile is looking for a Senior Program Manager, to own strategic, tactical, cross\-functional and technology projects and programs within Amazon Logistics in OEM recalls and aftermarket vehicle retrofits. In this role, the individual will need to be able to work cross\-functionally with internal and external stakeholders in order to improve vehicle uptime and optimization while eliminating barriers for our internal customers. You will be the owner leading various initiatives building out products from scratch.  
Travel up to 20% travel  
Key job responsibilities  
* Build a program from theoretical to an efficient and sustainable process
* Scope, create, and drive project plans and budgets
* Communicate to Senior Management on status, risks and process/product changes
* Manage full lifecycle of complex cross\-functional programs with considerable impact across multiple organizations
* Development of the overall program strategy, tactically driving teams in and outside of your organization to deliver
* Define the program (mission, vision, tenets), set objectives, analyze data and drive improvements that are quantified with metrics
* Work autonomously in an ambiguous environment, seeking to understand business problems, and automation limitations
* Partner with customers, internal/external teams, and engineering teams to determine what projects move forward and in what priority order
* Oversee gaps between teams, processes and systems, helping teams reduce exposure to classic failure modes (e.g., requirements not sufficiently understood or documented, ineffective cross\-team collaboration, long\-term impact(s) from third\-party solutions, security not considered, insufficient stakeholder review, etc.)
* Work with vendors, business leaders and executive team to communicate and impact critical business initiatives
* Develop, implement, and govern KPI reporting for a portfolio of programs the milestones
* Manage vendors and built sustainable mechanisms to drive program efficiencies.
**BASIC QUALIFICATIONS**
------------------------
* 5\+ years of program or project management experience
* Experience using data and metrics to determine and drive improvements
* Experience owning program strategy, end to end delivery, and communicating results to senior leadership
**PREFERRED QUALIFICATIONS**
----------------------------
* 2\+ years of driving process improvements experience
* Master's degree, or MBA in business, operations, human resources, adult education, organizational development, instructional design or related field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$104,100/year in our lowest geographic market up to $185,000/year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9">
      <c r="A59" t="inlineStr">
        <is>
          <t>in-87cd6afdfc33687f</t>
        </is>
      </c>
      <c r="B59" t="inlineStr">
        <is>
          <t>Amazon Last Mile Fleet Program Manager, In Life Services-Recalls, Retrofits, and Tires</t>
        </is>
      </c>
      <c r="C59" t="inlineStr">
        <is>
          <t>Amazon.com</t>
        </is>
      </c>
      <c r="D59" t="inlineStr">
        <is>
          <t>indeed</t>
        </is>
      </c>
      <c r="E59">
        <f>HYPERLINK("https://www.indeed.com/viewjob?jk=87cd6afdfc33687f", "https://www.indeed.com/viewjob?jk=87cd6afdfc33687f")</f>
        <v/>
      </c>
      <c r="F59">
        <f>HYPERLINK("https://www.amazon.jobs/jobs/3083275/amazon-last-mile-fleet-program-manager-in-life-servicesrecalls-retrofits-and-tires?cmpid=DA_INAD200785B", "https://www.amazon.jobs/jobs/3083275/amazon-last-mile-fleet-program-manager-in-life-servicesrecalls-retrofits-and-tires?cmpid=DA_INAD200785B")</f>
        <v/>
      </c>
      <c r="G59" t="inlineStr">
        <is>
          <t>Bellevue, WA, US</t>
        </is>
      </c>
      <c r="H59" s="2" t="n">
        <v>45911</v>
      </c>
      <c r="I59" t="inlineStr">
        <is>
          <t>**DESCRIPTION**
---------------
Amazon Worldwide Operations Last Mile is looking for a Senior Program Manager, to own strategic, tactical, cross\-functional and technology projects and programs within Amazon Logistics in OEM recalls and aftermarket vehicle retrofits. In this role, the individual will need to be able to work cross\-functionally with internal and external stakeholders in order to improve vehicle uptime and optimization while eliminating barriers for our internal customers. You will be the owner leading various initiatives building out products from scratch.  
Travel up to 20% travel  
Key job responsibilities  
* Build a program from theoretical to an efficient and sustainable process
* Scope, create, and drive project plans and budgets
* Communicate to Senior Management on status, risks and process/product changes
* Manage full lifecycle of complex cross\-functional programs with considerable impact across multiple organizations
* Development of the overall program strategy, tactically driving teams in and outside of your organization to deliver
* Define the program (mission, vision, tenets), set objectives, analyze data and drive improvements that are quantified with metrics
* Work autonomously in an ambiguous environment, seeking to understand business problems, and automation limitations
* Partner with customers, internal/external teams, and engineering teams to determine what projects move forward and in what priority order
* Oversee gaps between teams, processes and systems, helping teams reduce exposure to classic failure modes (e.g., requirements not sufficiently understood or documented, ineffective cross\-team collaboration, long\-term impact(s) from third\-party solutions, security not considered, insufficient stakeholder review, etc.)
* Work with vendors, business leaders and executive team to communicate and impact critical business initiatives
* Develop, implement, and govern KPI reporting for a portfolio of programs the milestones
* Manage vendors and built sustainable mechanisms to drive program efficiencies.
**BASIC QUALIFICATIONS**
------------------------
* 5\+ years of program or project management experience
* Experience using data and metrics to determine and drive improvements
* Experience owning program strategy, end to end delivery, and communicating results to senior leadership
**PREFERRED QUALIFICATIONS**
----------------------------
* 2\+ years of driving process improvements experience
* Master's degree, or MBA in business, operations, human resources, adult education, organizational development, instructional design or related field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$104,100/year in our lowest geographic market up to $185,000/year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0">
      <c r="A60" t="inlineStr">
        <is>
          <t>in-ff50402cb44168fd</t>
        </is>
      </c>
      <c r="B60" t="inlineStr">
        <is>
          <t>Sr. EHS Program Manager, Safety Learning and Development</t>
        </is>
      </c>
      <c r="C60" t="inlineStr">
        <is>
          <t>Amazon.com</t>
        </is>
      </c>
      <c r="D60" t="inlineStr">
        <is>
          <t>indeed</t>
        </is>
      </c>
      <c r="E60">
        <f>HYPERLINK("https://www.indeed.com/viewjob?jk=ff50402cb44168fd", "https://www.indeed.com/viewjob?jk=ff50402cb44168fd")</f>
        <v/>
      </c>
      <c r="F60">
        <f>HYPERLINK("https://www.amazon.jobs/jobs/3124450/sr-ehs-program-manager-safety-learning-and-development?cmpid=DA_INAD200785B", "https://www.amazon.jobs/jobs/3124450/sr-ehs-program-manager-safety-learning-and-development?cmpid=DA_INAD200785B")</f>
        <v/>
      </c>
      <c r="G60" t="inlineStr">
        <is>
          <t>Nashville, TN, US</t>
        </is>
      </c>
      <c r="H60" s="2" t="n">
        <v>45910</v>
      </c>
      <c r="I60" t="inlineStr">
        <is>
          <t>**DESCRIPTION**
---------------
Amazon is looking for an enthusiastic Sr. Program Manager to join the Workplace Health and Safety (WHS), Safety Learning and Development (SLeD) team. We are not an average company, and this is certainly not your average position. This role offers you the opportunity to revolutionize safety training delivery worldwide. SLeD seeks an experienced, self\-motivated Program Manager who excels in a fast\-paced environment and has a solid background in program management. This role will support the deployment and management of safety training programs for operations associates and leadership globally.
As a Sr. Program Manager, you will work across teams to collaborate, generate buy\-in, develop and execute to a plan. You will drive the expansion and growth of our global safety training programs, scaling globally. You will play a crucial role in devising strategies, fostering partnerships, and executing initiatives to enhance the program's reach and impact. This entails serving as the main point of contact for stakeholders in coordinating and managing strategic, cross\-functional, and business\-critical programs and projects. The ideal candidate excels in crafting large\-scale global training program strategies, encompassing training design, roadmaps, gap analyses, financial planning, communication, and launch plans in a dynamic and diverse business environment. Effective communication and program management skills are essential, enabling you to manage multiple competing priorities and coordinate work across teams. The successful candidate will be proficient at working with data to identify trends, identify improvement opportunities, and proactively define plans to realize these opportunities.
To be successful in this role, the candidate will effectively multitask and prioritize, utilize data to encourage decisions, and maintain a high level of independence. They will be comfortable working in a growing and ambiguous work environment as we constantly improve and innovate. This leader must have solid written and verbal communications skills, the ability to influence stakeholders, and willingness to dive deep into details.  
Key job responsibilities  
Key job responsibilities  
* Accountable for the overall program strategy and planning for their regions/business units, communicate program requirements, negotiate priorities, and define success metrics
* Apply project management best practices to drive plan execution, mitigate risks, and improve effectiveness to deliver results in a timely manner
* Continuously improve program components and mechanisms to drive results and provide program status communication, deliver clear and concise summaries to leadership teams and effectively answer questions
* Serve as the primary point of contact for coordinating and managing strategic, cross\-functional, and business\-critical training programs and projects
* Build partnerships with key stakeholders and organizations to promote training program adoption.
* Effectively communicate and manage multiple, competing priorities while coordinating work across teams
* Define, track, and monitor progress against success metrics and project plans. Analyze and report on overall project health using key performance indicators and success metrics, and accurately and clearly report on status against program objectives
A day in the life  
Amazon offers a full range of benefits that support you and eligible family members, including domestic partners and their children. Benefits can vary by location, the number of regularly scheduled hours you work, length of employment, and job status such as seasonal or temporary employment. The benefits that generally apply to regular, full\-time employees include:  
1\. Medical, Dental, and Vision Coverage  
2\. Maternity and Parental Leave Options  
3\. Paid Time Off (PTO)  
4\. 401(k) Plan  
If you are not sure that every qualification on the list above describes you exactly, we'd still love to hear from you! At Amazon, we value people with unique backgrounds, experiences, and skillsets. If you’re passionate about this role and want to make an impact on a global scale, please apply!  
**BASIC QUALIFICATIONS**
------------------------
* 5\+ years of program or project management experience
* Experience using data and metrics to determine and drive improvements
* Experience owning program strategy, end to end delivery, and communicating results to senior leadership
* Bachelor's degree
**PREFERRED QUALIFICATIONS**
----------------------------
* 2\+ years of driving process improvements experience
* Master's degree, or MBA in business, operations, human resources, adult education, organizational development, instructional design or related field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$104,100/year in our lowest geographic market up to $185,000/year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1">
      <c r="A61" t="inlineStr">
        <is>
          <t>in-16fde4cea3482c41</t>
        </is>
      </c>
      <c r="B61" t="inlineStr">
        <is>
          <t>Sr. EHS Program Manager, Safety Learning and Development</t>
        </is>
      </c>
      <c r="C61" t="inlineStr">
        <is>
          <t>Amazon.com</t>
        </is>
      </c>
      <c r="D61" t="inlineStr">
        <is>
          <t>indeed</t>
        </is>
      </c>
      <c r="E61">
        <f>HYPERLINK("https://www.indeed.com/viewjob?jk=16fde4cea3482c41", "https://www.indeed.com/viewjob?jk=16fde4cea3482c41")</f>
        <v/>
      </c>
      <c r="F61">
        <f>HYPERLINK("https://www.amazon.jobs/jobs/3124450/sr-ehs-program-manager-safety-learning-and-development?cmpid=DA_INAD200785B", "https://www.amazon.jobs/jobs/3124450/sr-ehs-program-manager-safety-learning-and-development?cmpid=DA_INAD200785B")</f>
        <v/>
      </c>
      <c r="G61" t="inlineStr">
        <is>
          <t>Bellevue, WA, US</t>
        </is>
      </c>
      <c r="H61" s="2" t="n">
        <v>45910</v>
      </c>
      <c r="I61" t="inlineStr">
        <is>
          <t>**DESCRIPTION**
---------------
Amazon is looking for an enthusiastic Sr. Program Manager to join the Workplace Health and Safety (WHS), Safety Learning and Development (SLeD) team. We are not an average company, and this is certainly not your average position. This role offers you the opportunity to revolutionize safety training delivery worldwide. SLeD seeks an experienced, self\-motivated Program Manager who excels in a fast\-paced environment and has a solid background in program management. This role will support the deployment and management of safety training programs for operations associates and leadership globally.
As a Sr. Program Manager, you will work across teams to collaborate, generate buy\-in, develop and execute to a plan. You will drive the expansion and growth of our global safety training programs, scaling globally. You will play a crucial role in devising strategies, fostering partnerships, and executing initiatives to enhance the program's reach and impact. This entails serving as the main point of contact for stakeholders in coordinating and managing strategic, cross\-functional, and business\-critical programs and projects. The ideal candidate excels in crafting large\-scale global training program strategies, encompassing training design, roadmaps, gap analyses, financial planning, communication, and launch plans in a dynamic and diverse business environment. Effective communication and program management skills are essential, enabling you to manage multiple competing priorities and coordinate work across teams. The successful candidate will be proficient at working with data to identify trends, identify improvement opportunities, and proactively define plans to realize these opportunities.
To be successful in this role, the candidate will effectively multitask and prioritize, utilize data to encourage decisions, and maintain a high level of independence. They will be comfortable working in a growing and ambiguous work environment as we constantly improve and innovate. This leader must have solid written and verbal communications skills, the ability to influence stakeholders, and willingness to dive deep into details.  
Key job responsibilities  
Key job responsibilities  
* Accountable for the overall program strategy and planning for their regions/business units, communicate program requirements, negotiate priorities, and define success metrics
* Apply project management best practices to drive plan execution, mitigate risks, and improve effectiveness to deliver results in a timely manner
* Continuously improve program components and mechanisms to drive results and provide program status communication, deliver clear and concise summaries to leadership teams and effectively answer questions
* Serve as the primary point of contact for coordinating and managing strategic, cross\-functional, and business\-critical training programs and projects
* Build partnerships with key stakeholders and organizations to promote training program adoption.
* Effectively communicate and manage multiple, competing priorities while coordinating work across teams
* Define, track, and monitor progress against success metrics and project plans. Analyze and report on overall project health using key performance indicators and success metrics, and accurately and clearly report on status against program objectives
A day in the life  
Amazon offers a full range of benefits that support you and eligible family members, including domestic partners and their children. Benefits can vary by location, the number of regularly scheduled hours you work, length of employment, and job status such as seasonal or temporary employment. The benefits that generally apply to regular, full\-time employees include:  
1\. Medical, Dental, and Vision Coverage  
2\. Maternity and Parental Leave Options  
3\. Paid Time Off (PTO)  
4\. 401(k) Plan  
If you are not sure that every qualification on the list above describes you exactly, we'd still love to hear from you! At Amazon, we value people with unique backgrounds, experiences, and skillsets. If you’re passionate about this role and want to make an impact on a global scale, please apply!  
**BASIC QUALIFICATIONS**
------------------------
* 5\+ years of program or project management experience
* Experience using data and metrics to determine and drive improvements
* Experience owning program strategy, end to end delivery, and communicating results to senior leadership
* Bachelor's degree
**PREFERRED QUALIFICATIONS**
----------------------------
* 2\+ years of driving process improvements experience
* Master's degree, or MBA in business, operations, human resources, adult education, organizational development, instructional design or related field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$104,100/year in our lowest geographic market up to $185,000/year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2">
      <c r="A62" t="inlineStr">
        <is>
          <t>in-2a481affea94726d</t>
        </is>
      </c>
      <c r="B62" t="inlineStr">
        <is>
          <t>Sr. Product Manager, Sub-Same Day (SSD) - DOT, SSD Delivery Ops Tech</t>
        </is>
      </c>
      <c r="C62" t="inlineStr">
        <is>
          <t>Amazon.com</t>
        </is>
      </c>
      <c r="D62" t="inlineStr">
        <is>
          <t>indeed</t>
        </is>
      </c>
      <c r="E62">
        <f>HYPERLINK("https://www.indeed.com/viewjob?jk=2a481affea94726d", "https://www.indeed.com/viewjob?jk=2a481affea94726d")</f>
        <v/>
      </c>
      <c r="F62">
        <f>HYPERLINK("https://www.amazon.jobs/jobs/3063966/sr-product-manager-subsame-day-ssd--dot-ssd-delivery-ops-tech?cmpid=DA_INAD200785B", "https://www.amazon.jobs/jobs/3063966/sr-product-manager-subsame-day-ssd--dot-ssd-delivery-ops-tech?cmpid=DA_INAD200785B")</f>
        <v/>
      </c>
      <c r="G62" t="inlineStr">
        <is>
          <t>New York, NY, US</t>
        </is>
      </c>
      <c r="H62" s="2" t="n">
        <v>45876</v>
      </c>
      <c r="I62" t="inlineStr">
        <is>
          <t>**DESCRIPTION**
---------------
We are seeking a Senior Product Manager to join our Sub\-Same Day (SSD) delivery team to innovate and build products that enable faster\-than\-same\-day delivery across North America. In this role, you will own the end\-to\-end product development lifecycle for strategic technology solutions that power our SSD delivery network. You will define product vision, work with technology and science teams to translate complex product requirements and drive product and feature development from conception to launch. This role combines strategic product thinking with hands\-on execution to create scalable technology products that revolutionize delivery speed and customer experience. This role may require up to 10% travel annually.  
Key job responsibilities  
* Own and develop the product strategy and roadmap for SSD delivery technology solutions, incorporating customer needs, business requirements, and business specific or operational constraints
* Define product requirements through customer research, metric analysis, and stakeholder collaboration
* Drive product development cycles working closely with science and engineering teams, including feature prioritization and driving trade\-off decisions
* Design and implement metrics frameworks to measure product success and inform iteration cycles
* Lead cross\-functional teams to implement complex technical products across the Sub Same Day Delivery network while managing stakeholder expectations
* Identify opportunities for product innovation and optimization through data analysis and customer feedback
* Create and maintain product documentation including BRDs and narrative documents.
**BASIC QUALIFICATIONS**
------------------------
* Bachelor's degree or equivalent
* 5\+ years of product management experience building and shipping technical products
* Experience defining product strategy and owning product roadmaps
* Proven track record of end\-to\-end product delivery and launch
* Experience making product trade\-off decisions based on customer needs and business impact
* Strong technical acumen and ability to work effectively with engineering teams
* Experience with data\-driven decision making and product metrics
**PREFERRED QUALIFICATIONS**
----------------------------
* Experience influencing senior leadership through data\-driven insights
* Track record of successful product launches in logistics, operations, or related fields
* Experience working with distributed engineering or science teams and senior stakeholders
* Proficiency with SQL databases and data visualization tools (e.g., Tableau, QuickSight)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$124,500/year in our lowest geographic market up to $206,000/year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3">
      <c r="A63" t="inlineStr">
        <is>
          <t>in-b4285f20c0dbfc47</t>
        </is>
      </c>
      <c r="B63" t="inlineStr">
        <is>
          <t>Sr. Product Manager, Sub-Same Day (SSD) - DOT, SSD Delivery Ops Tech</t>
        </is>
      </c>
      <c r="C63" t="inlineStr">
        <is>
          <t>Amazon.com</t>
        </is>
      </c>
      <c r="D63" t="inlineStr">
        <is>
          <t>indeed</t>
        </is>
      </c>
      <c r="E63">
        <f>HYPERLINK("https://www.indeed.com/viewjob?jk=b4285f20c0dbfc47", "https://www.indeed.com/viewjob?jk=b4285f20c0dbfc47")</f>
        <v/>
      </c>
      <c r="F63">
        <f>HYPERLINK("https://www.amazon.jobs/jobs/3063966/sr-product-manager-subsame-day-ssd--dot-ssd-delivery-ops-tech?cmpid=DA_INAD200785B", "https://www.amazon.jobs/jobs/3063966/sr-product-manager-subsame-day-ssd--dot-ssd-delivery-ops-tech?cmpid=DA_INAD200785B")</f>
        <v/>
      </c>
      <c r="G63" t="inlineStr">
        <is>
          <t>Bellevue, WA, US</t>
        </is>
      </c>
      <c r="H63" s="2" t="n">
        <v>45876</v>
      </c>
      <c r="I63" t="inlineStr">
        <is>
          <t>**DESCRIPTION**
---------------
We are seeking a Senior Product Manager to join our Sub\-Same Day (SSD) delivery team to innovate and build products that enable faster\-than\-same\-day delivery across North America. In this role, you will own the end\-to\-end product development lifecycle for strategic technology solutions that power our SSD delivery network. You will define product vision, work with technology and science teams to translate complex product requirements and drive product and feature development from conception to launch. This role combines strategic product thinking with hands\-on execution to create scalable technology products that revolutionize delivery speed and customer experience. This role may require up to 10% travel annually.  
Key job responsibilities  
* Own and develop the product strategy and roadmap for SSD delivery technology solutions, incorporating customer needs, business requirements, and business specific or operational constraints
* Define product requirements through customer research, metric analysis, and stakeholder collaboration
* Drive product development cycles working closely with science and engineering teams, including feature prioritization and driving trade\-off decisions
* Design and implement metrics frameworks to measure product success and inform iteration cycles
* Lead cross\-functional teams to implement complex technical products across the Sub Same Day Delivery network while managing stakeholder expectations
* Identify opportunities for product innovation and optimization through data analysis and customer feedback
* Create and maintain product documentation including BRDs and narrative documents.
**BASIC QUALIFICATIONS**
------------------------
* Bachelor's degree or equivalent
* 5\+ years of product management experience building and shipping technical products
* Experience defining product strategy and owning product roadmaps
* Proven track record of end\-to\-end product delivery and launch
* Experience making product trade\-off decisions based on customer needs and business impact
* Strong technical acumen and ability to work effectively with engineering teams
* Experience with data\-driven decision making and product metrics
**PREFERRED QUALIFICATIONS**
----------------------------
* Experience influencing senior leadership through data\-driven insights
* Track record of successful product launches in logistics, operations, or related fields
* Experience working with distributed engineering or science teams and senior stakeholders
* Proficiency with SQL databases and data visualization tools (e.g., Tableau, QuickSight)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$124,500/year in our lowest geographic market up to $206,000/year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4">
      <c r="A64" t="inlineStr">
        <is>
          <t>in-f52489de116c4bde</t>
        </is>
      </c>
      <c r="B64" t="inlineStr">
        <is>
          <t>Sr. Product Manager, Sub-Same Day (SSD) - DOT, SSD Delivery Ops Tech</t>
        </is>
      </c>
      <c r="C64" t="inlineStr">
        <is>
          <t>Amazon.com</t>
        </is>
      </c>
      <c r="D64" t="inlineStr">
        <is>
          <t>indeed</t>
        </is>
      </c>
      <c r="E64">
        <f>HYPERLINK("https://www.indeed.com/viewjob?jk=f52489de116c4bde", "https://www.indeed.com/viewjob?jk=f52489de116c4bde")</f>
        <v/>
      </c>
      <c r="F64">
        <f>HYPERLINK("https://www.amazon.jobs/jobs/3063966/sr-product-manager-subsame-day-ssd--dot-ssd-delivery-ops-tech?cmpid=DA_INAD200785B", "https://www.amazon.jobs/jobs/3063966/sr-product-manager-subsame-day-ssd--dot-ssd-delivery-ops-tech?cmpid=DA_INAD200785B")</f>
        <v/>
      </c>
      <c r="G64" t="inlineStr">
        <is>
          <t>Nashville, TN, US</t>
        </is>
      </c>
      <c r="H64" s="2" t="n">
        <v>45876</v>
      </c>
      <c r="I64" t="inlineStr">
        <is>
          <t>**DESCRIPTION**
---------------
We are seeking a Senior Product Manager to join our Sub\-Same Day (SSD) delivery team to innovate and build products that enable faster\-than\-same\-day delivery across North America. In this role, you will own the end\-to\-end product development lifecycle for strategic technology solutions that power our SSD delivery network. You will define product vision, work with technology and science teams to translate complex product requirements and drive product and feature development from conception to launch. This role combines strategic product thinking with hands\-on execution to create scalable technology products that revolutionize delivery speed and customer experience. This role may require up to 10% travel annually.  
Key job responsibilities  
* Own and develop the product strategy and roadmap for SSD delivery technology solutions, incorporating customer needs, business requirements, and business specific or operational constraints
* Define product requirements through customer research, metric analysis, and stakeholder collaboration
* Drive product development cycles working closely with science and engineering teams, including feature prioritization and driving trade\-off decisions
* Design and implement metrics frameworks to measure product success and inform iteration cycles
* Lead cross\-functional teams to implement complex technical products across the Sub Same Day Delivery network while managing stakeholder expectations
* Identify opportunities for product innovation and optimization through data analysis and customer feedback
* Create and maintain product documentation including BRDs and narrative documents.
**BASIC QUALIFICATIONS**
------------------------
* Bachelor's degree or equivalent
* 5\+ years of product management experience building and shipping technical products
* Experience defining product strategy and owning product roadmaps
* Proven track record of end\-to\-end product delivery and launch
* Experience making product trade\-off decisions based on customer needs and business impact
* Strong technical acumen and ability to work effectively with engineering teams
* Experience with data\-driven decision making and product metrics
**PREFERRED QUALIFICATIONS**
----------------------------
* Experience influencing senior leadership through data\-driven insights
* Track record of successful product launches in logistics, operations, or related fields
* Experience working with distributed engineering or science teams and senior stakeholders
* Proficiency with SQL databases and data visualization tools (e.g., Tableau, QuickSight)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$124,500/year in our lowest geographic market up to $206,000/year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5">
      <c r="A65" t="inlineStr">
        <is>
          <t>in-a987be345f4c8cec</t>
        </is>
      </c>
      <c r="B65" t="inlineStr">
        <is>
          <t>Sr. Product Manager - Tech, Workforce Solutions - Talent Mobility</t>
        </is>
      </c>
      <c r="C65" t="inlineStr">
        <is>
          <t>Amazon.com</t>
        </is>
      </c>
      <c r="D65" t="inlineStr">
        <is>
          <t>indeed</t>
        </is>
      </c>
      <c r="E65">
        <f>HYPERLINK("https://www.indeed.com/viewjob?jk=a987be345f4c8cec", "https://www.indeed.com/viewjob?jk=a987be345f4c8cec")</f>
        <v/>
      </c>
      <c r="F65">
        <f>HYPERLINK("https://www.amazon.jobs/jobs/3112703/sr-product-manager--tech-workforce-solutions--talent-mobility?cmpid=DA_INAD200785B", "https://www.amazon.jobs/jobs/3112703/sr-product-manager--tech-workforce-solutions--talent-mobility?cmpid=DA_INAD200785B")</f>
        <v/>
      </c>
      <c r="G65" t="inlineStr">
        <is>
          <t>Nashville, TN, US</t>
        </is>
      </c>
      <c r="H65" s="2" t="n">
        <v>45867</v>
      </c>
      <c r="I65" t="inlineStr">
        <is>
          <t>**DESCRIPTION**
---------------
We are looking for a Sr. Product Manager \- Tech to incubate and lead new strategic initiatives that support employee relations, flexible labor scheduling and manager experience. We enable Amazon to be the employer of choice for hourly workers by offering them the fastest path to a consistent and flexible hourly job with opportunities to earn more and grow their skill sets, resulting in more value for customers as we better absorb variability and lower costs. We build products and programs that enable flexible job management for associates and support our leaders in managing at scale. The candidate will leverage their technical product management expertise to work backwards from customer scenarios, identify the right product opportunities, define and execute the product roadmap with cross\-organizational engineering, science and UX teams for enterprise\-wide global customers. They will demonstrate a high level of ownership and use communication and organizational skills to maintain alignment with stakeholders and customer representatives at all levels of leadership. They will use data and concise narratives to articulate their vision for products that excite and thrill customers. If you love using customer obsession to tackle ambiguous problems and build world class experiences for Amazon, this position is for you.  
Key job responsibilities  
* Identifying which customer problems are the most impactful to solve for.
* Defining the vision for your product.
* Generating buy\-in for the product vision with leadership and partner teams.
* Creating and maintaining an optimized and logically sequenced roadmap.
* Translating customer experiences into clearly defined product requirements.
* Managing prioritization and trade\-offs to ensure delivery of a great customer experience.
* Anticipating and resolving strategic issues that impair the team’s ability to deliver.
* Leading cross\-functionally to ensure the product vision is implemented effectively.
* Interacting with stakeholders at multiple levels and in multiple locations, and working with business, other product teams, program management, and Operations teams to solve complex business challenges
* Anticipating bottlenecks, providing escalation management, anticipating and making tradeoffs, and balancing business needs versus technical and/or operational constraints
* Collaborating with global stakeholders in other regions to champion a worldwide strategy that eliminates product waste
A day in the life  
As the Senior Product Manager \- Tech, you will own the vision and strategy for every aspect of the product, from strategy to feature\-level definition and then roll out to thousands of users who rely on your tools. Day to day you may find yourself doing desk rides with customers to understand their challenges, and then get huddled up in a room to do whiteboarding of solutions with your tech partners to solve for them. You'll have a seat at the table for strategic prioritization discussions, and you'll make the tradeoffs that help us learn quickly, deliver value, and continue to iterate on products that have high visibility across Amazon. In this role, you will be part of a cross\-functional organization of research and applied scientists, data engineers, program managers, product managers, UX designers, software developers, and recruiting teams.  
About the team  
Workforce Solutions (WS) is a horizontal, multi\-discipline organization whose mission is to build the best people\-forward technology to enable corporate recruitment for Amazon, globally. We build the intelligent technology products Amazon uses to make the right hiring decisions, every time, while being more equitable and candidate\-centric in the end\-to\-end experience. We accomplish this by using our ability in product and program management, and design/research. Our portfolio of products is global (built mostly on native AWS), accounting for recruitment for all corporate roles. From the candidate\-facing job site, to ensuring the role is filled \- we build the entire gamut. We value people\-centric solutions, and open exchange of ideas. We are deeply focused on our product and service north star, but flexible in the paths to achieve that goal.**BASIC QUALIFICATIONS**
------------------------
* Bachelor's degree
* Experience owning/driving roadmap strategy and definition
* Experience with feature delivery and tradeoffs of a product
* Experience contributing to engineering discussions around technology decisions and strategy related to a product
* Experience managing technical products or online services
* Experience in representing and advocating for a variety of critical customers and stakeholders during executive\-level prioritization and planning
**PREFERRED QUALIFICATIONS**
----------------------------
* Experience in using analytical tools, such as Tableau, Qlikview, QuickSight
* Experience in building and driving adoption of new tools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$136,100/year in our lowest geographic market up to $235,200/year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6">
      <c r="A66" t="inlineStr">
        <is>
          <t>in-cc8ae49fc973deac</t>
        </is>
      </c>
      <c r="B66" t="inlineStr">
        <is>
          <t>Sr. Product Manager - Tech, Workforce Solutions - Talent Mobility</t>
        </is>
      </c>
      <c r="C66" t="inlineStr">
        <is>
          <t>Amazon.com</t>
        </is>
      </c>
      <c r="D66" t="inlineStr">
        <is>
          <t>indeed</t>
        </is>
      </c>
      <c r="E66">
        <f>HYPERLINK("https://www.indeed.com/viewjob?jk=cc8ae49fc973deac", "https://www.indeed.com/viewjob?jk=cc8ae49fc973deac")</f>
        <v/>
      </c>
      <c r="F66">
        <f>HYPERLINK("https://www.amazon.jobs/jobs/3112703/sr-product-manager--tech-workforce-solutions--talent-mobility?cmpid=DA_INAD200785B", "https://www.amazon.jobs/jobs/3112703/sr-product-manager--tech-workforce-solutions--talent-mobility?cmpid=DA_INAD200785B")</f>
        <v/>
      </c>
      <c r="G66" t="inlineStr">
        <is>
          <t>Seattle, WA, US</t>
        </is>
      </c>
      <c r="H66" s="2" t="n">
        <v>45867</v>
      </c>
      <c r="I66" t="inlineStr">
        <is>
          <t>**DESCRIPTION**
---------------
We are looking for a Sr. Product Manager \- Tech to incubate and lead new strategic initiatives that support employee relations, flexible labor scheduling and manager experience. We enable Amazon to be the employer of choice for hourly workers by offering them the fastest path to a consistent and flexible hourly job with opportunities to earn more and grow their skill sets, resulting in more value for customers as we better absorb variability and lower costs. We build products and programs that enable flexible job management for associates and support our leaders in managing at scale. The candidate will leverage their technical product management expertise to work backwards from customer scenarios, identify the right product opportunities, define and execute the product roadmap with cross\-organizational engineering, science and UX teams for enterprise\-wide global customers. They will demonstrate a high level of ownership and use communication and organizational skills to maintain alignment with stakeholders and customer representatives at all levels of leadership. They will use data and concise narratives to articulate their vision for products that excite and thrill customers. If you love using customer obsession to tackle ambiguous problems and build world class experiences for Amazon, this position is for you.  
Key job responsibilities  
* Identifying which customer problems are the most impactful to solve for.
* Defining the vision for your product.
* Generating buy\-in for the product vision with leadership and partner teams.
* Creating and maintaining an optimized and logically sequenced roadmap.
* Translating customer experiences into clearly defined product requirements.
* Managing prioritization and trade\-offs to ensure delivery of a great customer experience.
* Anticipating and resolving strategic issues that impair the team’s ability to deliver.
* Leading cross\-functionally to ensure the product vision is implemented effectively.
* Interacting with stakeholders at multiple levels and in multiple locations, and working with business, other product teams, program management, and Operations teams to solve complex business challenges
* Anticipating bottlenecks, providing escalation management, anticipating and making tradeoffs, and balancing business needs versus technical and/or operational constraints
* Collaborating with global stakeholders in other regions to champion a worldwide strategy that eliminates product waste
A day in the life  
As the Senior Product Manager \- Tech, you will own the vision and strategy for every aspect of the product, from strategy to feature\-level definition and then roll out to thousands of users who rely on your tools. Day to day you may find yourself doing desk rides with customers to understand their challenges, and then get huddled up in a room to do whiteboarding of solutions with your tech partners to solve for them. You'll have a seat at the table for strategic prioritization discussions, and you'll make the tradeoffs that help us learn quickly, deliver value, and continue to iterate on products that have high visibility across Amazon. In this role, you will be part of a cross\-functional organization of research and applied scientists, data engineers, program managers, product managers, UX designers, software developers, and recruiting teams.  
About the team  
Workforce Solutions (WS) is a horizontal, multi\-discipline organization whose mission is to build the best people\-forward technology to enable corporate recruitment for Amazon, globally. We build the intelligent technology products Amazon uses to make the right hiring decisions, every time, while being more equitable and candidate\-centric in the end\-to\-end experience. We accomplish this by using our ability in product and program management, and design/research. Our portfolio of products is global (built mostly on native AWS), accounting for recruitment for all corporate roles. From the candidate\-facing job site, to ensuring the role is filled \- we build the entire gamut. We value people\-centric solutions, and open exchange of ideas. We are deeply focused on our product and service north star, but flexible in the paths to achieve that goal.**BASIC QUALIFICATIONS**
------------------------
* Bachelor's degree
* Experience owning/driving roadmap strategy and definition
* Experience with feature delivery and tradeoffs of a product
* Experience contributing to engineering discussions around technology decisions and strategy related to a product
* Experience managing technical products or online services
* Experience in representing and advocating for a variety of critical customers and stakeholders during executive\-level prioritization and planning
**PREFERRED QUALIFICATIONS**
----------------------------
* Experience in using analytical tools, such as Tableau, Qlikview, QuickSight
* Experience in building and driving adoption of new tools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$136,100/year in our lowest geographic market up to $235,200/year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7">
      <c r="A67" t="inlineStr">
        <is>
          <t>in-7e94dc1303318049</t>
        </is>
      </c>
      <c r="B67" t="inlineStr">
        <is>
          <t>Sr. Product Manager - Tech, Workforce Solutions - Talent Mobility</t>
        </is>
      </c>
      <c r="C67" t="inlineStr">
        <is>
          <t>Amazon.com</t>
        </is>
      </c>
      <c r="D67" t="inlineStr">
        <is>
          <t>indeed</t>
        </is>
      </c>
      <c r="E67">
        <f>HYPERLINK("https://www.indeed.com/viewjob?jk=7e94dc1303318049", "https://www.indeed.com/viewjob?jk=7e94dc1303318049")</f>
        <v/>
      </c>
      <c r="F67">
        <f>HYPERLINK("https://www.amazon.jobs/jobs/3112703/sr-product-manager--tech-workforce-solutions--talent-mobility?cmpid=DA_INAD200785B", "https://www.amazon.jobs/jobs/3112703/sr-product-manager--tech-workforce-solutions--talent-mobility?cmpid=DA_INAD200785B")</f>
        <v/>
      </c>
      <c r="G67" t="inlineStr">
        <is>
          <t>Arlington, VA, US</t>
        </is>
      </c>
      <c r="H67" s="2" t="n">
        <v>45867</v>
      </c>
      <c r="I67" t="inlineStr">
        <is>
          <t>**DESCRIPTION**
---------------
We are looking for a Sr. Product Manager \- Tech to incubate and lead new strategic initiatives that support employee relations, flexible labor scheduling and manager experience. We enable Amazon to be the employer of choice for hourly workers by offering them the fastest path to a consistent and flexible hourly job with opportunities to earn more and grow their skill sets, resulting in more value for customers as we better absorb variability and lower costs. We build products and programs that enable flexible job management for associates and support our leaders in managing at scale. The candidate will leverage their technical product management expertise to work backwards from customer scenarios, identify the right product opportunities, define and execute the product roadmap with cross\-organizational engineering, science and UX teams for enterprise\-wide global customers. They will demonstrate a high level of ownership and use communication and organizational skills to maintain alignment with stakeholders and customer representatives at all levels of leadership. They will use data and concise narratives to articulate their vision for products that excite and thrill customers. If you love using customer obsession to tackle ambiguous problems and build world class experiences for Amazon, this position is for you.  
Key job responsibilities  
* Identifying which customer problems are the most impactful to solve for.
* Defining the vision for your product.
* Generating buy\-in for the product vision with leadership and partner teams.
* Creating and maintaining an optimized and logically sequenced roadmap.
* Translating customer experiences into clearly defined product requirements.
* Managing prioritization and trade\-offs to ensure delivery of a great customer experience.
* Anticipating and resolving strategic issues that impair the team’s ability to deliver.
* Leading cross\-functionally to ensure the product vision is implemented effectively.
* Interacting with stakeholders at multiple levels and in multiple locations, and working with business, other product teams, program management, and Operations teams to solve complex business challenges
* Anticipating bottlenecks, providing escalation management, anticipating and making tradeoffs, and balancing business needs versus technical and/or operational constraints
* Collaborating with global stakeholders in other regions to champion a worldwide strategy that eliminates product waste
A day in the life  
As the Senior Product Manager \- Tech, you will own the vision and strategy for every aspect of the product, from strategy to feature\-level definition and then roll out to thousands of users who rely on your tools. Day to day you may find yourself doing desk rides with customers to understand their challenges, and then get huddled up in a room to do whiteboarding of solutions with your tech partners to solve for them. You'll have a seat at the table for strategic prioritization discussions, and you'll make the tradeoffs that help us learn quickly, deliver value, and continue to iterate on products that have high visibility across Amazon. In this role, you will be part of a cross\-functional organization of research and applied scientists, data engineers, program managers, product managers, UX designers, software developers, and recruiting teams.  
About the team  
Workforce Solutions (WS) is a horizontal, multi\-discipline organization whose mission is to build the best people\-forward technology to enable corporate recruitment for Amazon, globally. We build the intelligent technology products Amazon uses to make the right hiring decisions, every time, while being more equitable and candidate\-centric in the end\-to\-end experience. We accomplish this by using our ability in product and program management, and design/research. Our portfolio of products is global (built mostly on native AWS), accounting for recruitment for all corporate roles. From the candidate\-facing job site, to ensuring the role is filled \- we build the entire gamut. We value people\-centric solutions, and open exchange of ideas. We are deeply focused on our product and service north star, but flexible in the paths to achieve that goal.**BASIC QUALIFICATIONS**
------------------------
* Bachelor's degree
* Experience owning/driving roadmap strategy and definition
* Experience with feature delivery and tradeoffs of a product
* Experience contributing to engineering discussions around technology decisions and strategy related to a product
* Experience managing technical products or online services
* Experience in representing and advocating for a variety of critical customers and stakeholders during executive\-level prioritization and planning
**PREFERRED QUALIFICATIONS**
----------------------------
* Experience in using analytical tools, such as Tableau, Qlikview, QuickSight
* Experience in building and driving adoption of new tools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$136,100/year in our lowest geographic market up to $235,200/year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8">
      <c r="A68" t="inlineStr">
        <is>
          <t>in-e9763953fd4d147e</t>
        </is>
      </c>
      <c r="B68" t="inlineStr">
        <is>
          <t>Sr. Product Manager - Tech, Workforce Solutions - Talent Mobility</t>
        </is>
      </c>
      <c r="C68" t="inlineStr">
        <is>
          <t>Amazon.com</t>
        </is>
      </c>
      <c r="D68" t="inlineStr">
        <is>
          <t>indeed</t>
        </is>
      </c>
      <c r="E68">
        <f>HYPERLINK("https://www.indeed.com/viewjob?jk=e9763953fd4d147e", "https://www.indeed.com/viewjob?jk=e9763953fd4d147e")</f>
        <v/>
      </c>
      <c r="F68">
        <f>HYPERLINK("https://www.amazon.jobs/jobs/3112703/sr-product-manager--tech-workforce-solutions--talent-mobility?cmpid=DA_INAD200785B", "https://www.amazon.jobs/jobs/3112703/sr-product-manager--tech-workforce-solutions--talent-mobility?cmpid=DA_INAD200785B")</f>
        <v/>
      </c>
      <c r="G68" t="inlineStr">
        <is>
          <t>New York, NY, US</t>
        </is>
      </c>
      <c r="H68" s="2" t="n">
        <v>45867</v>
      </c>
      <c r="I68" t="inlineStr">
        <is>
          <t>**DESCRIPTION**
---------------
We are looking for a Sr. Product Manager \- Tech to incubate and lead new strategic initiatives that support employee relations, flexible labor scheduling and manager experience. We enable Amazon to be the employer of choice for hourly workers by offering them the fastest path to a consistent and flexible hourly job with opportunities to earn more and grow their skill sets, resulting in more value for customers as we better absorb variability and lower costs. We build products and programs that enable flexible job management for associates and support our leaders in managing at scale. The candidate will leverage their technical product management expertise to work backwards from customer scenarios, identify the right product opportunities, define and execute the product roadmap with cross\-organizational engineering, science and UX teams for enterprise\-wide global customers. They will demonstrate a high level of ownership and use communication and organizational skills to maintain alignment with stakeholders and customer representatives at all levels of leadership. They will use data and concise narratives to articulate their vision for products that excite and thrill customers. If you love using customer obsession to tackle ambiguous problems and build world class experiences for Amazon, this position is for you.  
Key job responsibilities  
* Identifying which customer problems are the most impactful to solve for.
* Defining the vision for your product.
* Generating buy\-in for the product vision with leadership and partner teams.
* Creating and maintaining an optimized and logically sequenced roadmap.
* Translating customer experiences into clearly defined product requirements.
* Managing prioritization and trade\-offs to ensure delivery of a great customer experience.
* Anticipating and resolving strategic issues that impair the team’s ability to deliver.
* Leading cross\-functionally to ensure the product vision is implemented effectively.
* Interacting with stakeholders at multiple levels and in multiple locations, and working with business, other product teams, program management, and Operations teams to solve complex business challenges
* Anticipating bottlenecks, providing escalation management, anticipating and making tradeoffs, and balancing business needs versus technical and/or operational constraints
* Collaborating with global stakeholders in other regions to champion a worldwide strategy that eliminates product waste
A day in the life  
As the Senior Product Manager \- Tech, you will own the vision and strategy for every aspect of the product, from strategy to feature\-level definition and then roll out to thousands of users who rely on your tools. Day to day you may find yourself doing desk rides with customers to understand their challenges, and then get huddled up in a room to do whiteboarding of solutions with your tech partners to solve for them. You'll have a seat at the table for strategic prioritization discussions, and you'll make the tradeoffs that help us learn quickly, deliver value, and continue to iterate on products that have high visibility across Amazon. In this role, you will be part of a cross\-functional organization of research and applied scientists, data engineers, program managers, product managers, UX designers, software developers, and recruiting teams.  
About the team  
Workforce Solutions (WS) is a horizontal, multi\-discipline organization whose mission is to build the best people\-forward technology to enable corporate recruitment for Amazon, globally. We build the intelligent technology products Amazon uses to make the right hiring decisions, every time, while being more equitable and candidate\-centric in the end\-to\-end experience. We accomplish this by using our ability in product and program management, and design/research. Our portfolio of products is global (built mostly on native AWS), accounting for recruitment for all corporate roles. From the candidate\-facing job site, to ensuring the role is filled \- we build the entire gamut. We value people\-centric solutions, and open exchange of ideas. We are deeply focused on our product and service north star, but flexible in the paths to achieve that goal.**BASIC QUALIFICATIONS**
------------------------
* Bachelor's degree
* Experience owning/driving roadmap strategy and definition
* Experience with feature delivery and tradeoffs of a product
* Experience contributing to engineering discussions around technology decisions and strategy related to a product
* Experience managing technical products or online services
* Experience in representing and advocating for a variety of critical customers and stakeholders during executive\-level prioritization and planning
**PREFERRED QUALIFICATIONS**
----------------------------
* Experience in using analytical tools, such as Tableau, Qlikview, QuickSight
* Experience in building and driving adoption of new tools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$136,100/year in our lowest geographic market up to $235,200/year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9">
      <c r="A69" t="inlineStr">
        <is>
          <t>in-3a2c6f1870c8fa45</t>
        </is>
      </c>
      <c r="B69" t="inlineStr">
        <is>
          <t>Sr. Product Manager - Tech, Workforce Solutions - Talent Mobility</t>
        </is>
      </c>
      <c r="C69" t="inlineStr">
        <is>
          <t>Amazon.com</t>
        </is>
      </c>
      <c r="D69" t="inlineStr">
        <is>
          <t>indeed</t>
        </is>
      </c>
      <c r="E69">
        <f>HYPERLINK("https://www.indeed.com/viewjob?jk=3a2c6f1870c8fa45", "https://www.indeed.com/viewjob?jk=3a2c6f1870c8fa45")</f>
        <v/>
      </c>
      <c r="F69">
        <f>HYPERLINK("https://www.amazon.jobs/jobs/3112703/sr-product-manager--tech-workforce-solutions--talent-mobility?cmpid=DA_INAD200785B", "https://www.amazon.jobs/jobs/3112703/sr-product-manager--tech-workforce-solutions--talent-mobility?cmpid=DA_INAD200785B")</f>
        <v/>
      </c>
      <c r="G69" t="inlineStr">
        <is>
          <t>Tempe, AZ, US</t>
        </is>
      </c>
      <c r="H69" s="2" t="n">
        <v>45867</v>
      </c>
      <c r="I69" t="inlineStr">
        <is>
          <t>**DESCRIPTION**
---------------
We are looking for a Sr. Product Manager \- Tech to incubate and lead new strategic initiatives that support employee relations, flexible labor scheduling and manager experience. We enable Amazon to be the employer of choice for hourly workers by offering them the fastest path to a consistent and flexible hourly job with opportunities to earn more and grow their skill sets, resulting in more value for customers as we better absorb variability and lower costs. We build products and programs that enable flexible job management for associates and support our leaders in managing at scale. The candidate will leverage their technical product management expertise to work backwards from customer scenarios, identify the right product opportunities, define and execute the product roadmap with cross\-organizational engineering, science and UX teams for enterprise\-wide global customers. They will demonstrate a high level of ownership and use communication and organizational skills to maintain alignment with stakeholders and customer representatives at all levels of leadership. They will use data and concise narratives to articulate their vision for products that excite and thrill customers. If you love using customer obsession to tackle ambiguous problems and build world class experiences for Amazon, this position is for you.  
Key job responsibilities  
* Identifying which customer problems are the most impactful to solve for.
* Defining the vision for your product.
* Generating buy\-in for the product vision with leadership and partner teams.
* Creating and maintaining an optimized and logically sequenced roadmap.
* Translating customer experiences into clearly defined product requirements.
* Managing prioritization and trade\-offs to ensure delivery of a great customer experience.
* Anticipating and resolving strategic issues that impair the team’s ability to deliver.
* Leading cross\-functionally to ensure the product vision is implemented effectively.
* Interacting with stakeholders at multiple levels and in multiple locations, and working with business, other product teams, program management, and Operations teams to solve complex business challenges
* Anticipating bottlenecks, providing escalation management, anticipating and making tradeoffs, and balancing business needs versus technical and/or operational constraints
* Collaborating with global stakeholders in other regions to champion a worldwide strategy that eliminates product waste
A day in the life  
As the Senior Product Manager \- Tech, you will own the vision and strategy for every aspect of the product, from strategy to feature\-level definition and then roll out to thousands of users who rely on your tools. Day to day you may find yourself doing desk rides with customers to understand their challenges, and then get huddled up in a room to do whiteboarding of solutions with your tech partners to solve for them. You'll have a seat at the table for strategic prioritization discussions, and you'll make the tradeoffs that help us learn quickly, deliver value, and continue to iterate on products that have high visibility across Amazon. In this role, you will be part of a cross\-functional organization of research and applied scientists, data engineers, program managers, product managers, UX designers, software developers, and recruiting teams.  
About the team  
Workforce Solutions (WS) is a horizontal, multi\-discipline organization whose mission is to build the best people\-forward technology to enable corporate recruitment for Amazon, globally. We build the intelligent technology products Amazon uses to make the right hiring decisions, every time, while being more equitable and candidate\-centric in the end\-to\-end experience. We accomplish this by using our ability in product and program management, and design/research. Our portfolio of products is global (built mostly on native AWS), accounting for recruitment for all corporate roles. From the candidate\-facing job site, to ensuring the role is filled \- we build the entire gamut. We value people\-centric solutions, and open exchange of ideas. We are deeply focused on our product and service north star, but flexible in the paths to achieve that goal.**BASIC QUALIFICATIONS**
------------------------
* Bachelor's degree
* Experience owning/driving roadmap strategy and definition
* Experience with feature delivery and tradeoffs of a product
* Experience contributing to engineering discussions around technology decisions and strategy related to a product
* Experience managing technical products or online services
* Experience in representing and advocating for a variety of critical customers and stakeholders during executive\-level prioritization and planning
**PREFERRED QUALIFICATIONS**
----------------------------
* Experience in using analytical tools, such as Tableau, Qlikview, QuickSight
* Experience in building and driving adoption of new tools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$136,100/year in our lowest geographic market up to $235,200/year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70">
      <c r="A70" t="inlineStr">
        <is>
          <t>in-8ba2b28eca7bb0cf</t>
        </is>
      </c>
      <c r="B70" t="inlineStr">
        <is>
          <t>Sr. Product Manager</t>
        </is>
      </c>
      <c r="C70" t="inlineStr">
        <is>
          <t>Pantomath</t>
        </is>
      </c>
      <c r="D70" t="inlineStr">
        <is>
          <t>indeed</t>
        </is>
      </c>
      <c r="E70">
        <f>HYPERLINK("https://www.indeed.com/viewjob?jk=8ba2b28eca7bb0cf", "https://www.indeed.com/viewjob?jk=8ba2b28eca7bb0cf")</f>
        <v/>
      </c>
      <c r="F70">
        <f>HYPERLINK("https://careers.pantomath.com/jobs/551636-sr-product-manager", "https://careers.pantomath.com/jobs/551636-sr-product-manager")</f>
        <v/>
      </c>
      <c r="G70" t="inlineStr">
        <is>
          <t>San Francisco, CA, US</t>
        </is>
      </c>
      <c r="H70" s="2" t="n">
        <v>46057</v>
      </c>
      <c r="I70" t="inlineStr">
        <is>
          <t>**Location:** Bay Area, CA
**Team:** Product
**Job Summary**
Pantomath is hiring a Senior Product Manager for Connectors with direct, hands\-on data engineering experience to own the strategy and execution of our integrations ecosystem.
This role sits squarely at the intersection of product leadership and data engineering. You will be responsible for defining how Pantomath connects across the modern data stacks\- from ingestion and transformation (Fivetran, dbt, Airflow) to cloud warehouses (Snowflake, Databricks) to analytics and BI tools (Tableau, Power BI).
This is not a generalist PM role. To be successful, you must have firsthand experience designing, building, or maintaining data pipelines and integrations and be comfortable engaging deeply with technical architecture, APIs, and performance trade\-offs. You will use that experience to set technical direction, write precise requirements, and partner closely with engineering to deliver reliable, scalable, production\-grade connectors.
**What You’ll Do**
* Own the connectors product strategy and roadmap, making informed, technical decisions about which integrations to build.
* Leverage your data engineering background to evaluate feasibility and long\-term maintainability of integrations.
* Translate customer needs, partner requirements, and technical constraints into clear, detailed PRDs that engineers can execute against without ambiguity.
* Partner closely with engineering to design, build, test, and ship connectors that meet strict standards for reliability, scalability, observability, and security.
* Replicate real\-world customer data environments and pipelines to validate connector behavior, and ensure production readiness.
* Define success metrics for connectors (adoption, reliability, latency, error rates) and actively monitor, diagnose, and iterate based on data and feedback.
* Work with Go\-to\-Market teams to support launch readiness, technical enablement, and customer\-facing documentation.
* Stay current on trends and best practices across ETL/ELT, APIs, orchestration, data observability, and cloud data platforms to inform roadmap decisions.
* Advocate for a best\-in\-class developer and data engineer experience, ensuring integrations are intuitive, discoverable, and easy to operate at scale.
**Required Qualifications (Non\-Negotiable)**
* Hands\-on experience in data engineering, data architecture, or a closely related technical role (e.g., building pipelines, managing integrations, working with production data systems).
* 3\+ years of product management experience working on technically complex products such as data platforms, integrations, APIs, or developer\-facing tools.
* Strong, working knowledge of:
	+ APIs and SaaS integration patterns
	+ Data pipelines and workflows (ETL/ELT)
	+ Cloud data warehouses and modern data stacks
* Proven ability to partner deeply with engineering teams and make informed trade\-offs.
* Ability to clearly communicate complex technical concepts to both technical and non\-technical stakeholders.
* Bachelor’s degree in Computer Science, Data Science, Information Systems, Engineering, or a related technical field (or equivalent practical experience).
**Preferred Qualifications**
* Experience working with tools and platforms such as Snowflake, Databricks, BigQuery, Redshift, dbt, Fivetran, Airflow, Tableau, or Power BI.
* Prior ownership of a connector or integrations ecosystem within a SaaS or data product.
* Familiarity with data observability, lineage, governance, or metadata platforms.
* Experience in a high\-growth SaaS or developer\-focused product environment.
 **Who This Role Is (and Isn’t) For**
This role is ideal for a PM who:
* Has actually worked with data systems, not just managed timelines around them
* Enjoys being close to the technical details and using that depth to drive product decisions
* This role is not a fit for PMs without a technical or data background.
Pay Range for this role is 124,000 \- 182,000</t>
        </is>
      </c>
    </row>
    <row r="71">
      <c r="A71" t="inlineStr">
        <is>
          <t>in-74149c0bd948a9fa</t>
        </is>
      </c>
      <c r="B71" t="inlineStr">
        <is>
          <t>Sr. Product Manager Technical, Deal Tooling &amp; Insights, Strategic Customer Engagements</t>
        </is>
      </c>
      <c r="C71" t="inlineStr">
        <is>
          <t>Amazon Web Services</t>
        </is>
      </c>
      <c r="D71" t="inlineStr">
        <is>
          <t>indeed</t>
        </is>
      </c>
      <c r="E71">
        <f>HYPERLINK("https://www.indeed.com/viewjob?jk=74149c0bd948a9fa", "https://www.indeed.com/viewjob?jk=74149c0bd948a9fa")</f>
        <v/>
      </c>
      <c r="F71">
        <f>HYPERLINK("https://www.amazon.jobs/jobs/3138889/sr-product-manager-technical-deal-tooling--insights-strategic-customer-engagements?cmpid=DA_INAD200785B", "https://www.amazon.jobs/jobs/3138889/sr-product-manager-technical-deal-tooling--insights-strategic-customer-engagements?cmpid=DA_INAD200785B")</f>
        <v/>
      </c>
      <c r="G71" t="inlineStr">
        <is>
          <t>Austin, TX, US</t>
        </is>
      </c>
      <c r="H71" s="2" t="n">
        <v>45994</v>
      </c>
      <c r="I71" t="inlineStr">
        <is>
          <t>**DESCRIPTION**
---------------
At AWS, the Global Deal Strategy and Programs (GDSP) team drives cloud adoption and business growth through innovative pricing strategies. The organization comprises two specialized teams: Strategic Customer Engagements, which guide transformative deals with industry leaders, and Private Pricing Programs \&amp; Experiences, which scales and optimizes pricing solutions across our diverse customer base. Within GDSP, you will develop deep expertise in cloud economics, hone your strategic thinking, and directly impact AWS's market leadership while working with new technologies and global clients.  
Are you passionate about driving product innovation and leveraging new technologies like generative AI to transform how AWS delivers value to customers? Do you want to have a direct impact on strategic deal\-making and shape the future of cloud adoption? Are you excited to blend technical expertise with product strategy to solve complex business challenges?  
We are seeking a highly skilled Senior Product Manager \- Technical to propose and own the development of new features and functionality within our broader platform. You will work closely with stakeholders to prioritize features and capabilities that scale our ability to execute transformative deals through automation and AI\-driven solutions. The ideal candidate is a strategic thinker with deep technical expertise, a passion for learning new skills and experience in cloud\-based or AI\-driven product management.  
Successful candidates must have the ability to collaborate effectively across multiple technical and non\-technical business units to deliver successfully against the highest standards. The ideal candidate will have strong technical skills with business acumen and be detail\-oriented with excellent analytical problem\-solving skills. A keen sense of end\-to\-end ownership, drive, and scrappiness is a must.  
Key job responsibilities  
In this role:  
* You will own the entire lifecycle of new product feature development, from initial concept through launch and beyond, ensuring continuous improvement through data\-driven iteration and stakeholder feedback.
* You will leverage both product management expertise and technical skills to understand complex business requirements, design innovative solutions, and develop generative AI\-powered features that deliver measurable business impact.
* You will propose and own the development of new features within our broader platform, working closely with stakeholders to prioritize features and capabilities that scale our ability to execute transformative deals through automation and AI\-driven solutions.
* You will lead the technical development of new product features, including hands\-on contribution to development efforts, particularly in areas involving generative AI implementation and integration.
* You will collaborate with Data Engineers, Product Managers, and other stakeholders to define success metrics, measure product performance, and quantify the business impact of new features and capabilities
* You will translate complex technical concepts into clear, compelling communications for senior leadership
About the team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Inclusive Team Culture  
Here at AWS, it’s in our nature to learn and be curious. Our employee\-led affinity groups foster a culture of inclusion that empower us to be proud of our differences. Ongoing events and learning experiences inspire us to never stop embracing our uniqueness.  
Mentorship and Career Growth  
We’re continuously raising our performance bar as we strive to become Earth’s Best Employer. That’s why you’ll find endless knowledge\-sharing, mentorship and other career\-advancing resources here to help you develop into a better\-rounded professional.**BASIC QUALIFICATIONS**
------------------------
* Bachelor's degree
* 5\+ years of technical product or program management experience
* Experience in building and driving adoption of new tools
* Experience with feature delivery and tradeoffs of a product
* Experience working with global teams and diverse partners
**PREFERRED QUALIFICATIONS**
----------------------------
* Experience contributing to engineering discussions around technology decisions and strategy related to a product
* Experience managing, analyzing and communicating results to senior leadership
* Experience with AWS services or other cloud offerings
* 3\+ years of hands\-on technical experience in software development, data science, or related technical field
* Experience in the application of GenAI technologies to drive operational efficiencies and speed to insights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\- 166,300\.00 \- 225,000\.00 USD annually  
USA, TX, Austin \- 151,200\.00 \- 204,600\.00 USD annually  
USA, TX, Dallas \- 151,200\.00 \- 204,600\.00 USD annually  
USA, VA, Arlington \- 151,200\.00 \- 204,600\.00 USD annually  
USA, VA, Herndon \- 151,200\.00 \- 204,600\.00 USD annually  
USA, WA, Seattle \- 151,200\.00 \- 204,600\.00 USD annually</t>
        </is>
      </c>
    </row>
    <row r="72">
      <c r="A72" t="inlineStr">
        <is>
          <t>in-81f36034cbf309ae</t>
        </is>
      </c>
      <c r="B72" t="inlineStr">
        <is>
          <t>Sr. Product Manager Technical, Deal Tooling &amp; Insights, Strategic Customer Engagements</t>
        </is>
      </c>
      <c r="C72" t="inlineStr">
        <is>
          <t>Amazon Web Services</t>
        </is>
      </c>
      <c r="D72" t="inlineStr">
        <is>
          <t>indeed</t>
        </is>
      </c>
      <c r="E72">
        <f>HYPERLINK("https://www.indeed.com/viewjob?jk=81f36034cbf309ae", "https://www.indeed.com/viewjob?jk=81f36034cbf309ae")</f>
        <v/>
      </c>
      <c r="F72">
        <f>HYPERLINK("https://www.amazon.jobs/jobs/3138889/sr-product-manager-technical-deal-tooling--insights-strategic-customer-engagements?cmpid=DA_INAD200785B", "https://www.amazon.jobs/jobs/3138889/sr-product-manager-technical-deal-tooling--insights-strategic-customer-engagements?cmpid=DA_INAD200785B")</f>
        <v/>
      </c>
      <c r="G72" t="inlineStr">
        <is>
          <t>Arlington, VA, US</t>
        </is>
      </c>
      <c r="H72" s="2" t="n">
        <v>45994</v>
      </c>
      <c r="I72" t="inlineStr">
        <is>
          <t>**DESCRIPTION**
---------------
At AWS, the Global Deal Strategy and Programs (GDSP) team drives cloud adoption and business growth through innovative pricing strategies. The organization comprises two specialized teams: Strategic Customer Engagements, which guide transformative deals with industry leaders, and Private Pricing Programs \&amp; Experiences, which scales and optimizes pricing solutions across our diverse customer base. Within GDSP, you will develop deep expertise in cloud economics, hone your strategic thinking, and directly impact AWS's market leadership while working with new technologies and global clients.  
Are you passionate about driving product innovation and leveraging new technologies like generative AI to transform how AWS delivers value to customers? Do you want to have a direct impact on strategic deal\-making and shape the future of cloud adoption? Are you excited to blend technical expertise with product strategy to solve complex business challenges?  
We are seeking a highly skilled Senior Product Manager \- Technical to propose and own the development of new features and functionality within our broader platform. You will work closely with stakeholders to prioritize features and capabilities that scale our ability to execute transformative deals through automation and AI\-driven solutions. The ideal candidate is a strategic thinker with deep technical expertise, a passion for learning new skills and experience in cloud\-based or AI\-driven product management.  
Successful candidates must have the ability to collaborate effectively across multiple technical and non\-technical business units to deliver successfully against the highest standards. The ideal candidate will have strong technical skills with business acumen and be detail\-oriented with excellent analytical problem\-solving skills. A keen sense of end\-to\-end ownership, drive, and scrappiness is a must.  
Key job responsibilities  
In this role:  
* You will own the entire lifecycle of new product feature development, from initial concept through launch and beyond, ensuring continuous improvement through data\-driven iteration and stakeholder feedback.
* You will leverage both product management expertise and technical skills to understand complex business requirements, design innovative solutions, and develop generative AI\-powered features that deliver measurable business impact.
* You will propose and own the development of new features within our broader platform, working closely with stakeholders to prioritize features and capabilities that scale our ability to execute transformative deals through automation and AI\-driven solutions.
* You will lead the technical development of new product features, including hands\-on contribution to development efforts, particularly in areas involving generative AI implementation and integration.
* You will collaborate with Data Engineers, Product Managers, and other stakeholders to define success metrics, measure product performance, and quantify the business impact of new features and capabilities
* You will translate complex technical concepts into clear, compelling communications for senior leadership
About the team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Inclusive Team Culture  
Here at AWS, it’s in our nature to learn and be curious. Our employee\-led affinity groups foster a culture of inclusion that empower us to be proud of our differences. Ongoing events and learning experiences inspire us to never stop embracing our uniqueness.  
Mentorship and Career Growth  
We’re continuously raising our performance bar as we strive to become Earth’s Best Employer. That’s why you’ll find endless knowledge\-sharing, mentorship and other career\-advancing resources here to help you develop into a better\-rounded professional.**BASIC QUALIFICATIONS**
------------------------
* Bachelor's degree
* 5\+ years of technical product or program management experience
* Experience in building and driving adoption of new tools
* Experience with feature delivery and tradeoffs of a product
* Experience working with global teams and diverse partners
**PREFERRED QUALIFICATIONS**
----------------------------
* Experience contributing to engineering discussions around technology decisions and strategy related to a product
* Experience managing, analyzing and communicating results to senior leadership
* Experience with AWS services or other cloud offerings
* 3\+ years of hands\-on technical experience in software development, data science, or related technical field
* Experience in the application of GenAI technologies to drive operational efficiencies and speed to insights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\- 166,300\.00 \- 225,000\.00 USD annually  
USA, TX, Austin \- 151,200\.00 \- 204,600\.00 USD annually  
USA, TX, Dallas \- 151,200\.00 \- 204,600\.00 USD annually  
USA, VA, Arlington \- 151,200\.00 \- 204,600\.00 USD annually  
USA, VA, Herndon \- 151,200\.00 \- 204,600\.00 USD annually  
USA, WA, Seattle \- 151,200\.00 \- 204,600\.00 USD annually</t>
        </is>
      </c>
    </row>
    <row r="73">
      <c r="A73" t="inlineStr">
        <is>
          <t>in-d732c9f0db0f1421</t>
        </is>
      </c>
      <c r="B73" t="inlineStr">
        <is>
          <t>Sr. Product Manager Technical, Deal Tooling &amp; Insights, Strategic Customer Engagements</t>
        </is>
      </c>
      <c r="C73" t="inlineStr">
        <is>
          <t>Amazon Web Services</t>
        </is>
      </c>
      <c r="D73" t="inlineStr">
        <is>
          <t>indeed</t>
        </is>
      </c>
      <c r="E73">
        <f>HYPERLINK("https://www.indeed.com/viewjob?jk=d732c9f0db0f1421", "https://www.indeed.com/viewjob?jk=d732c9f0db0f1421")</f>
        <v/>
      </c>
      <c r="F73">
        <f>HYPERLINK("https://www.amazon.jobs/jobs/3138889/sr-product-manager-technical-deal-tooling--insights-strategic-customer-engagements?cmpid=DA_INAD200785B", "https://www.amazon.jobs/jobs/3138889/sr-product-manager-technical-deal-tooling--insights-strategic-customer-engagements?cmpid=DA_INAD200785B")</f>
        <v/>
      </c>
      <c r="G73" t="inlineStr">
        <is>
          <t>Herndon, VA, US</t>
        </is>
      </c>
      <c r="H73" s="2" t="n">
        <v>45994</v>
      </c>
      <c r="I73" t="inlineStr">
        <is>
          <t>**DESCRIPTION**
---------------
At AWS, the Global Deal Strategy and Programs (GDSP) team drives cloud adoption and business growth through innovative pricing strategies. The organization comprises two specialized teams: Strategic Customer Engagements, which guide transformative deals with industry leaders, and Private Pricing Programs \&amp; Experiences, which scales and optimizes pricing solutions across our diverse customer base. Within GDSP, you will develop deep expertise in cloud economics, hone your strategic thinking, and directly impact AWS's market leadership while working with new technologies and global clients.  
Are you passionate about driving product innovation and leveraging new technologies like generative AI to transform how AWS delivers value to customers? Do you want to have a direct impact on strategic deal\-making and shape the future of cloud adoption? Are you excited to blend technical expertise with product strategy to solve complex business challenges?  
We are seeking a highly skilled Senior Product Manager \- Technical to propose and own the development of new features and functionality within our broader platform. You will work closely with stakeholders to prioritize features and capabilities that scale our ability to execute transformative deals through automation and AI\-driven solutions. The ideal candidate is a strategic thinker with deep technical expertise, a passion for learning new skills and experience in cloud\-based or AI\-driven product management.  
Successful candidates must have the ability to collaborate effectively across multiple technical and non\-technical business units to deliver successfully against the highest standards. The ideal candidate will have strong technical skills with business acumen and be detail\-oriented with excellent analytical problem\-solving skills. A keen sense of end\-to\-end ownership, drive, and scrappiness is a must.  
Key job responsibilities  
In this role:  
* You will own the entire lifecycle of new product feature development, from initial concept through launch and beyond, ensuring continuous improvement through data\-driven iteration and stakeholder feedback.
* You will leverage both product management expertise and technical skills to understand complex business requirements, design innovative solutions, and develop generative AI\-powered features that deliver measurable business impact.
* You will propose and own the development of new features within our broader platform, working closely with stakeholders to prioritize features and capabilities that scale our ability to execute transformative deals through automation and AI\-driven solutions.
* You will lead the technical development of new product features, including hands\-on contribution to development efforts, particularly in areas involving generative AI implementation and integration.
* You will collaborate with Data Engineers, Product Managers, and other stakeholders to define success metrics, measure product performance, and quantify the business impact of new features and capabilities
* You will translate complex technical concepts into clear, compelling communications for senior leadership
About the team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Inclusive Team Culture  
Here at AWS, it’s in our nature to learn and be curious. Our employee\-led affinity groups foster a culture of inclusion that empower us to be proud of our differences. Ongoing events and learning experiences inspire us to never stop embracing our uniqueness.  
Mentorship and Career Growth  
We’re continuously raising our performance bar as we strive to become Earth’s Best Employer. That’s why you’ll find endless knowledge\-sharing, mentorship and other career\-advancing resources here to help you develop into a better\-rounded professional.**BASIC QUALIFICATIONS**
------------------------
* Bachelor's degree
* 5\+ years of technical product or program management experience
* Experience in building and driving adoption of new tools
* Experience with feature delivery and tradeoffs of a product
* Experience working with global teams and diverse partners
**PREFERRED QUALIFICATIONS**
----------------------------
* Experience contributing to engineering discussions around technology decisions and strategy related to a product
* Experience managing, analyzing and communicating results to senior leadership
* Experience with AWS services or other cloud offerings
* 3\+ years of hands\-on technical experience in software development, data science, or related technical field
* Experience in the application of GenAI technologies to drive operational efficiencies and speed to insights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\- 166,300\.00 \- 225,000\.00 USD annually  
USA, TX, Austin \- 151,200\.00 \- 204,600\.00 USD annually  
USA, TX, Dallas \- 151,200\.00 \- 204,600\.00 USD annually  
USA, VA, Arlington \- 151,200\.00 \- 204,600\.00 USD annually  
USA, VA, Herndon \- 151,200\.00 \- 204,600\.00 USD annually  
USA, WA, Seattle \- 151,200\.00 \- 204,600\.00 USD annually</t>
        </is>
      </c>
    </row>
    <row r="74">
      <c r="A74" t="inlineStr">
        <is>
          <t>in-2594a5d6b1a60605</t>
        </is>
      </c>
      <c r="B74" t="inlineStr">
        <is>
          <t>Sr. Product Manager Technical, Deal Tooling &amp; Insights, Strategic Customer Engagements</t>
        </is>
      </c>
      <c r="C74" t="inlineStr">
        <is>
          <t>Amazon Web Services</t>
        </is>
      </c>
      <c r="D74" t="inlineStr">
        <is>
          <t>indeed</t>
        </is>
      </c>
      <c r="E74">
        <f>HYPERLINK("https://www.indeed.com/viewjob?jk=2594a5d6b1a60605", "https://www.indeed.com/viewjob?jk=2594a5d6b1a60605")</f>
        <v/>
      </c>
      <c r="F74">
        <f>HYPERLINK("https://www.amazon.jobs/jobs/3138889/sr-product-manager-technical-deal-tooling--insights-strategic-customer-engagements?cmpid=DA_INAD200785B", "https://www.amazon.jobs/jobs/3138889/sr-product-manager-technical-deal-tooling--insights-strategic-customer-engagements?cmpid=DA_INAD200785B")</f>
        <v/>
      </c>
      <c r="G74" t="inlineStr">
        <is>
          <t>Dallas, TX, US</t>
        </is>
      </c>
      <c r="H74" s="2" t="n">
        <v>45994</v>
      </c>
      <c r="I74" t="inlineStr">
        <is>
          <t>**DESCRIPTION**
---------------
At AWS, the Global Deal Strategy and Programs (GDSP) team drives cloud adoption and business growth through innovative pricing strategies. The organization comprises two specialized teams: Strategic Customer Engagements, which guide transformative deals with industry leaders, and Private Pricing Programs \&amp; Experiences, which scales and optimizes pricing solutions across our diverse customer base. Within GDSP, you will develop deep expertise in cloud economics, hone your strategic thinking, and directly impact AWS's market leadership while working with new technologies and global clients.  
Are you passionate about driving product innovation and leveraging new technologies like generative AI to transform how AWS delivers value to customers? Do you want to have a direct impact on strategic deal\-making and shape the future of cloud adoption? Are you excited to blend technical expertise with product strategy to solve complex business challenges?  
We are seeking a highly skilled Senior Product Manager \- Technical to propose and own the development of new features and functionality within our broader platform. You will work closely with stakeholders to prioritize features and capabilities that scale our ability to execute transformative deals through automation and AI\-driven solutions. The ideal candidate is a strategic thinker with deep technical expertise, a passion for learning new skills and experience in cloud\-based or AI\-driven product management.  
Successful candidates must have the ability to collaborate effectively across multiple technical and non\-technical business units to deliver successfully against the highest standards. The ideal candidate will have strong technical skills with business acumen and be detail\-oriented with excellent analytical problem\-solving skills. A keen sense of end\-to\-end ownership, drive, and scrappiness is a must.  
Key job responsibilities  
In this role:  
* You will own the entire lifecycle of new product feature development, from initial concept through launch and beyond, ensuring continuous improvement through data\-driven iteration and stakeholder feedback.
* You will leverage both product management expertise and technical skills to understand complex business requirements, design innovative solutions, and develop generative AI\-powered features that deliver measurable business impact.
* You will propose and own the development of new features within our broader platform, working closely with stakeholders to prioritize features and capabilities that scale our ability to execute transformative deals through automation and AI\-driven solutions.
* You will lead the technical development of new product features, including hands\-on contribution to development efforts, particularly in areas involving generative AI implementation and integration.
* You will collaborate with Data Engineers, Product Managers, and other stakeholders to define success metrics, measure product performance, and quantify the business impact of new features and capabilities
* You will translate complex technical concepts into clear, compelling communications for senior leadership
About the team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Inclusive Team Culture  
Here at AWS, it’s in our nature to learn and be curious. Our employee\-led affinity groups foster a culture of inclusion that empower us to be proud of our differences. Ongoing events and learning experiences inspire us to never stop embracing our uniqueness.  
Mentorship and Career Growth  
We’re continuously raising our performance bar as we strive to become Earth’s Best Employer. That’s why you’ll find endless knowledge\-sharing, mentorship and other career\-advancing resources here to help you develop into a better\-rounded professional.**BASIC QUALIFICATIONS**
------------------------
* Bachelor's degree
* 5\+ years of technical product or program management experience
* Experience in building and driving adoption of new tools
* Experience with feature delivery and tradeoffs of a product
* Experience working with global teams and diverse partners
**PREFERRED QUALIFICATIONS**
----------------------------
* Experience contributing to engineering discussions around technology decisions and strategy related to a product
* Experience managing, analyzing and communicating results to senior leadership
* Experience with AWS services or other cloud offerings
* 3\+ years of hands\-on technical experience in software development, data science, or related technical field
* Experience in the application of GenAI technologies to drive operational efficiencies and speed to insights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\- 166,300\.00 \- 225,000\.00 USD annually  
USA, TX, Austin \- 151,200\.00 \- 204,600\.00 USD annually  
USA, TX, Dallas \- 151,200\.00 \- 204,600\.00 USD annually  
USA, VA, Arlington \- 151,200\.00 \- 204,600\.00 USD annually  
USA, VA, Herndon \- 151,200\.00 \- 204,600\.00 USD annually  
USA, WA, Seattle \- 151,200\.00 \- 204,600\.00 USD annually</t>
        </is>
      </c>
    </row>
    <row r="75">
      <c r="A75" t="inlineStr">
        <is>
          <t>in-3dc74436da5eb5a4</t>
        </is>
      </c>
      <c r="B75" t="inlineStr">
        <is>
          <t>Sr. Product Manager Technical, Deal Tooling &amp; Insights, Strategic Customer Engagements</t>
        </is>
      </c>
      <c r="C75" t="inlineStr">
        <is>
          <t>Amazon Web Services</t>
        </is>
      </c>
      <c r="D75" t="inlineStr">
        <is>
          <t>indeed</t>
        </is>
      </c>
      <c r="E75">
        <f>HYPERLINK("https://www.indeed.com/viewjob?jk=3dc74436da5eb5a4", "https://www.indeed.com/viewjob?jk=3dc74436da5eb5a4")</f>
        <v/>
      </c>
      <c r="F75">
        <f>HYPERLINK("https://www.amazon.jobs/jobs/3138889/sr-product-manager-technical-deal-tooling--insights-strategic-customer-engagements?cmpid=DA_INAD200785B", "https://www.amazon.jobs/jobs/3138889/sr-product-manager-technical-deal-tooling--insights-strategic-customer-engagements?cmpid=DA_INAD200785B")</f>
        <v/>
      </c>
      <c r="G75" t="inlineStr">
        <is>
          <t>New York, NY, US</t>
        </is>
      </c>
      <c r="H75" s="2" t="n">
        <v>45994</v>
      </c>
      <c r="I75" t="inlineStr">
        <is>
          <t>**DESCRIPTION**
---------------
At AWS, the Global Deal Strategy and Programs (GDSP) team drives cloud adoption and business growth through innovative pricing strategies. The organization comprises two specialized teams: Strategic Customer Engagements, which guide transformative deals with industry leaders, and Private Pricing Programs \&amp; Experiences, which scales and optimizes pricing solutions across our diverse customer base. Within GDSP, you will develop deep expertise in cloud economics, hone your strategic thinking, and directly impact AWS's market leadership while working with new technologies and global clients.  
Are you passionate about driving product innovation and leveraging new technologies like generative AI to transform how AWS delivers value to customers? Do you want to have a direct impact on strategic deal\-making and shape the future of cloud adoption? Are you excited to blend technical expertise with product strategy to solve complex business challenges?  
We are seeking a highly skilled Senior Product Manager \- Technical to propose and own the development of new features and functionality within our broader platform. You will work closely with stakeholders to prioritize features and capabilities that scale our ability to execute transformative deals through automation and AI\-driven solutions. The ideal candidate is a strategic thinker with deep technical expertise, a passion for learning new skills and experience in cloud\-based or AI\-driven product management.  
Successful candidates must have the ability to collaborate effectively across multiple technical and non\-technical business units to deliver successfully against the highest standards. The ideal candidate will have strong technical skills with business acumen and be detail\-oriented with excellent analytical problem\-solving skills. A keen sense of end\-to\-end ownership, drive, and scrappiness is a must.  
Key job responsibilities  
In this role:  
* You will own the entire lifecycle of new product feature development, from initial concept through launch and beyond, ensuring continuous improvement through data\-driven iteration and stakeholder feedback.
* You will leverage both product management expertise and technical skills to understand complex business requirements, design innovative solutions, and develop generative AI\-powered features that deliver measurable business impact.
* You will propose and own the development of new features within our broader platform, working closely with stakeholders to prioritize features and capabilities that scale our ability to execute transformative deals through automation and AI\-driven solutions.
* You will lead the technical development of new product features, including hands\-on contribution to development efforts, particularly in areas involving generative AI implementation and integration.
* You will collaborate with Data Engineers, Product Managers, and other stakeholders to define success metrics, measure product performance, and quantify the business impact of new features and capabilities
* You will translate complex technical concepts into clear, compelling communications for senior leadership
About the team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Inclusive Team Culture  
Here at AWS, it’s in our nature to learn and be curious. Our employee\-led affinity groups foster a culture of inclusion that empower us to be proud of our differences. Ongoing events and learning experiences inspire us to never stop embracing our uniqueness.  
Mentorship and Career Growth  
We’re continuously raising our performance bar as we strive to become Earth’s Best Employer. That’s why you’ll find endless knowledge\-sharing, mentorship and other career\-advancing resources here to help you develop into a better\-rounded professional.**BASIC QUALIFICATIONS**
------------------------
* Bachelor's degree
* 5\+ years of technical product or program management experience
* Experience in building and driving adoption of new tools
* Experience with feature delivery and tradeoffs of a product
* Experience working with global teams and diverse partners
**PREFERRED QUALIFICATIONS**
----------------------------
* Experience contributing to engineering discussions around technology decisions and strategy related to a product
* Experience managing, analyzing and communicating results to senior leadership
* Experience with AWS services or other cloud offerings
* 3\+ years of hands\-on technical experience in software development, data science, or related technical field
* Experience in the application of GenAI technologies to drive operational efficiencies and speed to insights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\- 166,300\.00 \- 225,000\.00 USD annually  
USA, TX, Austin \- 151,200\.00 \- 204,600\.00 USD annually  
USA, TX, Dallas \- 151,200\.00 \- 204,600\.00 USD annually  
USA, VA, Arlington \- 151,200\.00 \- 204,600\.00 USD annually  
USA, VA, Herndon \- 151,200\.00 \- 204,600\.00 USD annually  
USA, WA, Seattle \- 151,200\.00 \- 204,600\.00 USD annually</t>
        </is>
      </c>
    </row>
    <row r="76">
      <c r="A76" t="inlineStr">
        <is>
          <t>in-781088aeea55df9e</t>
        </is>
      </c>
      <c r="B76" t="inlineStr">
        <is>
          <t>Sr. Product Manager Technical, Deal Tooling &amp; Insights, Strategic Customer Engagements</t>
        </is>
      </c>
      <c r="C76" t="inlineStr">
        <is>
          <t>Amazon Web Services</t>
        </is>
      </c>
      <c r="D76" t="inlineStr">
        <is>
          <t>indeed</t>
        </is>
      </c>
      <c r="E76">
        <f>HYPERLINK("https://www.indeed.com/viewjob?jk=781088aeea55df9e", "https://www.indeed.com/viewjob?jk=781088aeea55df9e")</f>
        <v/>
      </c>
      <c r="F76">
        <f>HYPERLINK("https://www.amazon.jobs/jobs/3138889/sr-product-manager-technical-deal-tooling--insights-strategic-customer-engagements?cmpid=DA_INAD200785B", "https://www.amazon.jobs/jobs/3138889/sr-product-manager-technical-deal-tooling--insights-strategic-customer-engagements?cmpid=DA_INAD200785B")</f>
        <v/>
      </c>
      <c r="G76" t="inlineStr">
        <is>
          <t>Seattle, WA, US</t>
        </is>
      </c>
      <c r="H76" s="2" t="n">
        <v>45994</v>
      </c>
      <c r="I76" t="inlineStr">
        <is>
          <t>**DESCRIPTION**
---------------
At AWS, the Global Deal Strategy and Programs (GDSP) team drives cloud adoption and business growth through innovative pricing strategies. The organization comprises two specialized teams: Strategic Customer Engagements, which guide transformative deals with industry leaders, and Private Pricing Programs \&amp; Experiences, which scales and optimizes pricing solutions across our diverse customer base. Within GDSP, you will develop deep expertise in cloud economics, hone your strategic thinking, and directly impact AWS's market leadership while working with new technologies and global clients.  
Are you passionate about driving product innovation and leveraging new technologies like generative AI to transform how AWS delivers value to customers? Do you want to have a direct impact on strategic deal\-making and shape the future of cloud adoption? Are you excited to blend technical expertise with product strategy to solve complex business challenges?  
We are seeking a highly skilled Senior Product Manager \- Technical to propose and own the development of new features and functionality within our broader platform. You will work closely with stakeholders to prioritize features and capabilities that scale our ability to execute transformative deals through automation and AI\-driven solutions. The ideal candidate is a strategic thinker with deep technical expertise, a passion for learning new skills and experience in cloud\-based or AI\-driven product management.  
Successful candidates must have the ability to collaborate effectively across multiple technical and non\-technical business units to deliver successfully against the highest standards. The ideal candidate will have strong technical skills with business acumen and be detail\-oriented with excellent analytical problem\-solving skills. A keen sense of end\-to\-end ownership, drive, and scrappiness is a must.  
Key job responsibilities  
In this role:  
* You will own the entire lifecycle of new product feature development, from initial concept through launch and beyond, ensuring continuous improvement through data\-driven iteration and stakeholder feedback.
* You will leverage both product management expertise and technical skills to understand complex business requirements, design innovative solutions, and develop generative AI\-powered features that deliver measurable business impact.
* You will propose and own the development of new features within our broader platform, working closely with stakeholders to prioritize features and capabilities that scale our ability to execute transformative deals through automation and AI\-driven solutions.
* You will lead the technical development of new product features, including hands\-on contribution to development efforts, particularly in areas involving generative AI implementation and integration.
* You will collaborate with Data Engineers, Product Managers, and other stakeholders to define success metrics, measure product performance, and quantify the business impact of new features and capabilities
* You will translate complex technical concepts into clear, compelling communications for senior leadership
About the team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Inclusive Team Culture  
Here at AWS, it’s in our nature to learn and be curious. Our employee\-led affinity groups foster a culture of inclusion that empower us to be proud of our differences. Ongoing events and learning experiences inspire us to never stop embracing our uniqueness.  
Mentorship and Career Growth  
We’re continuously raising our performance bar as we strive to become Earth’s Best Employer. That’s why you’ll find endless knowledge\-sharing, mentorship and other career\-advancing resources here to help you develop into a better\-rounded professional.**BASIC QUALIFICATIONS**
------------------------
* Bachelor's degree
* 5\+ years of technical product or program management experience
* Experience in building and driving adoption of new tools
* Experience with feature delivery and tradeoffs of a product
* Experience working with global teams and diverse partners
**PREFERRED QUALIFICATIONS**
----------------------------
* Experience contributing to engineering discussions around technology decisions and strategy related to a product
* Experience managing, analyzing and communicating results to senior leadership
* Experience with AWS services or other cloud offerings
* 3\+ years of hands\-on technical experience in software development, data science, or related technical field
* Experience in the application of GenAI technologies to drive operational efficiencies and speed to insights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\- 166,300\.00 \- 225,000\.00 USD annually  
USA, TX, Austin \- 151,200\.00 \- 204,600\.00 USD annually  
USA, TX, Dallas \- 151,200\.00 \- 204,600\.00 USD annually  
USA, VA, Arlington \- 151,200\.00 \- 204,600\.00 USD annually  
USA, VA, Herndon \- 151,200\.00 \- 204,600\.00 USD annually  
USA, WA, Seattle \- 151,200\.00 \- 204,600\.00 USD annually</t>
        </is>
      </c>
    </row>
    <row r="77">
      <c r="A77" t="inlineStr">
        <is>
          <t>in-b66850aee3645445</t>
        </is>
      </c>
      <c r="B77" t="inlineStr">
        <is>
          <t>Sr. Product Manager - Tech, WHS Data-Tech</t>
        </is>
      </c>
      <c r="C77" t="inlineStr">
        <is>
          <t>Amazon.com</t>
        </is>
      </c>
      <c r="D77" t="inlineStr">
        <is>
          <t>indeed</t>
        </is>
      </c>
      <c r="E77">
        <f>HYPERLINK("https://www.indeed.com/viewjob?jk=b66850aee3645445", "https://www.indeed.com/viewjob?jk=b66850aee3645445")</f>
        <v/>
      </c>
      <c r="F77">
        <f>HYPERLINK("https://www.amazon.jobs/jobs/3156736/sr-product-manager--tech-whs-datatech?cmpid=DA_INAD200785B", "https://www.amazon.jobs/jobs/3156736/sr-product-manager--tech-whs-datatech?cmpid=DA_INAD200785B")</f>
        <v/>
      </c>
      <c r="G77" t="inlineStr">
        <is>
          <t>Nashville, TN, US</t>
        </is>
      </c>
      <c r="H77" s="2" t="n">
        <v>45836</v>
      </c>
      <c r="I77" t="inlineStr">
        <is>
          <t>**DESCRIPTION**
---------------
WHS (Workplace Health \&amp; Safety) is seeking a Senior Product Manager \- Technical (Sr. PMT) to lead an important set of products for our global safety operations.  
As a Sr. PMT for Amazon's WHS Data\-Tech organization, you will play a vital role in inventing, simplifying, and scaling Amazon's technology products that have a tangible impact on the safety of our global workforce. We seek a product leader who can manage large, cross\-functional technology programs and projects. In this role, you will be responsible for driving multiple technical product initiatives that deliver critical health and safety capabilities requiring coordination with technology and operations teams worldwide. You will collaborate with a group of technical product managers, developers, data engineers, and data scientists to provide products and services that deliver insights and improve the safety processes of WHS worldwide.  
The right candidate will possess a strong product and technology background. You must be able to thrive and succeed in a challenging entrepreneurial environment, and not be hindered by ambiguity or competing priorities. This means you are not only able to develop and drive high\-level strategic initiatives but can also roll up your sleeves, dig in and get the job done. As a Sr. PMT, you will anticipate bottlenecks, provide escalation management, make trade\-offs, and balance business needs versus technical constraints. An ability to take large, complex products and break them down into manageable pieces, develop functional specifications, then deliver them in a successful and timely manner is expected.  
Key job responsibilities  
* Product Management: Leverage your strong foundation in product management concepts and methodologies to deliver on product strategy, roadmaps, and prioritization of features for safety products and solutions.
* Unified User Experience: Identify user needs through user research, onsite visits, and Voice of Associate (VoA) mechanisms. Work closely with program and engineering teams to build unified user interfaces to streamline user experience.
* Communication and Collaboration: Communicate product visions, goals, and requirements to diverse stakeholders, including Program, Operations, Technology, and Finance teams. Facilitate collaboration among cross\-functional teams to ensure smooth product development.
A day in the life  
Amazon offers a full range of benefits that support you and eligible family members, including domestic partners and their children. Benefits can vary by location, the number of regularly scheduled hours you work, length of employment, and job status such as seasonal or temporary employment. The benefits that generally apply to regular, full\-time employees include:  
1\. Medical, Dental, and Vision Coverage  
2\. Maternity and Parental Leave Options  
3\. Paid Time Off (PTO)  
4\. 401(k) Plan  
If you are not sure that every qualification on the list above describes you exactly, we'd still love to hear from you! At Amazon, we value people with unique backgrounds, experiences, and skillsets. If you’re passionate about this role and want to make an impact on a global scale, please apply!  
About the team  
WHS Data\-Tech's charter is to deliver technology solutions and data insights that help reduce workplace risks and injuries at Amazon. Our customers are Worldwide (WW) Operations and the WHS organization. The technology solutions landscape for WHS Data\-Tech includes web applications built using native Amazon Web Services (AWS) technologies and device\-software hybrid solutions that leverage generative artificial intelligence (AI), computer vision, sensors and Internet of Things (IoT) technologies. Additionally, the team conducts scientific research and modeling to generate safety insights and provides analytical solutions, ranging from senior leadership deliverables to individual business unit specific reports.**BASIC QUALIFICATIONS**
------------------------
* Experience owning/driving roadmap strategy and definition
* Experience with feature delivery and tradeoffs of a product
* Experience contributing to engineering discussions around technology decisions and strategy related to a product
* Experience managing technical products or online services
* Experience in representing and advocating for a variety of critical customers and stakeholders during executive\-level prioritization and planning
* 5\+ years of end to end product delivery experience
* Bachelor's degree in Engineering, Science, Analytics, or Business Administration
**PREFERRED QUALIFICATIONS**
----------------------------
* Experience in using analytical tools, such as Tableau, Qlikview, QuickSight
* Experience in building and driving adoption of new tools
* Master's degree in Engineering, Science, Analytics, or Business Administration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WA, Bellevue \- 151,200\.00 \- 204,600\.00 USD annually</t>
        </is>
      </c>
    </row>
    <row r="78">
      <c r="A78" t="inlineStr">
        <is>
          <t>in-fbc5b16603be79eb</t>
        </is>
      </c>
      <c r="B78" t="inlineStr">
        <is>
          <t>Sr. Product Manager - Tech, WHS Data-Tech</t>
        </is>
      </c>
      <c r="C78" t="inlineStr">
        <is>
          <t>Amazon.com</t>
        </is>
      </c>
      <c r="D78" t="inlineStr">
        <is>
          <t>indeed</t>
        </is>
      </c>
      <c r="E78">
        <f>HYPERLINK("https://www.indeed.com/viewjob?jk=fbc5b16603be79eb", "https://www.indeed.com/viewjob?jk=fbc5b16603be79eb")</f>
        <v/>
      </c>
      <c r="F78">
        <f>HYPERLINK("https://www.amazon.jobs/jobs/3156736/sr-product-manager--tech-whs-datatech?cmpid=DA_INAD200785B", "https://www.amazon.jobs/jobs/3156736/sr-product-manager--tech-whs-datatech?cmpid=DA_INAD200785B")</f>
        <v/>
      </c>
      <c r="G78" t="inlineStr">
        <is>
          <t>Arlington, VA, US</t>
        </is>
      </c>
      <c r="H78" s="2" t="n">
        <v>45836</v>
      </c>
      <c r="I78" t="inlineStr">
        <is>
          <t>**DESCRIPTION**
---------------
WHS (Workplace Health \&amp; Safety) is seeking a Senior Product Manager \- Technical (Sr. PMT) to lead an important set of products for our global safety operations.  
As a Sr. PMT for Amazon's WHS Data\-Tech organization, you will play a vital role in inventing, simplifying, and scaling Amazon's technology products that have a tangible impact on the safety of our global workforce. We seek a product leader who can manage large, cross\-functional technology programs and projects. In this role, you will be responsible for driving multiple technical product initiatives that deliver critical health and safety capabilities requiring coordination with technology and operations teams worldwide. You will collaborate with a group of technical product managers, developers, data engineers, and data scientists to provide products and services that deliver insights and improve the safety processes of WHS worldwide.  
The right candidate will possess a strong product and technology background. You must be able to thrive and succeed in a challenging entrepreneurial environment, and not be hindered by ambiguity or competing priorities. This means you are not only able to develop and drive high\-level strategic initiatives but can also roll up your sleeves, dig in and get the job done. As a Sr. PMT, you will anticipate bottlenecks, provide escalation management, make trade\-offs, and balance business needs versus technical constraints. An ability to take large, complex products and break them down into manageable pieces, develop functional specifications, then deliver them in a successful and timely manner is expected.  
Key job responsibilities  
* Product Management: Leverage your strong foundation in product management concepts and methodologies to deliver on product strategy, roadmaps, and prioritization of features for safety products and solutions.
* Unified User Experience: Identify user needs through user research, onsite visits, and Voice of Associate (VoA) mechanisms. Work closely with program and engineering teams to build unified user interfaces to streamline user experience.
* Communication and Collaboration: Communicate product visions, goals, and requirements to diverse stakeholders, including Program, Operations, Technology, and Finance teams. Facilitate collaboration among cross\-functional teams to ensure smooth product development.
A day in the life  
Amazon offers a full range of benefits that support you and eligible family members, including domestic partners and their children. Benefits can vary by location, the number of regularly scheduled hours you work, length of employment, and job status such as seasonal or temporary employment. The benefits that generally apply to regular, full\-time employees include:  
1\. Medical, Dental, and Vision Coverage  
2\. Maternity and Parental Leave Options  
3\. Paid Time Off (PTO)  
4\. 401(k) Plan  
If you are not sure that every qualification on the list above describes you exactly, we'd still love to hear from you! At Amazon, we value people with unique backgrounds, experiences, and skillsets. If you’re passionate about this role and want to make an impact on a global scale, please apply!  
About the team  
WHS Data\-Tech's charter is to deliver technology solutions and data insights that help reduce workplace risks and injuries at Amazon. Our customers are Worldwide (WW) Operations and the WHS organization. The technology solutions landscape for WHS Data\-Tech includes web applications built using native Amazon Web Services (AWS) technologies and device\-software hybrid solutions that leverage generative artificial intelligence (AI), computer vision, sensors and Internet of Things (IoT) technologies. Additionally, the team conducts scientific research and modeling to generate safety insights and provides analytical solutions, ranging from senior leadership deliverables to individual business unit specific reports.**BASIC QUALIFICATIONS**
------------------------
* Experience owning/driving roadmap strategy and definition
* Experience with feature delivery and tradeoffs of a product
* Experience contributing to engineering discussions around technology decisions and strategy related to a product
* Experience managing technical products or online services
* Experience in representing and advocating for a variety of critical customers and stakeholders during executive\-level prioritization and planning
* 5\+ years of end to end product delivery experience
* Bachelor's degree in Engineering, Science, Analytics, or Business Administration
**PREFERRED QUALIFICATIONS**
----------------------------
* Experience in using analytical tools, such as Tableau, Qlikview, QuickSight
* Experience in building and driving adoption of new tools
* Master's degree in Engineering, Science, Analytics, or Business Administration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WA, Bellevue \- 151,200\.00 \- 204,600\.00 USD annually</t>
        </is>
      </c>
    </row>
    <row r="79">
      <c r="A79" t="inlineStr">
        <is>
          <t>in-ec571710a181bf3e</t>
        </is>
      </c>
      <c r="B79" t="inlineStr">
        <is>
          <t>Sr. Product Manager - Tech, WHS Data-Tech</t>
        </is>
      </c>
      <c r="C79" t="inlineStr">
        <is>
          <t>Amazon.com</t>
        </is>
      </c>
      <c r="D79" t="inlineStr">
        <is>
          <t>indeed</t>
        </is>
      </c>
      <c r="E79">
        <f>HYPERLINK("https://www.indeed.com/viewjob?jk=ec571710a181bf3e", "https://www.indeed.com/viewjob?jk=ec571710a181bf3e")</f>
        <v/>
      </c>
      <c r="F79">
        <f>HYPERLINK("https://www.amazon.jobs/jobs/3156736/sr-product-manager--tech-whs-datatech?cmpid=DA_INAD200785B", "https://www.amazon.jobs/jobs/3156736/sr-product-manager--tech-whs-datatech?cmpid=DA_INAD200785B")</f>
        <v/>
      </c>
      <c r="G79" t="inlineStr">
        <is>
          <t>Bellevue, WA, US</t>
        </is>
      </c>
      <c r="H79" s="2" t="n">
        <v>45836</v>
      </c>
      <c r="I79" t="inlineStr">
        <is>
          <t>**DESCRIPTION**
---------------
WHS (Workplace Health \&amp; Safety) is seeking a Senior Product Manager \- Technical (Sr. PMT) to lead an important set of products for our global safety operations.  
As a Sr. PMT for Amazon's WHS Data\-Tech organization, you will play a vital role in inventing, simplifying, and scaling Amazon's technology products that have a tangible impact on the safety of our global workforce. We seek a product leader who can manage large, cross\-functional technology programs and projects. In this role, you will be responsible for driving multiple technical product initiatives that deliver critical health and safety capabilities requiring coordination with technology and operations teams worldwide. You will collaborate with a group of technical product managers, developers, data engineers, and data scientists to provide products and services that deliver insights and improve the safety processes of WHS worldwide.  
The right candidate will possess a strong product and technology background. You must be able to thrive and succeed in a challenging entrepreneurial environment, and not be hindered by ambiguity or competing priorities. This means you are not only able to develop and drive high\-level strategic initiatives but can also roll up your sleeves, dig in and get the job done. As a Sr. PMT, you will anticipate bottlenecks, provide escalation management, make trade\-offs, and balance business needs versus technical constraints. An ability to take large, complex products and break them down into manageable pieces, develop functional specifications, then deliver them in a successful and timely manner is expected.  
Key job responsibilities  
* Product Management: Leverage your strong foundation in product management concepts and methodologies to deliver on product strategy, roadmaps, and prioritization of features for safety products and solutions.
* Unified User Experience: Identify user needs through user research, onsite visits, and Voice of Associate (VoA) mechanisms. Work closely with program and engineering teams to build unified user interfaces to streamline user experience.
* Communication and Collaboration: Communicate product visions, goals, and requirements to diverse stakeholders, including Program, Operations, Technology, and Finance teams. Facilitate collaboration among cross\-functional teams to ensure smooth product development.
A day in the life  
Amazon offers a full range of benefits that support you and eligible family members, including domestic partners and their children. Benefits can vary by location, the number of regularly scheduled hours you work, length of employment, and job status such as seasonal or temporary employment. The benefits that generally apply to regular, full\-time employees include:  
1\. Medical, Dental, and Vision Coverage  
2\. Maternity and Parental Leave Options  
3\. Paid Time Off (PTO)  
4\. 401(k) Plan  
If you are not sure that every qualification on the list above describes you exactly, we'd still love to hear from you! At Amazon, we value people with unique backgrounds, experiences, and skillsets. If you’re passionate about this role and want to make an impact on a global scale, please apply!  
About the team  
WHS Data\-Tech's charter is to deliver technology solutions and data insights that help reduce workplace risks and injuries at Amazon. Our customers are Worldwide (WW) Operations and the WHS organization. The technology solutions landscape for WHS Data\-Tech includes web applications built using native Amazon Web Services (AWS) technologies and device\-software hybrid solutions that leverage generative artificial intelligence (AI), computer vision, sensors and Internet of Things (IoT) technologies. Additionally, the team conducts scientific research and modeling to generate safety insights and provides analytical solutions, ranging from senior leadership deliverables to individual business unit specific reports.**BASIC QUALIFICATIONS**
------------------------
* Experience owning/driving roadmap strategy and definition
* Experience with feature delivery and tradeoffs of a product
* Experience contributing to engineering discussions around technology decisions and strategy related to a product
* Experience managing technical products or online services
* Experience in representing and advocating for a variety of critical customers and stakeholders during executive\-level prioritization and planning
* 5\+ years of end to end product delivery experience
* Bachelor's degree in Engineering, Science, Analytics, or Business Administration
**PREFERRED QUALIFICATIONS**
----------------------------
* Experience in using analytical tools, such as Tableau, Qlikview, QuickSight
* Experience in building and driving adoption of new tools
* Master's degree in Engineering, Science, Analytics, or Business Administration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WA, Bellevue \- 151,200\.00 \- 204,600\.00 USD annually</t>
        </is>
      </c>
    </row>
    <row r="80">
      <c r="A80" t="inlineStr">
        <is>
          <t>in-ec35aa0dc058df6c</t>
        </is>
      </c>
      <c r="B80" t="inlineStr">
        <is>
          <t>Sr. Product Manager-Technical, World Wide Operations Security Tech (WWOS Tech)</t>
        </is>
      </c>
      <c r="C80" t="inlineStr">
        <is>
          <t>Amazon.com</t>
        </is>
      </c>
      <c r="D80" t="inlineStr">
        <is>
          <t>indeed</t>
        </is>
      </c>
      <c r="E80">
        <f>HYPERLINK("https://www.indeed.com/viewjob?jk=ec35aa0dc058df6c", "https://www.indeed.com/viewjob?jk=ec35aa0dc058df6c")</f>
        <v/>
      </c>
      <c r="F80">
        <f>HYPERLINK("https://www.amazon.jobs/jobs/3152463/sr-product-managertechnical-world-wide-operations-security-tech-wwos-tech?cmpid=DA_INAD200785B", "https://www.amazon.jobs/jobs/3152463/sr-product-managertechnical-world-wide-operations-security-tech-wwos-tech?cmpid=DA_INAD200785B")</f>
        <v/>
      </c>
      <c r="G80" t="inlineStr">
        <is>
          <t>Seattle, WA, US</t>
        </is>
      </c>
      <c r="H80" s="2" t="n">
        <v>46008</v>
      </c>
      <c r="I80" t="inlineStr">
        <is>
          <t>**DESCRIPTION**
---------------
Are you interested in being part of a team that is tasked with building and maintaining next generation software products that intersect cloud computing, AI/machine learning, and IOT? Do you enjoy the challenge of building and managing innovative services? Do you want to make an impact at a global scale? Then you should join our team!  
As part of WWOS Tech, we build exciting software technology products that help with security and loss prevention for Amazon operations. We are specifically looking for a passionate, results\-oriented, and inventive Sr Product Manager \- Technical to drive products that focus on minimizing operational disruption and reducing Shrink losses (e.g. Theft and Fraud) in our network as well as due to external actors.  
The mission of Worldwide Operations Security (WWOS) is to support Amazon’s Worldwide Operations, as well as affiliate and retail businesses, by creating and maintaining a work environment that is both prepared and secure through global security centers of excellence staffed by subject matter experts in people and asset protection. WWOS Tech supports WWOS team by building innovative, highly scalable services \&amp; technologies that eliminate subjectivity, complexity, and variation: identifying, preparing for, and mitigating risk; and auditing our practices to ensure compliance.  
The right candidate possesses a strong background in product management, combined with solid understanding of current cloud\-based software and AI technologies. You must be able to thrive and succeed in an entrepreneurial environment. The candidate should have a track record of timely delivery of projects, be willing to dig in and get the job done, providing input to speed up key decisions.  
Our customers are innovators, and you will have the chance to work with them to understand their challenges and design new offerings. Together, we’ll shape not just our own products, but the direction of the industry  
Key job responsibilities  
Develop and execute the product roadmap for the Security \&amp; Loss Prevention technology products, including identifying customer pain points and new opportunities  
Define, prioritize, and communicate product requirements to cross\-functional teams  
Analyze emerging industry trends in Security \&amp; Loss prevention that can contribute to the long\-term product strategy  
Work with engineering teams to design and deliver high\-quality software products that meet customer needs and business objectives  
Collaborate with Data scientists, user experience teams, data engineering, and solution architects to create intuitive and user\-friendly interfaces for complex workflows  
Analyze user feedback and data to continuously improve product performance and user experience  
Monitor the execution of the project, providing project progress to stakeholders, and pushing for appropriate levels of quality to maintain the overall integrity of the project.  
Work closely with various teams to ensure scalability and maintainability of the products you will develop
**BASIC QUALIFICATIONS**
------------------------
* Bachelor's degree
* Experience owning/driving roadmap strategy and definition
* Experience with feature delivery and tradeoffs of a product
* Experience contributing to engineering discussions around technology decisions and strategy related to a product
* Experience managing technical products or online services
* Experience in representing and advocating for a variety of critical customers and stakeholders during executive\-level prioritization and planning
**PREFERRED QUALIFICATIONS**
----------------------------
* Experience in using analytical tools, such as Tableau, Qlikview, QuickSight
* Experience in building and driving adoption of new tools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TX, Austin \- 151,200\.00 \- 204,600\.00 USD annually  
USA, WA, Seattle \- 151,200\.00 \- 204,600\.00 USD annually</t>
        </is>
      </c>
    </row>
    <row r="81">
      <c r="A81" t="inlineStr">
        <is>
          <t>in-b2bdb9c57f7867d7</t>
        </is>
      </c>
      <c r="B81" t="inlineStr">
        <is>
          <t>Sr. Product Manager-Technical, World Wide Operations Security Tech (WWOS Tech)</t>
        </is>
      </c>
      <c r="C81" t="inlineStr">
        <is>
          <t>Amazon.com</t>
        </is>
      </c>
      <c r="D81" t="inlineStr">
        <is>
          <t>indeed</t>
        </is>
      </c>
      <c r="E81">
        <f>HYPERLINK("https://www.indeed.com/viewjob?jk=b2bdb9c57f7867d7", "https://www.indeed.com/viewjob?jk=b2bdb9c57f7867d7")</f>
        <v/>
      </c>
      <c r="F81">
        <f>HYPERLINK("https://www.amazon.jobs/jobs/3152463/sr-product-managertechnical-world-wide-operations-security-tech-wwos-tech?cmpid=DA_INAD200785B", "https://www.amazon.jobs/jobs/3152463/sr-product-managertechnical-world-wide-operations-security-tech-wwos-tech?cmpid=DA_INAD200785B")</f>
        <v/>
      </c>
      <c r="G81" t="inlineStr">
        <is>
          <t>Austin, TX, US</t>
        </is>
      </c>
      <c r="H81" s="2" t="n">
        <v>46008</v>
      </c>
      <c r="I81" t="inlineStr">
        <is>
          <t>**DESCRIPTION**
---------------
Are you interested in being part of a team that is tasked with building and maintaining next generation software products that intersect cloud computing, AI/machine learning, and IOT? Do you enjoy the challenge of building and managing innovative services? Do you want to make an impact at a global scale? Then you should join our team!  
As part of WWOS Tech, we build exciting software technology products that help with security and loss prevention for Amazon operations. We are specifically looking for a passionate, results\-oriented, and inventive Sr Product Manager \- Technical to drive products that focus on minimizing operational disruption and reducing Shrink losses (e.g. Theft and Fraud) in our network as well as due to external actors.  
The mission of Worldwide Operations Security (WWOS) is to support Amazon’s Worldwide Operations, as well as affiliate and retail businesses, by creating and maintaining a work environment that is both prepared and secure through global security centers of excellence staffed by subject matter experts in people and asset protection. WWOS Tech supports WWOS team by building innovative, highly scalable services \&amp; technologies that eliminate subjectivity, complexity, and variation: identifying, preparing for, and mitigating risk; and auditing our practices to ensure compliance.  
The right candidate possesses a strong background in product management, combined with solid understanding of current cloud\-based software and AI technologies. You must be able to thrive and succeed in an entrepreneurial environment. The candidate should have a track record of timely delivery of projects, be willing to dig in and get the job done, providing input to speed up key decisions.  
Our customers are innovators, and you will have the chance to work with them to understand their challenges and design new offerings. Together, we’ll shape not just our own products, but the direction of the industry  
Key job responsibilities  
Develop and execute the product roadmap for the Security \&amp; Loss Prevention technology products, including identifying customer pain points and new opportunities  
Define, prioritize, and communicate product requirements to cross\-functional teams  
Analyze emerging industry trends in Security \&amp; Loss prevention that can contribute to the long\-term product strategy  
Work with engineering teams to design and deliver high\-quality software products that meet customer needs and business objectives  
Collaborate with Data scientists, user experience teams, data engineering, and solution architects to create intuitive and user\-friendly interfaces for complex workflows  
Analyze user feedback and data to continuously improve product performance and user experience  
Monitor the execution of the project, providing project progress to stakeholders, and pushing for appropriate levels of quality to maintain the overall integrity of the project.  
Work closely with various teams to ensure scalability and maintainability of the products you will develop
**BASIC QUALIFICATIONS**
------------------------
* Bachelor's degree
* Experience owning/driving roadmap strategy and definition
* Experience with feature delivery and tradeoffs of a product
* Experience contributing to engineering discussions around technology decisions and strategy related to a product
* Experience managing technical products or online services
* Experience in representing and advocating for a variety of critical customers and stakeholders during executive\-level prioritization and planning
**PREFERRED QUALIFICATIONS**
----------------------------
* Experience in using analytical tools, such as Tableau, Qlikview, QuickSight
* Experience in building and driving adoption of new tools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TX, Austin \- 151,200\.00 \- 204,600\.00 USD annually  
USA, WA, Seattle \- 151,200\.00 \- 204,600\.00 USD annually</t>
        </is>
      </c>
    </row>
    <row r="82">
      <c r="A82" t="inlineStr">
        <is>
          <t>in-7eb0459018fac2dc</t>
        </is>
      </c>
      <c r="B82" t="inlineStr">
        <is>
          <t>Principal Product Manager - Tech, Recommender Systems, Prime Video Personalization &amp; Discovery</t>
        </is>
      </c>
      <c r="C82" t="inlineStr">
        <is>
          <t>Amazon.com</t>
        </is>
      </c>
      <c r="D82" t="inlineStr">
        <is>
          <t>indeed</t>
        </is>
      </c>
      <c r="E82">
        <f>HYPERLINK("https://www.indeed.com/viewjob?jk=7eb0459018fac2dc", "https://www.indeed.com/viewjob?jk=7eb0459018fac2dc")</f>
        <v/>
      </c>
      <c r="F82">
        <f>HYPERLINK("https://www.amazon.jobs/jobs/2956622/principal-product-manager--tech-recommender-systems-prime-video-personalization--discovery-?cmpid=DA_INAD200785B", "https://www.amazon.jobs/jobs/2956622/principal-product-manager--tech-recommender-systems-prime-video-personalization--discovery-?cmpid=DA_INAD200785B")</f>
        <v/>
      </c>
      <c r="G82" t="inlineStr">
        <is>
          <t>Washington, DC, US</t>
        </is>
      </c>
      <c r="H82" s="2" t="n">
        <v>45753</v>
      </c>
      <c r="I82"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an experienced Principal Product Manager to own the vision, strategy, and roadmap for the core algorithms that power our personalization and discovery experiences. You will operate at the intersection of machine learning, customer experience, and business strategy, leading fast\-paced, high\-impact projects and partnering with experts in data science, ML engineering, and customer experience to ship ML\-powered features at scale.  
This role is ideal for a PM with deep experience in data and models who anchors every decision in customer value and measurable business outcomes. You will formulate the product and science vision for your algorithm domain, translate ambiguous customer and business problems into clear algorithmic objectives and technical requirements, and guide sound science decisions throughout the ML lifecycle—from problem framing and data strategy through experimentation, deployment, and ongoing optimization. Throughout, you’ll ensure that complex algorithmic capabilities become intuitive, high\-quality customer experiences.  
* Other Locations Available: Culver City, CA; New York, NY, San Francisco, CA; Sunnyvale, CA; Arlington, VA; Austin, TX
Key job responsibilities  
* Own the roadmap and strategy for personalization products, including recommendation systems and ML/science\-based models.
* Collaborate with applied scientists and ML engineers to translate business problems into model requirements and convert them into clear algorithmic objectives, metrics, and guardrails.
* Define, track, and analyze key metrics to measure recommendation quality, customer outcomes, and business impact; analyze user behavior data to identify opportunities to improve personalization.
* Lead A/B testing strategy and experimentation to validate algorithmic improvements and inform roadmap decisions.
* Partner with stakeholder teams to understand business needs and translate them into technical specifications and prioritized work.
* Communicate complex technical and algorithmic concepts clearly to senior leadership and cross\-functional partners.
* Balance trade\-offs between model complexity, latency, scalability, and business value to ensure robust, production\-ready solutions.
Basic Qualifications  
* 8\+ years of technical product management experience.
* 6\+ years of end to end product delivery experience
* Bachelor's degree
* Experience with feature delivery and tradeoffs of a product
* Experience owning/driving roadmap strategy and definition
* Experience managing consumer\-facing products where ML directly impacts user experience and engagement.
* Experience leading science and technology discussions and influencing strategy for ML\- or science\-driven products.
* Background in an applied science, engineering, or quantitative field, with a solid understanding of the model lifecycle, data readiness, and model evaluation frameworks.
Preferred Qualifications  
* Experience in content discovery, e\-commerce, search, or recommendation systems
* Knowledge of modern ML techniques (deep learning, NLP, LLM, Agentic AIs) and their practical trade\-offs.
* Strong leadership skills with ability to influence cross\-functional teams
* Experience working with senior\-level stakeholders
* Experience in project management methodologies, business analysis, or process improvement
**BASIC QUALIFICATIONS**
------------------------
* 8\+ years of technical product or program management experience
* Experience with feature delivery and tradeoffs of a product
* 6\+ years of end to end product delivery experience
* Experience owning/driving roadmap strategy and definition
* Experience leading engineering discussions around technology decisions and strategy related to a product
* Bachelor's degree
**PREFERRED QUALIFICATIONS**
----------------------------
* Experience in project management methodologies, business analysis, or process improvement
* Bachelor's degree in a quantitative/technical field such as computer science, engineering, statistics
* Experience as a strong leader who can prioritize well, communicate clearly and effectively influence across cross\-functional teams
* Experience working with and influencing senior level stakeholders
* Experience developing consumer\-impacting applications of machine learning or artificial intelligence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Colorado base pay for this position ranges from $179,900/year up to $243,400/year. The National base pay for this position ranges from $161,900/year in our lowest geographic market up to $279,900/year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3">
      <c r="A83" t="inlineStr">
        <is>
          <t>in-0118b2ef036c9783</t>
        </is>
      </c>
      <c r="B83" t="inlineStr">
        <is>
          <t>Principal Product Manager - Tech, Recommender Systems, Prime Video Personalization &amp; Discovery</t>
        </is>
      </c>
      <c r="C83" t="inlineStr">
        <is>
          <t>Amazon.com</t>
        </is>
      </c>
      <c r="D83" t="inlineStr">
        <is>
          <t>indeed</t>
        </is>
      </c>
      <c r="E83">
        <f>HYPERLINK("https://www.indeed.com/viewjob?jk=0118b2ef036c9783", "https://www.indeed.com/viewjob?jk=0118b2ef036c9783")</f>
        <v/>
      </c>
      <c r="F83">
        <f>HYPERLINK("https://www.amazon.jobs/jobs/2956622/principal-product-manager--tech-recommender-systems-prime-video-personalization--discovery-?cmpid=DA_INAD200785B", "https://www.amazon.jobs/jobs/2956622/principal-product-manager--tech-recommender-systems-prime-video-personalization--discovery-?cmpid=DA_INAD200785B")</f>
        <v/>
      </c>
      <c r="G83" t="inlineStr">
        <is>
          <t>Seattle, WA, US</t>
        </is>
      </c>
      <c r="H83" s="2" t="n">
        <v>45753</v>
      </c>
      <c r="I83"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an experienced Principal Product Manager to own the vision, strategy, and roadmap for the core algorithms that power our personalization and discovery experiences. You will operate at the intersection of machine learning, customer experience, and business strategy, leading fast\-paced, high\-impact projects and partnering with experts in data science, ML engineering, and customer experience to ship ML\-powered features at scale.  
This role is ideal for a PM with deep experience in data and models who anchors every decision in customer value and measurable business outcomes. You will formulate the product and science vision for your algorithm domain, translate ambiguous customer and business problems into clear algorithmic objectives and technical requirements, and guide sound science decisions throughout the ML lifecycle—from problem framing and data strategy through experimentation, deployment, and ongoing optimization. Throughout, you’ll ensure that complex algorithmic capabilities become intuitive, high\-quality customer experiences.  
* Other Locations Available: Culver City, CA; New York, NY, San Francisco, CA; Sunnyvale, CA; Arlington, VA; Austin, TX
Key job responsibilities  
* Own the roadmap and strategy for personalization products, including recommendation systems and ML/science\-based models.
* Collaborate with applied scientists and ML engineers to translate business problems into model requirements and convert them into clear algorithmic objectives, metrics, and guardrails.
* Define, track, and analyze key metrics to measure recommendation quality, customer outcomes, and business impact; analyze user behavior data to identify opportunities to improve personalization.
* Lead A/B testing strategy and experimentation to validate algorithmic improvements and inform roadmap decisions.
* Partner with stakeholder teams to understand business needs and translate them into technical specifications and prioritized work.
* Communicate complex technical and algorithmic concepts clearly to senior leadership and cross\-functional partners.
* Balance trade\-offs between model complexity, latency, scalability, and business value to ensure robust, production\-ready solutions.
Basic Qualifications  
* 8\+ years of technical product management experience.
* 6\+ years of end to end product delivery experience
* Bachelor's degree
* Experience with feature delivery and tradeoffs of a product
* Experience owning/driving roadmap strategy and definition
* Experience managing consumer\-facing products where ML directly impacts user experience and engagement.
* Experience leading science and technology discussions and influencing strategy for ML\- or science\-driven products.
* Background in an applied science, engineering, or quantitative field, with a solid understanding of the model lifecycle, data readiness, and model evaluation frameworks.
Preferred Qualifications  
* Experience in content discovery, e\-commerce, search, or recommendation systems
* Knowledge of modern ML techniques (deep learning, NLP, LLM, Agentic AIs) and their practical trade\-offs.
* Strong leadership skills with ability to influence cross\-functional teams
* Experience working with senior\-level stakeholders
* Experience in project management methodologies, business analysis, or process improvement
**BASIC QUALIFICATIONS**
------------------------
* 8\+ years of technical product or program management experience
* Experience with feature delivery and tradeoffs of a product
* 6\+ years of end to end product delivery experience
* Experience owning/driving roadmap strategy and definition
* Experience leading engineering discussions around technology decisions and strategy related to a product
* Bachelor's degree
**PREFERRED QUALIFICATIONS**
----------------------------
* Experience in project management methodologies, business analysis, or process improvement
* Bachelor's degree in a quantitative/technical field such as computer science, engineering, statistics
* Experience as a strong leader who can prioritize well, communicate clearly and effectively influence across cross\-functional teams
* Experience working with and influencing senior level stakeholders
* Experience developing consumer\-impacting applications of machine learning or artificial intelligence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Colorado base pay for this position ranges from $179,900/year up to $243,400/year. The National base pay for this position ranges from $161,900/year in our lowest geographic market up to $279,900/year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4">
      <c r="A84" t="inlineStr">
        <is>
          <t>in-9869c65d7facad35</t>
        </is>
      </c>
      <c r="B84" t="inlineStr">
        <is>
          <t>Principal Product Manager Technical, Creative X - RAPID</t>
        </is>
      </c>
      <c r="C84" t="inlineStr">
        <is>
          <t>Amazon.com</t>
        </is>
      </c>
      <c r="D84" t="inlineStr">
        <is>
          <t>indeed</t>
        </is>
      </c>
      <c r="E84">
        <f>HYPERLINK("https://www.indeed.com/viewjob?jk=9869c65d7facad35", "https://www.indeed.com/viewjob?jk=9869c65d7facad35")</f>
        <v/>
      </c>
      <c r="F84">
        <f>HYPERLINK("https://www.amazon.jobs/jobs/3112224/principal-product-manager-technical-creative-x--rapid?cmpid=DA_INAD200785B", "https://www.amazon.jobs/jobs/3112224/principal-product-manager-technical-creative-x--rapid?cmpid=DA_INAD200785B")</f>
        <v/>
      </c>
      <c r="G84" t="inlineStr">
        <is>
          <t>New York, NY, US</t>
        </is>
      </c>
      <c r="H84" s="2" t="n">
        <v>45939</v>
      </c>
      <c r="I84" t="inlineStr">
        <is>
          <t>**DESCRIPTION**
---------------
Amazon Advertising operates at the intersection of eCommerce and advertising, offering a rich array of digital display advertising solutions with the goal of helping our customers find and discover anything they want to buy. We help advertisers of all types to reach Amazon customers on Amazon.com, across our other owned and operated sites, on other high quality sites across the web, and on millions of mobile devices. We improve campaign performance for all advertisers through improved creative personalization. If you’re interested in joining a rapidly growing team working to build a unique, world\-class advertising product with a relentless focus on the customer, you’ve come to the right place.  
You love learning and building, operate independently, and demonstrate a willingness to roll up your sleeves and dive deep. As a Principal Product Manager – Tech, you will define and execute all aspects of product development and go to market strategies for our AI powered creative optimization product.  
You will be working with a team of product managers, scientists, UX designers, and software engineers to build, test, launch, measure, and iterate on the features that optimizes the creative experience of display ads. You can excel when faced with ambiguity, have high judgement, and are able to balance technical limitations and customer experience to drive strategic value for the business. Successful candidates will enjoy working in a collaborative, analytical, and fast\-paced environment and are comfortable interacting with highly technical cross\-functional teams. Candidates will have experience with personalization and a track record of developing AI driven products.  
Key job responsibilities  
Driving the vision, roadmap, and external positioning for creative personalization. To be successful, the PM must balance the needs of advertisers and internal stakeholders, invent new ways to solve customer problems, and think big to align business and tech teams on the vision for the next generation of personalization.  
* Lead cross\-functional tech teams to execute on product plans and deliver results
* Drive executive reviews and alignment for your plans
* Collaborate closely with stakeholders throughout Amazon to obtain buy\-in for product initiations
* Partner with engineering to take features from conception to launch
* Analyze and act on business metrics and data to grow the business
* Leverage consumer insights, advertiser feedback, and competitive intelligence reports to inform product decisions
About the team  
Our team, CreativeX Optimization, empowers advertisers to personalize the visual experience of their ads in real time. We apply advanced machine learning and generative AI to help advertisers build, identify, and understand what ad creatives work with their audiences. We develop customized CTR and CVR prediction models to help advertisers efficiently connect with shoppers across the web. We utilize generative models to understand shopper preferences across text, images, and videos. We have a broad mandate to experiment and innovate, as we seek to leapfrog the competition and impact billions of impressions daily.**BASIC QUALIFICATIONS**
------------------------
* Bachelor's degree
* Experience owning/driving roadmap strategy and definition
* Experience with feature delivery and tradeoffs of a product
* Experience technical product management
**PREFERRED QUALIFICATIONS**
----------------------------
* Experience working directly with Engineers on product enhancements
* Experience in project management methodologies, business analysis, or process improvement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\- 197,900\.00 \- 267,800\.00 USD annually  
USA, WA, Seattle \- 179,900\.00 \- 243,400\.00 USD annually</t>
        </is>
      </c>
    </row>
    <row r="85">
      <c r="A85" t="inlineStr">
        <is>
          <t>in-d3207911c2da4524</t>
        </is>
      </c>
      <c r="B85" t="inlineStr">
        <is>
          <t>Principal Product Manager Technical, Creative X - RAPID</t>
        </is>
      </c>
      <c r="C85" t="inlineStr">
        <is>
          <t>Amazon.com</t>
        </is>
      </c>
      <c r="D85" t="inlineStr">
        <is>
          <t>indeed</t>
        </is>
      </c>
      <c r="E85">
        <f>HYPERLINK("https://www.indeed.com/viewjob?jk=d3207911c2da4524", "https://www.indeed.com/viewjob?jk=d3207911c2da4524")</f>
        <v/>
      </c>
      <c r="F85">
        <f>HYPERLINK("https://www.amazon.jobs/jobs/3112224/principal-product-manager-technical-creative-x--rapid?cmpid=DA_INAD200785B", "https://www.amazon.jobs/jobs/3112224/principal-product-manager-technical-creative-x--rapid?cmpid=DA_INAD200785B")</f>
        <v/>
      </c>
      <c r="G85" t="inlineStr">
        <is>
          <t>Seattle, WA, US</t>
        </is>
      </c>
      <c r="H85" s="2" t="n">
        <v>45939</v>
      </c>
      <c r="I85" t="inlineStr">
        <is>
          <t>**DESCRIPTION**
---------------
Amazon Advertising operates at the intersection of eCommerce and advertising, offering a rich array of digital display advertising solutions with the goal of helping our customers find and discover anything they want to buy. We help advertisers of all types to reach Amazon customers on Amazon.com, across our other owned and operated sites, on other high quality sites across the web, and on millions of mobile devices. We improve campaign performance for all advertisers through improved creative personalization. If you’re interested in joining a rapidly growing team working to build a unique, world\-class advertising product with a relentless focus on the customer, you’ve come to the right place.  
You love learning and building, operate independently, and demonstrate a willingness to roll up your sleeves and dive deep. As a Principal Product Manager – Tech, you will define and execute all aspects of product development and go to market strategies for our AI powered creative optimization product.  
You will be working with a team of product managers, scientists, UX designers, and software engineers to build, test, launch, measure, and iterate on the features that optimizes the creative experience of display ads. You can excel when faced with ambiguity, have high judgement, and are able to balance technical limitations and customer experience to drive strategic value for the business. Successful candidates will enjoy working in a collaborative, analytical, and fast\-paced environment and are comfortable interacting with highly technical cross\-functional teams. Candidates will have experience with personalization and a track record of developing AI driven products.  
Key job responsibilities  
Driving the vision, roadmap, and external positioning for creative personalization. To be successful, the PM must balance the needs of advertisers and internal stakeholders, invent new ways to solve customer problems, and think big to align business and tech teams on the vision for the next generation of personalization.  
* Lead cross\-functional tech teams to execute on product plans and deliver results
* Drive executive reviews and alignment for your plans
* Collaborate closely with stakeholders throughout Amazon to obtain buy\-in for product initiations
* Partner with engineering to take features from conception to launch
* Analyze and act on business metrics and data to grow the business
* Leverage consumer insights, advertiser feedback, and competitive intelligence reports to inform product decisions
About the team  
Our team, CreativeX Optimization, empowers advertisers to personalize the visual experience of their ads in real time. We apply advanced machine learning and generative AI to help advertisers build, identify, and understand what ad creatives work with their audiences. We develop customized CTR and CVR prediction models to help advertisers efficiently connect with shoppers across the web. We utilize generative models to understand shopper preferences across text, images, and videos. We have a broad mandate to experiment and innovate, as we seek to leapfrog the competition and impact billions of impressions daily.**BASIC QUALIFICATIONS**
------------------------
* Bachelor's degree
* Experience owning/driving roadmap strategy and definition
* Experience with feature delivery and tradeoffs of a product
* Experience technical product management
**PREFERRED QUALIFICATIONS**
----------------------------
* Experience working directly with Engineers on product enhancements
* Experience in project management methodologies, business analysis, or process improvement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\- 197,900\.00 \- 267,800\.00 USD annually  
USA, WA, Seattle \- 179,900\.00 \- 243,400\.00 USD annually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9"/>
  <sheetViews>
    <sheetView workbookViewId="0">
      <selection activeCell="A1" sqref="A1"/>
    </sheetView>
  </sheetViews>
  <sheetFormatPr baseColWidth="8" defaultRowHeight="15"/>
  <sheetData>
    <row r="1">
      <c r="A1" s="1" t="inlineStr">
        <is>
          <t>job id</t>
        </is>
      </c>
      <c r="B1" s="1" t="inlineStr">
        <is>
          <t>title</t>
        </is>
      </c>
      <c r="C1" s="1" t="inlineStr">
        <is>
          <t>company</t>
        </is>
      </c>
      <c r="D1" s="1" t="inlineStr">
        <is>
          <t>site</t>
        </is>
      </c>
      <c r="E1" s="1" t="inlineStr">
        <is>
          <t>job_url</t>
        </is>
      </c>
      <c r="F1" s="1" t="inlineStr">
        <is>
          <t>job_url_direct</t>
        </is>
      </c>
      <c r="G1" s="1" t="inlineStr">
        <is>
          <t>location</t>
        </is>
      </c>
      <c r="H1" s="1" t="inlineStr">
        <is>
          <t>date posted</t>
        </is>
      </c>
      <c r="I1" s="1" t="inlineStr">
        <is>
          <t>description</t>
        </is>
      </c>
    </row>
    <row r="2">
      <c r="A2" t="inlineStr">
        <is>
          <t>li-4353462113</t>
        </is>
      </c>
      <c r="B2" t="inlineStr">
        <is>
          <t>Senior Product Manager - Store Technology (REMOTE)</t>
        </is>
      </c>
      <c r="C2" t="inlineStr">
        <is>
          <t>DICK'S Sporting Goods</t>
        </is>
      </c>
      <c r="D2" t="inlineStr">
        <is>
          <t>linkedin</t>
        </is>
      </c>
      <c r="E2">
        <f>HYPERLINK("https://www.linkedin.com/jobs/view/4353462113", "https://www.linkedin.com/jobs/view/4353462113")</f>
        <v/>
      </c>
      <c r="F2" t="inlineStr"/>
      <c r="G2" t="inlineStr"/>
      <c r="H2" t="inlineStr"/>
      <c r="I2" t="inlineStr">
        <is>
          <t>At
 **DICK’S Sporting Goods** 
 , we believe in how positively sports can change lives. On our team, everyone plays a critical role in creating confidence and excitement by personally equipping all athletes to achieve their dreams. We are committed to creating an inclusive and diverse workforce, reflecting the communities we serve.
 If you are ready to make a difference as part of the world’s greatest sports team, apply to join our team today!
**Overview**
**Overview**
 Welcome to Product Management at DICK’S Sporting Goods, where we specialize in delivering retail excellence along every aspect of our athlete and teammate journey.
 Our mission focuses on crafting an intuitive, easy\-to\-use digital platform that empowers our store teammates to excel in meeting the needs of our athletes in stores. The product spans across our business and will help us transform our store teammate app experience. This isn't just a product role \- it's an opportunity to transform the digital experience that connects our store teammate and build the enterprise foundation that will power how our store teammates at DICK’s are set up for success to delight 50M\+ athletes.
 In this role, as a Senior Product Manager, you'll own the strategy and execution of the Store Teammate App products that serve as the foundation for our teammate experience. As DICK'S transforms into a data\-driven athlete experience company, you'll be the strategic leader who translates complex store operations business problems into value\-added outcomes enabling enhanced brand compliance, communications, engagement, and productivity in stores.
**Primary Objectives**
* Define the multi\-year product strategy and vision for the Store Teammate App experience and collaborate on Teammate 360 capabilities, building a unified enterprise platform that connects teammates to our culture, performance metrics, team communications, tasking, scheduling, learning and essential resources.
* Modernize identity, sign on, and data capabilities to enable personalized experiences and optimize workflows.
* Transform how we onboard, train, and empower our hourly store teammates.
* Deliver a teammate experience that can drive operational excellence during critical business moments, consistent execution, sales conversion and deliver exceptional athlete experiences through informed and engaged teams.
* Optimize the teammate experience to drive adoption and daily active usage through compelling features that make our store teammate’s jobs easier.
* Reduce new store teammate time to productivity and store teammate time spent searching for information through intelligent content surfacing.
* Drive measurable improvements in associate satisfaction and retention.
**Overview**
 The Senior Product Manager focuses primarily on execution while shaping and influencing product management practices across their product team and supporting business unit. This role requires a strong blend of strategic thinking, data\-driven decision making, and hands\-on delivery.
 Senior Product Managers are expected to operate independently, lead complex initiatives, and serve as active coaches and mentors for other product managers and cross\-functional partners. While this role has no direct reports, it plays a key leadership role in setting ways of working, aligning stakeholders, and driving measurable business outcomes.
 This level is ideal for experienced product managers who are thinking about deepening their individual contributor craft (toward Principal Product Manager) or exploring a future move into product people management (toward Group Product Manager).
**Key Responsibilities**
* Identify Opportunities
* Use quantitative and qualitative data to discover and validate customer pain points.
* Identify and frame the right problems to solve for customers and the business.
* Prioritize problems to address based on potential business impact, customer value, and strategic alignment.
* Identify patterns in customer and product data; develop expanded research models in partnership with Product Design and other stakeholders.
* Contribute to and influence the long\-term product vision.
* Deliver Products \&amp; Features
* Own execution for key product areas, from problem definition through launch and iteration.
* Identify and mitigate cross\-team and stakeholder dependencies that may impact releases or shipping.
* Collaboratively build user story maps, user stories, and clear acceptance criteria.
* Identify, communicate, and manage risks associated with shipping features and releases.
* Build and maintain release plans (who, what, when), including feature prioritization and scope decisions.
* Lead sprint or iterative planning meetings, ensuring the team understands priorities, scope, and desired outcomes.
* Form \&amp; Track KPIs / Metrics
* Gather data and conduct research to understand product trends, customer behavior, and performance.
* Define and track metrics to measure adoption, usage, and business impact of product launches.
* Build product objectives and goals in collaboration with key stakeholders (e.g., design, engineering, operations, commercial).
* Drive accountability by facilitating data\-driven reviews and ROI discussions.
* Use goal frameworks and tools to set clear metrics, outcomes, and success criteria for product work.
* Enlist \&amp; Enable Stakeholders
* Use evidence\-based influencing skills to bring stakeholders along on product decisions.
* Conduct stakeholder identification workshops and maintain clear stakeholder maps for your products.
* Create and communicate standard stakeholder touchpoints (e.g., business reviews, roadmap sessions, launch updates).
* Facilitate stakeholder input sessions at all levels to gather feedback and pressure\-test directions.
* Translate stakeholder insights into inputs for product prioritization, strategy, and vision.
* Form Strategy \&amp; Prioritize Work
* Build and maintain outcome\-based roadmaps in close partnership with cross\-functional teams.
* Use decision support tools and frameworks to weigh competing objectives, constraints, and opportunities.
* Clearly explain the rationale (“the why”) behind product priorities, trade\-offs, and roadmap decisions.
* Communicate product strategy and roadmap to internal teams and stakeholders in a way that drives clarity and alignment.
* Help define product strategy in support of the broader product and company vision.
* Leadership \&amp; Mentorship
* Demonstrate organizational agility and influence without formal authority across teams and levels.
* Help create a people\-first culture where cross\-functional teammates can do their best work.
* Coach and mentor other product managers and team members, providing feedback on product craft and execution.
* Contribute to performance and capability development within the product management practice (skills, tools, frameworks).
* Model best practices in collaboration, communication, and decision\-making.
**Services / Areas of Impact**
**As a Senior Product Manager, You Will Typically**
* Manage and deepen stakeholder relationships.
* Define and execute product outcomes and experiments.
* Shape experiment strategy, scope, and success criteria.
* Analyze customer feedback and market signals to inform decisions.
* Define and execute product strategy for your area, aligned to business goals.
* Prioritize and manage the product backlog.
* Analyze product data and connect insights to actions.
* Define and align on KPIs and metrics with stakeholders.
* Validate user acceptance criteria and ensure quality at release.
* Champion Voice of the Customer and represent customer needs in decision forums.
* Prioritize problems and solutions using clear frameworks.
* Conduct root cause analyses and drive prioritization based on impact.
* Tell compelling product stories to internal and external audiences.
* Shape MVP strategy for new initiatives.
* Support compliance and regulatory considerations in product decisions.
* Lead quarterly and sprint planning within your product area.
* Manage and influence vendor relationships and strategy where relevant.
**Typical Deliverables**
 You will own or significantly contribute to artifacts such as:
* Competitive and capability gap analyses.
* Prioritization matrices and decision frameworks to manage the product backlog and drive value delivery against the product roadmap.
* Product demos and walkthroughs.
* Business cases and go\-to\-market strategies.
* Benchmarking and product trend reports.
* Business value and ROI models.
* Product communications, launch plans, and release notes.
* Product horizons and roadmap views (near\-, mid\-, long\-term).
* Reporting dashboards and product performance summaries.
* Prioritized backlogs and sprint goals.
* SWOT analyses and product briefs.
* Story and release acceptance documentation.
* Product–market fit analyses and product canvases.
* User stories and jobs\-to\-be\-done documentation.
* Quarterly planning commitments.
* Bug/defect prioritization frameworks and reports.
* Goals, outcomes, strategies, and measures documentation.
* Solution framing and specifications (including non\-functional requirements).
* Standard operating procedures (SOPs) and product documentation.
* Product outcome statements and RFPs/RFIs (where applicable).
**Qualifications**
**Required:**
* Proven experience in product management, including significant time owning and delivering end\-to\-end product initiatives.
* Demonstrated ability to use data to discover opportunities, prioritize work, and measure impact.
* Experience leading cross\-functional teams (e.g., engineering, design, operations, marketing) without direct authority.
* Strong communication and storytelling skills; able to clearly articulate product strategy, decisions, and trade\-offs.
* Experience building roadmaps, writing user stories, and leading agile/scrum or other iterative planning processes.
* Ability to balance customer needs, business goals, and technical constraints.
**Preferred**
* Experience mentoring or coaching other product managers.
* Experience working in Operations, eCommerce, SaaS, Retail, would be beneficial.
* Familiarity with experiment design, A/B testing, and/or hypothesis\-driven product development.
* Comfort working with product management and analytics tools and dashboards.
**What We’re Looking For**
* A self\-starter who takes ownership and drives work from idea through execution and iteration.
* Someone who is deeply curious about customers and motivated by solving meaningful problems.
* A structured thinker who can make complex decisions transparent, explain trade\-offs, and build alignment.
* A collaborative leader who elevates the work of the entire team and helps improve the product management practice.
 If you are an experienced product manager ready to take on broader responsibility for execution, influence product strategy, and help raise the bar for product management across the organization, we’d love to hear from you!!
**Virtual Requirements**
 At DICK’S, we thrive on innovation and authenticity. That said, to protect the integrity and security of our hiring process, we ask that candidates do not use AI tools (like ChatGPT or others) during interviews or assessments.
 To ensure a smooth and secure experience, please note the following:
* Cameras must be on during all virtual interviews.
* AI tools are not permitted to be used by the candidate during any part of the interview process.
* Offers are contingent upon a satisfactory background check which may include ID verification.
 If you have any questions or need accommodations, we’re here to help. Thanks for helping us keep the process fair and secure for everyone!
 Targeted Pay Range: $95,200\.00 \- $158,800\.00\. This is part of a competitive total rewards package that could include other components such as: incentive, equity and benefits. Individual pay is determined by a number of factors including experience, location, internal pay equity, and other relevant business considerations. We review all teammate pay regularly to ensure competitive and equitable pay.DICK'S Sporting Goods complies with all state paid leave requirements. We also offer a generous suite of benefits. To learn more, visit www.benefityourliferesources.com.</t>
        </is>
      </c>
    </row>
    <row r="3">
      <c r="A3" t="inlineStr">
        <is>
          <t>li-4369324127</t>
        </is>
      </c>
      <c r="B3" t="inlineStr">
        <is>
          <t>Product Manager, Square Credit Card</t>
        </is>
      </c>
      <c r="C3" t="inlineStr">
        <is>
          <t>Square</t>
        </is>
      </c>
      <c r="D3" t="inlineStr">
        <is>
          <t>linkedin</t>
        </is>
      </c>
      <c r="E3">
        <f>HYPERLINK("https://www.linkedin.com/jobs/view/4369324127", "https://www.linkedin.com/jobs/view/4369324127")</f>
        <v/>
      </c>
      <c r="F3" t="inlineStr"/>
      <c r="G3" t="inlineStr"/>
      <c r="H3" t="inlineStr"/>
      <c r="I3" t="inlineStr">
        <is>
          <t>Since we opened our doors in 2009, the world of commerce has evolved immensely, and so has Square. After enabling anyone to take payments and never miss a sale, we saw sellers stymied by disparate, outmoded products and tools that wouldn’t work together.
 So we expanded into software and started building integrated, omnichannel solutions – to help sellers sell online, manage inventory, offer buy now, pay later functionality, book appointments, engage loyal buyers, and hire and pay staff. Across it all, we’ve embedded financial services tools at the point of sale, so merchants can access a business loan and manage their cash flow in one place. Afterpay furthers our goal to provide omnichannel tools that unlock meaningful value and growth, enabling sellers to capture the next generation shopper, increase order sizes, and compete at a larger scale.
 Today, we are a partner to sellers of all sizes – large, enterprise\-scale businesses with complex operations, sellers just starting, as well as merchants who began selling with Square and have grown larger over time. As our sellers grow, so do our solutions. There is a massive opportunity in front of us. We’re building a significant, meaningful, and lasting business, and we are helping sellers worldwide do the same.
**The Role**
 We’re building a premium business credit card designed exclusively for Square businesses owners. We are designing the system sellers rely on to manage spend, control cash flow, and run their business day\-to\-day.
 As Product Manager, you will own the core of this credit card product: the intersection of expense management, cardholder value, and card economics.
 You’ll define how businesses track and control spending, how they earn and redeem rewards, and how the financial mechanics of the card (interchange, float, pricing, and incentives) work together to create a durable, market\-leading product.
 This role sits at the center of experience, systems, and economics. You’ll operate like a founder: setting vision, shaping the financial model, and leading a cross\-functional team to deliver a premium card that our sellers love and that scales profitably.
 If you’re excited about reinventing what a business credit card can be — and owning both the customer experience and the P\&amp;L behind it — this is the role.
**You Will**
* Own the expense and spend management product area for Square Credit Card. Set the multi\-year vision and roadmap for the card’s spend, rewards, and economic systems with ambitions to build a category defining credit card for small business owners
* Set key objectives for your product area (expense management adoption, integration usage, categorization accuracy, customer satisfaction, etc.)
* Define the product strategy and roadmap for expense and spend management features, including: automated expense categorization, receipt capture and matching, spend controls and limits, vendor management, accounting software integrations (QuickBooks, Xero, etc.), reporting and analytics, and intelligent spending insights
* Ship innovative features that unlock expense management use cases \- think real\-time categorization, OCR receipt scanning, automated GL coding, budget alerts, multi\-user spend controls, and AI\-powered spending recommendations
* Collaborate closely with other Credit Card PMs (underwriting, rewards, card management) to ensure seamless product experiences and shared infrastructure. Partner with Square Banking, Invoices, and Payroll teams to build integrated financial workflows
* Deeply understand product performance by analyzing adoption funnels, feature usage, integration health, and customer feedback. Self\-serve insights from data to drive rapid iteration
* Understand and optimize the unit economics of your features, including development costs, third\-party integration costs, and the value they drive in customer retention and spend volume
* Partner with engineering, design, data science, risk, compliance, legal, and third\-party integration partners to build and scale your product area
* Talk to customers regularly to understand their expense management workflows, pain points, and needs—ensuring we build features that truly solve small business problems
* Operate with end\-to\-end ownership — from concept through launch through ongoing performance
**You Have**
* At least 8\+ years of experience in product management, preferably in Credit Card, fintech or payments industries
* Curiosity, empathy and an irresistible urge to go talk to Square’s customers to hear firsthand what they need from us
* Impeccable product intuition combined with high numeracy and a bias to data\-driven action so you can quickly make product and prioritization decisions to improve your business
* A demonstrable track record building strategies and executing on a roadmap to grow product adoption and usage
* Standout cross\-functional collaboration, especially with design and engineering. You build and maintain trust, generate excitement and buy\-in for your strategies, and deliver on your promises
* You can inspire people through your clear written and verbal communication
* An understanding of payments rails, card networks, risk, and fraud is a bonus
 We’re working to build a more inclusive economy where our customers have equal access to opportunity, and we strive to live by these same values in building our workplace. Block is an equal opportunity employer evaluating all employees and job applicants without regard to identity or any legally protected class. We also consider qualified applicants with criminal histories for employment on our team, and always assess candidates on an individualized basis.
 We believe in being fair, and are committed to an inclusive interview experience, including providing reasonable accommodations to disabled applicants throughout the recruitment process. We encourage applicants to share any needed accommodations with their recruiter, who will treat these requests as confidentially as possible. Want to learn more about what we’re doing to build a workplace that is fair and square? Check out our I\+D page.
 Block will consider qualified applicants with arrest or conviction records for employment in accordance with state and local laws and “fair chance” ordinances.
 Block takes a market\-based approach to pay, and pay may vary depending on your location. U.S. locations are categorized into one of four zones based on a cost of labor index for that geographic area. The successful candidate’s starting pay will be determined based on job\-related skills, experience, qualifications, work location, and market conditions. These ranges may be modified in the future.
 To find a location’s zone designation, please refer to this resource. If a location of interest is not listed, please speak with a recruiter for additional information.
**Zone A**
 $198,000—$297,000 USD
**Zone B**
 $188,100—$282,100 USD
**Zone C**
 $178,200—$267,400 USD
**Zone D**
 $168,300—$252,500 USD
**Application Guidelines**
 Candidates may submit up to 9 active applications within a 60\-day period. Reapplications to the same role are accepted 90 days after a previous application has been reviewed.
**Use of AI in Our Hiring Process**
 We may use automated AI tools to evaluate job applications for efficiency and consistency. These tools comply with local regulations, including bias audits, and we handle all personal data in accordance with state and local privacy laws.
 Contact us here with hiring practice or data usage questions.
*Every benefit we offer is designed with one goal: empowering you to do the best work of your career while building the life you want. Remote work, medical insurance, flexible time off, retirement savings plans, and modern family planning are just some of our offering.* 
*Check out our other benefits at Block.*
*Block, Inc. (NYSE: XYZ) builds technology to increase access to the global economy. Each of our brands unlocks different aspects of the economy for more people.
 **Square** 
 makes commerce and financial services accessible to sellers.
 **Cash App** 
 is the easy way to spend, send, and store money.
 **Afterpay** 
 is transforming the way customers manage their spending over time.
 **TIDAL** 
 is a music platform that empowers artists to thrive as entrepreneurs.
 **Bitkey** 
 is a simple self\-custody wallet built for bitcoin.
 **Proto** 
 is a suite of bitcoin mining products and services. Together, we’re helping build a financial system that is open to everyone.*
 Privacy Policy</t>
        </is>
      </c>
    </row>
    <row r="4">
      <c r="A4" t="inlineStr">
        <is>
          <t>li-4308603218</t>
        </is>
      </c>
      <c r="B4" t="inlineStr">
        <is>
          <t>Product Manager</t>
        </is>
      </c>
      <c r="C4" t="inlineStr">
        <is>
          <t>Machinify</t>
        </is>
      </c>
      <c r="D4" t="inlineStr">
        <is>
          <t>linkedin</t>
        </is>
      </c>
      <c r="E4">
        <f>HYPERLINK("https://www.linkedin.com/jobs/view/4308603218", "https://www.linkedin.com/jobs/view/4308603218")</f>
        <v/>
      </c>
      <c r="F4" t="inlineStr"/>
      <c r="G4" t="inlineStr">
        <is>
          <t>Palo Alto, CA</t>
        </is>
      </c>
      <c r="H4" t="inlineStr"/>
      <c r="I4" t="inlineStr">
        <is>
          <t>Machinify is a leading healthcare intelligence company with expertise across the payment continuum, delivering unmatched value, transparency, and efficiency to health plan clients across the country. Deployed by over 60 health plans, including many of the top 20, and representing more than 160 million lives, Machinify brings together a fully configurable and content\-rich, AI\-powered platform along with best\-in\-class expertise. We’re constantly reimagining what’s possible in our industry, creating disruptively simple, powerfully clear ways to maximize financial outcomes and drive down healthcare costs.
 Machinify is seeking a Product Manager to help us translate the voice of the customer and our product strategy into product requirements.
**What You’ll Do**
* Work with product leadership and key stakeholders to shape future product strategy, and ensure flawless execution of the product roadmap
* Understand the drivers of business value to the customer, challenge the status quo and propose new solutions.
* Translate customer opportunities and needs into requirements for our Design, Engineering, and Data Science teams.
* Facilitate refinement discussions to drive out needed functional requirement details
* Work closely with Design teams in detail to create impactful product interfaces and user experiences.
* Leverage product analytics and user metadata to relentlessly pursue continuous improvement initiatives
* Drive cross\-functional alignment among stakeholders, building strong partnerships and facilitating collaboration across teams
* Bring a high level of curiosity and the ability to ask probing questions
* Develop a deep understanding of the Machinify platform and products and the ability to estimate technical complexity of implementation.
**What You Bring**
* Extensive Product Management experience in a high\-tech org delivering complex software products, ideally within AI/ML, or data\-driven domains.
* Strong ability to manage trade\-offs between short\-term wins and long\-term strategy, with a track record of driving both.
* Experience working directly with operations or domain\-expert teams to ensure product\-market fit and operational viability.
* Strong background in partnering with Design teams and applying UX best practices.
* Demonstrated success in leading software delivery, either as a Product Manager or Engineer, with deep technical curiosity.
* Initiative and ownership—you drive projects from vision to prototype to design to execution.
* Excellent communication, facilitation, and decision\-making skills, with the ability to build trust\-based relationships across teams.
* High curiosity and the ability to ask the right questions to challenge assumptions and uncover opportunities.
**Equal Employment Opportunity at Machinify**
 Machinify is committed to hiring talented and qualified individuals with diverse backgrounds for all of its positions. Machinify believes that the gathering and celebration of unique backgrounds, qualities, and cultures enriches the workplace.
 See our Candidate Privacy Notice at: https://www.machinify.com/candidate\-privacy\-notice/</t>
        </is>
      </c>
    </row>
    <row r="5">
      <c r="A5" t="inlineStr">
        <is>
          <t>li-4308679242</t>
        </is>
      </c>
      <c r="B5" t="inlineStr">
        <is>
          <t>Sr. Product Manager</t>
        </is>
      </c>
      <c r="C5" t="inlineStr">
        <is>
          <t>Uplight</t>
        </is>
      </c>
      <c r="D5" t="inlineStr">
        <is>
          <t>linkedin</t>
        </is>
      </c>
      <c r="E5">
        <f>HYPERLINK("https://www.linkedin.com/jobs/view/4308679242", "https://www.linkedin.com/jobs/view/4308679242")</f>
        <v/>
      </c>
      <c r="F5">
        <f>HYPERLINK("https://jobs.jobvite.com/uplight/job/o8siyfwa?__jvst=Job+Board&amp;__jvsd=LinkedIn&amp;urlHash=Oesu", "https://jobs.jobvite.com/uplight/job/o8siyfwa?__jvst=Job+Board&amp;__jvsd=LinkedIn&amp;urlHash=Oesu")</f>
        <v/>
      </c>
      <c r="G5" t="inlineStr"/>
      <c r="H5" t="inlineStr"/>
      <c r="I5" t="inlineStr">
        <is>
          <t>**Description**
**The Position**
 Uplight is
 *creating a new category of energy* 
 . We make software that manages energy resources in homes and businesses—including things like smart thermostats, electric vehicles, solar panels, storage batteries, heat pumps, and even people’s behavior—to generate, shift, or save energy to balance the grid, making it more efficient and reliable. This creates clean energy capacity that can be used by the power grid instead of burning more fossil fuels. Our solutions accelerate the transition to clean energy and save money for energy customers
 We are seeking a
 **Product Lead / Senior PM t** 
 o join our team and help us achieve our ambitious goals for our business and the planet. This person will lead our product innovation in bringing a strong, cohesive, intuitive experience to our utility client users in their visibility, management, and operation of the products we sell to them. This influential role sits at the intersection of supporting program managers, grid operators, and our internal admin teams, to drive maximum impact on grid flexibility.
**What You Get To Do**
* Develop and articulate a clear product strategy for our client and admin facing tools and products
* Collaborate closely with engineering and design to shape strategy \&amp; roadmap, prioritize the most valuable problems to solve, and launch MVPs to quickly validate hypotheses in that strategy
* Lead iterative product \&amp; design thinking to continuously measure, learn, and enhance user experience in our utility\-facing products
* Build a deep and data\-driven understanding of customer needs, pain points, and real\-life behaviors across programs.
* Drive user research with clients at every stage of product development
* Define, monitor, measure, analyze, and report on key metrics for your products
* Partner closely with Designer, Engineers, fellow PMs \&amp; User Researchers, Marketers, Account Managers and more across the business to align on core user problems (or JTBD) and uncover shared opportunities together.
* Champion a culture of continuous learning, feedback, and iteration.
**What You Bring To Uplight**
* 5\+ years experience leading product teams to understand highest value pain points, market opportunities, and delivering on them
* Excellent communication and storytelling skills, with an ability to clearly articulate your narrative to both technical and non\-technical, internal and external client audiences alike.
* Experience leading horizontal, multi\-team efforts around shared business goals or questions, embedding discovery throughout your process.
* A user\-first mindset that advocates for the pursuit of simple, elegant solutions, while balancing ambiguity and technical constraints.
* Growth\-minded and well\-versed in giving and receiving constructive feedback, with a commitment to collaborative problem\-solving.
* Experience building enterprise software (B2B and/or B2C).
* Experience mentoring other PMs, acting as a player/coach. (Note: This is not a team lead or manager role)
* Note: This role must be located on the East Coast or committed to working East Coast timezone hours, for meaningful overlap with our teams in India
**Bonus Points**
* A deep curiosity for exploring responsible efficiency opportunities with AI.
* Comfortable jumping into complex technical domains with curiosity and humility.
* Experience working in multiple industries and/or in startup environments
* Fluency in Agile environments, meeting cadences, etc.
*Don’t meet every single requirement? Studies have shown that women, marginalized genders and people of color are less likely to apply to jobs unless they meet every single qualification. At Uplight we are dedicated to building a diverse, inclusive and authentic workplace, so if you’re excited about this role but your past experience doesn’t align perfectly with every qualification in the job description, we encourage you to apply anyways. You may be just the right candidate for this or other roles.*
**Why Join Uplight in Leading the Fight Against Climate Change?**
 At Uplight, We're Not Just Offering a Job – We're Offering a Chance To Be Part Of The Solution To One Of The World's Biggest Challenges. As a Certified B Corporation, We're Deeply Committed To Both Social And Environmental Responsibility. Here's Why You Should Join Our Team Of Passionate Uplighters
* Make a Meaningful Impact: Your work directly impacts our mission of decarbonization and building a more sustainable future.
* Grow Your Career: We offer ample advancement opportunities, robust learning and development programs, and a supportive team environment that fosters collaboration and innovation.
* Thrive: We offer comprehensive benefits, including flexible time off, generous parental leave, a wellness stipend, and work flexibility to help you thrive both personally and professionally.
* Belong to an Inclusive Community: We celebrate diversity and foster an inclusive workplace where everyone feels respected, empowered, and heard. Our Employee Resource Groups offer opportunities to connect with colleagues who share your interests and backgrounds.
* Be Part of a Growing Movement: Join a team of dedicated individuals who are passionate about creating a more sustainable future. We offer a collaborative environment where your ideas are valued and your contributions recognized. Together, we can build a brighter tomorrow.
 To learn more about our comprehensive benefits package and other perks, visit uplight.com/careers
**Salary Range: $140,000\-$160,000 \+ Bonus**
**Application Deadline: March 15,2026**
 In accordance with the Colorado Equal Pay for Equal Work Act, the approximate annual base compensation range is listed above. The actual offer, reflecting the total compensation package and benefits, will be determined by a number of factors including the applicant's experience, knowledge, skills, and abilities, as well as internal equity among our team.
*Uplight provides equal employment opportunities to all employees and applicants and prohibits discrimination and harassment of any type without regard to race (including hair texture and hairstyles), color, religion (including head coverings), age, sex, national origin, disability status, neurodivergence, genetics, protected veteran status, sexual orientation, gender identity or expression, or any other characteristic protected by federal, state or local laws.*</t>
        </is>
      </c>
    </row>
    <row r="6">
      <c r="A6" t="inlineStr">
        <is>
          <t>li-4368251309</t>
        </is>
      </c>
      <c r="B6" t="inlineStr">
        <is>
          <t>Senior Product Manager - B2B SaaS Application</t>
        </is>
      </c>
      <c r="C6" t="inlineStr">
        <is>
          <t>Net-Inspect, LLC</t>
        </is>
      </c>
      <c r="D6" t="inlineStr">
        <is>
          <t>linkedin</t>
        </is>
      </c>
      <c r="E6">
        <f>HYPERLINK("https://www.linkedin.com/jobs/view/4368251309", "https://www.linkedin.com/jobs/view/4368251309")</f>
        <v/>
      </c>
      <c r="F6" t="inlineStr"/>
      <c r="G6" t="inlineStr">
        <is>
          <t>Kirkland, WA</t>
        </is>
      </c>
      <c r="H6" t="inlineStr"/>
      <c r="I6" t="inlineStr">
        <is>
          <t>**Location:** 
 On\-Site (In Office) \|
 **Employment Type:** 
 Full\-Time
**Industry:** 
 SaaS / Quality \&amp; Supply Chain Management
 Firm Requirement:
 **US Citizenship** 
 as required by customer contracts
**About Net\-Inspect:** 
 Net\-Inspect is a global leader in quality and supply chain management software, serving over 8,000 companies across 59 countries—including many of the world's leading aerospace and defense manufacturers. Our cloud\-based platform helps organizations streamline inspections, improve compliance, and increase visibility across their supply chains.
 As we expand and modernize our platform, we’re looking for an experienced
 **Senior Product Manager** 
 to lead the development of new applications and drive a strategic revamp of our existing suite of tools.
**What You’ll Do:** 
* Own the product lifecycle from ideation to release, with a focus on new application development and redesign of existing functionality
* Collaborate closely with developers using tools like
 **Figma** 
 to define intuitive, modern, and user\-friendly interfaces
* Partner with developers to translate product requirements into high\-quality, scalable software solutions
* Gather and synthesize user feedback, customer requests, and usage analytics to inform roadmap priorities
* Define and measure KPIs to track the success and adoption of product enhancements
* Serve as a bridge between internal stakeholders, customers, and the development team to ensure alignment and clear communication
* Maintain a strong understanding of the aerospace, manufacturing, and supply chain domains to inform product direction
* Balance technical understanding with customer empathy to deliver value\-driven features
**What You’ll Bring:** 
* 3\+ years of product management experience in a SaaS environment, ideally with B2B or enterprise customers
* Experience working with
 **Figma** 
 or similar design tools in collaboration with developers
* Demonstrated success building or revamping complex applications with cross\-functional teams
* Excellent communication, organizational, and prioritization skills
* Comfort navigating both high\-level strategy and detailed execution
* Technical fluency; able to discuss architecture, APIs, and integration approaches with developers
* Passion for user experience, process improvement, and solving real\-world business challenges
**Bonus Points For:** 
* Familiarity with the aerospace or manufacturing sectors
* Experience with supply chain, quality management, or compliance\-related software
**Why Join Net\-Inspect?** 
* Help shape the next generation of a platform used by thousands of global manufacturers
* Work with a team that values curiosity, accountability, and continuous improvement
* Competitive compensation and benefits package</t>
        </is>
      </c>
    </row>
    <row r="7">
      <c r="A7" t="inlineStr">
        <is>
          <t>li-4360517368</t>
        </is>
      </c>
      <c r="B7" t="inlineStr">
        <is>
          <t>Lead Product Manager, Global Cart &amp; Checkout</t>
        </is>
      </c>
      <c r="C7" t="inlineStr">
        <is>
          <t>Uber</t>
        </is>
      </c>
      <c r="D7" t="inlineStr">
        <is>
          <t>linkedin</t>
        </is>
      </c>
      <c r="E7">
        <f>HYPERLINK("https://www.linkedin.com/jobs/view/4360517368", "https://www.linkedin.com/jobs/view/4360517368")</f>
        <v/>
      </c>
      <c r="F7" t="inlineStr"/>
      <c r="G7" t="inlineStr">
        <is>
          <t>San Francisco, CA</t>
        </is>
      </c>
      <c r="H7" t="inlineStr"/>
      <c r="I7" t="inlineStr">
        <is>
          <t>**About The Role**
 The Cart \&amp; Checkout team owns the final and most critical step of the Uber Eats customer journey\-turning intent into completed orders. As the Lead PM for this space, you will define and drive the end\-to\-end Cart and Checkout experience, shaping how customers understand pricing, apply offers, select payments, and confidently complete purchases at global scale.
**What The Candidate Will Do**
* Own the Cart \&amp; Checkout experience end\-to\-end, from strategy and roadmap through execution and outcomes
* Define and evolve the long\-term vision for how customers review orders, understand pricing, and complete purchases
* Drive improvements to conversion, revenue, and trust through experimentation and customer insight
* Lead cross\-functional teams across Engineering, Design, Data, Legal, and Operations to deliver high\-impact initiatives
* Communicate strategy, tradeoffs, and results clearly to senior leadership
**Basic Qualifications**
* 7\+ years of experience in Product Management, owning large\-scale, consumer\-facing products
* Proven experience driving end\-to\-end ownership of complex user flows with measurable business impact
* Strong data\-driven decision\-making skills, including experimentation and funnel optimization
* Demonstrated ability to lead highly cross\-functional, ambiguous initiatives at scale
* Experience influencing senior stakeholders
**Preferred Qualifications**
* Experience owning checkout, payments, pricing, or monetization surfaces
* Background in marketplace, e\-commerce, or on\-demand delivery product
 For New York, NY\-based roles: The base salary range for this role is USD$190,000 per year \- USD$211,000 per year. For San Francisco, CA\-based roles: The base salary range for this role is USD$190,000 per year \- USD$211,000 per year. For Seattle, WA\-based roles: The base salary range for this role is USD$190,000 per year \- USD$211,000 per year. For Sunnyvale, CA\-based roles: The base salary range for this role is USD$190,000 per year \- USD$211,000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 For New York, NY\-based roles: The base salary range for this role is USD$190,000 per year \- USD$211,000 per year. For San Francisco, CA\-based roles: The base salary range for this role is USD$190,000 per year \- USD$211,000 per year. For Seattle, WA\-based roles: The base salary range for this role is USD$190,000 per year \- USD$211,000 per year. For Sunnyvale, CA\-based roles: The base salary range for this role is USD$190,000 per year \- USD$211,000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t>
        </is>
      </c>
    </row>
    <row r="8">
      <c r="A8" t="inlineStr">
        <is>
          <t>li-4369363360</t>
        </is>
      </c>
      <c r="B8" t="inlineStr">
        <is>
          <t>Enterprise Product Manager</t>
        </is>
      </c>
      <c r="C8" t="inlineStr">
        <is>
          <t>Jobgether</t>
        </is>
      </c>
      <c r="D8" t="inlineStr">
        <is>
          <t>linkedin</t>
        </is>
      </c>
      <c r="E8">
        <f>HYPERLINK("https://www.linkedin.com/jobs/view/4369363360", "https://www.linkedin.com/jobs/view/4369363360")</f>
        <v/>
      </c>
      <c r="F8" t="inlineStr"/>
      <c r="G8" t="inlineStr"/>
      <c r="H8" t="inlineStr"/>
      <c r="I8" t="inlineStr">
        <is>
          <t>**This position is posted by Jobgether on behalf of a partner company. We are currently looking for an Enterprise Product Manager in the United States.**
 This role offers the opportunity to lead a multi\-product portfolio focused on enhancing the Candidate and Client experiences within a high\-impact enterprise platform. The Enterprise Product Manager will own the strategy, execution, and measurable improvements across existing and new workflows, influencing product design, operational efficiency, and customer satisfaction. You will collaborate closely with Engineering, Sales, Operations, and Account Management teams, driving initiatives that reduce friction, increase adoption, and deliver AI\-driven experiences. This position requires a blend of strategic vision, data\-driven decision\-making, and hands\-on leadership to elevate product performance. The role also includes mentoring Product Owners, shaping discovery practices, and establishing strong operating rhythms across teams. You will operate in a fast\-paced, collaborative environment where your work impacts enterprise customers and millions of candidates nationwide.
**Accountabilities**
* Define and communicate a clear multi\-year vision for enterprise Candidate and Client experiences aligned with business strategy.
* Drive improvements to workflows and self\-serve portals, focusing on adoption, operational efficiency, and user satisfaction.
* Lead the creation and implementation of AI\-driven experiences within enterprise platforms.
* Partner with Sales, Account Management, Customer Support, and Operations to address customer needs, prevent friction, and optimize resolution paths.
* Establish a culture of hypothesis\-driven discovery, experimentation, and data\-informed prioritization.
* Define success metrics, monitor performance, and iterate on key initiatives to continuously improve outcomes.
* Ensure predictable and measurable product delivery, raising execution standards across product teams.
* Lead and develop Product Owners, fostering skills in discovery, roadmap planning, and customer empathy.
**Requirements**
* 8–10 years of Product Management experience with increasing scope and complexity.
* Proven track record leading multi\-product or multi\-pod portfolios.
* Experience managing and mentoring Product Managers and Product Owners, including coaching and performance development.
* Expertise in end\-to\-end customer experience design, particularly in portal and dashboard\-heavy products.
* Strong skills in journey mapping, prioritization, roadmap development, and delivery management.
* Data fluency with the ability to define metrics, analyze funnel performance, and drive outcomes via experimentation.
* Exceptional cross\-functional leadership, stakeholder alignment, and executive communication skills.
* High customer empathy and ability to manage complex workflows with system\-level thinking.
* Preferred: Experience in compliance\-heavy industries, enterprise self\-serve portal development, and partnership with Legal/Compliance on risk mitigation.
**Benefits**
* Competitive annual salary range of $122,200–$160,000, with eligibility for performance\-based bonuses or variable pay.
* Comprehensive health, dental, and vision coverage.
* 401(k) retirement program with company match.
* Paid time off and company holidays.
* Remote work flexibility with a fast\-paced, growth\-oriented environment.
* Opportunities to influence high\-visibility products impacting enterprise customers and millions of candidates.
* Professional development and career growth opportunities.
**Why Apply Through Jobgether?**
 We use an
 **AI\-powered matching process** 
 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
 We appreciate your interest and wish you the best!
 Why Apply Through Jobgether?
**Data Privacy Notice:** 
 By submitting your application, you acknowledge that Jobgether will process your personal data to evaluate your candidacy and share relevant information with the hiring employer. This processing is based on legitimate interest and pre\-contractual measures under applicable data protection laws (including GDPR). You may exercise your rights (access, rectification, erasure, objection) at any time.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t>
        </is>
      </c>
    </row>
    <row r="9">
      <c r="A9" t="inlineStr">
        <is>
          <t>li-4359817662</t>
        </is>
      </c>
      <c r="B9" t="inlineStr">
        <is>
          <t>Lead Product Manager, Global Cart &amp; Checkout</t>
        </is>
      </c>
      <c r="C9" t="inlineStr">
        <is>
          <t>Uber</t>
        </is>
      </c>
      <c r="D9" t="inlineStr">
        <is>
          <t>linkedin</t>
        </is>
      </c>
      <c r="E9">
        <f>HYPERLINK("https://www.linkedin.com/jobs/view/4359817662", "https://www.linkedin.com/jobs/view/4359817662")</f>
        <v/>
      </c>
      <c r="F9" t="inlineStr"/>
      <c r="G9" t="inlineStr">
        <is>
          <t>Sunnyvale, CA</t>
        </is>
      </c>
      <c r="H9" t="inlineStr"/>
      <c r="I9" t="inlineStr">
        <is>
          <t>**About The Role**
 The Cart \&amp; Checkout team owns the final and most critical step of the Uber Eats customer journey\-turning intent into completed orders. As the Lead PM for this space, you will define and drive the end\-to\-end Cart and Checkout experience, shaping how customers understand pricing, apply offers, select payments, and confidently complete purchases at global scale.
**What The Candidate Will Do**
* Own the Cart \&amp; Checkout experience end\-to\-end, from strategy and roadmap through execution and outcomes
* Define and evolve the long\-term vision for how customers review orders, understand pricing, and complete purchases
* Drive improvements to conversion, revenue, and trust through experimentation and customer insight
* Lead cross\-functional teams across Engineering, Design, Data, Legal, and Operations to deliver high\-impact initiatives
* Communicate strategy, tradeoffs, and results clearly to senior leadership
**Basic Qualifications**
* 7\+ years of experience in Product Management, owning large\-scale, consumer\-facing products
* Proven experience driving end\-to\-end ownership of complex user flows with measurable business impact
* Strong data\-driven decision\-making skills, including experimentation and funnel optimization
* Demonstrated ability to lead highly cross\-functional, ambiguous initiatives at scale
* Experience influencing senior stakeholders
**Preferred Qualifications**
* Experience owning checkout, payments, pricing, or monetization surfaces
* Background in marketplace, e\-commerce, or on\-demand delivery product
 For New York, NY\-based roles: The base salary range for this role is USD$190,000 per year \- USD$211,000 per year. For San Francisco, CA\-based roles: The base salary range for this role is USD$190,000 per year \- USD$211,000 per year. For Seattle, WA\-based roles: The base salary range for this role is USD$190,000 per year \- USD$211,000 per year. For Sunnyvale, CA\-based roles: The base salary range for this role is USD$190,000 per year \- USD$211,000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 For New York, NY\-based roles: The base salary range for this role is USD$190,000 per year \- USD$211,000 per year. For San Francisco, CA\-based roles: The base salary range for this role is USD$190,000 per year \- USD$211,000 per year. For Seattle, WA\-based roles: The base salary range for this role is USD$190,000 per year \- USD$211,000 per year. For Sunnyvale, CA\-based roles: The base salary range for this role is USD$190,000 per year \- USD$211,000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t>
        </is>
      </c>
    </row>
    <row r="10">
      <c r="A10" t="inlineStr">
        <is>
          <t>li-4345929721</t>
        </is>
      </c>
      <c r="B10" t="inlineStr">
        <is>
          <t>Product Manager - AI Agents</t>
        </is>
      </c>
      <c r="C10" t="inlineStr">
        <is>
          <t>Assembled</t>
        </is>
      </c>
      <c r="D10" t="inlineStr">
        <is>
          <t>linkedin</t>
        </is>
      </c>
      <c r="E10">
        <f>HYPERLINK("https://www.linkedin.com/jobs/view/4345929721", "https://www.linkedin.com/jobs/view/4345929721")</f>
        <v/>
      </c>
      <c r="F10" t="inlineStr"/>
      <c r="G10" t="inlineStr"/>
      <c r="H10" t="inlineStr"/>
      <c r="I10" t="inlineStr">
        <is>
          <t>**About Assembled**
 Great customer support requires human agents and AI in perfect balance, and Assembled is the only unified platform that orchestrates both at scale. Companies like Canva, Etsy, and Robinhood use Assembled to coordinate their entire support operation — in\-house agents, BPOs, and AI — in a single operating system. With AI Agents that resolve cases end\-to\-end, AI Copilot for agent assistance, and AI\-powered workforce management that optimizes both human and AI capacity, Assembled helps teams deliver faster, better service while making smarter decisions about how to staff and automate. Backed by $70M from NEA, Emergence Capital, and Stripe, we're building the platform that makes AI and human collaboration actually work.
**The Team**
 We are building products at Assembled that our customers absolutely love that are helping a ton of real people around the globe get better customer support. Our AI Agents are solving cases across channels. We are looking for another product manager to join our team and help us continue to delight and grow in this fast\- moving and highly competitive AI for Support space.
 Product Management at Assembled is responsible for articulating the most important problems to solve in a way that will delight customers and grow the business. To do this, you should expect to partner closely with support teams at the world's best brands (of all sizes) and regularly meet with prospects to paint the vision and learn about their problems and what resonates. PMs here also grease the works across the company to make everything go smoother, from understanding impact to enabling teams to evangelizing new ways to leverage AI to shouting out wins.
 In this role, you bring strategy to life and drive innovation at the intersection of what's possible with rapidly evolving models, rich data, strong user experience. And, you'll work with a small team of phenomenal PMs from diverse and impressive backgrounds who are all innovating in how to build products in the age of AI.
**Your Day To Day Will Include**
* Work with prospects and customers to deeply understand problems and needs. Conduct research and interviews, partner across functions, and analyze feedback and usage data.
* Collaborate with engineering and design teams to design and deliver impactful solutions. Provide clear requirements and direction, prioritize key features, and remove blockers. Our team is highly collaborative and individual engineers and designers wear a lot of hats. Expect and empower rigorous discussion and debate.
* Evangelize the product vision and roadmap to internal and external stakeholders. Share the "why" behind key decisions and rally teams around the product strategy.
* Foster a culture of experimentation and iteration. Design ways to test and validate new features or strategies, measuring impact \&amp; adoption and incorporating learnings.
* Drive product performance and key metrics. Report on insights to leadership and cross\-functional teams and craft strategies to drive adoption and value.
* Champion high product quality. We hold a high bar for usability, visual design, as well as relevance to complex user workflows.
* Foster a fast\-paced, growth\-mindset, empathetic culture. The needs of our customers are changing quickly as companies grow (or shrink) and navigate new ways of working. At the same time, our company has more than doubled the number of customers in the past year. The ability to thrive in ambiguity and change and help us proactively shape the function and culture is critical.
**Preferred Qualifications**
* Minimum of 3 years of product management experience in fast\-growing tech environments (Enterprise SaaS experience strongly preferred)
* Passion for AI and experience either as a deep personal user and/or in work
* Collaborative style, with a track record of building strong partnerships, trust, and respect across functions and making the people around you more effective
* You've led and shipped complex, impactful products that show you know how to handle tradeoffs and obstacles
* Strong written and verbal communication skills: this is a rigorous writing culture that welcomes discussion and feedback
* Customer orientation, with a passion for translating business problems into product solutions
* Analytical mindset and ability to meaningfully engage with data
* Technical fluency to drill into complex design and implementation challenges
 The estimated base salary range for this role is $180,000 \- $225,000 per year. The base pay offered may vary depending on location, job\-related knowledge, skills, and experience. Stock options are provided as part of the compensation package, in addition to a full range of medical, financial, and/or other benefits, dependent on the position offered.
*We know great candidates don’t always meet every requirement listed in a job description. If the role excites you and you believe you can make an impact at Assembled, we encourage you to apply. We value diverse perspectives and are committed to building an inclusive workplace where everyone feels like they belong and has the opportunity to do their best work. We look forward to hearing from you!*
**For United States Applicants**
*Assembled participates in E\-Verify and will provide the federal government with your Form I\-9 information to confirm that you are authorized to work in the United States.*
**For United Kingdom Applicants**
*Assembled is required to verify your right to work in the UK and will conduct a Right to Work check prior to employment in accordance with applicable law.*</t>
        </is>
      </c>
    </row>
    <row r="11">
      <c r="A11" t="inlineStr">
        <is>
          <t>li-4363502113</t>
        </is>
      </c>
      <c r="B11" t="inlineStr">
        <is>
          <t>Senior Product Manager II</t>
        </is>
      </c>
      <c r="C11" t="inlineStr">
        <is>
          <t>Wrapbook</t>
        </is>
      </c>
      <c r="D11" t="inlineStr">
        <is>
          <t>linkedin</t>
        </is>
      </c>
      <c r="E11">
        <f>HYPERLINK("https://www.linkedin.com/jobs/view/4363502113", "https://www.linkedin.com/jobs/view/4363502113")</f>
        <v/>
      </c>
      <c r="F11" t="inlineStr"/>
      <c r="G11" t="inlineStr"/>
      <c r="H11" t="inlineStr"/>
      <c r="I11" t="inlineStr">
        <is>
          <t>**About Us**
 Wrapbook is a smart, intuitive platform that makes production payroll and accounting easier, faster, and more secure. We provide a unified payroll platform that seamlessly connects your entire team—production, accounting, cast, and crew—all in one place. Wrapbook empowers production teams to manage projects, pay cast and crew, track expenses, and generate data\-driven insights, while enabling workers to manage timecards, track pay, and onboard to new projects from any device. Wrapbook brings clarity and dependability to production payroll, while increasing the productivity of your whole team.
 Trusted by companies of all sizes, Wrapbook powers payroll for some of the industry’s top production companies, including SMUGGLER, Tuff, and GhostRobot. Our growing team of 250\+ people across the USA and Canada, including entertainment and technology experts from SAG\-AFTRA, DGA, IATSE, Teamsters, Amazon, Microsoft, Facebook, and more. Wrapbook is backed by top\-tier investors, including Jeffrey Katzenberg’s WndrCo, Andreessen Horowitz, and A\* Capital. We have raised $130M and are in a strong financial position.
**The Opportunity – Senior Product Manager**
 Do you love tackling complex, technically challenging problems? Are you a self\-starter who thrives on solving real customer pain points? Do you bring a blend of strategic thinking, deep technical curiosity, and bias for action? Then this role is for you.
 We’re looking for an experienced
 **Senior Product Manager** 
 to drive one of Wrapbook’s core product areas — a role that blends strategic vision, deep technical partnership, and customer\-first innovation. You’ll define and execute product strategy, working closely with engineering and design to deliver delightful, compliant, and scalable solutions.
 At Wrapbook, you’ll shape products that power the entertainment industry — helping productions of all sizes run smoothly while ensuring every worker gets paid accurately and on time.
**What You’ll Do**
* Own the roadmap and vision for your product area, aligning customer needs with company priorities.
* Partner closely with engineering and design to define requirements, scope solutions, and deliver high\-quality features that solve meaningful problems.
* Collaborate cross\-functionally with sales, business development, client operations, legal, and go\-to\-market teams to ensure alignment and readiness for launches.
* Develop a deep understanding of our customers and the production payroll domain to uncover insights, identify unmet needs, and inspire innovation.
* Define success metrics and use data\-driven insights to guide prioritization and measure impact.
* Advocate for quality and compliance, ensuring that products meet the standards required in financial and regulated environments.
* Drive execution end\-to\-end, from discovery through launch, ensuring on\-time, predictable delivery.
**What You’ll Have**
* 5\+ years of product management experience in a SaaS, fintech, or similarly complex technical environment.
* Proven ability to define and execute on product strategy with measurable outcomes.
* Experience collaborating with cross\-functional teams (engineering, design, sales, operations, legal).
* Strong analytical and problem\-solving skills with a bias toward action.
* Comfort working in areas of ambiguity—able to dive deep and become a subject matter expert.
* Excellent written and verbal communication skills.
* Strong critical thinker, creative problem solver, fast learner, and customer advocate with deep empathy for user needs. You have a track record of translating customer insights into elegant, scalable solutions, especially across operationally complex user journeys.
**Extra Points If You Have**
* Data \&amp; Reporting:
 Experience building or managing products that surface data, insights, or reporting capabilities for customers or internal teams.
* Domain Expertise:
 Experience in payroll, fintech, or the entertainment industry, particularly working with complex compliance or regulatory requirements.
* Scale\-Up Experience:
 Worked at a high\-growth SaaS or scale\-up company, helping to mature product processes while maintaining speed and agility.
* Customer Research \&amp; Discovery:
 Experience running customer discovery or usability testing to inform product direction.
* Product Analytics:
 Ability to independently leverage data to define, track, and measure product success \- using tools like SQL, Pendo, Amplitude, or Mixpanel to uncover insights and inform decisions.
* Process Maturity:
 Exposure to maturing product organizations — helping improve prioritization, roadmap clarity, or go\-to\-market readiness.
**Why Join Us**
 At Wrapbook, creativity meets technology — and not just in the product.
**Benefits**
 In addition to a competitive salary and all the benefits you can expect from a fast\-growing technology company, you’ll get access to a team of creative problem solvers and the chance to see your contributions make large impacts. Benefits include:
* Unlimited Paid Time Off
* Work from anywhere in Canada and USA
* Health and Dental benefits
* Up to $1,500 USD/ $2,025 CAD towards IT set up for your home
* Up to 2% matching RRSP / 401K
* Learning and Development opportunities
* Up to $50 USD/ $67\.50 CAD towards Internet/Cell phone service
**Our Pledge To Fostering An Inclusive And Safe Workplace**
 Wrapbook pledges to be a harassment\- and discrimination\-free space for everyone, regardless of age, disability, ethnicity, gender identity or expression, nationality, neurotype, personal appearance, political affiliation, professional background, race, religion, or sexual identity or orientation.
**Apply Now**
 Have we got your attention? Submit your application today and a member of our Talent team will be in touch with you shortly!
 Compensation Range: $148\.8K \- $227\.8K</t>
        </is>
      </c>
    </row>
    <row r="12">
      <c r="A12" t="inlineStr">
        <is>
          <t>li-4361004738</t>
        </is>
      </c>
      <c r="B12" t="inlineStr">
        <is>
          <t>Senior Product Manager</t>
        </is>
      </c>
      <c r="C12" t="inlineStr">
        <is>
          <t>Runpod</t>
        </is>
      </c>
      <c r="D12" t="inlineStr">
        <is>
          <t>linkedin</t>
        </is>
      </c>
      <c r="E12">
        <f>HYPERLINK("https://www.linkedin.com/jobs/view/4361004738", "https://www.linkedin.com/jobs/view/4361004738")</f>
        <v/>
      </c>
      <c r="F12" t="inlineStr"/>
      <c r="G12" t="inlineStr">
        <is>
          <t>San Francisco, CA</t>
        </is>
      </c>
      <c r="H12" t="inlineStr"/>
      <c r="I12" t="inlineStr">
        <is>
          <t>Runpod is pioneering the future of AI and machine learning, offering cutting\-edge cloud infrastructure for full\-stack AI applications. Founded in 2022, we are a rapidly growing, well\-funded company with a remote\-first organization spread globally. Our mission is to create a foundational platform for developers to build and run custom AI systems that scale. Join us as we shape the future of AI.
 Runpod was designed from the ground up to operate across heterogeneous partner infrastructure. This architectural foundation has enabled us to build a global data center footprint spanning diverse hardware types, geographies, and operating environments, all orchestrated through a single platform. We are now extending this core advantage into a new market.
 Runpod Anywhere enables customers who already own and operate GPUs and storage clusters to bring their infrastructure onto the Runpod platform. Customers can orchestrate workloads across their own hardware using Runpod's SDKs, APIs, CLI, and console, while seamlessly bursting excess demand into Runpod's cloud when capacity constraints arise. This allows teams to avoid planning for peak compute demand while retaining full control over their existing investments.
 The Senior Product Manager for Runpod Anywhere will lead our comprehensive entry into this new market. This role is responsible for building a new business line largely from scratch: defining the ideal customer profile, understanding the competitive landscape, articulating differentiated value, and delivering a four\-quarter roadmap that elevates customer\-owned infrastructure to a first\-class citizen within the Runpod platform. This is an exceptional opportunity to create an entirely new market offering built on top of Runpod's core competitive strengths, refined and proven over the past three years.
**Responsibilities:**
* Be the voice of our customer: Engage deeply with prospects, customers, and partners who own and operate GPU infrastructure to understand their technical, operational, and business needs. You'll be expected to conduct frequent customer conversations and translate insights directly into strategy and execution.
* New market definition and strategy: Define the target customer segments and ideal customer profile (ICP) for Runpod Anywhere. Establish clear market positioning, differentiated value propositions, and a point of view on where Runpod wins versus alternatives.
* Product strategy and roadmap: Develop and execute a multi\-quarter product strategy and roadmap that brings Runpod Anywhere to market as a first\-class offering. Leverage existing platform capabilities while identifying and prioritizing net\-new investments required for customer\-owned infrastructure.
* User Experience Design: Collaborate with UX/UI teams to ensure product design effectively addresses developer needs, improving ease of use and functionality.
* Competitive analysis: Analyze competitors across on\-prem orchestration, hybrid cloud, GPU management platforms, and adjacent solutions. Incorporate insights into product direction, messaging, and execution, and communicate findings clearly across the company.
* Agile planning and execution: Maintain a well\-curated backlog and lead agile planning and execution in partnership with engineering. Drive delivery of complex, distributed systems with a high bar for reliability, performance, and developer experience.
* Go\-to\-market enablement: Partner closely with Sales, Marketing, and Customer Success to shape launch plans, messaging, pricing considerations, and enablement materials. Ensure teams are equipped to sell, onboard, and support Runpod Anywhere customers successfully.
* Cross\-functional leadership: Work across engineering, infrastructure, partnerships, legal, and business teams to align product development with company goals and operational realities.
* KPI definition and management: Define and track success metrics for Runpod Anywhere, spanning adoption, engagement, revenue impact, and customer outcomes.
* Executive storytelling: Clearly communicate product strategy, progress, and tradeoffs to company leadership. Engage directly with strategic customers and partners to build confidence in Runpod's long\-term vision.
* Understand AI market trends: Be an expert in all things AI, understanding the latest developments, frameworks and models that are driving the industry forward. Communicate your expertise internally and demonstrate thought leadership externally at conferences and community events.
**Requirements:**
* 5\+ years of experience in Product Management, with meaningful ownership over complex, technical products.
* Experience working with developer platforms, infrastructure products, or DX\-focused tools.
* Demonstrated experience launching new products or entering new markets strongly preferred.
* Prior experience as a professional software engineer building distributed systems strongly preferred.
* Strong understanding of modern software development workflows and agile execution.
* Experience with AI and ML platforms strongly preferred.
* Proven ability to define strategy in ambiguous environments and translate it into execution.
* Excellent communication, presentation, and stakeholder\-management skills.
* Ability to operate effectively in an early\-stage, fast\-moving, remote\-first environment.
* Strong analytical and problem\-solving skills with a data\-driven mindset.
* Successful completion of a background check
**What You'll Receive:**
* The competitive base pay for this position ranges from ($175,000 \- $225,000 usd. This salary range may be inclusive of several career levels at Runpod and will be narrowed during the interview process based on a number of factors, including the candidate's experience, qualifications, and location
* Meaningful equity in a fast\-growing company\- everyone on the team receives stock options — your impact drives our growth, and you share in the upside.
* Generous medical, dental \&amp; vision plans — we cover 100% for all employees and partial for dependents.
* Flexible PTO\- take the time you need to recharge
* Most roles are remote work first with an inclusive, collaborative teams utilizing slack as the main form of internal communication
* Join a passionate team on the cutting edge of AI infrastructure — where culture, learning, and ownership are at the heart of how we scale.
* $1,200 Home Office \&amp; Equipment Stipend\- We set you up for success from day one with gear and support to create your ideal workspace
 Runpod is committed to maintaining a workplace free from discrimination and upholding the principles of equality and respect for all individuals. We believe that diversity in all its forms enhances our team. As an equal opportunity employer, Runpod is committed to creating an inclusive workforce at every level. We evaluate qualified applicants without regard to race, color, religion, sex, sexual orientation, gender identity, national origin, age, marital status, protected veteran status, disability status, or any other characteristic protected by law. We welcome every qualified candidate eligible to work in the United States; however, we are currently unable to sponsor employment visas</t>
        </is>
      </c>
    </row>
    <row r="13">
      <c r="A13" t="inlineStr">
        <is>
          <t>li-4325340965</t>
        </is>
      </c>
      <c r="B13" t="inlineStr">
        <is>
          <t>Principal Product Manager - Enterprise Solutions (Remote Eligible)</t>
        </is>
      </c>
      <c r="C13" t="inlineStr">
        <is>
          <t>Smartsheet</t>
        </is>
      </c>
      <c r="D13" t="inlineStr">
        <is>
          <t>linkedin</t>
        </is>
      </c>
      <c r="E13">
        <f>HYPERLINK("https://www.linkedin.com/jobs/view/4325340965", "https://www.linkedin.com/jobs/view/4325340965")</f>
        <v/>
      </c>
      <c r="F13" t="inlineStr"/>
      <c r="G13" t="inlineStr">
        <is>
          <t>Bellevue, WA</t>
        </is>
      </c>
      <c r="H13" t="inlineStr"/>
      <c r="I13" t="inlineStr">
        <is>
          <t>For over 20 years, Smartsheet has helped people and teams achieve–well, anything. From seamless work management to smart, scalable solutions, we’ve always worked with flow. We’re building tools that empower teams to automate the manual, uncover insights, and scale smarter. But more than that, we’re creating space– space to think big, take action, and unlock the kind of work that truly matters. Because when challenge meets purpose, and passion turns into progress, that’s magic at work, and it’s what we show up for everyday.
 Smartsheet is a tech company with a human story to tell. We’re here to empower teams to manage projects, automate workflows, and rapidly build new secure solutions, using simple no\-code tools. We’re revolutionaries – so for us changing the way the world works is all in a day’s work.
 We are looking for an experienced Principal Product Manager to join our Product Organization at Smartsheet. You will be accountable for driving business impacting investments within areas of high ambiguity, driving strategy that aligns with customer demands, business goals, and industry trends. Join us and help our customers leverage the potential of their workforce and mobilize their talent.
 You will report into a leader in Product Management, and can be based in our Bellevue, WA office, or you may work remotely from anywhere in the US where Smartsheet is a registered employer.
**You Will**
* Define vision and strategy for our enterprise solutions offerings in Smartsheet
* Use company objectives, customer needs, market trends, and business outcomes (with a focus on ARR growth) to inform your work
* Socialize your work and drive alignment with cross\-functional leaders; work closely with design and engineering to create compelling, high\-quality customer experiences
* Use internal and external data to guide experimentation, decisions, opportunities and evaluation of success
* Partner with research, product design, data science and analytics teams to run experiments and test prototypes to validate hypotheses
* Communicate strategy, product insights, winning and losing experimentation, etc. to a wide audience
* Mentor junior product managers and help support their growth
* Successful candidates will operate at both the strategic and tactical levels and form strong cross\-team partnerships that ensure combined success for the product area
* Support other duties as needed
**You Have**
* 8\-10\+ years of product management or consulting experience with a focus on B2B, enterprise\-grade products, ideally in the CWM space
* Knowledge of project and portfolio management (PPM) best practices
* Successfully delivered and scaled delightful user experiences on high\-scale platforms
* Experience prioritizing against and driving business outcomes with a focus on ARR growth
* Worked within agile development environments (Scaled Agile Framework (SAFe®) preferred)
* Experience delivering highly\-complex enterprise software products from inception to launch
* Excellent written and verbal communication skills
* A desire to mentor junior teammates
* A four year college degree \- MBA preferred but not required
**Current US Perks \&amp; Benefits**
* HSA, 100% employer\-paid premiums, or Buy\-up medical/vision and dental coverage options for full\-time employees
* 401k Match to help you save for your future (50% of your contribution up to the first 6% of your eligible pay)
* Monthly stipend to support your work and productivity
* Flexible Time Away Program, plus Sick Time Off
* US employees are automatically covered under Smartsheet\-sponsored life insurance, short\-term, and long\-term disability plans
* US employees receive 12 paid holidays per year
* Up to 24 weeks of Parental Leave
* Personal paid Volunteer Day to support our community
* Opportunities for professional growth and development including access to Udemy online courses
* Company Funded Perks, including a counseling membership, local retail discounts, and your own personal Smartsheet account
* Teleworking options from any registered location in the U.S. (role specific)
*Smartsheet provides a competitive base salary range for roles that may be hired in different geographic areas we are licensed to operate our business from. Actual compensation is determined by several factors including, but not limited to, level of professional, educational experience, skills, and specific candidate location. In addition, this role will be eligible for a market competitive incentive opportunity.*
 US Base Salary Pay Range
 $182,500 \- $257,500 USD
**Get To Know Us**
 At Smartsheet, your ideas are heard, your potential is supported, and your contributions have real impact. You’ll have the freedom to explore, push boundaries, and grow beyond your role. We welcome diverse perspectives and nontraditional paths—because we know that impact comes from individuals who care deeply and challenge thoughtfully. When you’re doing work that stretches you, excites you, and connects you to something bigger, that’s magic at work. Let’s build what’s next, together.
**Equal Opportunity Employer**
 Smartsheet is an Equal Opportunity (EEO) employer committed to fostering an inclusive environment with the best employees. It is our policy to provide equal employment opportunities to all qualified applicants in accordance with applicable laws in the US, UK, Australia, Germany, Costa Rica, Japan, Bulgaria, and India. All qualified applicants will receive consideration without regard to race, color, religion, sex, sexual orientation, gender identity, national origin, age, protected veteran or disabled status, or genetic information.
 If there are preparations we can make to help ensure you have a comfortable and positive interview experience, please let us know.</t>
        </is>
      </c>
    </row>
    <row r="14">
      <c r="A14" t="inlineStr">
        <is>
          <t>li-4359887727</t>
        </is>
      </c>
      <c r="B14" t="inlineStr">
        <is>
          <t>Business Technology Product Manager</t>
        </is>
      </c>
      <c r="C14" t="inlineStr">
        <is>
          <t>Samsara</t>
        </is>
      </c>
      <c r="D14" t="inlineStr">
        <is>
          <t>linkedin</t>
        </is>
      </c>
      <c r="E14">
        <f>HYPERLINK("https://www.linkedin.com/jobs/view/4359887727", "https://www.linkedin.com/jobs/view/4359887727")</f>
        <v/>
      </c>
      <c r="F14" t="inlineStr"/>
      <c r="G14" t="inlineStr"/>
      <c r="H14" t="inlineStr"/>
      <c r="I14"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**About the role:**
 This role is rooted in a fervent commitment to scaling operations, shaping culture, and providing comprehensive sales technology solutions, all while ensuring exceptional employee satisfaction. The ideal candidate will collaborate closely with our GTM, legal, finance, marketing, and other teams to jointly craft and refine technology strategies that propel Samsara's rapid growth, while delivering outstanding connected experiences for our seller personas.
 This role is open to candidates residing in the US except Alaska, Austin Metro, Boulder Metro, California, Chicago Metro, Connecticut, Dallas Metro, Denver Metro, Houston Metro, Maryland, Massachusetts, New Jersey, New York, Rhode Island, Seattle Metro, and Washington, D.C.
**You should apply if:**
* You want to impact the industries that run our world: Your efforts will result in real\-world impact—helping to keep the lights on, get food into grocery stores, reduce emissions, and most importantly, ensure workers return home safely.
* You are the architect of your own career: If you put in the work, this role won’t be your last at Samsara. We set up our employees for success and have built a culture that encourages rapid career development, and countless opportunities to experiment and master your craft in a hyper\-growth environment.
* You’re energized by our opportunity: The vision we have to digitize large sectors of the global economy requires your full focus and best efforts to bring forth creative, ambitious ideas for our customers.
* You want to be with the best: At Samsara, we win together, celebrate together and support each other. You will be surrounded by a high\-caliber team that will encourage you to do your best.
**In this role, you will:**
* AI Product Skills: Partner with engineering and data teams to identify, evaluate, and deliver practical AI\-enabled capabilities within GTM systems. Define product requirements, success metrics, and adoption strategies for AI\-powered features, ensuring responsible use, user trust, and measurable business impact.
* Sales Platform Roadmap: Understand GTM organization's business objectives, processes, and strategies to craft a technology vision and roadmap that align with these goals, ensuring technology solutions bring tangible value to the company.
* Leadership and Stakeholder Management: Effective communication and relationship\-building skills to engage with stakeholders across the organization, including executives, sales, marketing, engineering, and customer support. Act as the primary liaison between stakeholders and development teams. Lead and mentor junior product managers or GTM team members to ensure high performance and professional growth.
* Backlog Management: Create, maintain, and prioritize the product backlog, ensuring alignment with business objectives. Write user stories and acceptance criteria that capture user needs.
* Agile Development: Lead Agile ceremonies, including sprint planning, reviews, and retrospectives. Ensure timely delivery of features and improvements through effective sprint management.
* Performance Metrics: Define key performance indicators (KPIs) to measure the success of Sales Systems. Monitor and report on product performance, driving data\-informed decision\-making.
* Design Thinking: Adopt a design\-centric approach to create user\-friendly, scalable, and adaptable solutions, considering user experience, data flow, and integration points to enhance overall product usability.
* Champion, role model, and embed Samsara’s cultural principles (Focus on Customer Success, Build for the Long Term, Adopt a Growth Mindset, Be Inclusive, Win as a Team) as we scale globally and across new offices.
**Minimum requirements for the role:**
* AI Product Acumen: Experience working with AI\-enabled or data\-driven features from a product management perspective, including defining requirements, success metrics, and rollout strategies. Familiarity with concepts such as model outputs, confidence levels, and human\-in\-the\-loop workflows.
* Subject Matter Expertise: Over 10 years of experience in software or platform development, specifically focusing on large\-scale software/service sales technology ecosystems. Expertise in Contract Lifecycle Management (CLM), Entitlement Management System (EMS), CRM, CPQ (Salesforce), integrations, Sales/Quote to Cash, XaaS/Subscription models, and complex US and international selling scenarios.
* Stakeholder Management: Exceptional communication and presentation skills, with the ability to effectively convey complex concepts and issues to leadership teams in a compelling, persuasive, fact\-based manner.
* Cross\-functional Collaboration: Proficient in collaborating across technology, engineering, and product teams to develop, implement, and enhance digital solutions for employee personas.
* Proficiency in product management tools (e.g., Jira, Confluence) and analytics platforms.
* Education: Bachelor's degree in Computer Science, Engineering, or equivalent experience.
**An ideal candidate also has:**
* Industry Experience: Experience collaborating cross\-functionally in a large\-scale environment ($2 \- 10B\+ ARR).
* MBA or equivalent business experience.
**Samsara’s Compensation Philosophy:** 
 Samsara’s compensation program is designed to deliver Total Direct Compensation (based on role, level, and geography) that is at or above market. We do this through our base salary \+ bonus/variable \+ restricted stock unit awards (RSUs) for eligible roles. For eligible roles, a new hire RSU award may be awarded at the time of hire, and additional RSU refresh grants may be awarded annually.
 We pay for performance, and top performers in eligible roles may receive above\-market equity refresh awards which allow employees to achieve higher market.
 The range of annual base salary for full\-time employees for this position is below. Please note that base pay offered may vary depending on factors including your city of residence, job\-related knowledge, skills, and experience.
 $131,197\.50—$176,400 USD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**Benefits**
 Full time employees receive a competitive total compensation package along with employee\-led remote and flexible working, health benefits, and much, much more. Take a look at our Benefits site to learn more.
**Accommodations**
 Samsara is an inclusive work environment, and we are committed to ensuring equal opportunity in employment for qualified persons with disabilities. Please email accessibleinterviewing@samsara.com or click here if you require any reasonable accommodations throughout the recruiting process.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t>
        </is>
      </c>
    </row>
    <row r="15">
      <c r="A15" t="inlineStr">
        <is>
          <t>li-4369111832</t>
        </is>
      </c>
      <c r="B15" t="inlineStr">
        <is>
          <t>Product Manager</t>
        </is>
      </c>
      <c r="C15" t="inlineStr">
        <is>
          <t>Habitat Clothes To Live In</t>
        </is>
      </c>
      <c r="D15" t="inlineStr">
        <is>
          <t>linkedin</t>
        </is>
      </c>
      <c r="E15">
        <f>HYPERLINK("https://www.linkedin.com/jobs/view/4369111832", "https://www.linkedin.com/jobs/view/4369111832")</f>
        <v/>
      </c>
      <c r="F15" t="inlineStr"/>
      <c r="G15" t="inlineStr">
        <is>
          <t>Sharon, MA</t>
        </is>
      </c>
      <c r="H15" t="inlineStr"/>
      <c r="I15" t="inlineStr">
        <is>
          <t>Position/Job Title: Product Manager  
 Category: Design/Apparel 
 Position Type: Full\-Time/Salary  
 Pay Range: $80,000\-$95,000
 Location: Sharon, MA  
**GENERAL JOB DESCRIPTION:** 
 The Product Manager is responsible for overseeing the end\-to\-end apparel product development process, ensuring timely, cost\-effective, and high\-quality outcomes. This role requires close collaboration with cross\-functional teams, including Creative Director, Director of Product Development, Technical Design, and overseas vendors, to drive alignment and maintain high standards throughout development. Key responsibilities include managing the development calendar, solving complex challenges, establishing and maintaining cost parameters, overseeing fabric selection and development, and communicating effectively with all stakeholders. The ideal candidate will bring exceptional organizational skills to manage each phase of the product lifecycle, from initial concept through to bulk production, ensuring the product meets both aesthetic and functional standards.  
**DUTIES AND RESPONSIBILITIES:** 
* **Design Support:** 
  Assist the Director of Product Development with design follow\-up tasks to ensure smooth project continuity
* **Seasonal Calendar Coordination:** 
 Collaborate with the Director of Product Development to maintain the seasonal calendar and align schedules with cross\-functional teams and overseas vendors
* **Vendor Collaboration:** 
 Work closely with overseas vendors on sourcing new fabrics and accessories, presenting options to the design team at the season’s outset
* **Assortment Planning and Workflow Management:** 
 Oversee the assortment plan, maintaining up\-to\-date style details from vendors and supporting the team with workflow management
* **Design Communication:** 
 Relay design feedback to vendors on key elements such as lap dips, handlooms, and knit downs to ensure accurate execution
* **Fittings and Pricing Adjustments:** 
 Attend fittings and communicate follow\-up feedback to Director of Product Development and vendors, including any required price adjustments
* **Sample Order Management:** 
 Issue seasonal SMS (Salesman Sample) orders and manage their timely execution
* **Price Negotiation:** 
 Conduct seasonal price negotiations with vendors to ensure competitive pricing
* **Project Tracking and Communication:** 
 Participate in weekly WIP (Work in Progress) meetings and relay project updates to the team
* **Sample Review and Line Development:** 
 Review development samples for quality and adherence to design specifications, overseeing line development progress throughout each season
* **Seasonal Development and Review Participation:** 
 Engage in key seasonal meetings, including Seasonal Prep, Line Development, Pre\-Line, Mid\-Point, and Final Review, to align with overall product development goals
**QUALIFICATIONS NEEDED FOR THE ROLE:** 
* Bachelor’s degree in relevant field
* 5\+ years of experience in merchandising, production development or production role
* Strong time\-management skills and ability to organize and coordinate multiple concurrent projects
* Excellent written and verbal communication skills
* Proficiency with Excel/MS office suite
* Strong problem\-solving skills with the ability to solve matters quickly
* Flexible team player, willing to adapt to changes per company needs
* Experience in costing and negotiation
**KEY COMPETENCIES:** 
 Working within Team Environments  
 Dependable  
 Time Management  
 Strong leadership, creativity and organization skills  
 Flexibility to seasonality of the business</t>
        </is>
      </c>
    </row>
    <row r="16">
      <c r="A16" t="inlineStr">
        <is>
          <t>li-4360517366</t>
        </is>
      </c>
      <c r="B16" t="inlineStr">
        <is>
          <t>Sr Product Manager - Marketplace &amp; Real-Time Safety</t>
        </is>
      </c>
      <c r="C16" t="inlineStr">
        <is>
          <t>Uber</t>
        </is>
      </c>
      <c r="D16" t="inlineStr">
        <is>
          <t>linkedin</t>
        </is>
      </c>
      <c r="E16">
        <f>HYPERLINK("https://www.linkedin.com/jobs/view/4360517366", "https://www.linkedin.com/jobs/view/4360517366")</f>
        <v/>
      </c>
      <c r="F16" t="inlineStr"/>
      <c r="G16" t="inlineStr">
        <is>
          <t>San Francisco, CA</t>
        </is>
      </c>
      <c r="H16" t="inlineStr"/>
      <c r="I16" t="inlineStr">
        <is>
          <t>**About The Role**
 Uber is building products that millions of people rely on every day, and safety is foundational to that trust. As a Product Manager in Marketplace \&amp; Active Safety, you will help shape how Uber monitors risk and decides when to intervene
 **before and during** 
 a trip, with the goal of creating safer, more trustworthy user experiences across Uber platform.
 We are seeking an experienced and passionate Product Manager with technical \&amp; analytical depth, product intuition and entrepreneurial spirit to drive the roadmap. In this role, you will own product strategy and work closely with engineering, applied science, design, and operations to translate data\-driven insights into safety user experiences across the trip journey and for all users. You'll tackle complex, ambiguous problems where there are no clear answers, balancing safety, privacy, and real\-world constraints, while building products that operate at global scale.
 You should be comfortable in uncharted territory as we build safety solutions for eaters, delivery, riders, drivers and every user who touches the Uber community. We need your skills and enthusiasm to make it happen.
**What The Candidate Will Need / Bonus Points**
 \-\-\-\- What the Candidate Will Do \-\-\-\-
* Own product strategy for Marketplace \&amp; On\-trip Safety for Mobility / Delivery / AV, defining how Uber identifies safety risk and when to intervene with right user experiences before and during trips.
* Partner closely with applied science and data teams to scope problems, size opportunities, and translate insights into clear product features.
* Lead the design of safety intervention experiences (e.g., in\-app nudges, robocalls) for all user types, ensuring they are effective, understandable, and appropriately timed. We want riders and drivers to build positive sentiment towards Uber on safety and protection.
* Work cross\-functionally with engineering, design, operations, policy, and legal to launch and scale safety features across regions and lines of business (Mobility, Delivery, AV)
* Represent Marketplace \&amp; Active Safety in leadership discussions, clearly articulating tradeoffs, decisions, and impact.
**Basic Qualifications**
* 5\+ years of product management experience, owning end\-to\-end product strategy \&amp; execution
* Customer obsession with a proven ability to simplify complex challenges into elegant consumer experiences. Has a proven record of scaling mobile experiences.
* Strong analytical and technical depth in ML products, with experience partnering closely with engineering and data/applied science teams to turn insights into product decisions.
* Bias for action, grit, and a high bar for both product quality and team performance
**Preferred Qualifications**
* Strong understanding of multi\-sided marketplaces.
* Ability to iterate quickly, test hypotheses, be incorrect, and adapt based on results.
* First principles thinking and ability to respectfully challenge longheld assumptions.
* Elite written \&amp; verbal comms, and ability to translate complex technical concepts/results into clear product direction for diverse stakeholders.
 For New York, NY\-based roles: The base salary range for this role is USD$190,000 per year \- USD$211,000 per year. For San Francisco, CA\-based roles: The base salary range for this role is USD$190,000 per year \- USD$211,000 per year. For Seattle, WA\-based roles: The base salary range for this role is USD$190,000 per year \- USD$211,000 per year. For Sunnyvale, CA\-based roles: The base salary range for this role is USD$190,000 per year \- USD$211,000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 For New York, NY\-based roles: The base salary range for this role is USD$190,000 per year \- USD$211,000 per year. For San Francisco, CA\-based roles: The base salary range for this role is USD$190,000 per year \- USD$211,000 per year. For Seattle, WA\-based roles: The base salary range for this role is USD$190,000 per year \- USD$211,000 per year. For Sunnyvale, CA\-based roles: The base salary range for this role is USD$190,000 per year \- USD$211,000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t>
        </is>
      </c>
    </row>
    <row r="17">
      <c r="A17" t="inlineStr">
        <is>
          <t>li-4359579012</t>
        </is>
      </c>
      <c r="B17" t="inlineStr">
        <is>
          <t>Lead Product Manager, Global Cart &amp; Checkout</t>
        </is>
      </c>
      <c r="C17" t="inlineStr">
        <is>
          <t>Uber</t>
        </is>
      </c>
      <c r="D17" t="inlineStr">
        <is>
          <t>linkedin</t>
        </is>
      </c>
      <c r="E17">
        <f>HYPERLINK("https://www.linkedin.com/jobs/view/4359579012", "https://www.linkedin.com/jobs/view/4359579012")</f>
        <v/>
      </c>
      <c r="F17" t="inlineStr"/>
      <c r="G17" t="inlineStr">
        <is>
          <t>Seattle, WA</t>
        </is>
      </c>
      <c r="H17" t="inlineStr"/>
      <c r="I17" t="inlineStr">
        <is>
          <t>**About The Role**
 The Cart \&amp; Checkout team owns the final and most critical step of the Uber Eats customer journey\-turning intent into completed orders. As the Lead PM for this space, you will define and drive the end\-to\-end Cart and Checkout experience, shaping how customers understand pricing, apply offers, select payments, and confidently complete purchases at global scale.
**What The Candidate Will Do**
* Own the Cart \&amp; Checkout experience end\-to\-end, from strategy and roadmap through execution and outcomes
* Define and evolve the long\-term vision for how customers review orders, understand pricing, and complete purchases
* Drive improvements to conversion, revenue, and trust through experimentation and customer insight
* Lead cross\-functional teams across Engineering, Design, Data, Legal, and Operations to deliver high\-impact initiatives
* Communicate strategy, tradeoffs, and results clearly to senior leadership
**Basic Qualifications**
* 7\+ years of experience in Product Management, owning large\-scale, consumer\-facing products
* Proven experience driving end\-to\-end ownership of complex user flows with measurable business impact
* Strong data\-driven decision\-making skills, including experimentation and funnel optimization
* Demonstrated ability to lead highly cross\-functional, ambiguous initiatives at scale
* Experience influencing senior stakeholders
**Preferred Qualifications**
* Experience owning checkout, payments, pricing, or monetization surfaces
* Background in marketplace, e\-commerce, or on\-demand delivery product
 For New York, NY\-based roles: The base salary range for this role is USD$190,000 per year \- USD$211,000 per year. For San Francisco, CA\-based roles: The base salary range for this role is USD$190,000 per year \- USD$211,000 per year. For Seattle, WA\-based roles: The base salary range for this role is USD$190,000 per year \- USD$211,000 per year. For Sunnyvale, CA\-based roles: The base salary range for this role is USD$190,000 per year \- USD$211,000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 For New York, NY\-based roles: The base salary range for this role is USD$190,000 per year \- USD$211,000 per year. For San Francisco, CA\-based roles: The base salary range for this role is USD$190,000 per year \- USD$211,000 per year. For Seattle, WA\-based roles: The base salary range for this role is USD$190,000 per year \- USD$211,000 per year. For Sunnyvale, CA\-based roles: The base salary range for this role is USD$190,000 per year \- USD$211,000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t>
        </is>
      </c>
    </row>
    <row r="18">
      <c r="A18" t="inlineStr">
        <is>
          <t>li-4360517365</t>
        </is>
      </c>
      <c r="B18" t="inlineStr">
        <is>
          <t>Sr Product Manager - Marketplace &amp; Real-Time Safety</t>
        </is>
      </c>
      <c r="C18" t="inlineStr">
        <is>
          <t>Uber</t>
        </is>
      </c>
      <c r="D18" t="inlineStr">
        <is>
          <t>linkedin</t>
        </is>
      </c>
      <c r="E18">
        <f>HYPERLINK("https://www.linkedin.com/jobs/view/4360517365", "https://www.linkedin.com/jobs/view/4360517365")</f>
        <v/>
      </c>
      <c r="F18" t="inlineStr"/>
      <c r="G18" t="inlineStr">
        <is>
          <t>Sunnyvale, CA</t>
        </is>
      </c>
      <c r="H18" t="inlineStr"/>
      <c r="I18" t="inlineStr">
        <is>
          <t>**About The Role**
 Uber is building products that millions of people rely on every day, and safety is foundational to that trust. As a Product Manager in Marketplace \&amp; Active Safety, you will help shape how Uber monitors risk and decides when to intervene
 **before and during** 
 a trip, with the goal of creating safer, more trustworthy user experiences across Uber platform.
 We are seeking an experienced and passionate Product Manager with technical \&amp; analytical depth, product intuition and entrepreneurial spirit to drive the roadmap. In this role, you will own product strategy and work closely with engineering, applied science, design, and operations to translate data\-driven insights into safety user experiences across the trip journey and for all users. You'll tackle complex, ambiguous problems where there are no clear answers, balancing safety, privacy, and real\-world constraints, while building products that operate at global scale.
 You should be comfortable in uncharted territory as we build safety solutions for eaters, delivery, riders, drivers and every user who touches the Uber community. We need your skills and enthusiasm to make it happen.
**What The Candidate Will Need / Bonus Points**
 \-\-\-\- What the Candidate Will Do \-\-\-\-
* Own product strategy for Marketplace \&amp; On\-trip Safety for Mobility / Delivery / AV, defining how Uber identifies safety risk and when to intervene with right user experiences before and during trips.
* Partner closely with applied science and data teams to scope problems, size opportunities, and translate insights into clear product features.
* Lead the design of safety intervention experiences (e.g., in\-app nudges, robocalls) for all user types, ensuring they are effective, understandable, and appropriately timed. We want riders and drivers to build positive sentiment towards Uber on safety and protection.
* Work cross\-functionally with engineering, design, operations, policy, and legal to launch and scale safety features across regions and lines of business (Mobility, Delivery, AV)
* Represent Marketplace \&amp; Active Safety in leadership discussions, clearly articulating tradeoffs, decisions, and impact.
**Basic Qualifications**
* 5\+ years of product management experience, owning end\-to\-end product strategy \&amp; execution
* Customer obsession with a proven ability to simplify complex challenges into elegant consumer experiences. Has a proven record of scaling mobile experiences.
* Strong analytical and technical depth in ML products, with experience partnering closely with engineering and data/applied science teams to turn insights into product decisions.
* Bias for action, grit, and a high bar for both product quality and team performance
**Preferred Qualifications**
* Strong understanding of multi\-sided marketplaces.
* Ability to iterate quickly, test hypotheses, be incorrect, and adapt based on results.
* First principles thinking and ability to respectfully challenge longheld assumptions.
* Elite written \&amp; verbal comms, and ability to translate complex technical concepts/results into clear product direction for diverse stakeholders.
 For New York, NY\-based roles: The base salary range for this role is USD$190,000 per year \- USD$211,000 per year. For San Francisco, CA\-based roles: The base salary range for this role is USD$190,000 per year \- USD$211,000 per year. For Seattle, WA\-based roles: The base salary range for this role is USD$190,000 per year \- USD$211,000 per year. For Sunnyvale, CA\-based roles: The base salary range for this role is USD$190,000 per year \- USD$211,000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 For New York, NY\-based roles: The base salary range for this role is USD$190,000 per year \- USD$211,000 per year. For San Francisco, CA\-based roles: The base salary range for this role is USD$190,000 per year \- USD$211,000 per year. For Seattle, WA\-based roles: The base salary range for this role is USD$190,000 per year \- USD$211,000 per year. For Sunnyvale, CA\-based roles: The base salary range for this role is USD$190,000 per year \- USD$211,000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t>
        </is>
      </c>
    </row>
    <row r="19">
      <c r="A19" t="inlineStr">
        <is>
          <t>li-4360586838</t>
        </is>
      </c>
      <c r="B19" t="inlineStr">
        <is>
          <t>Senior Product Manager, Digital Storefront</t>
        </is>
      </c>
      <c r="C19" t="inlineStr">
        <is>
          <t>Ford Motor Company</t>
        </is>
      </c>
      <c r="D19" t="inlineStr">
        <is>
          <t>linkedin</t>
        </is>
      </c>
      <c r="E19">
        <f>HYPERLINK("https://www.linkedin.com/jobs/view/4360586838", "https://www.linkedin.com/jobs/view/4360586838")</f>
        <v/>
      </c>
      <c r="F19" t="inlineStr"/>
      <c r="G19" t="inlineStr"/>
      <c r="H19" t="inlineStr"/>
      <c r="I19" t="inlineStr">
        <is>
          <t>**Job Description**
 We are the movers of the world and the makers of the future. We get up every day, roll up our sleeves and build a better world \-\- together. At Ford, we’re all a part of something bigger than ourselves. Are you ready to change the way the world moves?
 Launched in 2023, Integrated Services creates and markets new customer experiences by integrating hardware, software and services across Ford Blue, Model e and Ford Pro. These products and services allow Ford's retail and commercial customers to customize their vehicles like never before with OTA (over\-the\-air)\-driven experiences that grow better over time. Ford is developing leadership at the forefront of connected, digital platforms that will revolutionize every aspect of how vehicles function, the way people interact with them, and the value those vehicles provide.
**In this position...**
 Ford is looking for a Product Leader to drive forward a portfolio of innovative products and enhancement within the Digital Product space, focused on our Digital Storefront, a digital experience available in mobile, web, and in vehicle enabling customers to discover, shop for, and manage vehicle upgrades (e.g., BlueCruise hands\-free highway driving). The team is looking for a passionate and strategic Product Manager who loves to innovate and drive products forward to the next generation, ultimately changing tens of millions of customers lives.
**Responsibilities**
**What you'll do...**
 The Senior Product Manager will be responsible for defining strategy, managing a portfolio of products and enhancements, enhancing/creating new customer experiences to drive meaningful improvement in business performance, analyzing data, and coordinating a team of engineers, designers, and product managers to fulfill the vision. The ideal candidate will also be customer\-obsessed, will have an ability to operate strategically and tactically, and work independently under time constraints to meet deadlines. This ideal candidate will also have a proven track record in taking on end\-to\-end ownership and successfully delivering results in an ambiguous and dynamic business environment.
* Collaborate on multi\-year product strategy for Ford Motor Company
* Own the strategy for your product area, defining your vision, goals, and investments
* Develop new product pitches and requirements, and translating into high quality product roadmaps
* Coordinating a large diverse team of engineers, designers, and partner product teams to innovate new and enhance existing products to drive your vision.
* Managing a diverse roadmap and making tradeoff decisions between investments across multiple years
* Analyzing data and performing sophisticated analytical exercises
* Drive standardization, simplification, and automation of internal processes and product development mechanisms to increase throughput
* Managing weekly, and monthly product/business reporting
* And more
**Qualifications**
**You'll have...**
* Bachelor's degree required
* 5\+ years of product management experience
* Experience with feature delivery and tradeoffs of a product
* Experience owning/driving roadmap strategy and definition
* Experience with end\-to\-end product delivery
* A proven track record of setting and exceeding aggressive goals
* Ability to develop ideas independently and thrive in a fast\-paced environment
* Ability to work independently and effectively across internal and external organizations
**Even better, you may have...**
* MBA or equivalent
* Strong organizational and time management skills with the ability to manage multiple, competing priorities simultaneously, multi\-task, and meet deadlines.
* Excellent cross\-group collaboration skills, ability to impact outcomes in a fast\-paced, matrixed environment.
* Exceptional verbal and written communication skills, capable of presenting to senior leadership
* Excellent business judgment and demonstrated ability to think and act both strategically and tactically
* Self\-starter who is customer obsessed, detail\-oriented, and an enthusiastic team player
 You may not check every box, or your experience may look a little different from what we've outlined, but if you think you can bring value to Ford Motor Company, we encourage you to apply!
 As an established global company, we offer the benefit of choice. You can choose what your Ford future will look like: will your story span the globe, or keep you close to home? Will your career be a deep dive into what you love, or a series of new teams and new skills? Will you be a leader, a changemaker, a technical expert, a culture builder…or all of the above? No matter what you choose, we offer a work life that works for you, including:
* Immediate medical, dental, vision and prescription drug coverage
* Flexible family care days, paid parental leave, new parent ramp\-up programs, subsidized back\-up childcare and more
* Family building benefits including adoption and surrogacy expense reimbursement, fertility treatments, and more
* Vehicle discount program for employees and family members and management leases
* Tuition assistance
* Established and active employee resource groups
* Paid time off for individual and team community service
* A generous schedule of paid holidays, including the week between Christmas and New Year’s Day
* Paid time off and the option to purchase additional vacation time.
 For more information on salary and benefits, click here: https://fordcareers.co/LL6SP2
 This position is a leadership level 6\.
 Visa sponsorship is not available for this position.
 Candidates for positions with Ford Motor Company must be legally authorized to work in the United States. Verification of employment eligibility will be required at the time of hire.
 We are an Equal Opportunity Employer. All qualified applicants will receive consideration for employment without regard to race, religion, color, age, sex, national origin, sexual orientation, gender identity, disability status or protected veteran status. In the United States, if you need a reasonable accommodation for the online application process due to a disability, please call 1\-888\-336\-0660\.
**This position is hybrid (onsite four days per week) for candidates who are in commuting distance to a Ford hub location or remote for non\-local candidates.**</t>
        </is>
      </c>
    </row>
    <row r="20">
      <c r="A20" t="inlineStr">
        <is>
          <t>li-4362326821</t>
        </is>
      </c>
      <c r="B20" t="inlineStr">
        <is>
          <t>Product Manager</t>
        </is>
      </c>
      <c r="C20" t="inlineStr">
        <is>
          <t>Momentus Technologies</t>
        </is>
      </c>
      <c r="D20" t="inlineStr">
        <is>
          <t>linkedin</t>
        </is>
      </c>
      <c r="E20">
        <f>HYPERLINK("https://www.linkedin.com/jobs/view/4362326821", "https://www.linkedin.com/jobs/view/4362326821")</f>
        <v/>
      </c>
      <c r="F20" t="inlineStr"/>
      <c r="G20" t="inlineStr">
        <is>
          <t>St Louis, MO</t>
        </is>
      </c>
      <c r="H20" t="inlineStr"/>
      <c r="I20" t="inlineStr">
        <is>
          <t>**Company Description**
**Who We Are:**
 Momentus provides industry\-leading event and venue management software to customers in over 50 countries around the world, serving thousands of customers that power millions of events. In the age of digital transformation, our comprehensive platform offers event professionals leading\-edge SaaS technology that provides a 360 view of their business, allowing them to cut costs, save time, and increase revenue. Momentus is used in top shows around the world, famous museums, global convention centers, performing arts venues, professional sports arenas, and other unique venues. Our client list includes The Apollo Theatre, Mercedes\-Benz Stadium, Harvard University, Portland'5 Centers for the Arts, the Javitz Center, and St. Louis Art Museum. Some of our global clients include: ExCel London, Museum of Contemporary Art Australia, Omanexpo, the China National Convention Center, the Porsche Experience Center in Germany and the Sydney Opera House.
**Job Description**
 Momentus is looking for an experienced Product Manager to join our team and help us build and launch innovative products that solve impactful problems for our customers. The ideal candidate will have a strong understanding of the product development life cycle, from conception to launch, and will be able to work cross\-functionally to bring products to market successfully.
**Responsibilities**
* Drive the execution of all processes in the product development lifecycle, including product and market research, competitor analysis, planning, positioning, requirements, roadmap development, and product launch
* Translate product strategy into detailed requirements in collaboration with UX and engineering teams
* Create product strategy documents that describe business cases, high\-level use cases, technical requirements, revenue, and ROI
* Conduct discovery to uncover high value, unmet market / customer needs; conduct \&amp; synthesize competitive analysis
* Create, manage and present product roadmaps
* Collaborate with pricing team members to determine ideal commercial / GTM plan
* Track, measure, and report on product performance
* Gather and analyze feedback from customers and stakeholders
**Qualifications**
* Bachelor's degree in a related field (e.g., computer science, business administration, marketing)
* 3\+ years of experience in product management
* Strong understanding of the product development lifecycle
* Experience working with cross\-functional teams
* Excellent communication and interpersonal skills
 Preferred Qualifications:
* Experience in the Venue or Event Management industry
* Experience using Ai tools throughout the PDLC
* Experience with Atlassian or Pendo
* Experience with JTBD framework
**Additional Information**
**What’s in it for you?**
 🏥 Insurance: Comprehensive medical, dental, \&amp; vision insurance.
 🌟 Exceptional 401k Match: Momentus will match 80% of your first 10%
 🌞 Unlimited Time Off: Rest and recharge on your terms.
 🌐 Remote Work: We value our global team and proudly offer the freedom to work remotely.
 🎟️ Enjoy two complimentary tickets each year to attend an event at one of our valued customer venues
 📚 Professional Development: We encourage continuous learning through our partnership with LinkedIn Learning
**Important Notice on Location Eligibility**
 This is a U.S.\-based remote role. However, due to regulatory requirements, we are only able to consider candidates who reside in U.S. states that do not currently mandate salary disclosure in job postings.
 This includes, but is not limited to: Texas, Florida, Missouri, Arizona, Indiana, North Carolina, and Wisconsin.
 Candidates residing in California, Colorado, New York, Illinois, Washington, or other states with active pay transparency laws will not be considered at this time.
**Equal Opportunity \&amp; Accessibility**
 At Momentus, we are committed to creating a workplace that celebrates diversity and fosters inclusion. We value the unique perspectives, backgrounds, and experiences each team member brings. These differences make us stronger, drive better decisions, and fuel meaningful innovation and outcomes.
 Momentus is an equal opportunity employer. All qualified applicants will receive consideration for employment without regard to race, color, religion, sex, sexual orientation, gender identity, national origin, disability, veteran status, or any other status protected by applicable law.
 We are also committed to providing reasonable accommodations to enable individuals with disabilities to perform the essential functions of their role. If you require accommodations during the recruitment process or on the job, please let us know. We will work with you to support your accessibility needs.</t>
        </is>
      </c>
    </row>
    <row r="21">
      <c r="A21" t="inlineStr">
        <is>
          <t>li-4363670133</t>
        </is>
      </c>
      <c r="B21" t="inlineStr">
        <is>
          <t>Technology Product Manager, Merchandising</t>
        </is>
      </c>
      <c r="C21" t="inlineStr">
        <is>
          <t>Crate and Barrel</t>
        </is>
      </c>
      <c r="D21" t="inlineStr">
        <is>
          <t>linkedin</t>
        </is>
      </c>
      <c r="E21">
        <f>HYPERLINK("https://www.linkedin.com/jobs/view/4363670133", "https://www.linkedin.com/jobs/view/4363670133")</f>
        <v/>
      </c>
      <c r="F21" t="inlineStr"/>
      <c r="G21" t="inlineStr">
        <is>
          <t>Northbrook, IL</t>
        </is>
      </c>
      <c r="H21" t="inlineStr"/>
      <c r="I21" t="inlineStr">
        <is>
          <t>The Product Manager is a key member of the Technology team, responsible for defining and delivering valuable products for a product team with medium complexity. This role requires a solid understanding of product management principles, a passion for technology, and a collaborative approach to working with cross\-functional teams. The Product Manager plays a critical role in executing the product strategy and roadmap, and driving the success of their product.
 As a Product Manager of Merchandising you will support capabilities such as: Line Planning, Assortment Planning, \&amp; Pricing. Over the next few years, this role will focus on supporting the many cross\-functional initiatives and goals already in flight. This includes initiatives in Merch Planning/Inventory management, a new PIM platform, and a growing B2B business. While supporting these initiatives, this Product Manager will simultaneously create a vision and roadmap for the future of the Merchandising domain.
 * This position is fully remote
* This role is an Individual Contributor
**A day in the life as a Technology Product Manager...** 
* Define product priority, scope, and direction aligned to a defined product strategy for a product team with medium complexity
* Establish clear and measurable Key Performance Indicators (KPIs) that track the product’s success and inform strategic decisions
* Work autonomously to define and prioritize features based on data, customer feedback, and business goals
* Leverage a comprehensive understanding of the functionality and utilization of systems, tools, and applications within the product to proactively identify and communicate dependencies and impacts to cross\-functional teams
* Manage the entire product lifecycle for assigned product(s), from ideation and design through development, testing, and deployment, adhering to agile methodologies
* Conduct market research, competitive analysis, and customer insights gathering to inform product decisions
* Lead product discovery activities to validate product ideas and ensure alignment with customer needs
* Maintain and prioritize the product backlog and opportunity backlog to drive innovation
* Collaborate effectively with engineering, business partners, and other stakeholders to align on product strategy and ensure successful execution
* Work closely with management and the product team to define a compelling product and evangelize that vision
* Prioritize defects associated with the product with appropriate urgency
**What you'll bring to the table...** 
* Proficiency in agile methodologies
* Strategic thinking ability to align product decisions with business goals
* Strong data analysis skills and the ability to use data to define KPIs and inform product decisions
* Excellent written and verbal communication skills, with the ability to clearly and concisely communicate to various levels, including leadership
* Strong problem\-solving skills with a focus on finding creative and effective solutions
 ​
**We'd love to hear from you if you have...** 
* 3\+ years of experience in product management, with a focus on omnichannel retail
* Bachelor’s degree in business, technology, or equivalent work experience
* Proficient with Microsoft Office Suite, Google Workspace, Jira, Confluence, and Smartsheets</t>
        </is>
      </c>
    </row>
    <row r="22">
      <c r="A22" t="inlineStr">
        <is>
          <t>li-4327978964</t>
        </is>
      </c>
      <c r="B22" t="inlineStr">
        <is>
          <t>Senior Product Manager, BNPL</t>
        </is>
      </c>
      <c r="C22" t="inlineStr">
        <is>
          <t>Clover</t>
        </is>
      </c>
      <c r="D22" t="inlineStr">
        <is>
          <t>linkedin</t>
        </is>
      </c>
      <c r="E22">
        <f>HYPERLINK("https://www.linkedin.com/jobs/view/4327978964", "https://www.linkedin.com/jobs/view/4327978964")</f>
        <v/>
      </c>
      <c r="F22" t="inlineStr"/>
      <c r="G22" t="inlineStr">
        <is>
          <t>Berkeley Heights, NJ</t>
        </is>
      </c>
      <c r="H22" t="inlineStr"/>
      <c r="I22" t="inlineStr">
        <is>
          <t>**Calling all innovators \- find your future at Fiserv.**
 We're Fiserv, a global leader in Fintech and payments, and we move money and information in a way that moves the world. We connect financial institutions, corporations, merchants and consumers to one another millions of times a day \- quickly, reliably, and securely. Any time you swipe your credit card, pay through a mobile app, or withdraw money from the bank, we're involved. If you want to make an impact on a global scale, come make a difference at Fiserv.
**Job Title**
 Senior Product Manager, BNPL
**What does a successful Product Manager for BNPL do at Fiserv?**
 Every day, Clover, a Fiserv company powers payment services for hundreds of thousands of merchants in multiple countries around the world. Behind the scenes, we operate a cloud platform providing payment processing, storage, and collaboration for merchants, application developers, service providers, and our merchants' customers. Our devices and platform form the backbone of millions of payment interactions between merchants and their customers daily. We’ve built a reputation as a leading innovator by being first to market with important new payment capabilities, and we're committed to continuing that trend by offering cutting\-edge solutions like Buy Now Pay Later (BNPL) at the point of sale.
 As a Product Manager for BNPL Payments, you'll be responsible for managing the suite of BNPL products and integrations that Clover provides to merchants, enabling them to offer flexible payment options to their customers. You'll play a pivotal role in expanding Clover's payment capabilities, allowing merchants to increase sales and customer satisfaction by adopting this rapidly growing buy now pay later payment method.
 You'll be responsible for understanding the evolving landscape of BNPL providers, merchant needs, and consumer preferences. This includes creating product plans to integrate and optimize BNPL solutions within the Clover ecosystem, ensuring they are seamless for both merchants and their customers. You’ll have the opportunity to work in one of the fastest\-growing segments of the payments industry, helping to drive the development, integration into multiple BNPL providers and commercial launch of BNPL products, create compelling product marketing materials, educate various sales channels about new features, and contribute to the success of the product.
 This role requires you to be technically conversant with payment integrations, APIs, and the underlying technology supporting BNPL solutions. You will work closely with third\-party BNPL providers, and must be comfortable with the technical aspects of integration technologies. At the same time, you must have an ability to think strategically about how BNPL offerings relate to Clover’s overall business and market position. In addition, you must also understand the current landscape of payment industry players, including issuers, acquirers, processors, gateway providers, payment networks, and crucially, BNPL providers. Finally, you must possess well\-honed communication skills, and be comfortable presenting to executives, customers, and partners.
**What You Will Do**
* Track payments industry trends, standards, and competition as they relate to Buy Now Pay Later (BNPL) solutions, merchant adoption, and consumer behavior.
* Own the product strategy and roadmap for BNPL payment options at Clover.
* Help build business cases for new BNPL products, services, and features.
* Define detailed user stories and requirements for your BNPL products and services, focusing on merchant and consumer experience.
* Collaborate with BNPL providers, engineering, quality assurance, operations and other stakeholders to define, deliver and maintain the roadmap for robust BNPL payment products.
* Work with marketing staff to effectively package your BNPL products and create marketing collateral and other materials.
* Train sales channels on your BNPL products and their value proposition for potential merchants.
* Consult with merchants and partners to create combined solutions that effectively integrate BNPL into their operations.
* Analyze merchant and consumer feedback to continually improve the BNPL experience on Clover, focusing on ease of use and conversion.
* Define and track KPIs as they relate to merchant adoption, usage, and the overall success of your BNPL payment products.
**What You Need To Have**
* 5\+ years of experience in product management, with a focus on payment technologies
* Degree in Computer Science, Technology, or Business in related fields, MBA preferred
* Experience with or deep understanding of Buy Now Pay Later (BNPL) solutions and providers
* Experience with Agile development methodologies
* Experience creating and nurturing corporate partnerships, especially with payment providers
* Ability to clearly communicate complex technical specifications to clients and implementation teams
* Ability to clearly communicate product descriptions, value propositions, and roadmaps to business personnel
* Capability to analyze data and make data\-driven decisions
****Travel required:****
 An ability to travel locally and internationally on occasion (10%)
**Salary Range**
 $120,000\.00 \- $198,000\.00
*These pay ranges apply to employees in New Jersey and New York. Pay ranges for employees in other states may differ.*
 It is unlawful to discriminate against a prospective employee due to the individual's status as a veteran.
 For incentive eligible associates, the successful candidate is eligible for an annual incentive opportunity which may be delivered as a mix of cash bonus and equity awards in the Company’s sole discretion.
**Thank You For Considering Employment With Fiserv. Please**
* Apply using your legal name
* Complete the step\-by\-step profile and attach your resume (either is acceptable, both are preferable).
**Our Commitment To Equal Opportunity**
 Fiserv is proud to be an Equal Opportunity Employer. All qualified applicants will receive consideration for employment without regard to race, color, religion, national origin, gender, gender identity, sexual orientation, age, disability, protected veteran status, or any other category protected by law.
 If you have a disability and require a reasonable accommodation in completing a job application or otherwise participating in the overall hiring process, please contact AskHR.US@fiserv.com. Please note our AskHR representatives do not have visibility to your application status. Current associates who require a workplace accommodation should refer to Fiserv’s Disability Accommodation Policy for additional information.
**Note To Agencies**
 Fiserv does not accept resume submissions from agencies outside of existing agreements. Please do not send resumes to Fiserv associates. Fiserv is not responsible for any fees associated with unsolicited resume submissions.
**Warning About Fake Job Posts**
 Please be aware of fraudulent job postings that are not affiliated with Fiserv. Fraudulent job postings may be used by cyber criminals to target your personally identifiable information and/or to steal money or financial information. Any communications from a Fiserv representative will come from a legitimate Fiserv email address.</t>
        </is>
      </c>
    </row>
    <row r="23">
      <c r="A23" t="inlineStr">
        <is>
          <t>li-4359579013</t>
        </is>
      </c>
      <c r="B23" t="inlineStr">
        <is>
          <t>Lead Product Manager - Identity</t>
        </is>
      </c>
      <c r="C23" t="inlineStr">
        <is>
          <t>Uber</t>
        </is>
      </c>
      <c r="D23" t="inlineStr">
        <is>
          <t>linkedin</t>
        </is>
      </c>
      <c r="E23">
        <f>HYPERLINK("https://www.linkedin.com/jobs/view/4359579013", "https://www.linkedin.com/jobs/view/4359579013")</f>
        <v/>
      </c>
      <c r="F23" t="inlineStr"/>
      <c r="G23" t="inlineStr">
        <is>
          <t>Sunnyvale, CA</t>
        </is>
      </c>
      <c r="H23" t="inlineStr"/>
      <c r="I23" t="inlineStr">
        <is>
          <t>**About The Role**
 At Uber, identity is the cornerstone of trust and safety, essential to our platform's integrity and long\-term success. As a Lead Product Manager for Identity Verification, you will lead a team of Product Managers to develop and scale world\-class identity solutions that enhance security while ensuring seamless user experiences for hundreds of millions of users globally.
 In this role, you will drive execution at scale, influence senior stakeholders, and mentor a high\-performing team in a fast\-paced, high\-stakes environment. You'll leverage your deep product management expertise, strong leadership, and technical acumen to proactively combat evolving fraud tactics and fortify trust across Uber's ecosystem. You will own products like verification badges, earner onboarding verification, verification for restricted items such as alcohol etc.
**About The Team**
 Uber is built on trust, and identity is at the core of ensuring a safe and secure platform. Our mission is to empower consumers and businesses to seamlessly create, access, manage, and verify their identity across Uber while enhancing marketplace trust and protecting against fraud and abuse. We are a highly collaborative, cross\-functional team of product managers, engineers, data scientists, and analysts, working together to build and scale identity solutions that drive security, efficiency, and growth across Uber's ecosystem.
**What You'll Do**
* Shape the long\-term strategy, drive execution, and collaborate cross\-functionally to combat fraud, enhance trust and optimize identity verification across all lines of business within Uber's ecosystem.
* Lead and mentor a team of product managers, fostering a culture of ownership, impact, and continuous learning.
* Deeply understand Uber's mission and strategies, as well as the objectives of partner teams and stakeholders, to align identity verification efforts with broader company goals.
* Drive innovation and execution, leading cross\-functional teams\-including engineering, data science, legal, and operations\-to develop new identity products and features that support Uber's global growth while enhancing platform security.
* Challenge teams to think boldly and creatively, ensuring that ideas are transformed into concrete products and execution plans.
* Set clear qualitative objectives and quantitative goals, measuring success through data insights, customer research, and product intuition.
* Be highly truth\-seeking, soliciting critical feedback, leveraging market insights, and iterating to improve identity verification processes continuously.
* Communicate product plans, benefits, and results effectively to executives, product teams, and other stakeholders across Uber, driving alignment and momentum.
**Basic Qualifications**
**What You'll Need**
* Domain expertise in risk, identity verification, security, trust and safety or similar focus.
* An undergraduate degree in engineering or similar technical domain. Master degree preferred.
* Phenomenal track record of working with engineering, analytics and design teams, with proven examples to prioritize work across the team.
* Strong written and verbal interpersonal skills with a confirmed ability to influence partners.
* Demonstrated experience using data and analytical abilities to help solve problems and make decisions.
* Proven ability to develop deep customer empathy and articulate customer problems.
* Minimum 3 years of experience, leading a team of product managers.
* 10\+ years of experience, delivering highly successful products in world class technical organizations
**Preferred Qualifications**
**Bonus Points If**
* Strong technical fluency and comfort in discussing technology concepts.
* MBA or equivalent business insight.
 For San Francisco, CA\-based roles: The base salary range for this role is USD$216,000 per year \- USD$240,000 per year. For Sunnyvale, CA\-based roles: The base salary range for this role is USD$216,000 per year \- USD$240,000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 For San Francisco, CA\-based roles: The base salary range for this role is USD$216,000 per year \- USD$240,000 per year. For Sunnyvale, CA\-based roles: The base salary range for this role is USD$216,000 per year \- USD$240,000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t>
        </is>
      </c>
    </row>
    <row r="24">
      <c r="A24" t="inlineStr">
        <is>
          <t>li-4327929798</t>
        </is>
      </c>
      <c r="B24" t="inlineStr">
        <is>
          <t>Senior Product Manager</t>
        </is>
      </c>
      <c r="C24" t="inlineStr">
        <is>
          <t>Clover</t>
        </is>
      </c>
      <c r="D24" t="inlineStr">
        <is>
          <t>linkedin</t>
        </is>
      </c>
      <c r="E24">
        <f>HYPERLINK("https://www.linkedin.com/jobs/view/4327929798", "https://www.linkedin.com/jobs/view/4327929798")</f>
        <v/>
      </c>
      <c r="F24" t="inlineStr"/>
      <c r="G24" t="inlineStr">
        <is>
          <t>Berkeley Heights, NJ</t>
        </is>
      </c>
      <c r="H24" t="inlineStr"/>
      <c r="I24" t="inlineStr">
        <is>
          <t>**Calling all innovators \- find your future at Fiserv.**
 We're Fiserv, a global leader in Fintech and payments, and we move money and information in a way that moves the world. We connect financial institutions, corporations, merchants and consumers to one another millions of times a day \- quickly, reliably, and securely. Any time you swipe your credit card, pay through a mobile app, or withdraw money from the bank, we're involved. If you want to make an impact on a global scale, come make a difference at Fiserv.
**Job Title**
 Senior Product Manager
****What does a successful Sr. Product Manager do at Fiserv?****
 Every day, Clover powers payment services for hundreds of thousands of merchants in multiple countries around the world. Behind the scenes, we operate a cloud platform providing payment processing, storage, and collaboration for merchants, application developers, service providers, and our merchants' customers. Our devices and platform form the backbone of millions of payment interactions between merchants and their customers daily. We’ve built a reputation as a leading innovator by being first to market with important new payment capabilities, and we are now exploring and building new strategic opportunities to leverage our platform to create additional value and revenue streams.
 As a Product Manager within the payments team, you’ll be responsible for identifying, developing, and managing innovative advertising solutions that leverage Clover's extensive platform and reach. You will focus on building products that enable effective engagement and deliver measurable value for advertisers, while ensuring a seamless and non\-intrusive experience for our merchants and their customers.
 You’ll be responsible for understanding the evolving landscape of digital advertising, identifying market opportunities, and creating product plans to build and integrate advertising capabilities. You’ll have the opportunity to work in a dynamic intersection of Fintech and advertising, helping to drive the development and commercial launch of new monetization products. You’ll help create compelling product marketing materials, educate various sales channels about new features, and contribute to winning strategic deals with advertising partners.
 This role requires you to be technically conversant in digital advertising platforms, data analytics, and integration technologies. You will work closely with external advertising agencies, technology partners, and internal engineering teams, and must be comfortable with the technical aspects of ad serving, targeting, measurement, and reporting. At the same time, you must have an ability to think strategically about new business models, partnerships, and how advertising solutions relate to Clover’s overall business objectives and market position. In addition, you must also understand the current landscape of payment industry players, and crucially, the broader advertising technology ecosystem. Finally, you must possess well\-honed communication skills, and be comfortable presenting to executives, customers, and partners.
**What You Will Do**
* Track advertising industry trends, emerging technologies, and competitive landscape as they relate to platform monetization and digital advertising.
* Own the product strategy and roadmap for advertising technology products at Clover.
* Collaborate with engineering, data science, product managers, and other stakeholders to define and maintain the roadmap for advertising technology products.
* Help build robust business cases for new advertising products, services, and features, focusing on revenue generation and value creation.
* Define detailed user stories and requirements for your advertising products and services, covering aspects like ad content management, scheduling, targeting, and performance measurement.
* Collaborate closely with engineering, documentation, quality assurance, and operations colleagues to deliver scalable and reliable advertising technology products and services.
* Consult with advertising partners and internal teams to create effective solutions that leverage our platform for successful advertising campaigns.
* Analyze performance data and feedback from advertisers and internal stakeholders to continually improve the effectiveness and value of advertising solutions.
* Define and track key performance indicators (KPIs) related to advertising revenue, campaign performance, and platform utilization.
**What You Need To Have**
* 5\+ years of experience in product management within the payment space.
* Demonstrated experience working projects like digital advertising, platform monetization or BNPL.
* Degree in Computer Science, Technology, or Business in related fields, MBA preferred.
* Experience managing integrations with third\-party platforms and APIs.
* Experience with Agile development methodologies.
* Experience creating and nurturing corporate partnerships, especially with advertising agencies or ad tech providers.
* Ability to clearly communicate product descriptions, value propositions, and roadmaps to business.
* Capability to analyze data and make data\-driven decisions, particularly related to advertising performance and analytics.
****Travel required:****
 An ability to travel locally and internationally on occasion (10%)
**Salary Range**
 $120,000\.00 \- $198,000\.00
*These pay ranges apply to employees in New Jersey and New York. Pay ranges for employees in other states may differ.*
 It is unlawful to discriminate against a prospective employee due to the individual's status as a veteran.
 For incentive eligible associates, the successful candidate is eligible for an annual incentive opportunity which may be delivered as a mix of cash bonus and equity awards in the Company’s sole discretion.
**Thank You For Considering Employment With Fiserv. Please**
* Apply using your legal name
* Complete the step\-by\-step profile and attach your resume (either is acceptable, both are preferable).
**Our Commitment To Equal Opportunity**
 Fiserv is proud to be an Equal Opportunity Employer. All qualified applicants will receive consideration for employment without regard to race, color, religion, national origin, gender, gender identity, sexual orientation, age, disability, protected veteran status, or any other category protected by law.
 If you have a disability and require a reasonable accommodation in completing a job application or otherwise participating in the overall hiring process, please contact AskHR.US@fiserv.com. Please note our AskHR representatives do not have visibility to your application status. Current associates who require a workplace accommodation should refer to Fiserv’s Disability Accommodation Policy for additional information.
**Note To Agencies**
 Fiserv does not accept resume submissions from agencies outside of existing agreements. Please do not send resumes to Fiserv associates. Fiserv is not responsible for any fees associated with unsolicited resume submissions.
**Warning About Fake Job Posts**
 Please be aware of fraudulent job postings that are not affiliated with Fiserv. Fraudulent job postings may be used by cyber criminals to target your personally identifiable information and/or to steal money or financial information. Any communications from a Fiserv representative will come from a legitimate Fiserv email address.</t>
        </is>
      </c>
    </row>
    <row r="25">
      <c r="A25" t="inlineStr">
        <is>
          <t>li-4359052413</t>
        </is>
      </c>
      <c r="B25" t="inlineStr">
        <is>
          <t>Product Manager</t>
        </is>
      </c>
      <c r="C25" t="inlineStr">
        <is>
          <t>Broadcom</t>
        </is>
      </c>
      <c r="D25" t="inlineStr">
        <is>
          <t>linkedin</t>
        </is>
      </c>
      <c r="E25">
        <f>HYPERLINK("https://www.linkedin.com/jobs/view/4359052413", "https://www.linkedin.com/jobs/view/4359052413")</f>
        <v/>
      </c>
      <c r="F25">
        <f>HYPERLINK("https://broadcom.wd1.myworkdayjobs.com/External_Career/job/USA-TX-Plano-Legacy-Drive-Suite-700/Product-Manager_R024637-1?source=LinkedIn&amp;urlHash=9_L7", "https://broadcom.wd1.myworkdayjobs.com/External_Career/job/USA-TX-Plano-Legacy-Drive-Suite-700/Product-Manager_R024637-1?source=LinkedIn&amp;urlHash=9_L7")</f>
        <v/>
      </c>
      <c r="G25" t="inlineStr">
        <is>
          <t>Plano, TX</t>
        </is>
      </c>
      <c r="H25" t="inlineStr"/>
      <c r="I25" t="inlineStr">
        <is>
          <t>**Job Description:**
 Job Description: \#Broadcomsoftware
 We are seeking a highly motivated, self\-driven, experienced Product Manager to lead multiple products in the Foundational and Open Solutions value stream of Broadcom's mainframe software division. These products ( Easytrieve, AION, Telon, Panvalet, Librarian, etc..) deliver operational, financial, and regulatory reporting needs for several key customers. Many of the world's largest banks, retailers and financial institutions depend on these products and services for the success of their business.
**About The Job**
 The Product Manager is directly responsible for the success of Easytrieve, Panvalet, Librarian, AION, Telon products by a strong collaboration and partnership with Engineering, UX, Marketing, and Sales, to deliver relevant industry leading features in alignment with our MSD business strategy. Success in this job requires identifying market driven use cases for product development, maintaining excellent customer relationships, leading to customer adoption and retention. This role requires good understanding of Enterprise reporting solutions on mainframes and skills to develop healthy relationships with key enterprise customers and partners.
 Key Responsibilities:
* a vital role in assisting the development of the vision, strategy, roadmap and releases of new features or migration plans for this product set.
* as intermediary between market/business requirements and R\&amp;D to advocate for the product internally.
* Prioritize product features by analyzing customer needs and breaking them down into functional stories working closely with the Product Owner roles.
* (and remove) roadblocks across teams to meet quality standards, project deadlines, and business objectives.
* Partner with Architecture teams solutioning new features and capabilities, including but not limited to exploring applicability of Artificial Intelligence, Machine Learning technologies
* lead sales initiatives (necessary) for customer adoption of new product features in the existing market
* measure customer adoption and retention based on the GTM plan and tactics deployed
**Required Education, Experience, And Skills**
* Bachelor's Degree AND 8\+ years experience in product/service/project/program management or software development
* Expertise in managing complex cross\-functional, cross\-business, cross\-disciplinary projects
* Working with business stakeholders in partnership to achieve goals and objectives
* Basic understanding of software licensing and product delivery in a B2B business model
* Excellent written and verbal communication skills
* Strong stakeholder management and effective communication skills
* Experience working with product and engineering teams in a collaborative software development environment and defining Go\-To\-Market plan.
* Understanding of managing and triaging customer requests
* Leadership, organization, and time management skills.
* Knowledge of mainframe software industry, transformation trends, and insights preferred
* Must have legal authorization to work in the US.
**Additional Job Description:**
**Compensation And Benefits**
 The annual base salary range for this position is $104,100 \- $166,500
 This position is also eligible for a discretionary annual bonus in accordance with relevant plan documents, and equity in accordance with equity plan documents and equity award agreements.
 Broadcom offers a competitive and comprehensive benefits package: Medical, dental and vision plans, 401(K) participation including company matching, Employee Stock Purchase Program (ESPP), Employee Assistance Program (EAP), company paid holidays, paid sick leave and vacation time. The company follows all applicable laws for Paid Family Leave and other leaves of absence.
 R024637</t>
        </is>
      </c>
    </row>
    <row r="26">
      <c r="A26" t="inlineStr">
        <is>
          <t>li-4329894837</t>
        </is>
      </c>
      <c r="B26" t="inlineStr">
        <is>
          <t>Product Manager, Consumer</t>
        </is>
      </c>
      <c r="C26" t="inlineStr">
        <is>
          <t>Counsel Health</t>
        </is>
      </c>
      <c r="D26" t="inlineStr">
        <is>
          <t>linkedin</t>
        </is>
      </c>
      <c r="E26">
        <f>HYPERLINK("https://www.linkedin.com/jobs/view/4329894837", "https://www.linkedin.com/jobs/view/4329894837")</f>
        <v/>
      </c>
      <c r="F26">
        <f>HYPERLINK("https://jobs.ashbyhq.com/counsel/b6edfdc2-539c-4e6d-9b07-054618ef5f70?source=LinkedIn&amp;urlHash=arTX", "https://jobs.ashbyhq.com/counsel/b6edfdc2-539c-4e6d-9b07-054618ef5f70?source=LinkedIn&amp;urlHash=arTX")</f>
        <v/>
      </c>
      <c r="G26" t="inlineStr">
        <is>
          <t>New York, NY</t>
        </is>
      </c>
      <c r="H26" t="inlineStr"/>
      <c r="I26" t="inlineStr">
        <is>
          <t>**The Mission**
 At Counsel, we believe everyone should have an expert physician in their pocket. We have built the foundation—medical record integrations, doctor\-led AI, and immediate clinical access. Now, we need a
 **Consumer Product Manager** 
 to turn that foundation into a daily habit for millions.
 You will own the "Day 0 to Day 30" experience, ensuring every user who discovers Counsel doesn't just "try" it, but realizes it is the only way they want to manage their health. You’ll also own our onboarding flows and core chat experience \- leveraging our differentiators of clinicians on the platform and doctors\-in\-the\-loop to solve user needs.
**What You Will Do**
* Engineer the "Aha!" Moment: You will obsess over time\-to\-value. Whether it’s getting a user to sync their first record or have a user interact with a doctor, you will design the path that makes our value undeniable.
* Master Mindshare \&amp; Presence: You will define what "presence" looks like for Counsel. Through notification strategies, mobile app adoption, and habit\-forming triggers, you will drive users to return to Counsel as their first instinct for any care issue.
* Acquisition funnel: You will own the "front door" of Counsel. This means treating the signed\-out experience, landing pages, and the onboarding flow as a core product that converts curiosity into high\-intent usage.
* Core chat experience: This is the actual modality of how users get care today! You’ll be able to work closely with our AI teams to improve the quality and personalization of conversations users have with AI and our doctor.
* Industry Agnostic: We don’t care if you’ve worked in health tech. We care that you’ve grown a consumer product at scale.
* Partner with D2C Growth marketing: You will work in a high\-velocity pod alongside our D2C Growth Marketer.
**Who You Are / What You’ll Bring**
* You have 4\+ years of experience in building consumer products.
* You have done 0→1→10 work before.
* Lead discovery and experimentation to identify and prioritize the most impactful features and opportunities
* Deep customer intuition and product taste, combining design empathy with a rigorous, data\-informed approach to measuring impact
* Ability to own your work in a fast\-paced, rapid growth environment, manage multiple priorities, and adapt to an ever\-changing landscape
* Ability to roll up your sleeves and do whatever it takes to make your product successful.
* Work cross functionally with engineering, design, clinicians, and GTM to define, build, and deploy experiences that delight our users
* Strong written and verbal communication skills
**Bonus points for**
* Direct experience working with LLM\-powered products.
* Prior work collaborating with D2C marketing teams or being a growth marketer yourself!
* Experience in consumer products in more regulated spaces (like Fintech, Edtech, or healthcare).
**What We Offer**
* Impact: Be at the forefront and contribute to groundbreaking, AI\-driven healthcare experiences, directly interface with execs at the world's leading tech \&amp; healthcare orgs
* Growth: Significant opportunities for broad ownership and professional development within our rapidly scaling startup
* Compensation: Competitive salary \+ equity
* Benefits: Comprehensive healthcare, vision \+ dental, 401K, Unlimited PTO, Parental Leave
**Our Values**
* Patients come first. We are clinicians 1st, technologists 2nd. We act with patient trust/safety at the center of every decision.
* Innovate with optimism. We are optimistic as we build the future of care delivery from first principles. Challenge the status quo when needed, no sacred cows.
* Right answer wins. Debate openly and pick the strongest path. We optimize for the company, not functions. We win and lose as a team.
* Simplicity over complexity. We choose clear, elegant solutions and avoid adding complexity that does not serve patients or the team.
* Do fewer things, well. We focus, and hold ourselves to the highest bar and pursue excellence in those areas.
**About Counsel**
 Counsel’s mission is to multiply the world's healthcare capacity. We believe in a future in which every person has a personalized, AI\-enabled doctor always in their pocket. To accomplish this, we’re building the first fully\-vertical, AI\-native medical group from the ground up. We’ve redesigned the entire clinical stack with custom AI tools that make our in\-house physicians 10x faster and smarter. \[learn more on our blog]
 Since our founding in 2023, we have formed partnerships with leading healthcare organizations and are on track to serve hundreds of thousands of patients on our platform within the next year. We have
 **raised over $35M** 
 from a16z, Google Ventures, Pear VC and other top\-tier VC firms, and
 **on pace to 5x revenue** 
 this year.
 Our team combines deep expertise in medicine (Harvard, Mt. Sinai, Mass General, UCSF) and technology (Google, DeepMind, NVIDIA, MIT, Stripe) — and we’re looking for exceptional people to join us as we scale.
 Join us as we build the future of AI in healthcare!
***Recruitment Fraud Notice**
 Counsel Health only communicates with candidates using official @* 
*counselhealth.com* 
*email addresses. We will never ask for payment or financial information during the interview process. If you receive suspicious outreach claiming to be from Counsel Health, please contact us at* 
*careers@counselhealth.com* 
*.*</t>
        </is>
      </c>
    </row>
    <row r="27">
      <c r="A27" t="inlineStr">
        <is>
          <t>li-4363671720</t>
        </is>
      </c>
      <c r="B27" t="inlineStr">
        <is>
          <t>GM + Director Product Manager, Anteriors</t>
        </is>
      </c>
      <c r="C27" t="inlineStr">
        <is>
          <t>Dandy</t>
        </is>
      </c>
      <c r="D27" t="inlineStr">
        <is>
          <t>linkedin</t>
        </is>
      </c>
      <c r="E27">
        <f>HYPERLINK("https://www.linkedin.com/jobs/view/4363671720", "https://www.linkedin.com/jobs/view/4363671720")</f>
        <v/>
      </c>
      <c r="F27">
        <f>HYPERLINK("https://jobs.ashbyhq.com/dandy/026aad3f-8c69-4355-9315-4382b08b18b4?utm_source=LinkedIn&amp;urlHash=UiFi", "https://jobs.ashbyhq.com/dandy/026aad3f-8c69-4355-9315-4382b08b18b4?utm_source=LinkedIn&amp;urlHash=UiFi")</f>
        <v/>
      </c>
      <c r="G27" t="inlineStr">
        <is>
          <t>New York, United States</t>
        </is>
      </c>
      <c r="H27" t="inlineStr"/>
      <c r="I27" t="inlineStr">
        <is>
          <t>Dandy is transforming the massive and antiquated dental industry—an industry worth over $200B. Backed by some of the world’s leading venture capital firms, we’re on an ambitious mission to simplify and modernize every function of the dental practice through technology. As we expand our reach globally, Dandy is building the operating system for dental offices around the world—empowering clinicians and their teams with technology, innovation, and world\-class support to achieve more for their practices, their people, and their patients.
**About The Role**
 Dandy is heavily investing in our Anterior C\&amp;B product line and launching a new premium offering. In this role, you will help deliver end\-to\-end best in class product experiences in both physical and digital domains that will contribute to our ambitious goal of achieving \&gt;50% market share for Anterior C\&amp;B.
 You will collaborate directly with engineering, dental design experts, operations, product marketing, and other departments to help implement innovative features and value propositions that differentiate our products in the market. You'll be responsible for executing on key components of the product strategy while developing a holistic understanding of the product lifecycle.
**What You'll Do**
 Product strategy \&amp; execution. You will own the end\-to\-end product lifecycle for Anterior Crown \&amp; Bridge (C\&amp;B) and develop features that directly contribute to achieving Dandy’s \&gt;50% market share goals. You will manage product expectations across both physical and digital workflows to ensure seamless alignment and continuous improvement.
 Marketing/GTM strategy. Market share acceleration \- Every initiative should align with Dandy's goal of dominating the Anterior C\&amp;B market and becoming the go\-to solution for dental practices. Revenue growth \- Focus on features and improvements that drive adoption, retention, and expansion within the customer base.
 Customer obsession. Transform customer feedback, usage data, and market intelligence into actionable product recommendations and strategic insights to inform product improvements. Be the voice of customer advocacy.
 Collaborate with cross\-functional teams. Work across engineering, design, operations, manufacturing, and marketing teams to implement product features and improvements that enhance the customer experience. Serve as primary liaison between technical teams and business stakeholders, translating complex requirements into clear, actionable plans.
 Develop a deep understanding of Anterior C\&amp;B workflows, manufacturing processes, CAD/CAM systems, and customer pain points to identify opportunities for improvement.
 Move us forward with technology. Work with the ML/AI and robotics team to accelerate the product development lifecycle of Anterior C\&amp;B.
 Performance measurement. Define, track, and report on key metrics that measure the performance of Anterior C\&amp;B products, user satisfaction, and progress toward market share objectives.
**What We're Looking For**
* 10\+ years of professional experience in product management, strategy, and operations.
* Strong analytical skills with the ability to translate data into actionable insights
* Excellent communication skills and ability to work effectively with cross\-functional teams
* Detail\-oriented with strong organizational capabilities
* Proactive problem\-solver who can work independently while supporting broader team goals
* Comfort with ambiguity and ability to adapt in a fast\-paced startup environment
* Passion for user experience and customer\-centric product development
* Deep understanding of the product development processes
**Bonus Points For**
* Bachelor's degree in business, engineering, computer science, materials science or a related field
* Experience with data analysis tools (SQL, Excel, Tableau)
* Professional experience working with ML/research teams
* Familiarity with dental or healthcare industries
* Knowledge of dental prosthetics
* Understanding of CAD/CAM systems or digital manufacturing
* Experience in materials science
* Previous experience in a startup environment
* Pervious experience in management consulting
**Req ID:** 
 J\-904
 For full\-time positions, Dandy offers a wide range of best\-in\-class, comprehensive, and inclusive benefits tailored to each country where we operate. Our local benefits packages typically include healthcare, dental, mental health support, parental planning resources, retirement savings options, and generous paid time off—ensuring our team members are supported no matter where they live and work.
 Dandy is proud to be an equal\-opportunity employer. We are committed to building a diverse and inclusive culture that celebrates authenticity to win as one. We do not discriminate on the basis of race, religion, color, national origin, gender, gender identity, sexual orientation, age, marital status, disability, protected veteran status, citizenship or immigration status, or any other legally protected characteristics.
 Dandy also fully complies with the Americans with Disabilities Act (ADA). We are dedicated to embracing challenges and creating an accessible, inclusive workplace for all individuals. If you require any accommodations for your interview or have any questions beforehand, rest assured that we will do everything we can to meet your needs. Visit Dandy Careers for more!
 Data Privacy Notice: By submitting your application, you consent to Dandy collecting, storing, and processing your personal information for recruitment purposes in accordance with our Privacy Policy and GDPR regulations. You have the right to access, rectify, or request the deletion of your data at any time by contacting Privacy Requests.</t>
        </is>
      </c>
    </row>
    <row r="28">
      <c r="A28" t="inlineStr">
        <is>
          <t>li-4369354523</t>
        </is>
      </c>
      <c r="B28" t="inlineStr">
        <is>
          <t>Sr. Product Manager, Optimization</t>
        </is>
      </c>
      <c r="C28" t="inlineStr">
        <is>
          <t>hackajob</t>
        </is>
      </c>
      <c r="D28" t="inlineStr">
        <is>
          <t>linkedin</t>
        </is>
      </c>
      <c r="E28">
        <f>HYPERLINK("https://www.linkedin.com/jobs/view/4369354523", "https://www.linkedin.com/jobs/view/4369354523")</f>
        <v/>
      </c>
      <c r="F28">
        <f>HYPERLINK("https://www.hackajob.com/job/4ed365a9-01ca-11f1-b544-0a05e249917d-sr-product-manager-optimization?utm_source=LinkedIn&amp;utm_medium=JobAds&amp;utm_term=Automated&amp;utm_campaign=comcast-sr-product-manager-optimization&amp;job_name=sr-product-manager-optimization&amp;company=comcast&amp;workplace_type=on-site&amp;city=new-york&amp;country=united-states&amp;urlHash=N6ao", "https://www.hackajob.com/job/4ed365a9-01ca-11f1-b544-0a05e249917d-sr-product-manager-optimization?utm_source=LinkedIn&amp;utm_medium=JobAds&amp;utm_term=Automated&amp;utm_campaign=comcast-sr-product-manager-optimization&amp;job_name=sr-product-manager-optimization&amp;company=comcast&amp;workplace_type=on-site&amp;city=new-york&amp;country=united-states&amp;urlHash=N6ao")</f>
        <v/>
      </c>
      <c r="G28" t="inlineStr">
        <is>
          <t>New York, NY</t>
        </is>
      </c>
      <c r="H28" t="inlineStr"/>
      <c r="I28" t="inlineStr">
        <is>
          <t>***hackajob** 
 is collaborating with
 **Comcast** 
 to connect them with exceptional tech professionals for this role.*
 FreeWheel, a Comcast company, provides comprehensive ad platforms for publishers, advertisers, and media buyers. Powered by premium video content, robust data, and advanced technology, we’re making it easier for buyers and sellers to transact across all screens, data types, and sales channels. As a global company, we have offices in nine countries and can insert advertisements around the world.
**Job Summary**
 FreeWheel is hiring a Senior Product Manager focused on the development of optimization \&amp; machine learning applications within FreeWheel’s Buyer Cloud product. This role will focus on expanding our suite of Machine Learning\-powered products, including bidding optimization, supply efficiency via prediction, inventory forecasting, and much more, within our Demand Side Platform (DSP) product.
**Job Description**
**Core Responsibilities**
* Define and execute the product vision and strategy for all aspects of our product related to Machine Learning and Optimization
* Collaborate closely with our Engineering team to guide products to launch and beyond
* Evaluate competing priorities, solutions and guide the team on ideal implementation
* Serve as the voice of the customer in the development of our products, bringing key industry expertise to build innovative solutions
* Participate in engineering planning and standup meetings, ensuring successful and timely delivery of new features
* Partner with our Product Commercialization and Revenue teams on go\-to\-market efforts, presenting and training on our solutions, and establishing expertise on our competitive offering
* Integrate and collaborate with our larger Product team, navigating interdependencies and building cross\-functional applications
* Potential for travel depending on business needs
**Requirements**
* 4\+ years of product management or equivalent experience, with a history of delivering complex, data\-oriented solutions; digital advertising experience a plus
* Degree in computer science, data science, statistics, or equivalent experience
* Knowledge of fundamentals of Data Science, Analytics, Machine Learning and Statistics, with hands\-on experience strongly preferred
* Experience developing and maintaining enterprise products, throughout the entire product life cycle
* A passion for customers and the ability to acutely evaluate and weigh competing solutions and requests to deliver best\-in\-class products
* Excellent communication skills, both verbal and written, and a strong attention to detail
* Entrepreneurial spirit, with a desire to wear many hats and tackle many challenges
**Employees At All Levels Are Expected To**
* Understand our Operating Principles; make them the guidelines for how you do your job.
* Own the customer experience \- think and act in ways that put our customers first, give them seamless digital options at every touchpoint, and make them promoters of our products and services.
* Know your stuff \- be enthusiastic learners, users and advocates of our game\-changing technology, products and services, especially our digital tools and experiences.
* Win as a team \- make big things happen by working together and being open to new ideas.
* Be an active part of the Net Promoter System \- a way of working that brings more employee and customer feedback into the company \- by joining huddles, making call backs and helping us elevate opportunities to do better for our customers.
* Drive results and growth.
* Support a culture of inclusion in how you work and lead.
* Do what's right for each other, our customers, investors and our communities.
**Disclaimer**
* This information has been designed to indicate the general nature and level of work performed by employees in this role. It is not designed to contain or be interpreted as a comprehensive inventory of all duties, responsibilities and qualifications.
 Comcast is an equal opportunity workplace. We will consider all qualified applicants for employment without regard to race, color, religion, age, sex, sexual orientation, gender identity, national origin, disability, veteran status, genetic information, or any other basis protected by applicable law.
**Skills**
 Machine Learning (ML); Product Management; Advertising Technologies; Product Strategies
**Salary**
 Primary Location Pay Range: $147,741\.60 \- $221,612\.40
 Comcast intends to offer the selected candidate base pay within this range, dependent on job\-related, non\-discriminatory factors such as experience. The application window is 30 days from the date job is posted, unless the number of applicants requires it to close sooner or later.
 Base pay is one part of the Total Rewards that Comcast provides to compensate and recognize employees for their work. Most sales positions are eligible for a Commission under the terms of an applicable plan, while most non\-sales positions are eligible for a Bonus. Additionally, Comcast provides best\-in\-class Benefits to eligible employees. We believe that benefits should connect you to the support you need when it matters most, and should help you care for those who matter most. That?s why we provide an array of options, expert guidance and always\-on tools, that are personalized to meet the needs of your reality ? to help support you physically, financially and emotionally through the big milestones and in your everyday life. Please visit the compensation and benefits summary on our careers site for more details.
**Education**
 Bachelor's Degree
 While possessing the stated degree is preferred, Comcast also may consider applicants who hold some combination of coursework and experience, or who have extensive related professional experience.
**Relevant Work Experience**
 5\-7 Years</t>
        </is>
      </c>
    </row>
    <row r="29">
      <c r="A29" t="inlineStr">
        <is>
          <t>li-4325546271</t>
        </is>
      </c>
      <c r="B29" t="inlineStr">
        <is>
          <t>URBN Product Manager</t>
        </is>
      </c>
      <c r="C29" t="inlineStr">
        <is>
          <t>URBN (Urban Outfitters, Anthropologie Group, Free People &amp; Nuuly)</t>
        </is>
      </c>
      <c r="D29" t="inlineStr">
        <is>
          <t>linkedin</t>
        </is>
      </c>
      <c r="E29">
        <f>HYPERLINK("https://www.linkedin.com/jobs/view/4325546271", "https://www.linkedin.com/jobs/view/4325546271")</f>
        <v/>
      </c>
      <c r="F29" t="inlineStr"/>
      <c r="G29" t="inlineStr">
        <is>
          <t>Philadelphia, PA</t>
        </is>
      </c>
      <c r="H29" t="inlineStr"/>
      <c r="I29" t="inlineStr">
        <is>
          <t>URBN is seeking a Product Manager to join our Digital Product team and drive product strategy across our portfolio of beloved brands. As a Product Manager, you'll own the discovery process for identifying customer and business opportunities, define tactical solutions, and facilitate alignment across cross\-functional teams to deliver features that delight millions of customers while driving measurable business results.
**Role Responsibilities** 
**Drive Discovery** 
 Lead the discovery process for identifying customer and business opportunities. Leverage data, research, and competitive analysis to build compelling business cases that justify opportunity prioritization and guide roadmap decisions.
**Define Solutions** 
 Partner with UX to define user experiences and work closely with BSAs and Engineers to connect business requirements with functional requirements. Field questions and clarify requirements to ensure the team has a shared vision for tactical solutions.
**Own Delivery** 
 Take accountability for successful feature delivery to our brands and customers. Conduct UAT, manage launch readiness activities, and partner with stakeholders to build enthusiasm around new features while measuring their impact.
**Build Consensus** 
 Navigate complex stakeholder relationships to facilitate alignment across discovery, definition, and delivery phases. Negotiate and build consensus among peers across Engineering, Brands, Analytics, and other discipline groups.
**Role Qualifications** 
* **Experience building consumer digital products** 
 with experience driving product decisions and building consensus among cross\-functional teams (Engineering, UX, Brand stakeholders)
* **Strong communication skills** 
 \- you're a natural storyteller who can navigate ambiguity and present clear viewpoints to stakeholders at every level, and proven ability to influence stakeholders
* **Leadership that inspires** 
 \- you motivate and support cross\-functional teams to deliver outstanding results
* **Strong organizational skills** 
 \- you thrive managing multiple ongoing projects while maintaining attention to detail
* **Analytical mindset \-** 
 comfortable working with data, research, and competitive analysis to inform product decisions and measure impact
* **Excitement about building digital products** 
 for passionate brand communities in the rapidly changing retail landscape
* **Retail experience strongly preferred \-** 
 understanding of digital commerce, seasonality, inventory considerations, and omnichannel customer journeys in fashion/lifestyle retail
* **Technical foundation** 
 \- Bachelor's in Computer Science, Industrial Design, or related field ideal (but we value diverse backgrounds and relevant experience)
**The Perks** 
 URBN offers comprehensive Perks \&amp; Benefits to employees. Availability and eligibility to specific benefits may be subject to your location and employment status. Benefits include medical, dental, vision, PTO, generous employee discounts, retirement savings and much more! For additional information visit www.urbn.com/work\-with\-us/benefits
**EEO Statement** 
 URBN celebrates diversity and is committed to creating an inclusive environment for all employees. We are proud to provide equal employment opportunities (EEO) to all employees and applicants for employment without regard to race, color, sex (including gender, pregnancy, sexual orientation, and gender identity or expression), religion, creed, age, physical or mental disability, national origin or ancestry, ethnicity, citizenship, service in the uniformed services, genetic information, or any other protected characteristic as established by law. We believe strongly in fostering a safe, fair and respectful work environment. To ensure compliance with our non\-discrimination and anti\-harassment policies, we offer anti\-harassment training to managers and employees.</t>
        </is>
      </c>
    </row>
    <row r="30">
      <c r="A30" t="inlineStr">
        <is>
          <t>li-4363601790</t>
        </is>
      </c>
      <c r="B30" t="inlineStr">
        <is>
          <t>Senior Product Manager, Learning</t>
        </is>
      </c>
      <c r="C30" t="inlineStr">
        <is>
          <t>Duolingo</t>
        </is>
      </c>
      <c r="D30" t="inlineStr">
        <is>
          <t>linkedin</t>
        </is>
      </c>
      <c r="E30">
        <f>HYPERLINK("https://www.linkedin.com/jobs/view/4363601790", "https://www.linkedin.com/jobs/view/4363601790")</f>
        <v/>
      </c>
      <c r="F30">
        <f>HYPERLINK("https://careers.duolingo.com/jobs/8377539002?gh_jid=8377539002&amp;gh_src=81b1e41f2us&amp;urlHash=-Jyb", "https://careers.duolingo.com/jobs/8377539002?gh_jid=8377539002&amp;gh_src=81b1e41f2us&amp;urlHash=-Jyb")</f>
        <v/>
      </c>
      <c r="G30" t="inlineStr">
        <is>
          <t>New York, NY</t>
        </is>
      </c>
      <c r="H30" t="inlineStr"/>
      <c r="I30" t="inlineStr">
        <is>
          <t>Duolingo is the world's most popular learning app. Beyond our core learning product, we also offer English proficiency testing with the Duolingo English Test, and are bringing new subjects into the Duolingo app, where people can develop their Math and Music skills.
 We are passionate about educating our users, making fact\-based decisions, and finding innovative solutions to complex problems. We offer meaningful work, limitless learning opportunities, and collaboration with world\-class minds. Come brighten your life and over half a billion more!
 You'll be a product manager in our Learning Pillar and will be responsible for developing products that make learning a new language fun and effective, regardless of one's level. We've recently introduced a number of new ways to learn, including Stories, DuoRadio, Adventures, and Video Call, and are always looking for better ways to teach. You will partner with your cross\-functional peers to build delightful learning experiences, shape our overall learning strategy, and impact the lives of tens of millions of learners.
**:brain:** 
**You Will...**
* Be responsible for improving the learning experience through delightful and impactful products
* Drive product features through their entire creative cycle: ideation, specification, development, release, analysis, and iteration
* Establish the strategy for your focus area, and build alignment across product teams, cross\-functional partners, and the leadership team
* Perform qualitative and quantitative research to explore and validate feature ideas
* Work with engineers to help guide feature development
* Perform experiment analysis on features and find opportunities for optimization
* Execute with urgency and excellence
**:check: You have...**
* A desire to make the world a better place through technology and education
* Experience generating outstanding results as a product manager
* Ability to utilize user insights, data, and statistical analyses to inform decisions
* Top\-tier design sense \-\- every pixel matters at Duolingo
* Demonstrated ability to be resourceful, curious, and innovative
**We post a multi\-level salary range for all of our roles.**
*This is not inclusive of the rest of our awesome portfolio that includes equity compensation and world\-class benefits. Our salary ranges are the same for all US locations. Your recruiter can share more details about the range for a specific level during the hiring process.* 
*The actual salary within the range is determined by many factors including but not limited to, skills, experience, education, and internal equity.*
**Salary Range**
 $177,700—$240,400 USD
 Take a peek at how we care for our employees' holistic well\-being with our benefits here.
 We will do everything we can within reason to make sure that your interview takes place in an environment that fairly and accurately assesses your skills. If you need assistance or accommodation, please contact accommodations@duolingo.com.
 Duolingo is proud to be an Equal Employment Opportunity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By applying for this position your data will be processed as per the Duolingo Applicant Privacy Notice.
 Sign up for job alerts here.</t>
        </is>
      </c>
    </row>
    <row r="31">
      <c r="A31" t="inlineStr">
        <is>
          <t>li-4182806834</t>
        </is>
      </c>
      <c r="B31" t="inlineStr">
        <is>
          <t>Technical Product Manager - AI Solutions</t>
        </is>
      </c>
      <c r="C31" t="inlineStr">
        <is>
          <t>Veeva Systems</t>
        </is>
      </c>
      <c r="D31" t="inlineStr">
        <is>
          <t>linkedin</t>
        </is>
      </c>
      <c r="E31">
        <f>HYPERLINK("https://www.linkedin.com/jobs/view/4182806834", "https://www.linkedin.com/jobs/view/4182806834")</f>
        <v/>
      </c>
      <c r="F31" t="inlineStr"/>
      <c r="G31" t="inlineStr"/>
      <c r="H31" t="inlineStr"/>
      <c r="I31" t="inlineStr">
        <is>
          <t>Veeva Systems is a mission\-driven organization and pioneer in industry cloud, helping life sciences companies bring therapies to patients faster. As one of the fastest\-growing SaaS companies in history, we surpassed $2B in revenue in our last fiscal year with extensive growth potential ahead.
 At the heart of Veeva are our values: Do the Right Thing, Customer Success, Employee Success, and Speed. We're not just any public company – we made history in 2021 by becoming a public benefit corporation (PBC), legally bound to balancing the interests of customers, employees, society, and investors.
 As a Work Anywhere company, we support your flexibility to work from home or in the office, so you can thrive in your ideal environment.
 Join us in transforming the life sciences industry, committed to making a positive impact on its customers, employees, and communities.
**The Role**
 Make the work of our customers delivering life\-changing medicines and treatments to patients more efficient and productive. We are looking for an experienced technical product manager to design and deliver high\-value AI Agent solutions for Veeva Development Cloud. In this role, you will be an expert in the use of AI to design and build AI agents that will speed up clinical trials, automate regulatory submissions, or make pharmacovigilance more efficient.
**What You’ll Do**
* Hands\-on design and development of prototypes of AI solutions for a specific application domain such as Submissions, Clinical, or Drug Safety working with application PMs and customers.
* Design and deliver production AI Agent applications including data flow, orchestration, and prompts.
* Work with engineering and UX to automate key business processes using AI.
* Present solution capabilities and value to internal and external stakeholders.
**Requirements**
* 5\+ years of enterprise software product management, engineering, or consulting experience, with at least 2 years focused on AI/ML applications.
* Experience with data flow design, algorithm selection, and model integration.
* Coding skills in Python and hands\-on experience with AI Frameworks and APIs.
* Strong understanding of AI/ML concepts, LLMs, and prompt engineering.
* Strong collaboration skills for working with engineering, UX design, and application product management teams.
* Excellent communication skills to work with non\-technical stakeholders.
****Nice to Have****
* Experience in Life Sciences
* Experience in a data scientist, machine learning, or data engineering role.
**Perks \&amp; Benefits**
* Medical, dental, vision, and basic life insurance
* Flexible PTO and company paid holidays
* Retirement programs
* 1% charitable giving program
**Compensation**
* Base pay: $75,000 \- $165,000
* The salary range listed here has been provided to comply with local regulations and represents a potential base salary range for this role. Please note that actual salaries may vary within the range above or below, depending on experience and location. We look at compensation for each individual and base our offer on your unique qualifications, experience, and expected contributions. This position may also be eligible for other types of compensation in addition to base salary, such as variable bonus and/or stock bonus.
 Veeva’s headquarters is located in the San Francisco Bay Area with offices in more than 15 countries around the world.
 Veeva is an equal opportunity employer. All qualified applicants will receive consideration for employment without regard to race, color, sex, sexual orientation, gender identity or expression, religion, national origin or ancestry, age, disability, marital status, pregnancy, protected veteran status, protected genetic information, political affiliation, or any other characteristics protected by local laws, regulations, or ordinances. If you need assistance or accommodation due to a disability or special need when applying for a role or in our recruitment process, please contact us at talent\_accommodations@veeva.com.</t>
        </is>
      </c>
    </row>
    <row r="32">
      <c r="A32" t="inlineStr">
        <is>
          <t>li-4363592106</t>
        </is>
      </c>
      <c r="B32" t="inlineStr">
        <is>
          <t>Lead Product Manager – Payments &amp; Accounts (D2C)</t>
        </is>
      </c>
      <c r="C32" t="inlineStr">
        <is>
          <t>Scopely</t>
        </is>
      </c>
      <c r="D32" t="inlineStr">
        <is>
          <t>linkedin</t>
        </is>
      </c>
      <c r="E32">
        <f>HYPERLINK("https://www.linkedin.com/jobs/view/4363592106", "https://www.linkedin.com/jobs/view/4363592106")</f>
        <v/>
      </c>
      <c r="F32" t="inlineStr"/>
      <c r="G32" t="inlineStr">
        <is>
          <t>Culver City, CA</t>
        </is>
      </c>
      <c r="H32" t="inlineStr"/>
      <c r="I32" t="inlineStr">
        <is>
          <t>Scopely is looking for a
 **Lead Product Manager, Payments \&amp; Accounts (D2C)** 
 to join our Publishing team in our Culver City studio on a hybrid basis, or remotely within the US.
 At Scopely, we care deeply about what we do and want to inspire play, every day \- whether in our work environments alongside our talented colleagues, or through our deep connections with our communities of players. We are a global team of game lovers who are developing, publishing and innovating the mobile games industry, connecting millions of people around the world daily.
**What You Will Do**
 The Lead Product Manager, Payments \&amp; Accounts (D2C) will define and execute Scopely’s global strategy across Payments (primary focus) and Accounts (supporting focus).
 On the Payments side, you’ll lead how millions of players transact across our games \- bridging business strategy, platform requirements, and commercial optimization. You’ll architect a payments ecosystem that is scalable, flexible, and margin\-optimized, directly contributing to Scopely’s D2C growth and profitability.
 On the Accounts side, you’ll help shape the product strategy for Identity and Scopely Account capabilities that underpin direct player relationships. This includes connectivity across platforms and surfaces, social/community enablement, CRM and contactability foundations, and account\-driven experiences that amplify the value of D2C payments and commerce.
 You will partner closely with Platform and Game teams to:
* Establish a direct player transaction and identity relationship
* Deliver a seamless, trusted checkout and account experience
* Unlock margin\-maximized monetization and long\-term player value across Scopely’s portfolio
**What You’ll Do**
 Payments
* Define the global payments vision and roadmap in alignment with Scopely’s D2C objectives
* Develop a multi\-year plan for Scopely’s Payments Gateway \- vaulting, orchestration, routing, retries, and compliance, and partner with Playgami platform team to translate business needs into roadmap priorities and scalable feature requirements
* Collaborate with game team monetization and liveops leads to diagnose and improve payment funnel performance \- payment channels, decline rates, retries, UX friction \- with a focus on conversion and retention
* Manage strategic relationships with payment vendors, ensuring best\-in\-class performance, margin efficiency improving processing economics and conversion rates
* Design experiments to test pricing, methods, and payment sequencing across markets
* Measure, monitor, and respond to payment KPIs such as auth rates, PSP cost, and chargebacks
 Accounts
* Drive the product vision, roadmap, and multi\-year strategy for Scopely Account, in close partnership with the Playgami platform team
* Define foundational account capabilities that drive long\-term player engagement, including identity/authentication, cross\-platform connectivity, social features, third\-party platforms, and player profiles
**What We’re Looking For**
* 7\-10\+ years of product management experience in payments, fintech, or eCommerce, ideally within gaming or digital goods
* Deep understanding of payment gateways, PSPs, tokenization, MoR frameworks, and global payment methods
* Experience contributing to or owning account, identity, or platform\-level product strategies that support cross\-surface user experiences
* Proven experience partnering with platform and game teams to shape payment infrastructure roadmaps
* Demonstrated success in vendor management and commercial negotiations that drive margin improvement
* Strong analytical and business mindset, capable of linking technical design to financial outcomes.
* Technical fluency in APIs, payment routing, and orchestration concepts
* Exceptional cross\-functional influence and executive communication skills
**Bonus Points**
* Experience with headless checkout, multi\-PSP orchestration, or MoR\-integration platforms
* Familiarity with payments\-related compliance standards (PCI\-DSS, SCA, PSD2, AML/KYC)
* Background in F2P gaming, liveops, or virtual economy monetization
 At Scopely, we create games for everyone \- and want to ensure that the people behind our games reflect that! We are committed to creating a diverse, supportive work environment where everyone is treated with respect. We are committed to providing equal employment opportunities and welcome individuals from all backgrounds to join us \&amp; embrace the adventure!
 This role will have access to sensitive and/or confidential employee or customer personally identifiable information (PII) and/or Company financial information, and therefore will be subject to background checks upon receiving a conditional offer of employment.
 For candidates in CA, CO, NJ, NY, and WA, the annual salary range is provided below. In addition to base pay, employees may be eligible for equity, bonuses, and a comprehensive benefits package, including healthcare benefits, retirement benefits, pet insurance, paid holidays, paid Scopely free days, and unlimited paid time off. Base pay offered may vary depending on job\-related knowledge, skills, and experience.
 CA, CO, NJ, NY, and WA Annual Salary Range
 $169,600 \- $253,000 USD
**About Us**
 Scopely is a global interactive entertainment and mobile\-first video game company, home to many top, award\-winning experiences such as "MONOPOLY GO!," “Star Trek™ Fleet Command,” “Stumble Guys,” “MARVEL Strike Force,” and “Yahtzee® With Buddies,” among others.
 Scopely creates, publishes, and live\-operates immersive games that empower a directed\-by\-consumer™ experience across multiple platforms\-\-from mobile, web, PC and beyond.
 Founded in 2011, Scopely is fueled by a world\-class team and a proprietary technology platform Playgami that supports one of the most diversified portfolios in the games industry.
 Recognized multiple times as one of Fast Company’s “World’s Most Innovative Companies,” Scopely is a multi\-billion\-dollar business due to its ability to create long\-lasting game experiences that players enjoy for years.
 Scopely has global operations in more than a dozen markets across Asia, EMEA, and North America, and is home to many internal game development teams, referred to as Scopely Studios, with additional game studio partners across four continents.
 Scopely was acquired by Savvy Games Group in July 2023 for $4\.9 billion, and is now an independent subsidiary of Savvy.
 For more information on Scopely, visit: scopely.com
 Notice to candidates: Scopely, Inc and its affiliates will never request payment or ask for financial information as a condition for applying to a position or receiving an offer of employment. All official Scopely, Inc. recruiters only use email domains that end with @scopely.com.
 Our official website is www.scopely.com. Please only apply to positions posted on our official website and ensure the recruiter only communicates via the official email domain.
 Should you have any questions or encounter any fraudulent requests/emails/websites, please immediately contact recruiting@scopely.com. Our job applicant privacy policies are available here: California Privacy Notice and EEA/UK Privacy Notice.
 Employment at Scopely is based solely on a person's merit and qualifications. Scopely does not discriminate against any employee or applicant because of race, creed, color, religion, gender, sexual orientation, gender identity/expression, national origin, disability, age, genetic information, veteran status, marital status, pregnancy or related condition (including breastfeeding), or any other basis protected by law. We also consider qualified applicants with arrest or conviction records, consistent with applicable federal, state and local law.</t>
        </is>
      </c>
    </row>
    <row r="33">
      <c r="A33" t="inlineStr">
        <is>
          <t>li-4361035911</t>
        </is>
      </c>
      <c r="B33" t="inlineStr">
        <is>
          <t>Principal Product Manager - Tech, Viewer Experience, Prime Video Global App Experience</t>
        </is>
      </c>
      <c r="C33" t="inlineStr">
        <is>
          <t>Prime Video &amp; Amazon MGM Studios</t>
        </is>
      </c>
      <c r="D33" t="inlineStr">
        <is>
          <t>linkedin</t>
        </is>
      </c>
      <c r="E33">
        <f>HYPERLINK("https://www.linkedin.com/jobs/view/4361035911", "https://www.linkedin.com/jobs/view/4361035911")</f>
        <v/>
      </c>
      <c r="F33" t="inlineStr"/>
      <c r="G33" t="inlineStr">
        <is>
          <t>Culver City, CA</t>
        </is>
      </c>
      <c r="H33" t="inlineStr"/>
      <c r="I33" t="inlineStr">
        <is>
          <t>**Description**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in Prime Video Tech takes you!
 Help make Prime Video's content\-watching experience innovative and world class! You will help ensure the experience of watching content on Prime Video is delightful and consistent across devices and content types. You will have end\-to\-end ownership of product, user experience, design, and technology. Prime Video's scale and selection is unprecedented, so you will get an opportunity to work on fast\-paced and challenging projects where you get to define a customer experience that will be used by millions of viewers, across 100s of devices (Living Room and Mobile), in 250\+ countries. You will participate in developing the strategy and vision and create a product roadmap to execute on that vision. This role is inherently cross\-functional; you will work closely with science, engineering, project management, design, operations, finance, legal, business development, customer service, content acquisition, and executive teams to bring products to market. You will develop and grow product opportunities, and enhance our customer experience.
 We are looking for a hands\-on leader who is highly analytical, resourceful, customer focused, and team oriented. You have a consistent track record of taking on end\-to\-end ownership and successfully delivering results in a fast\-paced and dynamic business environment. You are comfortable presenting your point of view to influence stakeholders and senior leadership. You excel through innovation, creativity, and attention to detail. You are a collaborator who flourishes in a large organization. You have experience working directly with applied scientists and software engineers to deliver customer\-facing technology products. You are technically savvy and can weigh in on the pros and cons of a technology choice while providing your opinion on trade\-offs.
 Key job responsibilities
* Develop a deep understanding of the Prime Video customers and the current viewer experiences. Experience running voice of the customer programs to guide product decisions.
* Develop a thorough understanding of the digital video market segments, and continually assess the competitive landscape and emerging industry trends.
* Partner with key stakeholders to define the product vision, strategy, roadmap and supporting metrics required to deliver and enhance a best in class digital video customer experience.
* Own the development of detailed product requirements documents.
* Work cross\-functionally with science, engineering, design, and project management teams to deliver on the product roadmap.
* Drive projects, products, and feature launches with other teams both inside and outside of the Prime Video team including: marketing, content acquisition, legal, finance, customer service, and operations.
**About The Team**
 Prime Video's Global App Experience (GAE) organization is responsible for building simple, intuitive, fast, responsive and personalized streaming experience for Prime Video customers WW, for web, mobile and living room devices. Our goal is to make Prime Video a daily destination where customers want to come to watch their favorite content. The Viewer Experience team within GAE is responsible for the in\-playback experience, spanning player controls, X\-Ray, recaps, in\-playback content discovery, and more.
**Basic Qualifications**
* 4\+ years of end to end product delivery experience
* 8\+ years of technical product or program management experience
* Bachelor's degree
* Experience with feature delivery and tradeoffs of a product
* Experience owning/driving roadmap strategy and definition
* Experience leading engineering discussions around technology decisions and strategy related to a product
* Experience technical product management
* Experience working with and influencing senior level stakeholders
* Experience with AI/ML technologies
**Preferred Qualifications**
* Experience in project management methodologies, business analysis, or process improvement
* Master's degree in a technical field, or Master of Business Administration
* Experience with machine learning (ML) tools and methods
* Experience reviewing user research and data to build a strategic and user\-friendly design
* 5\+ years of planning, designing, developing and delivering consumer software experience
* Familiarity with modern GenAI or LLM tools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Culver City \- 179,900\.00 \- 243,400\.00 USD annually
 USA, WA, Seattle \- 179,900\.00 \- 243,400\.00 USD annually
**Company** 
 \- Amazon.com Services LLC
 Job ID: A3175368</t>
        </is>
      </c>
    </row>
    <row r="34">
      <c r="A34" t="inlineStr">
        <is>
          <t>li-4363521949</t>
        </is>
      </c>
      <c r="B34" t="inlineStr">
        <is>
          <t>Product Manager (Product Configurator)</t>
        </is>
      </c>
      <c r="C34" t="inlineStr">
        <is>
          <t>Vertiv</t>
        </is>
      </c>
      <c r="D34" t="inlineStr">
        <is>
          <t>linkedin</t>
        </is>
      </c>
      <c r="E34">
        <f>HYPERLINK("https://www.linkedin.com/jobs/view/4363521949", "https://www.linkedin.com/jobs/view/4363521949")</f>
        <v/>
      </c>
      <c r="F34">
        <f>HYPERLINK("https://egup.fa.us2.oraclecloud.com/hcmUI/CandidateExperience/en/job/20263521/?utm_medium=jobboard&amp;utm_source=linkedin&amp;urlHash=jIxm", "https://egup.fa.us2.oraclecloud.com/hcmUI/CandidateExperience/en/job/20263521/?utm_medium=jobboard&amp;utm_source=linkedin&amp;urlHash=jIxm")</f>
        <v/>
      </c>
      <c r="G34" t="inlineStr">
        <is>
          <t>Westerville, OH</t>
        </is>
      </c>
      <c r="H34" t="inlineStr"/>
      <c r="I34" t="inlineStr">
        <is>
          <t>**Position Summary**
**JOB DESCRIPTION**
 The
 ***Product Manager***
 for the Product Configurator will lead the strategy, development, and lifecycle management of Vertiv’s next\-generation configuration tool. This tool empowers partners and customers to rapidly design and configure solutions, producing accurate Bills of Materials (BOMs) and streamlining the sales and delivery process. The Product Manager will collaborate cross\-functionally to ensure the configurator delivers exceptional user experience, technical accuracy, and business value.
**Responsibilities**
* Define and own the product vision, roadmap, and success metrics for the Product Configurator.
* Gather and prioritize requirements from internal stakeholders, partners, and customers.
* Lead cross\-functional teams (engineering, UX, sales, support) to deliver high\-quality releases.
* Ensure the configurator enables rapid, accurate solution design and BOM generation.
* Drive continuous improvement based on user feedback and evolving market needs.
* Develop and maintain product documentation, training materials, and go\-to\-market collateral.
* Monitor competitive landscape and emerging technologies to inform product strategy.
* Represent the voice of the customer in all product decisions.
* Ensure compliance with Vertiv’s Core Principles \&amp; Behaviors.
**Qualifications**
* Bachelor’s degree in Engineering, Computer Science, Business, or related field.
* 5 plus years of product management experience, ideally with B2B software tools or configurators.
* Strong understanding of solution configuration, BOM generation, and sales enablement processes.
* Strong Data Center domain knowledge in Facilities and IT products and how they function
* Proven ability to lead cross\-functional teams and manage complex projects.
* Excellent communication, analytical, and organizational skills.
* Experience working with partners and customers in a technical environment.
* Familiarity with Agile methodologies is a plus.
**PHYSICAL \&amp; ENVIRONMENTAL DEMANDS**
* Standard office environment; minimal physical demands.
**Time Travel Required**
* Occasional travel may be required (up to 10%).
**The successful candidate will embrace Vertiv’s Core Principals \&amp; Behaviors to help execute our Strategic Priorities.**
**OUR CORE PRINCIPALS** 
 :
 *Safety. Integrity. Respect. Teamwork. Diversity \&amp; Inclusion.*
**OUR STRATEGIC PRIORITIES**
* Customer Focus
* Operational Excellence
* High\-Performance Culture
* Innovation
* Financial Strength
**OUR BEHAVIORS**
* Own It
* Act With Urgency
* Foster a Customer\-First Mindset
* Think Big and Execute
* Lead by Example
* Drive Continuous Improvement
* Learn and Seek Out Development
**About Vertiv**
 Vertiv is a $8\.0 billion global critical infrastructure and data center technology company. We ensure customers’ vital applications run continuously by bringing together hardware, software, analytics and ongoing services. Our portfolio includes power, cooling and IT infrastructure solutions and services that extends from the cloud to the edge of the network. Headquartered in Columbus, Ohio, USA, Vertiv employs around 20,000 people and does business in more than 130 countries. Visit Vertiv.com to learn more.
**Work Authorization**
 No calls or agencies please. Vertiv will only employ those who are legally authorized to work in the United States. This is not a position for which sponsorship will be provided. Individuals with temporary visas such as E, F\-1, H\-1, H\-2, L, B, J, or TN or who need sponsorship for work authorization now or in the future, are not eligible for hire.
**Equal Opportunity Employer**
*Vertiv is an Equal Opportunity/Affirmative Action employer. We promote equal opportunities for all with respect to hiring, terms of employment, mobility, training, compensation, and occupational health, without discrimination as to age, race, color, religion, creed, sex, pregnancy status (including childbirth, breastfeeding, or related medical conditions), marital status, sexual orientation, gender identity / expression (including transgender status or sexual stereotypes), genetic information, citizenship status, national origin, protected veteran status, political affiliation, or disability. If you have a disability and are having difficulty accessing or using this website to apply for a position, you can request help by sending an email to help.join@vertiv.com.*
**About The Team**
 Work Authorization
 No calls or agencies please. Vertiv will only employ those who are legally authorized to work in the United States. This is not a position for which sponsorship will be provided. Individuals with temporary visas such as E, F\-1, H\-1, H\-2, L, B, J, or TN or who need sponsorship for work authorization now or in the future, are not eligible for hire.
 Equal Opportunity Employer
 We promote equal opportunities for all with respect to hiring, terms of employment, mobility, training, compensation, and occupational health, without discrimination as to age, race, color, religion, creed, sex, pregnancy status (including childbirth, breastfeeding, or related medical conditions), marital status, sexual orientation, gender identity / expression (including transgender status or sexual stereotypes), genetic information, citizenship status, national origin, protected veteran status, political affiliation, or disability.</t>
        </is>
      </c>
    </row>
    <row r="35">
      <c r="A35" t="inlineStr">
        <is>
          <t>li-4369274444</t>
        </is>
      </c>
      <c r="B35" t="inlineStr">
        <is>
          <t>Product Manager, Propellers</t>
        </is>
      </c>
      <c r="C35" t="inlineStr">
        <is>
          <t>Brunswick Corporation</t>
        </is>
      </c>
      <c r="D35" t="inlineStr">
        <is>
          <t>linkedin</t>
        </is>
      </c>
      <c r="E35">
        <f>HYPERLINK("https://www.linkedin.com/jobs/view/4369274444", "https://www.linkedin.com/jobs/view/4369274444")</f>
        <v/>
      </c>
      <c r="F35">
        <f>HYPERLINK("https://brunswick.wd1.myworkdayjobs.com/search/job/Fond-du-Lac-WI/Product-Manager\u002d\u002dPropellers_JR-048817?source=LinkedIn&amp;urlHash=hSRj", "https://brunswick.wd1.myworkdayjobs.com/search/job/Fond-du-Lac-WI/Product-Manager\u002d\u002dPropellers_JR-048817?source=LinkedIn&amp;urlHash=hSRj")</f>
        <v/>
      </c>
      <c r="G35" t="inlineStr">
        <is>
          <t>Fond du Lac, WI</t>
        </is>
      </c>
      <c r="H35" t="inlineStr"/>
      <c r="I35" t="inlineStr">
        <is>
          <t>***Are you ready for what’s next?***
*Come explore opportunities within Brunswick, a global marine leader committed to challenging conventions and innovating next\-generation technologies that transform experiences on the water and beyond. Brunswick believes “Next Never Rests™,” and we offer a variety of exciting careers and growth opportunities within united teams defining the future of marine recreation.*
**Innovation is the heart of Brunswick. See how your contributions will help transform vision into reality:**
 Position Overview: Step into a pivotal leadership role where you’ll shape the future of Mercury’s propeller product category. As Product Manager, you’ll be the driving force behind innovation, growth, and market leadership. This is your opportunity to champion breakthrough strategies, energize cross\-functional teams, and make a lasting impact on the marine industry. If you thrive in fast\-paced, dynamic environments and love turning vision into reality, you’ll find this role both challenging and deeply rewarding.
**At Brunswick, we have passion for our work and a distinct ability to deliver.**
 Essential Functions:
* Ignite category growth by developing and executing bold strategies for product line expansion, lifecycle management, and market positioning.
* Take ownership of financial performance, setting ambitious targets and leading the charge to exceed them.
* Collaborate with the Category Director to craft visionary product and business plans, leveraging deep consumer and market insights.
* Be a catalyst for innovation—analyzing trends, identifying opportunities, and launching products that set new industry standards.
* Build powerful partnerships across Sales, Marketing, PD\&amp;E, Operations, Finance, Procurement, and beyond, ensuring seamless execution of game\-changing initiatives.
* Stay ahead of the curve by monitoring industry developments and emerging technologies, keeping Mercury at the forefront of marine propulsion.
* Deliver accurate product forecasts through the SIOP process, driving operational excellence and customer satisfaction.
* Champion a customer\-first mindset, anticipating needs and delivering products that delight and inspire.
* Represent Mercury at major trade shows and special events, showcasing your leadership and passion for the brand.
* Serve as a subject‑matter resource on propeller market trends, customer needs, competitive shifts, and emerging technologies.
**Diversity of thought and experiences is fundamental when imagining the unimaginable. Certain skillsets/experiences are necessary; however, others can be developed along the way.**
 Required Qualifications:
* 3\+ years of progressive experience in category management, product management, or strategic marketing within the Marine, Powersports, or comparable technical/consumer‑durable industries, with demonstrated impact on portfolio performance.
* Deep business and financial acumen, including proficiency in P\&amp;L management, demand forecasting, pricing strategy, and ROI assessment.
* Highly developed analytical and market‑insight capabilities, with a track record of translating consumer, competitive, and category data into actionable strategy and compelling business cases.
* Exceptional communication and executive‑level influencing skills, with the ability to lead cross\-functional alignment, drive decision‑making, and present persuasively to senior leadership.
* Demonstrated success working in complex, matrixed environments, effectively coordinating across Product Development, Engineering, Sales, Marketing, Operations, and Finance to accelerate outcomes.
* Strong strategic orientation paired with operational excellence, capable of thinking big while ensuring day‑to‑day execution is flawless and timely.
* Proficiency with modern product and portfolio management tools, such as PLM systems, competitive benchmarking frameworks, VOC methodologies, and stage‑gate or agile development processes.
* Track record of driving innovation, leveraging emerging technologies, materials, manufacturing methods, and customer insights to elevate product differentiation.
* High‑ownership, high‑initiative mindset, with the resilience, curiosity, and ambition required to consistently outperform expectations in a fast‑paced environment.
* Ability to represent the brand externally, serving as a knowledgeable, credible advocate at industry events, dealer forums, and customer engagements.
**Working Conditions:**
* Onsite in Fond du Lac, WI
 The anticipated pay range for this position is $86,500 \- $139,300 annually. The actual base pay offered will vary depending on multiple factors including job\- related knowledge/skills, relevant experience, business needs, and geographic location. In addition to base pay, this position is eligible for an annual discretionary bonus.
 At Brunswick, it is not typical for an individual to be hired at or near the top end of the salary range for their role. Compensation decisions are dependent upon the specifics of the candidate’s qualifications and the business context.
 This position is eligible to participate in Brunswick's comprehensive and high\-quality benefits offerings, including medical, dental, vision, paid vacation, 401k (up to 4% match), Health Savings Account (with company contribution), well\-being program, product purchase discounts and much more. Details about our benefits can be found here.
**Why Brunswick:**
 Whatever tomorrow brings, we’ll be at the leading edge. As the clear leader in the marine industry, we’re committed to our values and supporting our exceptional people. We offer and encourage growth opportunities within and across our many brands. In addition, we’re proud of being recognized for making a splash with numerous awards!
**Mercury Marine**
 Headquartered in Fond du Lac, Wisconsin, Mercury Marine® is the world’s leading manufacturer of recreational marine propulsion engines. A division of Brunswick Corporation (NYSE: BC), Mercury provides engines, boats, services and parts for recreational, commercial and government marine applications. Mercury empowers boaters with products that are easy to use, extremely reliable and backed by the most dedicated customer support in the world. The company’s industry\-leading brand portfolio includes Mercury outboard engines, Mercury MerCruiser® sterndrive and inboard packages, Mercury propellers, Mercury inflatable boats, Mercury SmartCraft® electronics, Land 'N' Sea marine parts distribution and Mercury and Quicksilver® parts and oils. More information is available at MercuryMarine.com.
*Next is Now!*
*We value growth and development, recognizing that people come with a wealth of experience and talent beyond just the technical requirements of a job. If your experience is close to what you see listed here, please still consider applying.*
 Brunswick is an Equal Opportunity Employer and considers all qualified applicants for employment without regard to race, color, religion, sex, sexual orientation, gender identity, national origin, age, disability, protected veteran status or any other characteristic protected by federal, state, or local law. Diversity of experience and skills combined with passion is key to innovation and inspiration and we encourage individuals from all backgrounds to apply. If you require accommodation during the application or interview process, please contact hrsharedservices@brunswick.com for support.
 For more information about EEO laws, \- click here
 Brunswick Corporation participates in E\-Verify as part of our commitment to a lawful and transparent hiring process. For additional information click here: https://www.brunswick.com/e\-verify.
 Brunswick and Workday Privacy Policies
 Brunswick does not accept applications, inquiries or solicitations from unapproved staffing agencies or vendors. For help, please contact our support team at: hrsharedservices@brunswick.com or 866\-278\-6942\.
 All job offers will come to you via the candidate portal you create when applying through a posted position through https:///www.brunswick.com/careers. If you are ever unsure about what is being required of you during the application process or its source, please contact HR Shared Services at 866\-278\-6942 or HRSharedServices@brunswick.com.
 \#Brunswick Corporation \- Mercury Marine</t>
        </is>
      </c>
    </row>
    <row r="36">
      <c r="A36" t="inlineStr">
        <is>
          <t>li-4369364365</t>
        </is>
      </c>
      <c r="B36" t="inlineStr">
        <is>
          <t>Product Manager, Care and Retail Experience</t>
        </is>
      </c>
      <c r="C36" t="inlineStr">
        <is>
          <t>T-Mobile</t>
        </is>
      </c>
      <c r="D36" t="inlineStr">
        <is>
          <t>linkedin</t>
        </is>
      </c>
      <c r="E36">
        <f>HYPERLINK("https://www.linkedin.com/jobs/view/4369364365", "https://www.linkedin.com/jobs/view/4369364365")</f>
        <v/>
      </c>
      <c r="F36" t="inlineStr"/>
      <c r="G36" t="inlineStr">
        <is>
          <t>Bellevue, WA</t>
        </is>
      </c>
      <c r="H36" t="inlineStr"/>
      <c r="I36" t="inlineStr">
        <is>
          <t>At T\-Mobile, we invest in YOU! Our Total Rewards Package ensures that employees get the same big love we give our customers. All team members receive a competitive base salary and compensation package \- this is Total Rewards. Employees enjoy multiple wealth\-building opportunities through our annual stock grant, employee stock purchase plan, 401(k), and access to free, year\-round money coaches. That’s how we’re UNSTOPPABLE for our employees!
 \*\*\* This position will sit in Bellevue, WA or Overland Park, KS. This role requires a hybrid schedule requiring at least 3 days a week in office.\*\*\*
 The Product Manager is a visionary, strategist, analyst, customer evangelist, respected leader of execution, and professional relationship builder all rolled into a single dynamic package. Every product at T\-Mobile is envisioned and created to achieve a specific business purpose or set of business results. The Product Manager is ultimately accountable, responsible, and has ownership of T\-Mobile's internal and external products, platforms, services, experiences envisioned and created to achieve the specific business purpose or business results. At a high level this means identifying the intersection of customer problems/unmet needs (an opportunity), technical feasibility, business goals, securing funding, and leading a cross\-functional team as well as key stakeholders to deliver against the opportunity.
 Product Manager is a "jack\-of\-all\-trades" demonstrating deep customer empathy, strategic thinking, commercial, analytical, and leadership prowess to successfully deliver delightful and differentiated products that drive growth and positively impact customers lives.
 No day is the same for the Product Manager. Day to day activities or responsibilities include: conducting market research; generating product requirements; determining specifications; defining long\-term strategy of the product; creating the product road map; helping drive and support technical delivery end to end; defining scope for releases/product increments; partnering with development, project/program management, marketing, and other key team members to define release schedule; and support/drive go\-to\-market activities as needed.
**Job Responsibilities** 
 :
* Vision, Strategy, and Analysis
* Owns product end to end for products or features with moderate level of complexity and scope. This includes creating, managing, maintaining and communicating product vision and roadmap.
* Identifies target customer(s) for existing or future products drives end user product research.
* Partners with business and internal/external stakeholders to understand current customer experiences, identifies areas of opportunity.
* Conducts analysis of quantitative and qualitative data to identify product innovation opportunities or root cause of issues, and assess opportunity size and impact. May work with data scientists to answer complex questions or identify meaningful insights from data.
* Leverages rapid hypothesis driven testing methodologies and experiments (i.e. paper prototype, A/B testing, etc.) to inform direction, prioritize investment.
* Conducts cost\-benefit / ROI / NPV analysis, competitive product analysis, to support decision making.
* Works with stakeholders and follows enterprise process to secure and maintain product funding.
* Communicates, influences, and sells ideas at Director level and below. This includes regularly delivering product presentations.
* Conducts specific ad hoc analysis and provides insights to management on request.
* Recommends product feature set and positioning strategies to improve customer experience, and drive or support growth.
* Works with external third parties to assess partnerships and licensing opportunities.
* Develops and maintains current understanding of tech trends. Assesses how trends impact the roadmap or create opportunity for innovation of the product.
* Customer Evangelist
* Leverages customer insights for product vision, strategy, roadmap, priorities.
* Dedicates time to customers actively meeting with them to build deeper empathy and understand their needs and priorities.
* Create, manage, foster an active VOC feed for themselves and team.
* Actively looks for opportunities to delight or meet customer’s unmet needs.
* Evangelizes and advocates for the customer both internally (IC through C level) and externally, perpeuating the customer\-first mentality.
* Creates an environment and culture where the team is immersed in customer\-first mentality.
* Tests ideas with real customers to ensure that the product delivers the desired benefit.
* Product Execution / Delivery
* Translates product/platform strategy by writing detailed features and user stories consumable for Dev teams for moderately complex products. This work may include creation of prototypes.
* Owns and handles product backlog and priorities with our business and technology partners. Backlog at this level typically serves 1 \- 4 Agile / Scrum / Sprint teams.
 Scopes and prioritizes activities based on business and customer impact.
* Collaborates with Architecture and Dev teams to ensure technical debt and long term technical investment is factored into roadmap.
* Ensures existing production defects are factored into regular backlog prioritization for resolution based on priority.
* Collaborates with stakeholders and Dev / Execution teams to create and communicate anticipated release schedule.
* Generates and maintains dashboards and reports that track product health and success metrics.
* Conduct Product Quarterly Business Reviews (QBR’s) and Steering meetings.
* Runs beta and pilot programs with early\-stage products and samples.
* Collaborates with advertising and public relations to promote product.
* Supports sales, marketing, and other partner teams with the necessary product knowledge and additional documentation.
* Assists with the overall execution relating to all aspects of the software development process, from defining the strategy and architecture through deployment and support.
* Communicates technical challenges to stakeholders and makes educated trade\-off decisions based on those challenges.
* Accountable for product quality and performance in production environment. Accountable for product team response in event of critical or high impacting defect, including communications to partners at all levels.
* Manages development of adoption tools and training materials.
* Identify execution, operational, organizational issues that impede product success. Drive improvement plan to change or resolve issues (within sphere of influence).
* Relationship \&amp; People, Professional Development
* Collaborates and develops positive working relationships with many technical and non\-technical teams, including sales, commercial accounting, marketing, legal, go\-to\-market, and finance. Works with outside partners and other third parties.
* Develops positive working relationships with Customer groups or Customer Representatives.
* Maintains professional knowledge by attending educational workshops; reviews professional publications; establishes personal networks; participates in professional societies.
* Develops adoption tools and training material.
**Education and Work Experience** 
 :
* Bachelor's Degree or equivalent experience (Required)
* 4\-7 years Relevant Product Management experience in an agile software product development environment. Required
**Knowledge, Skills and Abilities** 
 :
* Communication: Proven ability to effectively and efficiently communicate with Leadership, while employing a high degree of collaboration and influence. (Required)
* Business Analytics: Strong analytical skills with demonstrated ability to identify/analyze/synthesize product use data. (Required)
* Project Management: Experience in delivering large and complex business/technology initiatives. (Required)
* SCRUM: Proven success in delivering software with Agile Scrum methodologies (Required)
* Agile Methodologies: Proven success in delivering software with Agile Scrum methodologies (Required)
* Technical Writing: Strong requirements elicitation, and proven writing skills including the ability to write concisely and clearly for different audiences. (Required)
* Agile: Project Management Experience with Agile backlog/project management tools. (Required)
* Collaboration: Experience with successive elaboration and ability to develop Initiatives, Features and User Stories that the DevOps teams can ingest. (Required)
 Ready for a change? Come join us!
* At least 18 years of age
* Legally authorized to work in the United States
 Base Pay Range: $100,100 \- $180,600
 Corporate Bonus Target: 15%
 The pay range above is the general base pay range for a successful candidate in the role. The successful candidate’s actual pay will be based on various factors, such as work location, qualifications, and experience, so the actual starting pay will vary within this range.
 At T\-Mobile, employees in regular, non\-temporary roles are eligible for an annual bonus or periodic sales incentive or bonus, based on their role. Most Corporate employees are eligible for a year\-end bonus based on company and/or individual performance and which is set at a percentage of the employee’s eligible earnings in the prior year. Certain positions in Customer Care are eligible for monthly bonuses based on individual and/or team performance. To find the pay range for this role based on hiring location, copy and paste this link into your browser: https://paylookup.t\-mobile.com/paylookup?reqID\=REQ326813
 At T\-Mobile, our benefits exemplify the spirit of One Team, Together! A big part of how we care for one another is working to ensure our benefits evolve to meet the needs of our team members. Full and part\-time employees have access to the same benefits when eligible. We cover all of the bases, offering medical, dental and vision insurance, a flexible spending account, 401(k), employee stock grants, employee stock purchase plan, paid time off and up to 12 paid holidays \- which total about 4 weeks for new full\-time employees and about 2\.5 weeks for new part\-time employees annually \- paid parental and family leave, family building benefits, back\-up care, enhanced family support, childcare subsidy, tuition assistance, college coaching, short\- and long\-term disability, voluntary AD\&amp;D coverage, voluntary accident coverage, voluntary life insurance, voluntary disability insurance, and voluntary long\-term care insurance. We don't stop there \- eligible employees can also receive mobile service \&amp; home internet discounts, pet insurance, and access to commuter and transit programs! To learn about T\-Mobile’s amazing benefits, check out
 *www.t\-mobilebenefits.com* 
*.*
 Never stop growing!
 As part of the T\-Mobile team, you know the Un\-carrier doesn’t have a corporate ladder–it’s more like a jungle gym of possibilities! We love helping our employees grow in their careers, because it’s that shared drive to aim high that drives our business and our culture forward. By applying for this career opportunity, you’re living our values while investing in your career growth–and we applaud it. You’re unstoppable!
 T\-Mobile USA, Inc. is an Equal Opportunity Employer. All decisions concerning the employment relationship will be made without regard to age, race, ethnicity, color, religion, creed, sex, sexual orientation, gender identity or expression, national origin, religious affiliation, marital status, citizenship status, veteran status, the presence of any physical or mental disability, or any other status or characteristic protected by federal, state, or local law. Discrimination, retaliation or harassment based upon any of these factors is wholly inconsistent with how we do business and will not be tolerated.
 Talent comes in all forms at the Un\-carrier. If you are an individual with a disability and need reasonable accommodation at any point in the application or interview process, please let us know by emailing ApplicantAccommodation@t\-mobile.com or calling 1\-844\-873\-9500\. Please note, this contact channel is not a means to apply for or inquire about a position and we are unable to respond to non\-accommodation related requests.</t>
        </is>
      </c>
    </row>
    <row r="37">
      <c r="A37" t="inlineStr">
        <is>
          <t>li-4361005108</t>
        </is>
      </c>
      <c r="B37" t="inlineStr">
        <is>
          <t>Lead Product Manager - Identity</t>
        </is>
      </c>
      <c r="C37" t="inlineStr">
        <is>
          <t>Uber</t>
        </is>
      </c>
      <c r="D37" t="inlineStr">
        <is>
          <t>linkedin</t>
        </is>
      </c>
      <c r="E37">
        <f>HYPERLINK("https://www.linkedin.com/jobs/view/4361005108", "https://www.linkedin.com/jobs/view/4361005108")</f>
        <v/>
      </c>
      <c r="F37" t="inlineStr"/>
      <c r="G37" t="inlineStr">
        <is>
          <t>San Francisco, CA</t>
        </is>
      </c>
      <c r="H37" t="inlineStr"/>
      <c r="I37" t="inlineStr">
        <is>
          <t>**About The Role**
 At Uber, identity is the cornerstone of trust and safety, essential to our platform's integrity and long\-term success. As a Lead Product Manager for Identity Verification, you will lead a team of Product Managers to develop and scale world\-class identity solutions that enhance security while ensuring seamless user experiences for hundreds of millions of users globally.
 In this role, you will drive execution at scale, influence senior stakeholders, and mentor a high\-performing team in a fast\-paced, high\-stakes environment. You'll leverage your deep product management expertise, strong leadership, and technical acumen to proactively combat evolving fraud tactics and fortify trust across Uber's ecosystem. You will own products like verification badges, earner onboarding verification, verification for restricted items such as alcohol etc.
**About The Team**
 Uber is built on trust, and identity is at the core of ensuring a safe and secure platform. Our mission is to empower consumers and businesses to seamlessly create, access, manage, and verify their identity across Uber while enhancing marketplace trust and protecting against fraud and abuse. We are a highly collaborative, cross\-functional team of product managers, engineers, data scientists, and analysts, working together to build and scale identity solutions that drive security, efficiency, and growth across Uber's ecosystem.
**What You'll Do**
* Shape the long\-term strategy, drive execution, and collaborate cross\-functionally to combat fraud, enhance trust and optimize identity verification across all lines of business within Uber's ecosystem.
* Lead and mentor a team of product managers, fostering a culture of ownership, impact, and continuous learning.
* Deeply understand Uber's mission and strategies, as well as the objectives of partner teams and stakeholders, to align identity verification efforts with broader company goals.
* Drive innovation and execution, leading cross\-functional teams\-including engineering, data science, legal, and operations\-to develop new identity products and features that support Uber's global growth while enhancing platform security.
* Challenge teams to think boldly and creatively, ensuring that ideas are transformed into concrete products and execution plans.
* Set clear qualitative objectives and quantitative goals, measuring success through data insights, customer research, and product intuition.
* Be highly truth\-seeking, soliciting critical feedback, leveraging market insights, and iterating to improve identity verification processes continuously.
* Communicate product plans, benefits, and results effectively to executives, product teams, and other stakeholders across Uber, driving alignment and momentum.
**Basic Qualifications**
**What You'll Need**
* Domain expertise in risk, identity verification, security, trust and safety or similar focus.
* An undergraduate degree in engineering or similar technical domain. Master degree preferred.
* Phenomenal track record of working with engineering, analytics and design teams, with proven examples to prioritize work across the team.
* Strong written and verbal interpersonal skills with a confirmed ability to influence partners.
* Demonstrated experience using data and analytical abilities to help solve problems and make decisions.
* Proven ability to develop deep customer empathy and articulate customer problems.
* Minimum 3 years of experience, leading a team of product managers.
* 10\+ years of experience, delivering highly successful products in world class technical organizations
**Preferred Qualifications**
**Bonus Points If**
* Strong technical fluency and comfort in discussing technology concepts.
* MBA or equivalent business insight.
 For San Francisco, CA\-based roles: The base salary range for this role is USD$216,000 per year \- USD$240,000 per year. For Sunnyvale, CA\-based roles: The base salary range for this role is USD$216,000 per year \- USD$240,000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t>
        </is>
      </c>
    </row>
    <row r="38">
      <c r="A38" t="inlineStr">
        <is>
          <t>li-4317156534</t>
        </is>
      </c>
      <c r="B38" t="inlineStr">
        <is>
          <t>Senior Product Manager - Navigator</t>
        </is>
      </c>
      <c r="C38" t="inlineStr">
        <is>
          <t>Docusign</t>
        </is>
      </c>
      <c r="D38" t="inlineStr">
        <is>
          <t>linkedin</t>
        </is>
      </c>
      <c r="E38">
        <f>HYPERLINK("https://www.linkedin.com/jobs/view/4317156534", "https://www.linkedin.com/jobs/view/4317156534")</f>
        <v/>
      </c>
      <c r="F38" t="inlineStr"/>
      <c r="G38" t="inlineStr">
        <is>
          <t>San Francisco, CA</t>
        </is>
      </c>
      <c r="H38" t="inlineStr"/>
      <c r="I38" t="inlineStr">
        <is>
          <t>**Company Overview**
 Docusign brings agreements to life. Over 1\.5 million customers and more than a billion people in over 180 countries use Docusign solutions to accelerate the process of doing business and simplify people’s lives. With intelligent agreement management, Docusign unleashes business\-critical data that is trapped inside of documents. Until now, these were disconnected from business systems of record, costing businesses time, money, and opportunity. Using Docusign’s Intelligent Agreement Management platform, companies can create, commit, and manage agreements with solutions created by the \#1 company in e\-signature and contract lifecycle management (CLM).
 What you'll do
 We are seeking a Senior Product Manager with a strong background in contract (unstructured documents) analytics solutions to drive innovation in our AI\-powered solutions. You will influence the vision, strategy, and roadmap for Docusign’s AI\-powered agreement repository, a key component of Docusign’s Intelligent Agreement Management platform. You will be an expert in customer problems, understand how agreements are related to each other and end\-to\-end user journeys around managing agreements, and create a roadmap aligned to both. You will expand Navigator use cases to drive adoption and add new value for the enterprise customer segment, while working closely with other Product Managers, UX, Engineering, and Product Marketing as you define requirements for new features and bring them to market.
 This position is an individual contributor role reporting to the Senior Director, Product Management.
****Responsibility****
* Build strategy and roadmap that drives end to end use cases that support the goals of Docusign Navigator and Intelligent Agreement Management
* Collect customer feedback and partner with Research team to identify and validate customer problems around managing agreements
* Define and effectively communicate product goals and requirements, and work cross\-functionally with Design and Engineering to implement solutions
* Analyze cost/benefit tradeoffs and facilitate discussions to reach partner consensus
* Define critical metrics, implement tracking mechanisms, and measure feature success post\-launch
* Partner closely with Marketing and Sales teams on go\-to\-market plans for a successful feature launch
* Present product strategy to teams and executive leaders to get feedback and agreement
* Influence effectively without authority in and outside of the Product team
 Job Designation
**Hybrid:** 
 Employee divides their time between in\-office and remote work. Access to an office location is required. (Frequency: Minimum 2 days per week; may vary by team but will be weekly in\-office expectation)
 Positions at Docusign are assigned a job designation of either In Office, Hybrid or Remote and are specific to the role/job. Preferred job designations are not guaranteed when changing positions within Docusign. Docusign reserves the right to change a position's job designation depending on business needs and as permitted by local law.
 What you bring
**Basic**
* 8\+ years of related work experience
* Experience with contract analytics and associated contract lifecycle management
* Experience with and thorough understanding of contract structures and methods for organizing them
* Experience directly engaging with and/or managing contracts throughout their lifecycle, from creation and negotiation to execution and analysis
* Experience working cross\-functionally with Product Management, Design, Engineering, Operations, Program Management, Marketing, Sales and Customer Support
**Preferred**
* Analytical and problem\-solving skills, with an ability to align strategy, customer need, research, data and industry trends
* Excellent written communication skills including authoring effective product requirement documents
* Excellent communicator able to convey complex concepts to both technical and non\-technical audiences to create shared understanding, resolve conflict, and obtain actionable consensus
* Experience reviewing business and performance insights to make data\-driven decisions
* J.D. or equivalent legal degree
 Wage Transparency
 Pay for this position is based on a number of factors including geographic location and may vary depending on job\-related knowledge, skills, and experience.
 Based on applicable legislation, the below details pay ranges in the following locations:
 California: $140,000\.00 \- $225,075\.00 base salary
 Washington, Maryland, New Jersey and New York (including NYC metro area): $133,800\.00 \- $197,750\.00 base salary
**This Role Is Also Eligible For The Following**
* Bonus: Sales personnel are eligible for variable incentive pay dependent on their achievement of pre\-established sales goals. Non\-Sales roles are eligible for a company bonus plan, which is calculated as a percentage of eligible wages and dependent on company performance.
* Stock: This role is eligible to receive Restricted Stock Units (RSUs).
**Benefits**
 Global benefits provide options for the following:
* Paid Time Off: earned time off, as well as paid company holidays based on region
* Paid Parental Leave: take up to six months off with your child after birth, adoption or foster care placement
* Full Health Benefits Plans: options for 100% employer paid and minimum employee contribution health plans from day one of employment
* Retirement Plans: select retirement and pension programs with potential for employer contributions
* Learning and Development: options for coaching, online courses and education reimbursements
* Compassionate Care Leave: paid time off following the loss of a loved one and other life\-changing events
 Life at Docusign
**Working here**
 Docusign is committed to building trust and making the world more agreeable for our employees, customers and the communities in which we live and work. You can count on us to listen, be honest, and try our best to do what’s right, every day. At Docusign, everything is equal.
 We each have a responsibility to ensure every team member has an equal opportunity to succeed, to be heard, to exchange ideas openly, to build lasting relationships, and to do the work of their life. Best of all, you will be able to feel deep pride in the work you do, because your contribution helps us make the world better than we found it. And for that, you’ll be loved by us, our customers, and the world in which we live.
**Accommodation**
 Docusign is committed to providing reasonable accommodations for qualified individuals with disabilities in our job application procedures. If you need such an accommodation, or a religious accommodation, during the application process, please contact us at accommodations@docusign.com.
 If you experience any issues, concerns, or technical difficulties during the application process please get in touch with our Talent organization at taops@docusign.com for assistance.
 Applicant and Candidate Privacy Notice
 States Not Eligible for Employment
 This position is not eligible for employment in the following states: Alaska, Hawaii, Maine, Mississippi, North Dakota, South Dakota, Vermont, West Virginia and Wyoming.
 Equal Opportunity Employer
 It's important to us that we build a talented team that is as diverse as our customers and where all employees feel a deep sense of belonging and thrive. We encourage great talent who bring a range of perspectives to apply for our open positions. Docusign is an Equal Opportunity Employer and makes hiring decisions based on experience, skill, aptitude and a can\-do approach. We will not discriminate based on race, ethnicity, color, age, sex, religion, national origin, ancestry, pregnancy, sexual orientation, gender identity, gender expression, genetic information, physical or mental disability, registered domestic partner status, caregiver status, marital status, veteran or military status, or any other legally protected category.
 EEO Know Your Rights poster</t>
        </is>
      </c>
    </row>
    <row r="39">
      <c r="A39" t="inlineStr">
        <is>
          <t>li-4362803613</t>
        </is>
      </c>
      <c r="B39" t="inlineStr">
        <is>
          <t>Principal Product Manager - MAI Business Commerce</t>
        </is>
      </c>
      <c r="C39" t="inlineStr">
        <is>
          <t>Microsoft</t>
        </is>
      </c>
      <c r="D39" t="inlineStr">
        <is>
          <t>linkedin</t>
        </is>
      </c>
      <c r="E39">
        <f>HYPERLINK("https://www.linkedin.com/jobs/view/4362803613", "https://www.linkedin.com/jobs/view/4362803613")</f>
        <v/>
      </c>
      <c r="F39">
        <f>HYPERLINK("https://apply.careers.microsoft.com/careers/job/1970393556641495?utm_source=linkedin&amp;domain=microsoft.com&amp;src=LinkedIn&amp;urlHash=DJh2", "https://apply.careers.microsoft.com/careers/job/1970393556641495?utm_source=linkedin&amp;domain=microsoft.com&amp;src=LinkedIn&amp;urlHash=DJh2")</f>
        <v/>
      </c>
      <c r="G39" t="inlineStr">
        <is>
          <t>Mountain View, CA</t>
        </is>
      </c>
      <c r="H39" t="inlineStr"/>
      <c r="I39" t="inlineStr">
        <is>
          <t>**Overview**
 Microsoft AI is a customer\-first organization building AI powered products in service of our customer’s business goals. The world is changing rapidly during this AI platform shift and we need Product Managers who can live in the future and bring back clarity to the present to guide our work.
 As a
 **Principal Product Manager \- MAI Business Commerce** 
 , you will build businesses experiences that help businesses reach their customers and people get things done with businesses in AI\-native surfaces. This role requires consistent knowledge and deep awareness of the emerging AI industry to develop new products as we have the freedom and flexibility to use innovative technology in service of our customer.
 We work within Microsoft AI (MAI), an organization responsible for Copilot, Bing, Edge, MSN, and other AI\-first products. The organization has all the ingredients needed for success with Product, Engineering, Research, and Go To Market functions partnering as peers with shared goals. This enables close collaboration and rapid decision making.
 One of the reasons Microsoft AI consistently brings innovative products to market is because of the collaborative work we do in Product Management. We work closely with talented engineers, designers, marketers, creatives, customers, partners, and go\-to\-market teams to design and develop products tailored for our customer’s benefit. We run lean, obsess about users, and make decisions based on evidence. We ship regularly, so your work will have real and immediate impact. It’s a time of huge change in the AI landscape, and this role will put you right in the heart of it.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Starting January 26, 2026, MAI employees are expected to work from a designated Microsoft office at least four days a week if they live within 50 miles (U.S.) or 25 miles (non\-U.S., country\-specific) of that location. This expectation is subject to local law and may vary by jurisdiction.
**Responsibilities**
* Drive building world\-class AI applications that will delight consumers and deliver business results.
* Own a product area and be responsible for understanding user needs and behaviors, defining product requirements, managing end\-to\-end product development, launches and iterations.
* Find a path to get things done despite roadblocks to get your work into the hands of users quickly and iteratively.
* Enjoy working in a fast\-paced, customer\-first, product development cycle.
* Translate business goals into strategy, user experience and technical requirements in close collaboration with Applied Science, Data Science, Engineering, UX and Product Marketing/Sales teams.
* Define goals and performance indicators, set up and oversee experiments, measure success with data and research.
* Embody our Culture and Values.
**Qualifications**
**Required Qualifications:**
* Bachelor's Degree AND 10\+ years experience in product/service/program management or software development
+ OR equivalent experience.
**Preferred Qualifications**
* 2\+ years experience leading cross functional product teams across advertising, privacy, search, conversational AI, or generative AI
* 5\+ years experience delivering products that include full Search and/or Advertising technology stack
* 5\+ years experience with data analytics and experimentation tools with working knowledge of SQL and coding skills (Python, Javascript).
* 7\+ years of experience building Ads products.
* 5\+ years of building AI consumer products.
* 5\+ years of experience in monetization products and B2B.
* Ability to work in a fast\-paced environment, manage multiple priorities, and adapt to changing requirements and deadlines.
* Proven ability to collaborate and contribute to a positive, inclusive work environment, fostering knowledge sharing and growth within the team.
 \#MicrosoftAI
 Product Management IC6 \- The typical base pay range for this role across the U.S. is USD $163,000 \- $296,400 per year. There is a different range applicable to specific work locations, within the San Francisco Bay area and New York City metropolitan area, and the base pay range for this role in those locations is USD $220,800 \- $331,200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40">
      <c r="A40" t="inlineStr">
        <is>
          <t>li-4369343846</t>
        </is>
      </c>
      <c r="B40" t="inlineStr">
        <is>
          <t>API Management Platform Product Manager, Vice President</t>
        </is>
      </c>
      <c r="C40" t="inlineStr">
        <is>
          <t>hackajob</t>
        </is>
      </c>
      <c r="D40" t="inlineStr">
        <is>
          <t>linkedin</t>
        </is>
      </c>
      <c r="E40">
        <f>HYPERLINK("https://www.linkedin.com/jobs/view/4369343846", "https://www.linkedin.com/jobs/view/4369343846")</f>
        <v/>
      </c>
      <c r="F40">
        <f>HYPERLINK("https://www.hackajob.com/job/beee0f7f-01ca-11f1-b544-0a05e249917d-api-management-platform-product-manager-vice-president?utm_source=LinkedIn&amp;utm_medium=JobAds&amp;utm_term=Automated&amp;utm_campaign=jp-morgan-api-management-platform-product-manager-vice-president&amp;job_name=api-management-platform-product-manager-vice-president&amp;company=jp-morgan&amp;workplace_type=on-site&amp;city=palo-alto&amp;country=united-states&amp;urlHash=7hqW", "https://www.hackajob.com/job/beee0f7f-01ca-11f1-b544-0a05e249917d-api-management-platform-product-manager-vice-president?utm_source=LinkedIn&amp;utm_medium=JobAds&amp;utm_term=Automated&amp;utm_campaign=jp-morgan-api-management-platform-product-manager-vice-president&amp;job_name=api-management-platform-product-manager-vice-president&amp;company=jp-morgan&amp;workplace_type=on-site&amp;city=palo-alto&amp;country=united-states&amp;urlHash=7hqW")</f>
        <v/>
      </c>
      <c r="G40" t="inlineStr">
        <is>
          <t>Palo Alto, CA</t>
        </is>
      </c>
      <c r="H40" t="inlineStr"/>
      <c r="I40" t="inlineStr">
        <is>
          <t>***hackajob** 
 is collaborating with
 **J.P. Morgan** 
 to connect them with exceptional tech professionals for this role.*
**Job Description**
 You enjoy shaping the future of product innovation as a core leader, driving value for customers, guiding successful launches, and exceeding expectations. Join our dynamic team and make a meaningful impact by delivering high\-quality products that resonate with clients.
 As a Product Manager in API Marketplace Platform, you are an integral part of the team that innovates new product offerings and leads the end\-to\-end product life cycle. As a core leader, you are responsible for acting as the voice of the customer and developing profitable products that provide customer value. Utilizing your deep understanding of how to get a product off the ground, you guide the successful launch of products, gather crucial feedback, and ensure top\-tier client experiences. With a strong commitment to scalability, resiliency, and stability, you collaborate closely with cross\-functional teams to deliver high\-quality products that exceed customer expectations.
**Job Responsibilities**
* Develops a product strategy and product vision that delivers value to customers
* Manages discovery efforts and market research to uncover customer solutions and integrate them into the product roadmap
* Owns, maintains, and develops a product backlog that enables development to support the overall strategic roadmap and value proposition
* Builds the framework and tracks the product's key success metrics such as cost, feature and functionality, risk posture, and reliability
* Monitors market trends, conducts competitive analysis, and identifies opportunities for product differentiation
* Manages the creation and delivery of platform capabilities throughout the development process, including but not limited to defining product requirements, overseeing implementation, ensuring product adoption, continuous product expansion and demonstrating advocacy
* Serves as a key leader in production ideation, management, requirements gathering, vendor engagement and roadmap execution
* Partners with engineering leadership to ensure collaboration and alignment among teams
* Organizes, prioritizes and escalates critical issues and required information to facilitate efficient decision making; establish priorities, and provide oversight and guidance to team of those priorities
**Required Qualifications, Capabilities, And Skills**
* 5\+ years of experience or equivalent expertise in product management or a relevant domain area
* Advanced knowledge of the product development life cycle, design, and data analytics
* Proven ability to lead product life cycle activities including discovery, ideation, strategic development, requirements definition, and value management
* Experience driving change within organizations and managing stakeholders across multiple functions
* Technical knowledge to propose and influence new product and feature explorations, especially in enterprise\-scale APIs
* Experience with API or developer\-focused platforms
* AWS Certified Cloud Practitioner or similar familiarity with AWS or other Cloud platforms
* Excellent oral and written communication and presentations skills across various stakeholders and senior management; ability to synthesize large amounts of information, summarize key concepts and articulate relevant issues to senior management
* Bachelor's degree in computer science, engineering, mathematics or other related disciplines
**Preferred Qualifications, Capabilities, And Skills**
* Demonstrated prior experience working in a highly matrixed, complex organization
* MBA or Master’s degree in computer science, engineering, mathematics or other related disciplines
**Federal Deposit Insurance Act**
 This position is subject to Section 19 of the Federal Deposit Insurance Act. As such, an employment offer for this position is contingent on JPMorganChase’s review of criminal conviction history, including pretrial diversions or program entries.
 This information should be placed at the bottom, below the Preferred qualifications, capabilities, and skills section.
**About Us**
 Chase is a leading financial services firm, helping nearly half of America’s households and small businesses achieve their financial goals through a broad range of financial products. Our mission is to create engaged, lifelong relationships and put our customers at the heart of everything we do. We also help small businesses, nonprofits and cities grow, delivering solutions to solve all their financial needs.
 We offer a competitive total rewards package including base salary determined based on the role, experience, skill set and location. Those in eligible roles may receive commission\-based pay and/or discretionary incentive compensation, paid in the form of cash and/or forfeitable equity, awarded in recognition of individual achievements and contributions. We also offer a range of benefits and programs to meet employee needs, based on eligibility. These benefits include comprehensive health care coverage, on\-site health and wellness centers, a retirement savings plan, backup childcare, tuition reimbursement, mental health support, financial coaching and more. Additional details about total compensation and benefits will be provided during the hiring process.
 We recognize that our people are our strength and the diverse talents they bring to our global workforce are directly linked to our success. We are an equal opportunity employer and place a high value on diversity and inclusion at our company. We do not discriminate on the basis of any protected attribute, including race, religion, color, national origin, gender, sexual orientation, gender identity, gender expression, age, marital or veteran status, pregnancy or disability, or any other basis protected under applicable law. We also make reasonable accommodations for applicants’ and employees’ religious practices and beliefs, as well as mental health or physical disability needs. Visit our FAQs for more information about requesting an accommodation.
 Equal Opportunity Employer/Disability/Veterans
**About The Team**
 Our Consumer \&amp; Community Banking division serves our Chase customers through a range of financial services, including personal banking, credit cards, mortgages, auto financing, investment advice, small business loans and payment processing. We’re proud to lead the U.S. in credit card sales and deposit growth and have the most\-used digital solutions – all while ranking first in customer satisfaction.</t>
        </is>
      </c>
    </row>
    <row r="41">
      <c r="A41" t="inlineStr">
        <is>
          <t>li-4362842728</t>
        </is>
      </c>
      <c r="B41" t="inlineStr">
        <is>
          <t>Principal Product Manager, Consumer Copilot- Productivity</t>
        </is>
      </c>
      <c r="C41" t="inlineStr">
        <is>
          <t>Microsoft</t>
        </is>
      </c>
      <c r="D41" t="inlineStr">
        <is>
          <t>linkedin</t>
        </is>
      </c>
      <c r="E41">
        <f>HYPERLINK("https://www.linkedin.com/jobs/view/4362842728", "https://www.linkedin.com/jobs/view/4362842728")</f>
        <v/>
      </c>
      <c r="F41" t="inlineStr"/>
      <c r="G41" t="inlineStr">
        <is>
          <t>Redmond, WA</t>
        </is>
      </c>
      <c r="H41" t="inlineStr"/>
      <c r="I41" t="inlineStr">
        <is>
          <t>**Overview**
 At Microsoft AI, our mission is to make Microsoft Copilot the best AI for hundreds of millions of consumers and prosumers who rely on Microsoft’s productivity suite. We are dedicated to defining and iterating on model capabilities, response quality, and user experience for productivity use cases—leveraging Microsoft’s knowledge graph and our robust product ecosystem to deliver seamless, intuitive, and high\-quality workflows across Word, Excel, PowerPoint, OneDrive, Outlook, and OneNote.
 You’ll champion consumer\-first design principles while thoughtfully balancing the needs of prosumers, freelancers, students, and small\-business owners.
 A key part of this role is ensuring capabilities and UX coherence with
 **Microsoft’s productivity suite** 
 offering driving familiarity and easy adoption in the workplace. By translating insights from consumer and prosumer users into roadmaps that scale to business users, you’ll help create a clear, connected offering that empowers everyone to achieve more. You’ll work on consumer
 **Copilot with a Productivity Lense.**
 Join a small, fast\-moving team where your work will have real and immediate impact. We obsess about users, make evidence\-based decisions, and ship regularly. If you’re passionate about building products that define the AI era and thrive in a collaborative, high\-growth environment, this is your opportunity to shape the future of
 **productivity at scale.**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Starting January 26, 2026, MAI employees are expected to work from a designated Microsoft office at least four days a week if they live within 50 miles (U.S.) or 25 miles (non\-U.S., country\-specific) of that location. This expectation is subject to local law and may vary by jurisdiction.
**Responsibilities**
* Create 0 to 1 products that transform cutting\-edge AI capabilities into world\-class applications of LLM.
* Contribute to the product vision and roadmap for Microsoft Copilot (consumer/prosumer product) that enable Productivity and M365 workflows in Microsoft Copilot
* Be responsible for understanding user needs and behaviors, defining product requirements, managing end to end product development, launches and iterations.
* Partner with design, engineering, and data science to deliver delightful, high\-utility features.
* Establish metrics and evaluations for model responses, capabilities, and user behaviors. Establish clear goals, design experiments, and measure success through data analysis and research insights.
* Advocate for cross\-platform consistency (desktop, mobile, web) that meets the diverse needs of our users.
* Find paths to get things done despite roadblocks to get your work into the hands of users quickly and iteratively.
* Embody our Culture and Values.
**Qualifications**
**Required Qualifications:** 
* Bachelor's Degree AND 8\+ years experience in product management or software development OR equivalent experience.
**Preferred Qualifications:** 
* Bachelor's Degree AND 10\+ years experience in product or software development OR equivalent experience.
* Experience as a startup founder is a plus.
* Demonstrated success building productivity products. Experience integrating with Microsoft’s suite of products is not required but is a helpful plus.
* Proven track record as a product manager with firsthand experience prompting, evaluating and deploying LLM applications into production.
* Track record of creating design\-driven consumer products from concept to launch and finding product market fit.
* Demonstrated success building consumer products that leverage Machine Learning or Large Language Models (LLMs).
* Have experience in working side\-by\-side with AI researchers and engineers.
* Experienced in concurrently driving multiple high stakes, time sensitive projects that span teams and time zones.
* Ability to work in a fast\-paced environment and adapt to changing requirements and deadlines.
* Demonstrate a proactive attitude and enthusiasm for exploring new methods and technologies.
* Visionary but pragmatic. You can develop a vision and also lay out clear steps to get there.
* Working knowledge of SQL and coding skills (Python, JavaScript) is a plus.
 \#copilot \#MicrosoftAI
 Product Management IC5 \- The typical base pay range for this role across the U.S. is USD $139,900 \- $274,800 per year. There is a different range applicable to specific work locations, within the San Francisco Bay area and New York City metropolitan area, and the base pay range for this role in those locations is USD $188,000 \- $304,200 per year.
 Certain roles may be eligible for benefits and other compensation. Find additional benefits and pay information here:
 https://careers.microsoft.com/us/en/us\-corporate\-pay
 Product Management IC6 \- The typical base pay range for this role across the U.S. is USD $163,000 \- $296,400 per year. There is a different range applicable to specific work locations, within the San Francisco Bay area and New York City metropolitan area, and the base pay range for this role in those locations is USD $220,800 \- $331,200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42">
      <c r="A42" t="inlineStr">
        <is>
          <t>li-4348217478</t>
        </is>
      </c>
      <c r="B42" t="inlineStr">
        <is>
          <t>Senior Product Manager, SiriusXM Connect</t>
        </is>
      </c>
      <c r="C42" t="inlineStr">
        <is>
          <t>SiriusXM</t>
        </is>
      </c>
      <c r="D42" t="inlineStr">
        <is>
          <t>linkedin</t>
        </is>
      </c>
      <c r="E42">
        <f>HYPERLINK("https://www.linkedin.com/jobs/view/4348217478", "https://www.linkedin.com/jobs/view/4348217478")</f>
        <v/>
      </c>
      <c r="F42">
        <f>HYPERLINK("https://careers.siriusxm.com/careers/jobs/17145?lang=en-us&amp;mode=apply&amp;iis=LinkedIn&amp;urlHash=vchk", "https://careers.siriusxm.com/careers/jobs/17145?lang=en-us&amp;mode=apply&amp;iis=LinkedIn&amp;urlHash=vchk")</f>
        <v/>
      </c>
      <c r="G42" t="inlineStr">
        <is>
          <t>Birmingham, MI</t>
        </is>
      </c>
      <c r="H42" t="inlineStr"/>
      <c r="I42" t="inlineStr">
        <is>
          <t>**Who We Are**
 SiriusXM and its brands (Pandora, SiriusXM Media, AdsWizz, Simplecast, and SiriusXM Connect) are leading a new era of audio entertainment and services by delivering the most compelling subscription and ad\-supported audio entertainment experience for listeners \-\- in the car, at home, and anywhere on the go with connected devices. Our vision is to shape the future of audio, where everyone can be effortlessly connected to the voices, stories and music they love wherever they are.
 This is the place where a diverse group of emerging talent and legends alike come to share authentic and purposeful songs, stories, sounds and insights through some of the best programming and technology in the world. Our critically\-acclaimed, industry\-leading audio entertainment encompasses music, sports, comedy, news, talk, live events, and podcasting. No matter their individual role, each of our employees plays a vital part in bringing SiriusXM’s vision to life every day.
**SiriusXM** 
**Connect** 
 (SiriusXM CV) is a leading provider of connected services to vehicle manufacturers, delivering one of the most broadly adopted connected vehicle platforms in North America for the last 25 years. Named the 2020 Company of the Year in the Telematics Industry by Frost \&amp; Sullivan, we provide safety, security and convenience services to millions of vehicle owners across major automotive brands. Our teams are continuously working to develop leading\-edge technology that can not only add convenience to the daily lives of so many drivers across the country but our advancements in safety and security could also help save their lives.
**How You’ll Make An Impact**
 As a Senior Product Manager at SiriusXM Connect, you will play a key role in supporting the development and delivery of product features and enhancements across one of our core swim lanes — whether in enterprise platforms, contact center \&amp; marketing tools, or innovation \&amp; growth initiatives. This role will partner closely with cross\-functional teams including business, engineering, QA, and design to translate product goals into actionable stories and deliverables. You will help drive the execution of key product initiatives that improve customer experience, support operational needs, and align with the broader product roadmap.
**Your Contributions Will Support**
* Improved customer experiences by helping define and refine features that reduce friction and improve performance.
* Operational support and product quality by ensuring team alignment and backlog health.
* Cross\-functional collaboration that enhances transparency, alignment, and execution speed.
* Iterative delivery of product roadmap items by helping prioritize work and track progress through agile rituals.
**What You’ll Do**
* Requirements Gathering: Collaborate with business, marketing, engineering, and other internal stakeholders to gather, clarify, and document product requirements. Ensure business goals are clearly translated into actionable technical work.
* Backlog Management: Support the creation, refinement, and prioritization of the product backlog in Jira (or similar tools), ensuring user stories are well\-defined, estimated, and aligned to sprint goals.
* Sprint Planning \&amp; Management: Participate in Agile ceremonies, including sprint planning, daily standups, and retrospectives. Coordinate closely with engineering leads to track progress, remove blockers, and ensure timely delivery.
* Cross\-functional Collaboration: Work with partners across UX, engineering, QA, and business to align on goals, clarify dependencies, and ensure shared understanding of scope and expectations.
* Execution Support: Help drive execution of product initiatives by managing task readiness, timelines, and delivery checkpoints in coordination with team leads and PMs.
* Stakeholder Communication: Provide clear and timely updates to stakeholders on delivery status, risks, and trade\-offs. Adjust plans based on evolving priorities and organizational needs.
* Data\-informed Decision\-Making: Leverage product data, feedback, and stakeholder input to inform prioritization and improve product outcomes over time.
* Product Launch Support: Support cross\-functional coordination during feature rollouts. Monitor launch success, gather feedback, and contribute to post\-launch follow\-up.
* Continuous Improvement: Identify opportunities to improve team operations, product quality, and stakeholder alignment. Participate in retrospectives and follow through on agreed actions.
**What You’ll Need**
* Bachelor’s Degree in Business, Engineering, or a related field.
* 5\+ years of experience in product management, product ownership, or business systems analysis within a cross\-functional Agile environment.
* Experience working with web or mobile applications, cloud\-based services, and third\-party integrations.
* Experience working closely with engineering teams to write/refine user stories and ensure timely delivery.
* Familiarity with backlog tools like Jira, Confluence, or similar platforms.
* Preferred:
+ Experience working within automotive or OEM environments is a plus.
+ Familiarity with identity and access management concepts (OAuth2, token\-based authentication) is a plus.
* Soft Skills:
+ Strong organizational and prioritization skills.
+ Comfortable collaborating with diverse teams and navigating multiple stakeholder inputs.
+ Clear communication style, both verbal and written.
+ Willingness to take direction and follow through while also contributing independently.
* Must have the legal right to work in the U.S.
**Our goal at SiriusXM is to provide and maintain a work environment that fosters mutual respect, professionalism and cooperation. SiriusXM is an equal opportunity employer that does not discriminate on the basis of actual or perceived race, creed, color, religion, national origin, ancestry, alienage or citizenship status, age, disability or handicap, sex, gender identity, marital status, familial status, veteran status, sexual orientation or any other characteristic protected by applicable federal, state or local laws.**
*The requirements and duties described above may be modified or waived by the Company in its sole discretion without notice.*
 R\-2025\-10\-43</t>
        </is>
      </c>
    </row>
    <row r="43">
      <c r="A43" t="inlineStr">
        <is>
          <t>li-4357610745</t>
        </is>
      </c>
      <c r="B43" t="inlineStr">
        <is>
          <t>Product Owner (Hybrid) - 26648</t>
        </is>
      </c>
      <c r="C43" t="inlineStr">
        <is>
          <t>Mission Technologies, a division of HII</t>
        </is>
      </c>
      <c r="D43" t="inlineStr">
        <is>
          <t>linkedin</t>
        </is>
      </c>
      <c r="E43">
        <f>HYPERLINK("https://www.linkedin.com/jobs/view/4357610745", "https://www.linkedin.com/jobs/view/4357610745")</f>
        <v/>
      </c>
      <c r="F43">
        <f>HYPERLINK("https://jobs.hii-tsd.com/job/Columbia%2C-MD-Product-Owner-%28Hybrid%29-26648-Mary/1356211300/?feedId=314400&amp;utm_source=LinkedInJobPostings&amp;utm_campaign=HII_LinkedIn&amp;urlHash=P1CW", "https://jobs.hii-tsd.com/job/Columbia%2C-MD-Product-Owner-%28Hybrid%29-26648-Mary/1356211300/?feedId=314400&amp;utm_source=LinkedInJobPostings&amp;utm_campaign=HII_LinkedIn&amp;urlHash=P1CW")</f>
        <v/>
      </c>
      <c r="G43" t="inlineStr">
        <is>
          <t>Columbia, MD</t>
        </is>
      </c>
      <c r="H43" t="inlineStr"/>
      <c r="I43" t="inlineStr">
        <is>
          <t>Enlighten, honored as a Top Workplace from USA Today, is a leader in big data solution development and deployment, with expertise in cloud\-based services, software and systems engineering, cyber capabilities, and data science. Enlighten provides continued innovation and proactivity in meeting our customers’ greatest challenges.
 We recognize that the most effective environment for your projects doesn’t always look the same. Our hybrid work approach ensures that you can make lasting relationships with your team and collaborate in\-person to get the job done—while having the flexibility to work from home when needed to achieve focused results.
 Why Enlighten?
**Benefits**
 At Enlighten, our team’s unwavering work ethic, top talent and celebration of innovative ideas have helped us thrive. We know that our employees are essential to our company’s success, so we seek to take care of you as much as you take care of us. Here are a few highlights of our benefits package:
* 100% paid employee premium for healthcare, vision and dental plans.
* 10% 401k benefit.
* Generous PTO \+ 10 paid holidays.
* Education/training allowances.
 Anticipated Salary Range: $133,073\.00 \- $185,000\.00\. The salary range for this role is intended as a good faith estimate based on the role's location, expectations, and responsibilities. When extending an offer, Enlighten takes a variety of factors into consideration which include, but are not limited to, the role's function, internal equity and a candidate's education or training, work experience, certifications and key skills. Occasionally positions/roles may include additional non\-recurrent compensation and will be addressed by the recruiter during the interview process.
**Job Description**
 Enlighten is seeking an experienced and mission\-focused Senior Product Owner to lead the vision, development, and success of our next\-generation Data Lakehouse platform. In this role, you will be the central figure driving a product designed to empower Department of War (DoW) cyber operators with unparalleled data access and analytical capabilities. You will immerse yourself in our customers' environment, translating their complex operational challenges into a strategic product roadmap and a prioritized backlog for our engineering teams. Your ultimate goal is to deliver products that provide a decisive information advantage for our nation's cyber defenders. Work is performed in a hybrid environment with some onsite work 1\-2 days a week in Columbia, MD as well as travel up to 25% to support customers CONUS and OCONUS as necessary.
 \#Mid\-Senior Level
**Essential Job Responsibilities**
* Own the Product Vision: Define, own, and evangelize the product vision and roadmap, ensuring alignment with both customer mission needs and our company's strategic goals.
* Drive the Backlog: Develop, maintain, and prioritize the product backlog with detailed user stories, epics, and clear acceptance criteria. Your work will provide the engineering team with the clarity needed to build the right solution.
* Engage the User: Act as the primary interface with DoD cyber stakeholders. Conduct in\-depth discovery to deeply understand the workflows, data challenges, and desired outcomes of cyber analysts, threat hunters, and mission commanders.
* Engage Product Owners (POs): Conduct regular engagements with other POs within the company Customer Experience Group (CEG). Gather and assess insights from other POs to correlate customer feedback on our products to help guide new feature development.
* Translate Mission to Code: Convert high\-level mission requirements into actionable, technical product requirements. You will be comfortable discussing data ingestion patterns, query optimization, analytics integrations, and API specifications with the development team.
* Validate software: Thoroughly validate software changes against user stories, design documents, and acceptance criteria defined by POs. Ensure all developed features meet functional and non\-functional requirements.
* Communicate Value: Articulate the platform's technical capabilities and their direct impact on mission outcomes to diverse audiences, from hands\-on operators to senior military leadership.
* Support Go\-to\-Market Strategy: Collaborate with business development and marketing teams to shape product messaging, support proposals, and develop compelling demonstrations that resonate with the unique culture and requirements of the DoD.
* Measure Success: Define and analyze key metrics to measure product performance, user adoption, and mission impact, using the insights to guide future product iterations.
* Additional duties as assigned.
**Minimum Qualifications**
* Security Clearance: A current Secret level U.S. Government security clearance is highly desired, but not required to start. Will need to be able to obtain a Secret clearance; U.S. citizenship required.
* 9\+ years in DoD cyber, agile development, and/or big data with a B.A. in Business, a technical field, or related; 7 years relevant experience with Masters in related field; or High School Diploma or equivalent and 13 years relevant experience.
* 5\+ years of experience in a Product Owner, Product Manager, or Technical Program Manager role within an Agile software development environment.
* Demonstrated understanding of modern data architectures, including concepts like data lakes, data warehousing, and big data technologies.
* Professional experience within the cybersecurity domain (e.g., Security Operations Center (SOC), Cyber Threat Intelligence, Network Defense, Incident Response).
* Proven ability to work effectively with DoD or other Federal Government customers, with an understanding of their operational environment and procurement processes.
* Exceptional verbal and written communication skills, with a talent for making complex technical subjects accessible to varied audiences.
* Excellent organizational and attention to detail skills.
* Ability to work independently and as part of a team.
* Ability and willingness to travel up to 25%, sometimes on short notice CONUS and OCONUS.
* Ability to work on customer site 1\-2 days a week in Columbia, MD. Flexibility is essential to adapt to schedule changes as needed.
**Preferred Requirements**
* DoD 8140 / 8570 compliance certifications may be required in this position as directed by the customer.Hands\-on experience with cloud\-native data platforms such as
* Databricks, Snowflake, or AWS/Azure data services.
* Experience in a customer\-facing technical role (e.g., Sales Engineer, Solutions Architect) within the GovCon IT space.
* A strong understanding of the data lifecycle within a typical cyber security context.
 We have many more additional great benefits/perks that you can find on our website at www.eitccorp.com \[eitccorp.com].</t>
        </is>
      </c>
    </row>
    <row r="44">
      <c r="A44" t="inlineStr">
        <is>
          <t>li-4369321703</t>
        </is>
      </c>
      <c r="B44" t="inlineStr">
        <is>
          <t>Staff Product Manager, Vector</t>
        </is>
      </c>
      <c r="C44" t="inlineStr">
        <is>
          <t>Unity South APAC (SEA, ANZ, IND Subcont.)</t>
        </is>
      </c>
      <c r="D44" t="inlineStr">
        <is>
          <t>linkedin</t>
        </is>
      </c>
      <c r="E44">
        <f>HYPERLINK("https://www.linkedin.com/jobs/view/4369321703", "https://www.linkedin.com/jobs/view/4369321703")</f>
        <v/>
      </c>
      <c r="F44" t="inlineStr"/>
      <c r="G44" t="inlineStr">
        <is>
          <t>San Francisco, CA</t>
        </is>
      </c>
      <c r="H44" t="inlineStr"/>
      <c r="I44" t="inlineStr">
        <is>
          <t>The opportunity
 We are looking for a Staff Product Manager to join our Vector applied research team, building the real\-time systems that power Unity Ads, our global advertising platform. In this high\-scale, low\-latency environment, we process billions of requests daily to deliver fast, relevant ads to players worldwide.
 In this role, you’ll lead initiatives to improve the advertiser experience and define the vision, strategy, and execution of ML\-powered User Acquisition products — from campaign management dashboards to optimization features such as bidding and budget management. Working closely with scientists and engineers, you’ll translate complex machine learning models into practical solutions that boost campaign performance and drive advertiser growth.
 What you'll be doing
* Transform business requirements into actionable ML solutions, ensuring alignment with measurable objectives and user needs.
* Build and maintain product roadmaps for User Acquisition initiatives, prioritizing features and improvements that deliver the greatest value.
* Collaborate with the Vector team and multi\-functional groups to implement and refine ML models, ensuring seamless user integration and technical robustness.
* Lead innovation by conceptualizing, defining, and launching new ML features while staying informed on the latest industry advancements.
* Analyze and track important metrics to evaluate product performance and guide iterative improvement.
 What we're looking for
* 6\+ years of product management experience, including 3\+ years leading technical or ML\-driven products.
* Strong experience working in mobile advertising, particularly in User Acquisition.
* Data analysis or intelligence background, or strong experience partnering with BI/ML teams.
* Experience shaping product strategy and aligning teams around business and user priorities.
* Ability to leverage data\-driven decision\-making, including cohort analysis, to assess machine learning product and algorithm performance.
* Skilled in critical thinking and problem\-solving with a focus on delivering user\-first solutions.
 You might also have
* Background in gaming\-focused advertising.
* A passion for working with teammates to champion bold ideas and deliver impactful results that resonate with users.
 Additional information
* Relocation support is available for this position
* Work visa/immigration sponsorship is available for this position
 Life at Unity
 We offer a wide range of benefits designed to support employees' well\-being and work\-life balance. You can read more about them on our career page.
 Unity \[NYSE: U] is the leading platform to create and grow games and interactive experiences. Creators, ranging from game developers to artists, architects, automotive designers, infrastructure experts, filmmakers, and more, use Unity to bring their imaginations to life across multiple platforms, from mobile, PC, and console, to spatial computing.
 As of the third quarter of 2024, more than 70% of the top 1,000 mobile games were made with Unity, and in 2024, Made with Unity applications had an average of 3\.7 billion downloads per month. For more information, please visit Unity.
*Unity is a proud equal opportunity employer. We are committed to fostering an inclusive, innovative environment and celebrate our employees across age, race, color, ancestry, national origin, religion, disability, sex, gender identity or expression, sexual orientation, or any other protected status in accordance with applicable law. Our differences are strengths that enable us to support the growing and evolving needs of our customers, partners, and collaborators. If you have a disability that means there are preparations or accommodations we can make to help ensure you have a comfortable and positive interview experience, please fill out this form to let us know.*
*Pursuant to the San Francisco Fair Chance Ordinance, we will consider for employment qualified applicants with arrest and conviction records.*
*This position requires the incumbent to have a sufficient knowledge of English to have professional verbal and written exchanges in this language since the performance of the duties related to this position requires frequent and regular communication with colleagues and partners located worldwide and whose common language is English.*
*Headhunters and recruitment agencies may not submit resumes/CVs through this Web site or directly to managers. Unity does not accept unsolicited headhunter and agency resumes. Unity will not pay fees to any third\-party agency or company that does not have a signed agreement with Unity.*
*Your privacy is important to us. Please take a moment to review our Prospect Privacy Policy and Applicant Privacy Policy. Should you have any concerns about your privacy, please contact us at DPO@unity.com.*
 \#SEN
* Note: Certain locations require a good faith disclosure of the base salary range for the role. The actual salary for the successful candidate may differ based on location, experience, and other job\-related factors. Gross pay salary$157,800—$300,600 USD</t>
        </is>
      </c>
    </row>
    <row r="45">
      <c r="A45" t="inlineStr">
        <is>
          <t>li-4359828863</t>
        </is>
      </c>
      <c r="B45" t="inlineStr">
        <is>
          <t>Sr. Product Manager, Amazon Private Label Credit Card, Amazon Payments</t>
        </is>
      </c>
      <c r="C45" t="inlineStr">
        <is>
          <t>Amazon</t>
        </is>
      </c>
      <c r="D45" t="inlineStr">
        <is>
          <t>linkedin</t>
        </is>
      </c>
      <c r="E45">
        <f>HYPERLINK("https://www.linkedin.com/jobs/view/4359828863", "https://www.linkedin.com/jobs/view/4359828863")</f>
        <v/>
      </c>
      <c r="F45" t="inlineStr"/>
      <c r="G45" t="inlineStr">
        <is>
          <t>Seattle, WA</t>
        </is>
      </c>
      <c r="H45" t="inlineStr"/>
      <c r="I45" t="inlineStr">
        <is>
          <t>**Description**
 Are you an experienced Product Manager who wants to be part of an innovative and growing business at the nexus of financial services and consumer retail?
 The Amazon Payment Products team needs a Senior Product Manager to define and drive strategy and product feature development with measurable P\&amp;L impact, to create internal and external product features, and to deepen the integration of our products with Amazon’s Retail platform.
**The Ideal Candidate Is Entrepreneurial, Self\-sufficient, And Strong In**
* Product management and development, analyzing customer behavior, conducting customer research, and developing product features and services that deliver bar\-raising customer experiences
* Customer Acquisition and Engagement management, developing targeting strategies and optimizing the deployment of marketing budgets
* Marketing analytics, developing analytical frameworks to understand customer behaviors and designing tests to challenge strategies
* Business management, creating business strategy, owning P\&amp;L and managing program metrics
* Project management, creating business justifications and functional requirements for product features and services
 This position involves regular communication with senior leadership on risks, financial and operational program metrics. Cross\-team coordination, project management and executive presentation skills are essential. The ideal candidate has superior analytical abilities and a track record of finding practical, simple and creative solutions to complicated problems without sacrificing quality or core functionality.
 This role supports the US Private Label Credit Card business as part of the North American regional organization.
 A day in the life
 In a typical day, you'll be interacting with internal and external cross\-functional teams to understand customer needs, develop product strategies to meet those needs, build the business cases to justify the development, measure the success of tests, and scale successes. You will regularly work with engineering, marketing, design, data engineering \&amp; data science, legal, finance, operations, and fellow product marketers to create vision and implement aligned plans.
**About The Team**
 We create payment products that surprise and delight customers with best\-in\-class rewards and frictionless CX. We are collaborative and team\-oriented, diverse and fun. Come join us
**Basic Qualifications**
* 5\+ years of product or program management, product marketing, business development or technology experience
* Bachelor's degree or equivalent
* Experience owning/driving roadmap strategy and definition
* Experience with end to end product delivery
* Experience with feature delivery and tradeoffs of a product
* Experience as a product manager or owner
* Experience owning technology products
**Preferred Qualifications**
* Experience in influencing senior leadership through data driven insights
* Experience working across functional teams and senior stakeholders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WA, SEATTLE \- 136,000\.00 \- 184,100\.00 USD annually
 USA, WA, Seattle \- 136,000\.00 \- 184,100\.00 USD annually
**Company** 
 \- Amazon.com Services LLC \- A57
 Job ID: A3173299</t>
        </is>
      </c>
    </row>
    <row r="46">
      <c r="A46" t="inlineStr">
        <is>
          <t>li-4361054753</t>
        </is>
      </c>
      <c r="B46" t="inlineStr">
        <is>
          <t>Wholesale Lending Transformation Product Owner</t>
        </is>
      </c>
      <c r="C46" t="inlineStr">
        <is>
          <t>Barclays</t>
        </is>
      </c>
      <c r="D46" t="inlineStr">
        <is>
          <t>linkedin</t>
        </is>
      </c>
      <c r="E46">
        <f>HYPERLINK("https://www.linkedin.com/jobs/view/4361054753", "https://www.linkedin.com/jobs/view/4361054753")</f>
        <v/>
      </c>
      <c r="F46" t="inlineStr"/>
      <c r="G46" t="inlineStr">
        <is>
          <t>Whippany, NJ</t>
        </is>
      </c>
      <c r="H46" t="inlineStr"/>
      <c r="I46" t="inlineStr">
        <is>
          <t>Join Barclays as a Wholesale Lending Product Owner VP, where you’ll act as the critical link between business objectives and technology delivery. In this role, you will define and own the product vision, manage the backlog, and drive digitization and simplification of loan origination and servicing processes. At the same time, you will ensure readiness for technical releases, including UAT, documentation updates, and stakeholder engagement. You will collaborate with cross\-functional teams to deliver end\-to\-end solutions, ensure readiness for releases, and maintain compliance with regulatory standards, all while influencing transformation across our lending platforms.
 To be successful as a Wholesale Lending Product Owner VP, you should have:
* Understanding of commercial lending operations and the full loan lifecycle, with experience in systems such as Loan IQ
* Demonstrated experience in Agile and Scrum methodologies, including backlog management and EPIC creation using JIRA
* Ability to manage competing priorities, influence senior stakeholders, and clearly communicate product vision across teams
**Some Other Highly Valued Skills May Include**
* Familiarity with data governance principles, system architecture, and integration concepts; comfortable working with tools such as JIRA, SQL, Tableau, and workflow automation platforms
* Ability to assess highly detailed data flows, identify process inefficiencies, and recommend innovative solutions
* Ability to support transformation, coach teams, and drive adoption of new processes; experience in managing UAT and readiness activities for large\-scale technical releases
 You may be assessed on the key critical skills relevant for success in this role, such as risk and controls, change and transformation, business acumen strategic thinking and digital and technology, as well as job\-specific technical skills.
 This role is located in Whippany, NJ and Wilmington, DE.
**Salary For Whippany, NJ**
 Minimum Salary: $170,000
 Maximum Salary: $230,000
 The minimum and maximum salary/rate information above include only base salary or base hourly rate. It does not include any other type of compensation or benefits that may be available.
 Barclays employees are eligible for a suite of a competitive and generous employee benefits, including medical, dental and vision coverage, 401(k), life insurance, and other paid leave for qualifying circumstances.
 This position is eligible for an incentive award.
**Purpose of the role**
 To collaborate with product owners and other technical teams involved in the product development process and utilise their knowledge of the bank’s technologies to enact the vision defined in the product roadmap.
**Accountabilities**
* Provision of subject matter expertise to support the collaboration between the product owner and the technical side of product development.
* Support the development and implementation of the product strategy and vision defined in the product roadmap and communicate them with the relevant stakeholders and the development team.
* Collaboration with internal stakeholders to gather and prioritise product requirements and features based on business value and feasibility that are well defined, measurable and secure.
* Development and implementation of assessments to ensure continuous testing and improvement of product quality and performance.
* Monitoring of product performance to identify opportunities for optimisation that meets the banks performance standards.
* Stay abreast of the latest industry technology trends and technologies, to evaluate and adopt new approaches to improve product development and delivery.
**Vice President Expectations**
* To contribute or set strategy, drive requirements and make recommendations for change. Plan resources, budgets, and policies; manage and maintain policies/ processes; deliver continuous improvements and escalate breaches of policies/procedures..
* If managing a team, they define jobs and responsibilities, planning for the department’s future needs and operations, counselling employees on performance and contributing to employee pay decisions/changes. They may also lead a number of specialists to influence the operations of a department, in alignment with strategic as well as tactical priorities, while balancing short and long term goals and ensuring that budgets and schedules meet corporate requirements..
* If the position has leadership responsibilities, People Leaders are expected to demonstrate a clear set of leadership behaviours to create an environment for colleagues to thrive and deliver to a consistently excellent standard. The four LEAD behaviours are: L – Listen and be authentic, E – Energise and inspire, A – Align across the enterprise, D – Develop others..
* OR for an individual contributor, they will be a subject matter expert within own discipline and will guide technical direction. They will lead collaborative, multi\-year assignments and guide team members through structured assignments, identify the need for the inclusion of other areas of specialisation to complete assignments. They will train, guide and coach less experienced specialists and provide information affecting long term profits, organisational risks and strategic decisions..
* Advise key stakeholders, including functional leadership teams and senior management on functional and cross functional areas of impact and alignment.
* Manage and mitigate risks through assessment, in support of the control and governance agenda.
* Demonstrate leadership and accountability for managing risk and strengthening controls in relation to the work your team does.
* Demonstrate comprehensive understanding of the organisation functions to contribute to achieving the goals of the business.
* Collaborate with other areas of work, for business aligned support areas to keep up to speed with business activity and the business strategies.
* Create solutions based on sophisticated analytical thought comparing and selecting complex alternatives. In\-depth analysis with interpretative thinking will be required to define problems and develop innovative solutions.
* Adopt and include the outcomes of extensive research in problem solving processes.
* Seek out, build and maintain trusting relationships and partnerships with internal and external stakeholders in order to accomplish key business objectives, using influencing and negotiating skills to achieve outcomes.
 All colleagues will be expected to demonstrate the Barclays Values of Respect, Integrity, Service, Excellence and Stewardship – our moral compass, helping us do what we believe is right. They will also be expected to demonstrate the Barclays Mindset – to Empower, Challenge and Drive – the operating manual for how we behave.</t>
        </is>
      </c>
    </row>
    <row r="47">
      <c r="A47" t="inlineStr">
        <is>
          <t>li-4369317394</t>
        </is>
      </c>
      <c r="B47" t="inlineStr">
        <is>
          <t>Sr. Staff Product Manager: AI-Native ERP &amp; Platform Experience</t>
        </is>
      </c>
      <c r="C47" t="inlineStr">
        <is>
          <t>Intuit</t>
        </is>
      </c>
      <c r="D47" t="inlineStr">
        <is>
          <t>linkedin</t>
        </is>
      </c>
      <c r="E47">
        <f>HYPERLINK("https://www.linkedin.com/jobs/view/4369317394", "https://www.linkedin.com/jobs/view/4369317394")</f>
        <v/>
      </c>
      <c r="F47">
        <f>HYPERLINK("https://dsp.prng.co/smoc_gb&amp;urlHash=OoWe", "https://dsp.prng.co/smoc_gb&amp;urlHash=OoWe")</f>
        <v/>
      </c>
      <c r="G47" t="inlineStr">
        <is>
          <t>San Diego, CA</t>
        </is>
      </c>
      <c r="H47" t="inlineStr"/>
      <c r="I47" t="inlineStr">
        <is>
          <t>**Overview**
 As the Sr. Staff Product Manager for Intuit Enterprise Suite (IES), you will drive our transformation to an AI\-native ERP platform. You will own the end\-to\-end (E2E) experience for our most complex customers, redefining how large\-scale enterprises interact with their financial ecosystem. Your mission is to move beyond a "system of record" toward an autonomous system of intelligence that solves core Jobs\-to\-Be\-Done through seamless, AI\-driven workflows and agents for key personas of our enterprise customer.
 You will lead the strategy for a true Open Platform, ensuring that internal capabilities and third\-party partners can integrate deeply into the IES core. By bridging Human Intelligence (HI) and Artificial Intelligence (AI), you will create a personalized, high\-confidence experience that scales across multi\-entity environments, turning the ERP into a strategic engine for global business growth.
**Responsibilities**
* Redefine First\-Time Use (FTU) for the Enterprise: Lead an AI\-driven setup and customization experience that delivers instant\-on value for large businesses and accelerates their path to a high\-quality, business\-ready configuration.
* Build a True Open Platform: Define and scale integration patterns that enable third\-party partners and developers to seamlessly extend the IES experience, ensuring external data, workflows, and agents are first\-class citizens within an AI\-native platform.
* Design the AI/HI Collaboration Model: Create intuitive interaction patterns that integrate human expertise and support into AI\-driven workflows so users can understand, guide, and trust autonomous financial systems.
* Adaptive Persona \&amp; Vertical Experiences: Accelerate the strategy for AI\-driven tailoring by crafting a platform approach for a personalized user experience
* Strategic E2E Roadmap: Own the rolling 12\-month global roadmap for the IES platform and end to end experience, prioritizing platform extensibility, verticalization, and AI\-native foundational capabilities that serve a broad range of enterprise\-level use cases.
* Drive Ecosystem Interoperability: Work cross\-functionally to ensure that core ledger capabilities, Fintech services, and partner integrations function as a single, cohesive experience for the enterprise customer.
**Qualifications**
* 8\+ years in Product Management: Proven track record of leading platform\-scale transformations or building extensive API\-first ecosystems (e.g., Salesforce, NetSuite, Shopify, or major FinTech platforms).
* AI\-Native Product Expert: Deep experience productizing AI/ML to solve complex data challenges, specifically in building autonomous agents, predictive insights, or intelligent categorization.
* Platform Strategist: Extensive experience building for a developer/partner ecosystem, with a deep understanding of how to create extensible software that third parties can enhance.
* Exceptional UX Vision: Ability to simplify enterprise complexity into intuitive, AI\-assisted journeys that reduce cognitive load for high\-level decision\-makers.
* Enterprise Mastery: Sophisticated understanding of large\-scale business needs, including multi\-entity consolidation, global compliance, and complex data governance.
* Masterful Influencer: Proven ability to navigate a matrixed organization, aligning horizontal platform teams and vertical product leads under a single AI\-native vision.
* High\-Conviction Leader: Adept at using "Inside\-Out" customer insights and "Outside\-In" market shifts to drive long\-term platform investments.
 Intuit provides a competitive compensation package with a strong pay for performance rewards approach. This position may be eligible for a cash bonus, equity rewards and benefits, in accordance with our applicable plans and programs (see more about our compensation and benefits at Intuit®: Careers \| Benefits). Pay offered is based on factors such as job\-related knowledge, skills, experience, and work location. To drive ongoing fair pay for employees, Intuit conducts regular comparisons across categories of ethnicity and gender. The expected base pay range for this position is:</t>
        </is>
      </c>
    </row>
    <row r="48">
      <c r="A48" t="inlineStr">
        <is>
          <t>li-4369320649</t>
        </is>
      </c>
      <c r="B48" t="inlineStr">
        <is>
          <t>Product Manager - Fiber Optic Connectivity</t>
        </is>
      </c>
      <c r="C48" t="inlineStr">
        <is>
          <t>Molex</t>
        </is>
      </c>
      <c r="D48" t="inlineStr">
        <is>
          <t>linkedin</t>
        </is>
      </c>
      <c r="E48">
        <f>HYPERLINK("https://www.linkedin.com/jobs/view/4369320649", "https://www.linkedin.com/jobs/view/4369320649")</f>
        <v/>
      </c>
      <c r="F48">
        <f>HYPERLINK("https://koch.avature.net/en_US/careers/JobDetail/183110?src=LinkedIn&amp;source=LinkedIn&amp;urlHash=LlxH", "https://koch.avature.net/en_US/careers/JobDetail/183110?src=LinkedIn&amp;source=LinkedIn&amp;urlHash=LlxH")</f>
        <v/>
      </c>
      <c r="G48" t="inlineStr">
        <is>
          <t>Chicago, IL</t>
        </is>
      </c>
      <c r="H48" t="inlineStr"/>
      <c r="I48" t="inlineStr">
        <is>
          <t>**Your Job**
 As the
 **Product Manager** 
 for
 **Fiber Optic Connectivity** 
 , you will serve as the central driver of commercialization, product strategy, and cross‑functional execution for next‑generation optical interconnect solutions. You’ll collaborate closely with customers, suppliers, engineering, manufacturing, quality, strategic marketing, and ecosystem partners to guide products from early concept through successful launch.
 In this role, you will lead product initiatives across advanced fiber optic interconnect markets, including high‑density on‑card optical cabling, novel fiber‑to‑chip interfaces, and emerging connectivity technologies. You will assess market needs, define product requirements, conduct pricing and cost analysis, and support marketing efforts to position your product portfolio for growth.
 As part of Molex’s expanding Optical Solutions Business Unit, you’ll engage directly with leading technology customers and global manufacturing partners. You’ll help shape product direction, influence roadmap decisions, and bring innovative connectivity solutions to market. If you are energized by technology, cross‑functional leadership, and building products that advance the future of optical connectivity, this opportunity offers a strong platform to accelerate your career.
**Location** 
 : This is an onsite role based at our headquarters in Lisle, IL.
**What You Will Do**
* Develop strategy to capture current market/revenue growth opportunities as well as a 5–10\-year strategic vision.
* Define product roadmaps, functional requirements, documentation and market development opportunities, prioritizing guidance to the development organization.
* Develop sound points of view on technologies, products, customer, competitors, and convert market trends into actionable product line strategies.
* Define, execute, and manage pricing strategy, P\&amp;L and manufacturing footprint for product portfolios, including development of market pricing for new products in new markets.
* Responsible for directing product line transactional activities through daily collaboration with support staff, engineering, and the manufacturing facilities.
* Manage product lifecycle and portfolio management activities.
* Interact with manufacturing plants to lead cost reduction efforts, capacity planning, and quality improvement initiatives.
* Sales \&amp; Marketing
+ Lead customer segmentation and value chain activities to identify key decision makers and design opportunities.
+ Drive creation and implementation of data sheets, brochures, web content and marketing collateral within various Molex content management systems.
+ Engage with customers in the development of new products, specifications and technical requirements which are used by the various teams in commercialization activities.
+ Create strategy and inputs to pricing systems for assigned product lines.
+ Track and monitor product and program launches to support build timing and sample requirements.
+ Develop growth and penetration strategies for new customers and markets.
+ Manage the process amongst business development, sales and engineering personnel who are working to solve customer products needs in a dynamic fast moving business environment.
+ Travel to meet with customers, eco\-system partners and suppliers to understand needs, capabilities and ultimately design products that meet \&amp; exceed requirements.
+ Define and coordinate marketing strategies for trade shows, advertising, thought leadership, and standards working groups.
**Who You Are (Basic Qualifications)**
* Bachelor’s degree in product management, engineering, business, or related discipline.
* 10\+ years of experience in Product Management, Product Development.
* 5\+ years of experience in fiber optics or photonic systems and markets with fiber connectivity knowledge.
* Experience in P\&amp;L, cost analysis, pricing.
* Desire to interface directly with customers, ecosystems and suppliers at multiple levels
* Demonstrated skills in preparing business plans, product promotion, customer and industry engagement with strong presentation and speaking skills
* Ability to travel up to 30% of the time.
**What Will Put You Ahead**
* Experience with technical customer engagements.
* Working in or supporting large multi\-functional organizations.
* Experience with reporting and analysis, PowerBI.
* B2B business or technical experience.
*For this role, we anticipate paying $115,000 \- $145,000 per year. This role is eligible for variable pay, issued as a monetary bonus or in another form.*
*At Koch companies, we are entrepreneurs. This means we openly challenge the status quo, find new ways to create value and get rewarded for our individual contributions. Any compensation range provided for a role is an estimate determined by available market data. The actual amount may be higher or lower than the range provided considering each candidate's knowledge, skills, abilities, and geographic location. If you have questions, please speak to your recruiter about the flexibility and detail of our compensation philosophy.*
**Hiring Philosophy**
 All Koch companies value diversity of thought, perspectives, aptitudes, experiences, and backgrounds. We are Military Ready and Second Chance employers. Learn more about our hiring philosophy here.
**Who We Are**
 As a Koch company, Molex is a leading supplier of connectors and interconnect components, driving innovation in electronics and supporting industries from automotive to health care and consumer to data communications. The thousands of innovators who work for Molex have made us a global electronics leader. Our experienced people, groundbreaking products and leading\-edge technologies help us deliver a wider array of solutions to more markets than ever before.
 At Koch, employees are empowered to do what they do best to make life better. Learn how our business philosophy helps employees unleash their potential while creating value for themselves and the company.
**Our Benefits**
 Our goal is for each employee, and their families, to live fulfilling and healthy lives. We provide essential resources and support to build and maintain physical, financial, and emotional strength \- focusing on overall wellbeing so you can focus on what matters most. Our benefits plan includes \- medical, dental, vision, flexible spending and health savings accounts, life insurance, ADD, disability, retirement, paid vacation/time off, educational assistance, and may also include infertility assistance, paid parental leave and adoption assistance. Specific eligibility criteria is set by the applicable Summary Plan Description, policy or guideline and benefits may vary by geographic region. If you have questions on what benefits apply to you, please speak to your recruiter.
 Additionally, everyone has individual work and personal needs. We seek to enable the best work environment that helps you and the business work together to produce superior results.
**Equal Opportunities**
 Equal Opportunity Employer, including disability and protected veteran status. Except where prohibited by state law, some offers of employment are conditioned upon successfully passing a drug test. This employer uses E\-Verify. Please click here for additional information. (For Illinois E\-Verify information click here, aquí, or tu).</t>
        </is>
      </c>
    </row>
    <row r="49">
      <c r="A49" t="inlineStr">
        <is>
          <t>li-4361044154</t>
        </is>
      </c>
      <c r="B49" t="inlineStr">
        <is>
          <t>Product Manager</t>
        </is>
      </c>
      <c r="C49" t="inlineStr">
        <is>
          <t>Jobs via Dice</t>
        </is>
      </c>
      <c r="D49" t="inlineStr">
        <is>
          <t>linkedin</t>
        </is>
      </c>
      <c r="E49">
        <f>HYPERLINK("https://www.linkedin.com/jobs/view/4361044154", "https://www.linkedin.com/jobs/view/4361044154")</f>
        <v/>
      </c>
      <c r="F49" t="inlineStr"/>
      <c r="G49" t="inlineStr">
        <is>
          <t>Plano, TX</t>
        </is>
      </c>
      <c r="H49" t="inlineStr"/>
      <c r="I49" t="inlineStr">
        <is>
          <t>Dice is the leading career destination for tech experts at every stage of their careers. Our client, Robert Half, is seeking the following. Apply via Dice today!
**Description**
 We are looking for an experienced Product Manager to oversee and enhance loan / mortgage origination systems within the banking and lending sector. This role focuses on optimizing system functionality, improving user experience, and ensuring compliance with industry standards. The ideal candidate will collaborate closely with cross\-functional teams to deliver solutions that drive efficiency and elevate the borrower and employee experience.
 Responsibilities:
 Manage the administration of loan origination systems, including user access, permissions, and system stability.
 Troubleshoot and resolve technical issues to ensure seamless system performance.
 Customize workflows, templates, and business rules to align technology with operational needs.
 Conduct A/B testing and gather feedback to optimize system features and user experience.
 Develop system documentation and create user guides to support operational processes.
 Collaborate with internal teams and external vendors to implement system improvements and new features.
 Analyze business requirements and translate them into actionable system enhancements.
 Monitor system performance and initiate proactive maintenance to prevent disruptions.
 Partner with compliance teams to ensure all configurations meet regulatory standards.
 Drive the adoption of new technologies and features to improve efficiency and customer satisfaction.
**Requirements**
 Bachelor's degree in a relevant field and at least five years of experience as a Product Manager or similar role.
 Extensive experience with loan origination systems, including configuration and troubleshooting.
 Proficiency in platforms such as Encompass, Black Knight, or similar enterprise systems.
 Demonstrated ability to gather and analyze business requirements and translate them into technical solutions.
 Expertise in creating wireframes and process flows for system enhancements.
 Familiarity with A/B testing methodologies to inform product decisions.
 Strong communication skills with the ability to collaborate across teams and support diverse stakeholders.
 Knowledge of mortgage origination processes and industry regulations.
 Technology Doesn't Change the World, People Do.
 Robert Half is the world's first and largest specialized talent solutions firm that connects highly qualified job seekers to opportunities at great companies. We offer contract, temporary and permanent placement solutions for finance and accounting, technology, marketing and creative, legal, and administrative and customer support roles.
 Robert Half works to put you in the best position to succeed. We provide access to top jobs, competitive compensation and benefits, and free online training. Stay on top of every opportunity \- whenever you choose \- even on the go. Download the Robert Half app and get 1\-tap apply, notifications of AI\-matched jobs, and much more.
 All applicants applying for U.S. job openings must be legally authorized to work in the United States. Benefits are available to contract/temporary professionals, including medical, vision, dental, and life and disability insurance. Hired contract/temporary professionals are also eligible to enroll in our company 401(k) plan. Visit roberthalf.gobenefits.net for more information.
 2025 Robert Half. An Equal Opportunity Employer. M/F/Disability/Veterans. By clicking "Apply Now," you're agreeing to Robert Half's Terms of Use and Privacy Notice.</t>
        </is>
      </c>
    </row>
    <row r="50">
      <c r="A50" t="inlineStr">
        <is>
          <t>li-4363622769</t>
        </is>
      </c>
      <c r="B50" t="inlineStr">
        <is>
          <t>Product Owner - Membership Administration</t>
        </is>
      </c>
      <c r="C50" t="inlineStr">
        <is>
          <t>HMSA</t>
        </is>
      </c>
      <c r="D50" t="inlineStr">
        <is>
          <t>linkedin</t>
        </is>
      </c>
      <c r="E50">
        <f>HYPERLINK("https://www.linkedin.com/jobs/view/4363622769", "https://www.linkedin.com/jobs/view/4363622769")</f>
        <v/>
      </c>
      <c r="F50">
        <f>HYPERLINK("https://myjobs.adp.com/hmsacareers/cx/job-details?reqId=5001173978706&amp;rb=LINKEDIN&amp;urlHash=C7NM", "https://myjobs.adp.com/hmsacareers/cx/job-details?reqId=5001173978706&amp;rb=LINKEDIN&amp;urlHash=C7NM")</f>
        <v/>
      </c>
      <c r="G50" t="inlineStr">
        <is>
          <t>Honolulu, HI</t>
        </is>
      </c>
      <c r="H50" t="inlineStr"/>
      <c r="I50" t="inlineStr">
        <is>
          <t>**Employment Type**
 Full\-time
**Exempt or Non\-Exempt**
 Exempt
**Job Summary**
 Hybrid Work Environment \- Must reside on Oahu
 Pay Range: $68,000 \- $133,000
 Note: Individuals typically begin between the minimum to middle of the pay range
 The membership administration (admin) product owner (PO) is responsible for driving the development and delivery of innovative digital solutions and platforms related to enhancement of membership. The PO translates complex business needs into well\-defined user stories and prioritizes work for development teams to maximize business value and customer satisfaction.
**Minimum Qualifications**
* Bachelor's degree and five years of related work experience; or equivalent combination of education and related work experience.
* In\-depth knowledge of managed care, PPO, HMO, Medicaid, Medicare Advantage, and commercial group health plans
* Effective written and verbal communication skills
* Intermediate knowledge of Microsoft Office applications including, but not limited to Word, PowerPoint, Outlook and Excel.
**Duties And Responsibilities** 
* Product Ownership \&amp; Agile Delivery:
+ Develop, maintain and communicate product vision \&amp; roadmaps, ensuring alignment with organizational goals, technology trends, and customer needs.
+ Represent the voice of the customer and business stakeholders within the Scrum team, ensuring user stories deliver measurable value.
+ Own and evolve the product backlog, prioritizing based on performance analytics, stakeholder input, sprint outcomes, and shifting business priorities to maximize value delivery.
+ Partner internal teams to ensure timely and high\-quality deliverables.
+ Facilitate cross\-functional collaboration between developers, QA, UX, and architecture to align on technical feasibility, design standards, and user experience goals.
+ Support release planning and deployment coordination across environments.
* Product Strategy \&amp; Requirements:
+ Translate business needs and strategic goals into innovative, scalable solutions aligned with healthcare industry challenges and regulatory requirements.
+ Apply business insight and analysis to develop strategies that reflect constraints, resources, and HMSA values.
+ Define and document product features and user stories that reflect strategic objectives and adhere to architectural standards
+ Continuously improve processes, templates, and methodologies to enhance customer experience, quality, and launch time.
* Stakeholder Management:
+ Build strong relationships with stakeholders at all levels, ensuring alignment on needs and clear communication throughout the product development lifecycle.
+ Level set stakeholders' expectations and facilitate collaboration to define and deliver feasible product visions.
+ Act as primary liaison between business stakeholders and development teams, leading and mentoring stakeholders on product lifecycle, processes, and tools.
+ Present and communicate with executive level leadership
* Collaboration:
+ Partner with internal teams to develop standards, processes, and continuous improvement opportunities.
+ Support product owners, program managers, and other teams with strategic alignment and prioritization.
+ Mentor product team members and create product tools, templates, and processes.
* Performance Outcomes:
+ Define and monitor key performance indicators (KPIs) for products and initiatives, using data to drive optimization.
* Performs all other miscellaneous responsibilities and duties as assigned or directed.</t>
        </is>
      </c>
    </row>
    <row r="51">
      <c r="A51" t="inlineStr">
        <is>
          <t>li-4360578079</t>
        </is>
      </c>
      <c r="B51" t="inlineStr">
        <is>
          <t>Sr. Manager IGA Product Owner – Future Capabilities</t>
        </is>
      </c>
      <c r="C51" t="inlineStr">
        <is>
          <t>TD Securities</t>
        </is>
      </c>
      <c r="D51" t="inlineStr">
        <is>
          <t>linkedin</t>
        </is>
      </c>
      <c r="E51">
        <f>HYPERLINK("https://www.linkedin.com/jobs/view/4360578079", "https://www.linkedin.com/jobs/view/4360578079")</f>
        <v/>
      </c>
      <c r="F51" t="inlineStr"/>
      <c r="G51" t="inlineStr">
        <is>
          <t>Mount Laurel, NJ</t>
        </is>
      </c>
      <c r="H51" t="inlineStr"/>
      <c r="I51" t="inlineStr">
        <is>
          <t>**Work Location:**
 Mount Laurel, New Jersey, United States of America
**Hours**
 40
**Pay Details**
 $123,680 \- $219,890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vary based upon the candidate's skills and experience, job\-related knowledge, geographic location, and other specific business and organizational needs.
 As a candidate, you are encouraged to ask compensation related questions and have an open dialogue with your recruiter who can provide you more specific details for this role.
**Line Of Business**
 Technology Solutions
**Job Description**
**Department Overview:**
 The Senior Manager Information Security manages / leads a team of Technology Controls / Information Security experts in the development and/ or management of relevant strategies, programs, tools, frameworks and policies and provides specialized oversight / control / governance activities for a key business line/segment or transformational (change the bank) strategic initiative / program, liaising across the organization and primarily interfacing with executive and/or functional stakeholders to minimize overall technology risks to the Bank for own area.
**Depth \&amp; Scope**
* Oversees / manages a team or group(s) of moderate to large or in size, scope, risk and complexity.
* Provides thought leadership and is future\-focused.
* Possesses excellent communication, negotiation and organizational skills specifically including the ability to present options in business terms to both IT and business staff including executives.
* Has a deep expertise and knowledge of Bank, technology standards and leading large and varied teams of professionals.
* Possesses expert knowledge of broad scope of technology controls / information security, technology, tools, processes and procedures, as well as broader organization issues.
**Education \&amp; Experience**
* Bachelor's degree preferred
* Information security certification / accreditation an asset
* 10\+ years of relevant experience
**Preferred Qualifications**
* 10\+ years experience in Identity Governance and Administration (IGA) or IAM, with 6\+ years in Product Management, Business Architecture, Sail Point or Capability Leadership.
* Demonstrated experience defining IAM/IGA capabilities in large, complex enterprise environments.
* Strong understanding of:
+ SailPoint IIQ or equivalent IGA platforms
+ RBAC/ABAC models
+ Lifecycle management
+ Attestation \&amp; certification
+ SoD design \&amp; governance
+ Provisioning and access request patterns
+ Strong knowledge of regulatory and control frameworks including SOX, NIST 800\-53, FFIEC, PCI.
* Proven ability to lead multi\-stakeholder governance and alignment across technical, business, and risk teams.
* Experience working with engineering teams in Agile delivery environments.
* Exceptional communication, facilitation, and executive presentation skills.
* Strategic, analytical thinker with strong prioritization and problem\-solving abilities.
* Self\-driven leader with experience influencing senior stakeholders and driving large\-scale transformation.
**Physical Requirements**
 Never: 0%; Occasional: 1\-33%; Frequent: 34\-66%; Continuous: 67\-100%
* Domestic Travel – Occasional
* International Travel – Never
* Performing sedentary work – Continuous
* Performing multiple tasks – Continuous
* Operating standard office equipment \- Continuous
* Responding quickly to sounds – Occasional
* Sitting – Continuous
* Standing – Occasional
* Walking – Occasional
* Moving safely in confined spaces – Occasional
* Lifting/Carrying (under 25 lbs.) – Occasional
* Lifting/Carrying (over 25 lbs.) – Never
* Squatting – Occasional
* Bending – Occasional
* Kneeling – Never
* Crawling – Never
* Climbing – Never
* Reaching overhead – Never
* Reaching forward – Occasional
* Pushing – Never
* Pulling – Never
* Twisting – Never
* Concentrating for long periods of time – Continuous
* Applying common sense to deal with problems involving standardized situations – Continuous
* Reading, writing and comprehending instructions – Continuous
* Adding, subtracting, multiplying and dividing – Continuous
 The above statements are intended to describe the general nature and level of work being performed by people assigned to this job. They are not intended to be an exhaustive list of all responsibilities, duties and skills required. The listed or specified responsibilities \&amp; duties are considered essential functions for ADA purposes.
**Who We Are**
 TD is one of the world's leading global financial institutions and is the fifth largest bank in North America by branches/stores. Every day, we strive to make every interaction, product, and experience remarkably human and refreshingly simple for over 27 million households and businesses in Canada, the United States and around the world. More than 95,000 TD colleagues bring their skills, talent, and creativity to foster deeper relationships, ensure disciplined execution, and build a simpler, faster banking experience. TD is deeply committed to being a leader in client experience, that is why we believe that all colleagues, no matter where they work, are client facing. Together, we are reimagining what banking can be for our clients, colleagues and communities.
**Our Total Rewards Package**
 Our Total Rewards package reflects the investments we make in our colleagues to help them and their families achieve their financial, physical and mental well\-being goals. Total Rewards at TD includes base salary and variable compensation/incentive awards (e.g., eligibility for cash and/or equity incentive awards, generally through participation in an incentive plan) and several other key plans such as health and well\-being benefits, savings and retirement programs, paid time off (including Vacation PTO, Flex PTO, and Holiday PTO), banking benefits and discounts, career development, and reward and recognition. Learn more
**Additional Information**
 We’re delighted that you’re considering building a career with TD. Through regular development conversations, training programs, and a competitive benefits plan, we’re committed to providing the support our colleagues need to thrive both at work and at home.
**Colleague Development**
 If you’re interested in a specific career path or are looking to build certain skills, we want to help you succeed. You’ll have regular career, development, and performance conversations with your manager, as well as access to an online learning platform and a variety of mentoring programs to help you unlock future opportunities.
 If you’re passionate about helping clients and building deep, lasting relationships, TD offers diverse career paths where you can grow your expertise and make a meaningful impact.
 We're committed to your success and foster a respectful workplace where diverse perspectives are valued, everyone has fair opportunities to grow, and you can unlock your full potential to achieve your career goals. Here at TD, we hire and develop the best.
**Training \&amp; Onboarding**
 We will provide training and onboarding sessions to ensure that you’ve got everything you need to succeed in your new role.
**Interview Process**
 We’ll reach out to candidates of interest to schedule an interview. We do our best to communicate outcomes to all applicants by email or phone call.
**Accommodation**
 TD Bank is an equal opportunity employer. All qualified applicants will receive consideration for employment without regard to race, color, religion, sex, sexual orientation, gender identity, national origin, age, disability, status as a protected veteran or any other characteristic protected under applicable federal, state, or local law.
 If you are an applicant with a disability and need accommodations to complete the application process, please email TD Bank US Workplace Accommodations Program at USWAPTDO@td.com. Include your full name, best way to reach you and the accommodation needed to assist you with the applicant process.</t>
        </is>
      </c>
    </row>
    <row r="52">
      <c r="A52" t="inlineStr">
        <is>
          <t>li-4362971264</t>
        </is>
      </c>
      <c r="B52" t="inlineStr">
        <is>
          <t>Senior Associate, Product Manager Small Business Bank</t>
        </is>
      </c>
      <c r="C52" t="inlineStr">
        <is>
          <t>Capital One</t>
        </is>
      </c>
      <c r="D52" t="inlineStr">
        <is>
          <t>linkedin</t>
        </is>
      </c>
      <c r="E52">
        <f>HYPERLINK("https://www.linkedin.com/jobs/view/4362971264", "https://www.linkedin.com/jobs/view/4362971264")</f>
        <v/>
      </c>
      <c r="F52">
        <f>HYPERLINK("https://dsp.prng.co/_UAxVIb&amp;urlHash=P1lX", "https://dsp.prng.co/_UAxVIb&amp;urlHash=P1lX")</f>
        <v/>
      </c>
      <c r="G52" t="inlineStr">
        <is>
          <t>New York, NY</t>
        </is>
      </c>
      <c r="H52" t="inlineStr"/>
      <c r="I52" t="inlineStr">
        <is>
          <t>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
 In the Small Business Bank, our customers are the lifeblood of the US economy, making up 99% of businesses in the US and accounting for 44% of the country's GDP. We’ve built an organization that is focused on listening to and learning from the millions of business customers we serve every day to make sure our products, services and experiences work as hard as they do. On our team, we combine that customer\-centric approach with our heritage of data\-driven decision making to design, build, and test our way to best\-in\-class, business\-grade experiences that help Small Businesses succeed.
 We are looking for a Product Manager to join our Servicing and Payments Digital Product team in Capital One Small Business Bank. In this role, you will be responsible for reimagining the mobile servicing and payment experiences for small business customers. You will define, build, and accelerate digital experiences in our mobile app that enable us to serve small business customers quickly and in a well\-managed way. Your role will be equal parts coach, visionary, and problem solver, and you will be responsible for leading a high\-impact, mobile team, co\-creating a vision for the future, gaining broad stakeholder alignment, and guiding cross\-functional teams to deliver exceptional value while knocking down all the things that slow us down.
 In this role, you’ll be expected to demonstrate proficiency in five key areas
* Human Centered
+ You’ll define clear and actionable problem statements to help teams deliver results while displaying a comprehensive understanding of iterative software delivery, capable of thin\-slice MVP grooming.
+ You’ll leverage customer insights to influence priorities and roadmap feature development while advocating for and driving alignment between stakeholders in the development of acceptance criteria.
+ You’ll obsess over UX/UI patterns and seek to create world class, omni\-channel experiences.
* Business Focused
+ You’ll own and prioritize the product roadmap to deliver on business outcomes, quickly identifying points of leverage in complex problems or systems, and utilizing data effectively to define success metrics and measurable outcomes.
+ You’ll utilize balanced judgment in decisions about risks of both actions taken and not taken while innovating on ways to iterate faster in a well\-managed way for the immediate team.
* Technology Driven
+ You’ll understand and leverage technology and end\-state architecture vision to partner with the technology team to drive comprehensive design decisions out of white space technical problems.
+ You’ll share business strategy and roadmap with Tech partners to establish context while also leading and facilitating agile ceremonies alongside Tech Lead.
+ You’ll deliver value by creating reusable, extensible and resilient capabilities and proactively identify opportunities when key metrics on security, resilience and performance are not performing.
* Integrated Problem Solving
+ Develop and champion a bold vision that drives meaningful outcomes by embracing the art of the possible.
+ Build frameworks for complex decision making that enable effective debate and accelerate getting to the right answer.
 Basic Qualifications:
* Bachelor’s Degree or military experience
* At least 2 years of experience working in Product Management
 Preferred Qualifications:
* Bachelor’s degree in computer science or engineering
* Experience translating business strategy and analysis into consumer facing digital products
**At this time, Capital One will not sponsor a new applicant for employment authorization for this position.**
 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
 McLean, VA: $111,200 \- $126,900 for Sr. Associate, Product Management
 New York, NY: $121,300 \- $138,400 for Sr. Associate, Product Management
 Richmond, VA: $101,100 \- $115,400 for Sr. Associate, Product Management
 Candidates hired to work in other locations will be subject to the pay range associated with that location, and the actual annualized salary amount offered to any candidate at the time of hire will be reflected solely in the candidate’s offer letter.
 This role is also eligible to earn performance based incentive compensation, which may include cash bonus(es) and/or long term incentives (LTI). Incentives could be discretionary or non discretionary depending on the plan.
 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
 This role is expected to accept applications for a minimum of 5 business days.
 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
 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
 For technical support or questions about Capital One's recruiting process, please send an email to Careers@capitalone.com
 Capital One does not provide, endorse nor guarantee and is not liable for third\-party products, services, educational tools or other information available through this site.
 Capital One Financial is made up of several different entities. Please note that any position posted in Canada is for Capital One Canada, any position posted in the United Kingdom is for Capital One Europe and any position posted in the Philippines is for Capital One Philippines Service Corp. (COPSSC).</t>
        </is>
      </c>
    </row>
    <row r="53">
      <c r="A53" t="inlineStr">
        <is>
          <t>li-4360518786</t>
        </is>
      </c>
      <c r="B53" t="inlineStr">
        <is>
          <t>Product Manager, Licensed Sports</t>
        </is>
      </c>
      <c r="C53" t="inlineStr">
        <is>
          <t>Amazon</t>
        </is>
      </c>
      <c r="D53" t="inlineStr">
        <is>
          <t>linkedin</t>
        </is>
      </c>
      <c r="E53">
        <f>HYPERLINK("https://www.linkedin.com/jobs/view/4360518786", "https://www.linkedin.com/jobs/view/4360518786")</f>
        <v/>
      </c>
      <c r="F53">
        <f>HYPERLINK("https://www.amazon.jobs/jobs/3175488/product-manager-licensed-sports?cmpid=SPLICX0248M&amp;utm_source=linkedin.com&amp;utm_campaign=cxro&amp;utm_medium=social_media&amp;utm_content=job_posting&amp;ss=paid&amp;urlHash=xTRc", "https://www.amazon.jobs/jobs/3175488/product-manager-licensed-sports?cmpid=SPLICX0248M&amp;utm_source=linkedin.com&amp;utm_campaign=cxro&amp;utm_medium=social_media&amp;utm_content=job_posting&amp;ss=paid&amp;urlHash=xTRc")</f>
        <v/>
      </c>
      <c r="G53" t="inlineStr">
        <is>
          <t>Seattle, WA</t>
        </is>
      </c>
      <c r="H53" t="inlineStr"/>
      <c r="I53" t="inlineStr">
        <is>
          <t>**Description**
 Come build the future of sports shopping as a Product Manager on Amazon’s Licensed Sports team. Here, you will be inspired working alongside best\-in\-class inventors, innovators, and sports fans. In this role, you will use a combination of thought leadership, analytical skills, cross\-functional partnership, business judgment, and strategic thinking to innovate on behalf of sports fans. You will thrive working cross\-functionally across our retail and marketplace teams to optimize operational efficiency and catalog management within Licensed Sports. This role focuses on day\-to\-day business operations, catalog excellence, and cross\-functional collaboration to deliver a great shopping experience for customers with perfect listing quality. You will also establish yourself as a thought leader on Amazon catalog tools and systems, the sports industry, and the intersection of the two.
**About The Team**
 Amazon Licensed Sports is building the future of sports shopping and working to bring fans the best customer experience possible. The Licensed Sports team is responsible for the customer experience, retail partnerships, selection expansion, and fan engagement and marketing strategies across professional leagues like the NFL, NBA, WNBA, and NHL, as well as collegiate properties. The Licensed Sports team is a fast growing, and strategically imperative business within Amazon Stores, and we’re looking for a dynamic and results\-oriented Product Manager to join our team.
**Basic Qualifications**
* 3\+ years of product management experience
* Experience in product, program, or project management in leading cross\-functional teams in delivery of major new products or services
* Experience developing operational processes and technologies
* Bachelor's degree
**Preferred Qualifications**
* Knowledge of Microsoft Excel (macros, pivots, lookups) at an advanced level
* Experience building and analyzing cost/benefit scenarios and business cases and communicating results throughout the organization
* Experience working with large\-scale data mining and reporting tools (i.e. SQL, MSAccess, Tableau, Essbase or Cognos)
* Experience working in, or a strong passion for, the business of sports
* Usage of generative AI tools to enhance workflow efficiency, with a willingness to learn effective prompting and evaluation practices
* Ability to recognize opportunities where generative AI could enhance products, workflows, or customer experiences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WA, Seattle \- 116,300\.00 \- 160,000\.00 USD annually
**Company** 
 \- Amazon.com Services LLC
 Job ID: A3175488</t>
        </is>
      </c>
    </row>
    <row r="54">
      <c r="A54" t="inlineStr">
        <is>
          <t>li-4353550526</t>
        </is>
      </c>
      <c r="B54" t="inlineStr">
        <is>
          <t>Principal Product Manager - Performance Solutions Delivery Architecture</t>
        </is>
      </c>
      <c r="C54" t="inlineStr">
        <is>
          <t>FactSet</t>
        </is>
      </c>
      <c r="D54" t="inlineStr">
        <is>
          <t>linkedin</t>
        </is>
      </c>
      <c r="E54">
        <f>HYPERLINK("https://www.linkedin.com/jobs/view/4353550526", "https://www.linkedin.com/jobs/view/4353550526")</f>
        <v/>
      </c>
      <c r="F54" t="inlineStr"/>
      <c r="G54" t="inlineStr">
        <is>
          <t>Chicago, IL</t>
        </is>
      </c>
      <c r="H54" t="inlineStr"/>
      <c r="I54" t="inlineStr">
        <is>
          <t>FactSet creates flexible, open data and software solutions for over 200,000 investment professionals worldwide, providing instant access
 to financial data and analytics that investors use to make crucial decisions.
 At FactSet, our values are the foundation of everything we do. They express how we act and operate, serve as a compass in our decision\-making, and play a big role in how we treat each other, our clients, and our communities. We believe that the best ideas can come from anyone, anywhere, at any time, and that curiosity is the key to anticipating our clients’ needs and exceeding their expectations.
 The Principal Product Manager – Performance Solutions Delivery Architecture is responsible for discovery, strategy, success metrics, planning, launch, and optimization of the client solutioning process from their legacy Performance Solution to FactSet Performance Solution (FPS). These legacy Performance Solutions include many market solutions, including (but not limited to) SS\&amp;C Sylvan, SS\&amp;C Anova, Eagle Performance, Confluence StatPro, etc – but will also include clients transitioning from FactSet B\-One to FPS.
 This person will represent FactSet as a Performance Subject Matter Expert in client engagements during the solution creation phase of the sales \&amp; onboarding lifecycle, which begins during the sales process (pre\-contract) and extends throughout the implementation. This person will work heavily across Product, Sales, Enterprise Hosting, Portfolio Services, Professional Services, and Support Services.
**Job Requirements**
**Client Engagement and Solution Design:**
* Serve as the Performance Subject Matter Expert in new sales opportunities, particularly for complex, multi\-component Performance product sales.
* Partner with Sales, Professional Services, and Managed Services to thoroughly understand client requirements through Product Assessments \&amp; Solutions Workshops.
* Design and document Performance solutions tailored to client business requirements.
* Partner with Professional Services to develop and advise on the optimal approach to prioritizing implementation phases.
**Solution Documentation And Implementation Support**
* Produce comprehensive solution design documents to guide the Professional Services team in crafting Statements of Work (SOW) for implementation.
* Establish and document a prioritized gap list for clients, aligned with the implementation timeline and plan, ensuring all stakeholders are informed and engaged.
**Cross\-functional Collaboration**
* Work closely with various internal teams (Product, Sales, Enterprise Hosting, Portfolio Services, Professional Services, and Support Services) to ensure cohesive and coordinated efforts in client solutioning and implementation.
* Communicate with various Product teams across Performance and other functional areas to translate client use cases and requirements into actionable product enhancements which are needed as part of the solution design.
* Maintain continuous communication with clients throughout the solutioning and implementation phases to ensure alignment and satisfaction.
**Qualifications**
* Extensive experience as a Performance Subject Matter Expert, preferably with hands\-on experience in transitioning clients from legacy solutions such as SS\&amp;C Sylvan, SS\&amp;C Anova, Eagle Performance, Confluence StatPro, and FactSet B\-One to new performance solutions.
* Strong background in leading client workshops, requirements gathering, and solution design.
* Proven ability to create detailed and actionable solution design documents and implementation plans.
* Demonstrated capability to work collaboratively across multiple internal teams and manage complex projects, inspiring several cross\-functional teams to deliver on the product solution and vision without direct authority.
* Bachelor’s degree in STEM, finance, economics, or other relevant field, or equivalent experience
* 12\+ years relevant experience
**Competencies**
* Insights: Actively engages with users and prospects to deepen understanding of current user needs and anticipate future needs.  Sought out for expertise on end\-market trends and competitors.
* Strategy: Translates company and Firm Type strategies into specific priorities and objectives for their product line department. Evangelizes the strategy across the department and the business line. Proactively drives product sunsets where necessary. Thoughtfully experiments, prioritizes resources and repoints to most valuable problems.
* Execution: Challenges the status quo to extend the limits of what is possible.  Expertly navigates organizational obstacles to crush constraints
* Leadership \&amp; Inclusion:  Building reputation as a thought leader and internal subject matter expert.  Has a strong enterprise mindset. Promotes our culture of collaboration across functions.
**Working Environment** 
 : Hybrid
 For U.S. locations, must be legally authorized to work in the United States without the need for employer sponsorship, now or at any time in the future
**What's In It For You**
 At FactSet, our people are our greatest asset, and our culture is our biggest competitive advantage. Being a FactSetter means:
* The opportunity to join an S\&amp;P 500 company with over 45 years of sustainable growth powered by the entrepreneurial spirit of a start\-up.
* Support for your total well\-being. This includes health, life, and disability insurance, as well as retirement savings plans and a discounted employee stock purchase program, plus paid time off for holidays, family leave, and company\-wide wellness days.
* Flexible work accommodations. We value work/life harmony and offer our employees a range of accommodations to help them achieve success both at work and in their personal lives.
* A global community dedicated to volunteerism and sustainability, where collaboration is always encouraged, and individuality drives solutions.
* Career progression planning with dedicated time each month for learning and development.
* Business Resource Groups open to all employees that serve as a catalyst for connection, growth, and belonging.
**Learn More About Our Benefits Here.**
 Salary is just one component of our compensation package and is based on several factors including but not limited to education, work experience, and certifications.
**The budgeted amount range for this position in California, Colorado, Connecticut, New York City and Toronto is $140,000 \- $170,000**
**Company Overview**
 FactSet (NYSE:FDS \| NASDAQ:FDS) helps the financial community to see more, think bigger, and work better. Our digital platform and enterprise solutions deliver financial data, analytics, and open technology to more than 8,200 global clients, including over 200,000 individual users. Clients across the buy\-side and sell\-side, as well as wealth managers, private equity firms, and corporations, achieve more every day with our comprehensive and connected content, flexible next\-generation workflow solutions, and client\-centric specialized support. As a member of the S\&amp;P 500, we are committed to sustainable growth and have been recognized among the Best Places to Work in 2023 by Glassdoor as a Glassdoor Employees’ Choice Award winner. Learn more at www.factset.com and follow us on X and LinkedIn.
 At FactSet, we celebrate difference of thought, experience, and perspective. Qualified applicants will be considered for employment without regard to race, color, religion, national origin, sex, sexual orientation, gender identity, disability, protected veteran status or other characteristics protected by law. FactSet participates in E\-Verify</t>
        </is>
      </c>
    </row>
    <row r="55">
      <c r="A55" t="inlineStr">
        <is>
          <t>li-4354006880</t>
        </is>
      </c>
      <c r="B55" t="inlineStr">
        <is>
          <t>Product Manager, Antibody Detection</t>
        </is>
      </c>
      <c r="C55" t="inlineStr">
        <is>
          <t>Thermo Fisher Scientific</t>
        </is>
      </c>
      <c r="D55" t="inlineStr">
        <is>
          <t>linkedin</t>
        </is>
      </c>
      <c r="E55">
        <f>HYPERLINK("https://www.linkedin.com/jobs/view/4354006880", "https://www.linkedin.com/jobs/view/4354006880")</f>
        <v/>
      </c>
      <c r="F55" t="inlineStr"/>
      <c r="G55" t="inlineStr">
        <is>
          <t>Arizona, United States</t>
        </is>
      </c>
      <c r="H55" t="inlineStr"/>
      <c r="I55" t="inlineStr">
        <is>
          <t>**Work Schedule**
 Standard (Mon\-Fri)
**Environmental Conditions**
 Office
 As part of the Thermo Fisher Scientific team, you’ll discover meaningful work that makes a positive impact on a global scale. Join our colleagues in bringing our Mission to life every single day to enable our customers to make the world healthier, cleaner and safer. We provide our global teams with the resources needed to achieve individual career goals while helping to take science a step beyond by developing solutions for some of the world’s toughest challenges, like protecting the environment, making sure our food is safe or helping find cures for cancer.
 DESCRIPTION:
 This is an outstanding chance to craft the future of transplant diagnostics as a Product Manager for the Antibody Detection portfolio. You will be at the forefront of innovation, leading projects that have a profound impact on patient outcomes and healthcare standards globally. Your work will be instrumental in driving product differentiation and market growth!
 Key Responsibilities
* Analyze global market trends, customer needs, and competitor strategies to identify growth opportunities and drive product differentiation.
* Coordinate forecasting, aligning market needs with commercial, R\&amp;D, and operations teams to ensure accurate supply.
* Collaborate closely with R\&amp;D to define long\-term strategies, product roadmaps, and customer\-focused developments.
* Lead new product development, conduct Voice\-of\-Customer research, define requirements, and provide business justification for product launches and improvements.
* Develop global product launch plans, including market segmentation, commercialization, competitive analysis, and pricing strategy.
**Qualifications**
* Education: Bachelor's degree in life sciences required; MBA or relevant product management experience a plus.
* Experience: 4\+ years in product management or related experience required; preferably in the IVD space.
* Expertise in histocompatibility and immunogenetics and HLA antibody detection highly desired.
* Skills: Strong leadership, analytical, and collaboration skills.
* Travel: Up to 25% travel required.
 Why Join Us?
 At Thermo Fisher Scientific Inc., we believe in encouraging a collaborative and inclusive environment where your contributions are valued. You'll work alongside world\-class professionals, tackling ambitious projects that set industry standards. Your role is crucial in ensuring our products meet the highest standards of quality and innovation. Join us and contribute to our mission enabling our customers to make the world healthier, cleaner, and safer.
**Compensation And Benefits**
 The salary range estimated for this position based in Indiana is $103,100\.00–$154,700\.00\.
 This position may also be eligible to receive a variable annual bonus based on company, team, and/or individual performance results in accordance with company policy. We offer a comprehensive Total Rewards package that our U.S. colleagues and their families can count on, which includes:
* A choice of national medical and dental plans, and a national vision plan, including health incentive programs
* Employee assistance and family support programs, including commuter benefits and tuition reimbursement
* At least 120 hours paid time off (PTO), 10 paid holidays annually, paid parental leave (3 weeks for bonding and 8 weeks for caregiver leave), accident and life insurance, and short\- and long\-term disability in accordance with company policy
* Retirement and savings programs, such as our competitive 401(k) U.S. retirement savings plan
* Employees’ Stock Purchase Plan (ESPP) offers eligible colleagues the opportunity to purchase company stock at a discount
 For more information on our benefits, please visit: https://jobs.thermofisher.com/global/en/total\-rewards</t>
        </is>
      </c>
    </row>
    <row r="56">
      <c r="A56" t="inlineStr">
        <is>
          <t>li-4362920386</t>
        </is>
      </c>
      <c r="B56" t="inlineStr">
        <is>
          <t>Product Manager - LoB Enablement</t>
        </is>
      </c>
      <c r="C56" t="inlineStr">
        <is>
          <t>Capital One</t>
        </is>
      </c>
      <c r="D56" t="inlineStr">
        <is>
          <t>linkedin</t>
        </is>
      </c>
      <c r="E56">
        <f>HYPERLINK("https://www.linkedin.com/jobs/view/4362920386", "https://www.linkedin.com/jobs/view/4362920386")</f>
        <v/>
      </c>
      <c r="F56" t="inlineStr"/>
      <c r="G56" t="inlineStr">
        <is>
          <t>Richmond, VA</t>
        </is>
      </c>
      <c r="H56" t="inlineStr"/>
      <c r="I56" t="inlineStr">
        <is>
          <t>**Manager, Product Management (PXDP50\)**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
**About The Team**
 We are seeking strategic and dynamic product managers to lead finance transformation initiatives and drive the product evolution for our financial products. These roles will focus on rolling product led thinking in finance, streamlining operation and implementing innovative solutions that improves efficiency and business performance for our finance organization. You will collaborate with cross functional teams including finance, engineering and data to deliver impactful product improvement and strategic initiatives.
**Capital One Product Framework**
 In this role, you’ll be expected to demonstrate proficiency in five key areas which we consider to be the foundation for successful Product management:
* Human Centered \- Obsesses about internal and external customer needs to reimagine and innovate product solutions
* Business Focused \- Delivers game\-changing outcomes by focusing on leverage and execution excellence
* Technology Driven \- Leverages technology to deliver innovative and resilient solutions that enable both near term and long term value
* Integrated Problem Solving \- Identifies and resolves complex problems to deliver outcomes while mitigating product risks
* Transformational Leadership \- Leads cross functional teams to solve customer problems and drive organizational alignment
**Basic Qualifications:**
* At least 3 years of experience working in Product Management
* Currently has, or is in the process of obtaining one of the following with an expectation that the required degree will be obtained on or before the scheduled start date:
+ A Bachelor's Degree in a quantitative field (Statistics, Economics, Operations Research, Analytics, Mathematics, Computer Science, Computer Engineering, Software Engineering, Mechanical Engineering, Information Systems or a related quantitative field)
+ A Master's Degree in a quantitative field (Statistics, Economics, Operations Research, Analytics, Mathematics, Computer Science, Computer Engineering, Software Engineering, Mechanical Engineering, Information Systems or a related quantitative field) or an MBA with a quantitative concentration
**Preferred Qualifications:**
* Experience translating business strategy and analysis into consumer facing digital products
*At this time, Capital One will not sponsor a new applicant for employment authorization for this position*
 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
 Richmond, VA: $149,800 \- $171,000 for Manager, Product Management
 Cambridge, MA: $164,800 \- $188,100 for Manager, Product Management
 McLean, VA: $164,800 \- $188,100 for Manager, Product Management
 Candidates hired to work in other locations will be subject to the pay range associated with that location, and the actual annualized salary amount offered to any candidate at the time of hire will be reflected solely in the candidate’s offer letter.
 This role is also eligible to earn performance based incentive compensation, which may include cash bonus(es) and/or long term incentives (LTI). Incentives could be discretionary or non discretionary depending on the plan.
 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
 This role is expected to accept applications for a minimum of 5 business days.
 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
 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
 For technical support or questions about Capital One's recruiting process, please send an email to Careers@capitalone.com
 Capital One does not provide, endorse nor guarantee and is not liable for third\-party products, services, educational tools or other information available through this site.
 Capital One Financial is made up of several different entities. Please note that any position posted in Canada is for Capital One Canada, any position posted in the United Kingdom is for Capital One Europe and any position posted in the Philippines is for Capital One Philippines Service Corp. (COPSSC).</t>
        </is>
      </c>
    </row>
    <row r="57">
      <c r="A57" t="inlineStr">
        <is>
          <t>li-4353450514</t>
        </is>
      </c>
      <c r="B57" t="inlineStr">
        <is>
          <t>Principal Product Manager - Performance Solutions Delivery Architecture</t>
        </is>
      </c>
      <c r="C57" t="inlineStr">
        <is>
          <t>FactSet</t>
        </is>
      </c>
      <c r="D57" t="inlineStr">
        <is>
          <t>linkedin</t>
        </is>
      </c>
      <c r="E57">
        <f>HYPERLINK("https://www.linkedin.com/jobs/view/4353450514", "https://www.linkedin.com/jobs/view/4353450514")</f>
        <v/>
      </c>
      <c r="F57" t="inlineStr"/>
      <c r="G57" t="inlineStr">
        <is>
          <t>Colorado, United States</t>
        </is>
      </c>
      <c r="H57" t="inlineStr"/>
      <c r="I57" t="inlineStr">
        <is>
          <t>FactSet creates flexible, open data and software solutions for over 200,000 investment professionals worldwide, providing instant access
 to financial data and analytics that investors use to make crucial decisions.
 At FactSet, our values are the foundation of everything we do. They express how we act and operate, serve as a compass in our decision\-making, and play a big role in how we treat each other, our clients, and our communities. We believe that the best ideas can come from anyone, anywhere, at any time, and that curiosity is the key to anticipating our clients’ needs and exceeding their expectations.
 The Principal Product Manager – Performance Solutions Delivery Architecture is responsible for discovery, strategy, success metrics, planning, launch, and optimization of the client solutioning process from their legacy Performance Solution to FactSet Performance Solution (FPS). These legacy Performance Solutions include many market solutions, including (but not limited to) SS\&amp;C Sylvan, SS\&amp;C Anova, Eagle Performance, Confluence StatPro, etc – but will also include clients transitioning from FactSet B\-One to FPS.
 This person will represent FactSet as a Performance Subject Matter Expert in client engagements during the solution creation phase of the sales \&amp; onboarding lifecycle, which begins during the sales process (pre\-contract) and extends throughout the implementation. This person will work heavily across Product, Sales, Enterprise Hosting, Portfolio Services, Professional Services, and Support Services.
**Job Requirements**
**Client Engagement and Solution Design:**
* Serve as the Performance Subject Matter Expert in new sales opportunities, particularly for complex, multi\-component Performance product sales.
* Partner with Sales, Professional Services, and Managed Services to thoroughly understand client requirements through Product Assessments \&amp; Solutions Workshops.
* Design and document Performance solutions tailored to client business requirements.
* Partner with Professional Services to develop and advise on the optimal approach to prioritizing implementation phases.
**Solution Documentation And Implementation Support**
* Produce comprehensive solution design documents to guide the Professional Services team in crafting Statements of Work (SOW) for implementation.
* Establish and document a prioritized gap list for clients, aligned with the implementation timeline and plan, ensuring all stakeholders are informed and engaged.
**Cross\-functional Collaboration**
* Work closely with various internal teams (Product, Sales, Enterprise Hosting, Portfolio Services, Professional Services, and Support Services) to ensure cohesive and coordinated efforts in client solutioning and implementation.
* Communicate with various Product teams across Performance and other functional areas to translate client use cases and requirements into actionable product enhancements which are needed as part of the solution design.
* Maintain continuous communication with clients throughout the solutioning and implementation phases to ensure alignment and satisfaction.
**Qualifications**
* Extensive experience as a Performance Subject Matter Expert, preferably with hands\-on experience in transitioning clients from legacy solutions such as SS\&amp;C Sylvan, SS\&amp;C Anova, Eagle Performance, Confluence StatPro, and FactSet B\-One to new performance solutions.
* Strong background in leading client workshops, requirements gathering, and solution design.
* Proven ability to create detailed and actionable solution design documents and implementation plans.
* Demonstrated capability to work collaboratively across multiple internal teams and manage complex projects, inspiring several cross\-functional teams to deliver on the product solution and vision without direct authority.
* Bachelor’s degree in STEM, finance, economics, or other relevant field, or equivalent experience
* 12\+ years relevant experience
**Competencies**
* Insights: Actively engages with users and prospects to deepen understanding of current user needs and anticipate future needs.  Sought out for expertise on end\-market trends and competitors.
* Strategy: Translates company and Firm Type strategies into specific priorities and objectives for their product line department. Evangelizes the strategy across the department and the business line. Proactively drives product sunsets where necessary. Thoughtfully experiments, prioritizes resources and repoints to most valuable problems.
* Execution: Challenges the status quo to extend the limits of what is possible.  Expertly navigates organizational obstacles to crush constraints
* Leadership \&amp; Inclusion:  Building reputation as a thought leader and internal subject matter expert.  Has a strong enterprise mindset. Promotes our culture of collaboration across functions.
**Working Environment** 
 : Hybrid
 For U.S. locations, must be legally authorized to work in the United States without the need for employer sponsorship, now or at any time in the future
**What's In It For You**
 At FactSet, our people are our greatest asset, and our culture is our biggest competitive advantage. Being a FactSetter means:
* The opportunity to join an S\&amp;P 500 company with over 45 years of sustainable growth powered by the entrepreneurial spirit of a start\-up.
* Support for your total well\-being. This includes health, life, and disability insurance, as well as retirement savings plans and a discounted employee stock purchase program, plus paid time off for holidays, family leave, and company\-wide wellness days.
* Flexible work accommodations. We value work/life harmony and offer our employees a range of accommodations to help them achieve success both at work and in their personal lives.
* A global community dedicated to volunteerism and sustainability, where collaboration is always encouraged, and individuality drives solutions.
* Career progression planning with dedicated time each month for learning and development.
* Business Resource Groups open to all employees that serve as a catalyst for connection, growth, and belonging.
**Learn More About Our Benefits Here.**
 Salary is just one component of our compensation package and is based on several factors including but not limited to education, work experience, and certifications.
**The budgeted amount range for this position in California, Colorado, Connecticut, New York City and Toronto is $140,000 \- $170,000**
**Company Overview**
 FactSet (NYSE:FDS \| NASDAQ:FDS) helps the financial community to see more, think bigger, and work better. Our digital platform and enterprise solutions deliver financial data, analytics, and open technology to more than 8,200 global clients, including over 200,000 individual users. Clients across the buy\-side and sell\-side, as well as wealth managers, private equity firms, and corporations, achieve more every day with our comprehensive and connected content, flexible next\-generation workflow solutions, and client\-centric specialized support. As a member of the S\&amp;P 500, we are committed to sustainable growth and have been recognized among the Best Places to Work in 2023 by Glassdoor as a Glassdoor Employees’ Choice Award winner. Learn more at www.factset.com and follow us on X and LinkedIn.
 At FactSet, we celebrate difference of thought, experience, and perspective. Qualified applicants will be considered for employment without regard to race, color, religion, national origin, sex, sexual orientation, gender identity, disability, protected veteran status or other characteristics protected by law. FactSet participates in E\-Verify</t>
        </is>
      </c>
    </row>
    <row r="58">
      <c r="A58" t="inlineStr">
        <is>
          <t>li-4353650473</t>
        </is>
      </c>
      <c r="B58" t="inlineStr">
        <is>
          <t>Principal Product Manager - Performance Solutions Delivery Architecture</t>
        </is>
      </c>
      <c r="C58" t="inlineStr">
        <is>
          <t>FactSet</t>
        </is>
      </c>
      <c r="D58" t="inlineStr">
        <is>
          <t>linkedin</t>
        </is>
      </c>
      <c r="E58">
        <f>HYPERLINK("https://www.linkedin.com/jobs/view/4353650473", "https://www.linkedin.com/jobs/view/4353650473")</f>
        <v/>
      </c>
      <c r="F58">
        <f>HYPERLINK("https://factset.wd108.myworkdayjobs.com/FactSetCareers/job/Norwalk-CT-USA/Principal-Product-Manager\u002d\u002d-Performance-Solutions-Delivery-Architecture_R30960?source=LinkedIn&amp;urlHash=9iYz", "https://factset.wd108.myworkdayjobs.com/FactSetCareers/job/Norwalk-CT-USA/Principal-Product-Manager\u002d\u002d-Performance-Solutions-Delivery-Architecture_R30960?source=LinkedIn&amp;urlHash=9iYz")</f>
        <v/>
      </c>
      <c r="G58" t="inlineStr">
        <is>
          <t>Idaho, United States</t>
        </is>
      </c>
      <c r="H58" t="inlineStr"/>
      <c r="I58" t="inlineStr">
        <is>
          <t>FactSet creates flexible, open data and software solutions for over 200,000 investment professionals worldwide, providing instant access
 to financial data and analytics that investors use to make crucial decisions.
 At FactSet, our values are the foundation of everything we do. They express how we act and operate, serve as a compass in our decision\-making, and play a big role in how we treat each other, our clients, and our communities. We believe that the best ideas can come from anyone, anywhere, at any time, and that curiosity is the key to anticipating our clients’ needs and exceeding their expectations.
 The Principal Product Manager – Performance Solutions Delivery Architecture is responsible for discovery, strategy, success metrics, planning, launch, and optimization of the client solutioning process from their legacy Performance Solution to FactSet Performance Solution (FPS). These legacy Performance Solutions include many market solutions, including (but not limited to) SS\&amp;C Sylvan, SS\&amp;C Anova, Eagle Performance, Confluence StatPro, etc – but will also include clients transitioning from FactSet B\-One to FPS.
 This person will represent FactSet as a Performance Subject Matter Expert in client engagements during the solution creation phase of the sales \&amp; onboarding lifecycle, which begins during the sales process (pre\-contract) and extends throughout the implementation. This person will work heavily across Product, Sales, Enterprise Hosting, Portfolio Services, Professional Services, and Support Services.
**Job Requirements**
**Client Engagement and Solution Design:**
* Serve as the Performance Subject Matter Expert in new sales opportunities, particularly for complex, multi\-component Performance product sales.
* Partner with Sales, Professional Services, and Managed Services to thoroughly understand client requirements through Product Assessments \&amp; Solutions Workshops.
* Design and document Performance solutions tailored to client business requirements.
* Partner with Professional Services to develop and advise on the optimal approach to prioritizing implementation phases.
**Solution Documentation And Implementation Support**
* Produce comprehensive solution design documents to guide the Professional Services team in crafting Statements of Work (SOW) for implementation.
* Establish and document a prioritized gap list for clients, aligned with the implementation timeline and plan, ensuring all stakeholders are informed and engaged.
**Cross\-functional Collaboration**
* Work closely with various internal teams (Product, Sales, Enterprise Hosting, Portfolio Services, Professional Services, and Support Services) to ensure cohesive and coordinated efforts in client solutioning and implementation.
* Communicate with various Product teams across Performance and other functional areas to translate client use cases and requirements into actionable product enhancements which are needed as part of the solution design.
* Maintain continuous communication with clients throughout the solutioning and implementation phases to ensure alignment and satisfaction.
**Qualifications**
* Extensive experience as a Performance Subject Matter Expert, preferably with hands\-on experience in transitioning clients from legacy solutions such as SS\&amp;C Sylvan, SS\&amp;C Anova, Eagle Performance, Confluence StatPro, and FactSet B\-One to new performance solutions.
* Strong background in leading client workshops, requirements gathering, and solution design.
* Proven ability to create detailed and actionable solution design documents and implementation plans.
* Demonstrated capability to work collaboratively across multiple internal teams and manage complex projects, inspiring several cross\-functional teams to deliver on the product solution and vision without direct authority.
* Bachelor’s degree in STEM, finance, economics, or other relevant field, or equivalent experience
* 12\+ years relevant experience
**Competencies**
* Insights: Actively engages with users and prospects to deepen understanding of current user needs and anticipate future needs.  Sought out for expertise on end\-market trends and competitors.
* Strategy: Translates company and Firm Type strategies into specific priorities and objectives for their product line department. Evangelizes the strategy across the department and the business line. Proactively drives product sunsets where necessary. Thoughtfully experiments, prioritizes resources and repoints to most valuable problems.
* Execution: Challenges the status quo to extend the limits of what is possible.  Expertly navigates organizational obstacles to crush constraints
* Leadership \&amp; Inclusion:  Building reputation as a thought leader and internal subject matter expert.  Has a strong enterprise mindset. Promotes our culture of collaboration across functions.
**Working Environment** 
 : Hybrid
 For U.S. locations, must be legally authorized to work in the United States without the need for employer sponsorship, now or at any time in the future
**What's In It For You**
 At FactSet, our people are our greatest asset, and our culture is our biggest competitive advantage. Being a FactSetter means:
* The opportunity to join an S\&amp;P 500 company with over 45 years of sustainable growth powered by the entrepreneurial spirit of a start\-up.
* Support for your total well\-being. This includes health, life, and disability insurance, as well as retirement savings plans and a discounted employee stock purchase program, plus paid time off for holidays, family leave, and company\-wide wellness days.
* Flexible work accommodations. We value work/life harmony and offer our employees a range of accommodations to help them achieve success both at work and in their personal lives.
* A global community dedicated to volunteerism and sustainability, where collaboration is always encouraged, and individuality drives solutions.
* Career progression planning with dedicated time each month for learning and development.
* Business Resource Groups open to all employees that serve as a catalyst for connection, growth, and belonging.
**Learn More About Our Benefits Here.**
 Salary is just one component of our compensation package and is based on several factors including but not limited to education, work experience, and certifications.
**The budgeted amount range for this position in California, Colorado, Connecticut, New York City and Toronto is $140,000 \- $170,000**
**Company Overview**
 FactSet (NYSE:FDS \| NASDAQ:FDS) helps the financial community to see more, think bigger, and work better. Our digital platform and enterprise solutions deliver financial data, analytics, and open technology to more than 8,200 global clients, including over 200,000 individual users. Clients across the buy\-side and sell\-side, as well as wealth managers, private equity firms, and corporations, achieve more every day with our comprehensive and connected content, flexible next\-generation workflow solutions, and client\-centric specialized support. As a member of the S\&amp;P 500, we are committed to sustainable growth and have been recognized among the Best Places to Work in 2023 by Glassdoor as a Glassdoor Employees’ Choice Award winner. Learn more at www.factset.com and follow us on X and LinkedIn.
 At FactSet, we celebrate difference of thought, experience, and perspective. Qualified applicants will be considered for employment without regard to race, color, religion, national origin, sex, sexual orientation, gender identity, disability, protected veteran status or other characteristics protected by law. FactSet participates in E\-Verify</t>
        </is>
      </c>
    </row>
    <row r="59">
      <c r="A59" t="inlineStr">
        <is>
          <t>li-4369362469</t>
        </is>
      </c>
      <c r="B59" t="inlineStr">
        <is>
          <t>Lead AI Solutions Technical Product Manager</t>
        </is>
      </c>
      <c r="C59" t="inlineStr">
        <is>
          <t>Dell Technologies</t>
        </is>
      </c>
      <c r="D59" t="inlineStr">
        <is>
          <t>linkedin</t>
        </is>
      </c>
      <c r="E59">
        <f>HYPERLINK("https://www.linkedin.com/jobs/view/4369362469", "https://www.linkedin.com/jobs/view/4369362469")</f>
        <v/>
      </c>
      <c r="F59" t="inlineStr"/>
      <c r="G59" t="inlineStr">
        <is>
          <t>Hopkinton, MA</t>
        </is>
      </c>
      <c r="H59" t="inlineStr"/>
      <c r="I59" t="inlineStr">
        <is>
          <t>AI Product Management at Dell is a fast‑paced environment where innovative thinking is prized. Our team focuses on defining and delivering differentiated products and solutions that enable customers to adopt and scale AI with confidence. We lead products from strategy and planning through production, release, and continuous improvement—working cross‑functionally to ensure alignment across engineering, solutions, ecosystem partners, and go‑to‑market teams.
 Join us to do the best work of your career and make a profound social impact as a
 **Technical Product Manager – AI ISV Partner Program** 
 on our
 **AI Solutions and Ecosystem** 
 team at
 **Dell Technologies** 
 at a location in Hopkinton, MA or Austin/Round Rock, TX
**What You’ll Achieve:**
 As a
 **Technical Product Manager** 
 for the
 **AI ISV Partner Program** 
 , you will own the
 **strategy, structure, and evolution** 
 of Dell’s AI ISV ecosystem. This role is responsible for defining the
 **use‑case and workload framework** 
 , identifying market and portfolio gaps, and shaping how Dell partners with AI software vendors to deliver complete, validated AI solutions across industries.
 You will serve as the connective tissue between market opportunity, partner capability, and Dell’s AI platforms—ensuring the right partners, workloads, and architectures are prioritized to maximize customer outcomes.
**You Will:**
* Define and drive the AI ISV Partner Program strategy, including roadmap, success metrics, and workload priorities
* Own and evolve the AI use‑case and workload framework across vertical and horizontal solutions
* Identify portfolio gaps and evaluate ISV partners to extend Dell’s AI solution ecosystem
* Monitor AI industry trends and translate insights into actionable partner and product strategy
* Lead cross‑functional execution with engineering, solutions, partner enablement, validation, and GTM teams
* Serve as a thought leader on Dell’s AI ecosystem strategy, aligning technology, partners, and customer needs
**Take the First Step Toward Your Dream Career**
 Every Dell Technologies team member brings something unique to the table. Here’s what we’re looking for with this role:
**Essential Requirements**
* Strong understanding of AI/ML workloads and solution architectures, including training, inference, and operationalization
* 10\+ years of experience in technical product management, ecosystem strategy, AI platforms, or partner programs with former hands\-on development or architecture experience
* Experience defining product or program strategy supported by market analysis, workload frameworks, and gap assessments
* Ability to work cross functionally and influence without direct authority
* Excellent written and verbal communication skills, with the ability to articulate strategy to technical and executive audiences
**Desirable Requirements**
* Bachelor’s degree in Computer Science, Engineering, or related field, background in AI product strategy, platform ecosystems, or solution portfolio management
* Experience working with ISV partners in AI, cloud, data platforms, or enterprise software
* Familiarity with Dell AI platforms or comparable enterprise AI infrastructure ecosystems (NVIDIA, hyperscalers, data platforms)
**Compensation**
 Dell is committed to fair and equitable compensation practices. The salary range for this position is $216,750\.00 \- $280,500\.00
**Benefits And Perks Of Working At Dell Technologies**
 Your life. Your health. Supported by your benefits. You can explore the overall benefits experience that awaits you as a Dell Technologies team member — right now at MyWellatDell.com
**Who We Are**
 We believe that each of us has the power to make an impact. That’s why we put our team members at the center of everything we do. If you’re looking for an opportunity to grow your career with some of the best minds and most advanced tech in the industry, we’re looking for you.
 Dell Technologies is a unique family of businesses that helps individuals and organizations transform how they work, live and play. Join us to build a future that works for everyone because Progress Takes All of Us.
 Dell Technologies is committed to the principle of equal employment opportunity for all employees and to providing employees with a work environment free of discrimination and harassment. Read the full Equal Employment Opportunity Policy here.
**Job ID:** 
 R285489</t>
        </is>
      </c>
    </row>
    <row r="60">
      <c r="A60" t="inlineStr">
        <is>
          <t>li-4369195313</t>
        </is>
      </c>
      <c r="B60" t="inlineStr">
        <is>
          <t>Product Owner with Sitetracker</t>
        </is>
      </c>
      <c r="C60" t="inlineStr">
        <is>
          <t>Jobs via Dice</t>
        </is>
      </c>
      <c r="D60" t="inlineStr">
        <is>
          <t>linkedin</t>
        </is>
      </c>
      <c r="E60">
        <f>HYPERLINK("https://www.linkedin.com/jobs/view/4369195313", "https://www.linkedin.com/jobs/view/4369195313")</f>
        <v/>
      </c>
      <c r="F60">
        <f>HYPERLINK("https://click.appcast.io/t/2fYPpzlV9akcfc-vijDJlhkqMEN0q5L36j-NkJzweRw=&amp;urlHash=4WVa", "https://click.appcast.io/t/2fYPpzlV9akcfc-vijDJlhkqMEN0q5L36j-NkJzweRw=&amp;urlHash=4WVa")</f>
        <v/>
      </c>
      <c r="G60" t="inlineStr">
        <is>
          <t>Houston, TX</t>
        </is>
      </c>
      <c r="H60" t="inlineStr"/>
      <c r="I60" t="inlineStr">
        <is>
          <t>Dice is the leading career destination for tech experts at every stage of their careers. Our client, TekDallas, is seeking the following. Apply via Dice today!
**Product Owner – Sitetracker \| Contract**
**Location:** 
 Houston, TX (Hybrid) or Remote
**Duration:** 
 6\+ Months
 We are looking for a
 **Product Owner** 
 with strong experience in
 **Agile product delivery** 
 to support
 **Salesforce Sitetracker** 
 solutions. The role focuses on translating business strategy into user stories, managing backlogs, collaborating with engineering teams, and supporting UAT.
**Must\-Have Skills:**
* Product Owner (Agile/Scrum)
* Salesforce \&amp; Sitetracker (preferred)
* Backlog grooming, user stories, acceptance criteria
* Stakeholder collaboration \&amp; UAT support
* Tower industry experience is a plus</t>
        </is>
      </c>
    </row>
    <row r="61">
      <c r="A61" t="inlineStr">
        <is>
          <t>li-4353520491</t>
        </is>
      </c>
      <c r="B61" t="inlineStr">
        <is>
          <t>Principal Product Manager - Performance Solutions Delivery Architecture</t>
        </is>
      </c>
      <c r="C61" t="inlineStr">
        <is>
          <t>FactSet</t>
        </is>
      </c>
      <c r="D61" t="inlineStr">
        <is>
          <t>linkedin</t>
        </is>
      </c>
      <c r="E61">
        <f>HYPERLINK("https://www.linkedin.com/jobs/view/4353520491", "https://www.linkedin.com/jobs/view/4353520491")</f>
        <v/>
      </c>
      <c r="F61" t="inlineStr"/>
      <c r="G61" t="inlineStr">
        <is>
          <t>Austin, TX</t>
        </is>
      </c>
      <c r="H61" t="inlineStr"/>
      <c r="I61" t="inlineStr">
        <is>
          <t>FactSet creates flexible, open data and software solutions for over 200,000 investment professionals worldwide, providing instant access
 to financial data and analytics that investors use to make crucial decisions.
 At FactSet, our values are the foundation of everything we do. They express how we act and operate, serve as a compass in our decision\-making, and play a big role in how we treat each other, our clients, and our communities. We believe that the best ideas can come from anyone, anywhere, at any time, and that curiosity is the key to anticipating our clients’ needs and exceeding their expectations.
 The Principal Product Manager – Performance Solutions Delivery Architecture is responsible for discovery, strategy, success metrics, planning, launch, and optimization of the client solutioning process from their legacy Performance Solution to FactSet Performance Solution (FPS). These legacy Performance Solutions include many market solutions, including (but not limited to) SS\&amp;C Sylvan, SS\&amp;C Anova, Eagle Performance, Confluence StatPro, etc – but will also include clients transitioning from FactSet B\-One to FPS.
 This person will represent FactSet as a Performance Subject Matter Expert in client engagements during the solution creation phase of the sales \&amp; onboarding lifecycle, which begins during the sales process (pre\-contract) and extends throughout the implementation. This person will work heavily across Product, Sales, Enterprise Hosting, Portfolio Services, Professional Services, and Support Services.
**Job Requirements**
**Client Engagement and Solution Design:**
* Serve as the Performance Subject Matter Expert in new sales opportunities, particularly for complex, multi\-component Performance product sales.
* Partner with Sales, Professional Services, and Managed Services to thoroughly understand client requirements through Product Assessments \&amp; Solutions Workshops.
* Design and document Performance solutions tailored to client business requirements.
* Partner with Professional Services to develop and advise on the optimal approach to prioritizing implementation phases.
**Solution Documentation And Implementation Support**
* Produce comprehensive solution design documents to guide the Professional Services team in crafting Statements of Work (SOW) for implementation.
* Establish and document a prioritized gap list for clients, aligned with the implementation timeline and plan, ensuring all stakeholders are informed and engaged.
**Cross\-functional Collaboration**
* Work closely with various internal teams (Product, Sales, Enterprise Hosting, Portfolio Services, Professional Services, and Support Services) to ensure cohesive and coordinated efforts in client solutioning and implementation.
* Communicate with various Product teams across Performance and other functional areas to translate client use cases and requirements into actionable product enhancements which are needed as part of the solution design.
* Maintain continuous communication with clients throughout the solutioning and implementation phases to ensure alignment and satisfaction.
**Qualifications**
* Extensive experience as a Performance Subject Matter Expert, preferably with hands\-on experience in transitioning clients from legacy solutions such as SS\&amp;C Sylvan, SS\&amp;C Anova, Eagle Performance, Confluence StatPro, and FactSet B\-One to new performance solutions.
* Strong background in leading client workshops, requirements gathering, and solution design.
* Proven ability to create detailed and actionable solution design documents and implementation plans.
* Demonstrated capability to work collaboratively across multiple internal teams and manage complex projects, inspiring several cross\-functional teams to deliver on the product solution and vision without direct authority.
* Bachelor’s degree in STEM, finance, economics, or other relevant field, or equivalent experience
* 12\+ years relevant experience
**Competencies**
* Insights: Actively engages with users and prospects to deepen understanding of current user needs and anticipate future needs.  Sought out for expertise on end\-market trends and competitors.
* Strategy: Translates company and Firm Type strategies into specific priorities and objectives for their product line department. Evangelizes the strategy across the department and the business line. Proactively drives product sunsets where necessary. Thoughtfully experiments, prioritizes resources and repoints to most valuable problems.
* Execution: Challenges the status quo to extend the limits of what is possible.  Expertly navigates organizational obstacles to crush constraints
* Leadership \&amp; Inclusion:  Building reputation as a thought leader and internal subject matter expert.  Has a strong enterprise mindset. Promotes our culture of collaboration across functions.
**Working Environment** 
 : Hybrid
 For U.S. locations, must be legally authorized to work in the United States without the need for employer sponsorship, now or at any time in the future
**What's In It For You**
 At FactSet, our people are our greatest asset, and our culture is our biggest competitive advantage. Being a FactSetter means:
* The opportunity to join an S\&amp;P 500 company with over 45 years of sustainable growth powered by the entrepreneurial spirit of a start\-up.
* Support for your total well\-being. This includes health, life, and disability insurance, as well as retirement savings plans and a discounted employee stock purchase program, plus paid time off for holidays, family leave, and company\-wide wellness days.
* Flexible work accommodations. We value work/life harmony and offer our employees a range of accommodations to help them achieve success both at work and in their personal lives.
* A global community dedicated to volunteerism and sustainability, where collaboration is always encouraged, and individuality drives solutions.
* Career progression planning with dedicated time each month for learning and development.
* Business Resource Groups open to all employees that serve as a catalyst for connection, growth, and belonging.
**Learn More About Our Benefits Here.**
 Salary is just one component of our compensation package and is based on several factors including but not limited to education, work experience, and certifications.
**The budgeted amount range for this position in California, Colorado, Connecticut, New York City and Toronto is $140,000 \- $170,000**
**Company Overview**
 FactSet (NYSE:FDS \| NASDAQ:FDS) helps the financial community to see more, think bigger, and work better. Our digital platform and enterprise solutions deliver financial data, analytics, and open technology to more than 8,200 global clients, including over 200,000 individual users. Clients across the buy\-side and sell\-side, as well as wealth managers, private equity firms, and corporations, achieve more every day with our comprehensive and connected content, flexible next\-generation workflow solutions, and client\-centric specialized support. As a member of the S\&amp;P 500, we are committed to sustainable growth and have been recognized among the Best Places to Work in 2023 by Glassdoor as a Glassdoor Employees’ Choice Award winner. Learn more at www.factset.com and follow us on X and LinkedIn.
 At FactSet, we celebrate difference of thought, experience, and perspective. Qualified applicants will be considered for employment without regard to race, color, religion, national origin, sex, sexual orientation, gender identity, disability, protected veteran status or other characteristics protected by law. FactSet participates in E\-Verify</t>
        </is>
      </c>
    </row>
    <row r="62">
      <c r="A62" t="inlineStr">
        <is>
          <t>li-4369688650</t>
        </is>
      </c>
      <c r="B62" t="inlineStr">
        <is>
          <t>Director, Technical Product Manager - Cloud Service Providers (CSP)</t>
        </is>
      </c>
      <c r="C62" t="inlineStr">
        <is>
          <t>Hewlett Packard Enterprise</t>
        </is>
      </c>
      <c r="D62" t="inlineStr">
        <is>
          <t>linkedin</t>
        </is>
      </c>
      <c r="E62">
        <f>HYPERLINK("https://www.linkedin.com/jobs/view/4369688650", "https://www.linkedin.com/jobs/view/4369688650")</f>
        <v/>
      </c>
      <c r="F62">
        <f>HYPERLINK("https://careers.hpe.com/us/en/job/1201562/Director-Technical-Product-Manager\u002d\u002d-Cloud-Service-Providers-CSP?utm_source=linkedin&amp;urlHash=olB-", "https://careers.hpe.com/us/en/job/1201562/Director-Technical-Product-Manager\u002d\u002d-Cloud-Service-Providers-CSP?utm_source=linkedin&amp;urlHash=olB-")</f>
        <v/>
      </c>
      <c r="G62" t="inlineStr">
        <is>
          <t>California, United States</t>
        </is>
      </c>
      <c r="H62" t="inlineStr"/>
      <c r="I62" t="inlineStr">
        <is>
          <t>This role has been designed as ‘Hybrid’ with an expectation that you will work on average 2 days per week from an HPE office.
**Who We Are**
 Hewlett Packard Enterprise is the global edge\-to\-cloud company advancing the way people live and work. We help companies connect, protect, analyze, and act on their data and applications wherever they live, from edge to cloud, so they can turn insights into outcomes at the speed required to thrive in today’s complex world. Our culture thrives on finding new and better ways to accelerate what’s next. We know varied backgrounds are valued and succeed here. We have the flexibility to manage our work and personal needs. We make bold moves, together, and are a force for good. If you are looking to stretch and grow your career our culture will embrace you. Open up opportunities with HPE.
**Job Description**
 As the Director of Technical Product Management for CSP Enablement, you will be the primary technical authority responsible for the success of Cloud Service Providers building on HPE’s software stack. You will lead the strategy for how CSPs architect, deploy, and operate high\-scale Private and Sovereign Clouds using HPE Morpheus (Orchestration), HPE OpsRamp (Observability), and HPE Zerto (Data Protection).
 This is a high\-impact leadership role that requires a rare blend of "deep\-in\-the\-weeds" technical expertise and you will sit at the intersection of cloud architecture, CSP business models, and product execution, partnering deeply with Engineering, Sales, Alliances, and CSPs.
 This position could be based anywhere in the United States.
**Primary Responsibilities**
* Strategic CSP Roadmap Alignment
* This role owns the technical product strategy that enables CSPs to build, own, and operate scalable, secure, and commercially viable clouds using HPE CloudOps Software virtualization stacks—spanning compute, networking, storage, lifecycle automation, observability, and multi\-tenant operations.
* Executive Technical Interface: Serve as the primary technical point of contact for VPs of Engineering and CTOs at CSPs.
* Technical Architecture \&amp; Design
* Validated Designs (CVDs): Own the creation and maintenance of HPE Validated Designs specifically for CSP use cases (e.g., "Sovereign Cloud\-in\-a\-Box").\|
* Reference Architectures: Define how HPE CloudOps software integrates with underlying hardware and third\-party stacks e.g. OpenShift
* Thought Leadership \&amp; Technical Collateral
* Content Engine: Author high\-value technical white papers, reference guides, and deep\-dive architectural blogs.
* Speaker \&amp; Evangelist: Represent HPE Cloud Ops at major industry events (e.g., , Advisory Boards, HPE Discover).
* Technical Enablement \&amp; Operations
* Day 0 to Day 2 Success: Define the blueprints for how CSPs not only build their clouds but how they operate them profitably using AIOps and automated lifecycle management
* Sales Engineering Bridge: Act as the "Level 3" support for global field teams on complex, multi\-product CSP architectural bids.
* Business Logic \&amp; Monetization Strategy
* Service Catalog Definition: Help CSPs define what their "Product Catalog" looks like when powered by HPE (e.g., defining "Backup\-as\-a\-Service" tiers using Zerto).
**Experience \&amp; Skills**
* Professional Background
* 10\+ years in Technical Product Management or Systems Architecture.
* Prior Experience: Must have held a similar role at VMware, Red Hat, Nutanix, or a Hyperscaler (AWS/Azure/GCP) specifically focused on partner/service provider enablement.
* Deep Technical Stack Expertise
* Virtualization: Deep knowledge of ESXi, KVM, and AHV.
* Cloud Native: Strong command of Kubernetes, OpenShift, and container networking/storage.
* Operations/Observability: Expertise in AIOps, distributed tracing, and multi\-cloud monitoring.
* Data Protection: Understanding of RPO/RTO requirements for disaster recovery and cyber\-resilience.
* Leadership \&amp; Influence
* Proven ability to lead through influence across a matrixed organization (Engineering, Marketing, and Sales).
**Additional Skills**
 Cross Domain Knowledge, Customer Engagement, Design Thinking, Development Fundamentals, DevOps, Go\-to\-Market Expertise, Partner Management, Product Lifecycle Management, Security\-First Mindset, Strategic Pricing, Strategy Creation, User Experience (UX), Value Creation, Vendor Management
**What We Can Offer You**
**Health \&amp; Wellbeing**
 We strive to provide our team members and their loved ones with a comprehensive suite of benefits that supports their physical, financial and emotional wellbeing.
**Personal \&amp; Professional Development**
 We also invest in your career because the better you are, the better we all are. We have specific programs catered to helping you reach any career goals you have — whether you want to become a knowledge expert in your field or apply your skills to another division.
**Unconditional Inclusion**
 We are unconditionally inclusive in the way we work and celebrate individual uniqueness. We know varied backgrounds are valued and succeed here. We have the flexibility to manage our work and personal needs. We make bold moves, together, and are a force for good.
**Let's Stay Connected**
 Follow @HPECareers on Instagram to see the latest on people, culture and tech at HPE.
 \#executive, \#hybridcloud
**Job**
 Engineering
**Job Level**
 TCP\_07
 The expected salary/wage range for this position is provided below. Actual offer may vary from this range based upon geographic location, work experience, education/training, and/or skill level.
 – United States of America: Annual Salary USD 194,000 \- 388,000 in Massachusetts // 194,000 \- 412,500 in California \&amp; New York // 170,000 \- 412,500 in Connecticut \&amp; Georgia \&amp; New Jersey \&amp; North Carolina \&amp; Texas \&amp; Washington
 The listed salary range reflects base salary. Variable incentives may also be offered
 Information about employee benefits offered in the US can be found at https://myhperewards.com/main/new\-hire\-enrollment.html
 HPE is an Equal Employment Opportunity/ Veterans/Disabled/LGBT employer. We do not discriminate on the basis of race, gender, or any other protected category, and all decisions we make are made on the basis of qualifications, merit, and business need. Our goal is to be one global team that is representative of our customers, in an inclusive environment where we can continue to innovate and grow together. Please click here: Equal Employment Opportunity.
**Hewlett Packard Enterprise is EEO Protected Veteran/ Individual with Disabilities.**
 HPE will comply with all applicable laws related to employer use of arrest and conviction records, including laws requiring employers to consider for employment qualified applicants with criminal histories.
**No Fees Notice \&amp; Recruitment Fraud Disclaimer**
*It has come to HPE’s attention that there has been an increase in recruitment fraud whereby scammer impersonate HPE or HPE\-authorized recruiting agencies and offer fake employment opportunities to candidates. These scammers often seek to obtain personal information or money from candidates.*
*Please note that Hewlett Packard Enterprise (HPE), its direct and indirect subsidiaries and affiliated companies, and its authorized recruitment agencies/vendors
 **will never charge any candidate a registration fee, hiring fee, or any other fee in connection with its recruitment and hiring process.** 
 The credentials of any hiring agency that claims to be working with HPE for recruitment of talent should be verified by candidates and candidates shall be solely responsible to conduct such verification. Any candidate/individual who relies on the erroneous representations made by fraudulent employment agencies does so at their own risk, and HPE disclaims liability for any damages or claims that may result from any such communication.*</t>
        </is>
      </c>
    </row>
    <row r="63">
      <c r="A63" t="inlineStr">
        <is>
          <t>li-4369349728</t>
        </is>
      </c>
      <c r="B63" t="inlineStr">
        <is>
          <t>Lead AI Solutions Technical Product Manager</t>
        </is>
      </c>
      <c r="C63" t="inlineStr">
        <is>
          <t>Dell Technologies</t>
        </is>
      </c>
      <c r="D63" t="inlineStr">
        <is>
          <t>linkedin</t>
        </is>
      </c>
      <c r="E63">
        <f>HYPERLINK("https://www.linkedin.com/jobs/view/4369349728", "https://www.linkedin.com/jobs/view/4369349728")</f>
        <v/>
      </c>
      <c r="F63" t="inlineStr"/>
      <c r="G63" t="inlineStr">
        <is>
          <t>Round Rock, TX</t>
        </is>
      </c>
      <c r="H63" t="inlineStr"/>
      <c r="I63" t="inlineStr">
        <is>
          <t>AI Product Management at Dell is a fast‑paced environment where innovative thinking is prized. Our team focuses on defining and delivering differentiated products and solutions that enable customers to adopt and scale AI with confidence. We lead products from strategy and planning through production, release, and continuous improvement—working cross‑functionally to ensure alignment across engineering, solutions, ecosystem partners, and go‑to‑market teams.
 Join us to do the best work of your career and make a profound social impact as a
 **Technical Product Manager – AI ISV Partner Program** 
 on our
 **AI Solutions and Ecosystem** 
 team at
 **Dell Technologies** 
 at a location in Hopkinton, MA or Austin/Round Rock, TX
**What You’ll Achieve:**
 As a
 **Technical Product Manager** 
 for the
 **AI ISV Partner Program** 
 , you will own the
 **strategy, structure, and evolution** 
 of Dell’s AI ISV ecosystem. This role is responsible for defining the
 **use‑case and workload framework** 
 , identifying market and portfolio gaps, and shaping how Dell partners with AI software vendors to deliver complete, validated AI solutions across industries.
 You will serve as the connective tissue between market opportunity, partner capability, and Dell’s AI platforms—ensuring the right partners, workloads, and architectures are prioritized to maximize customer outcomes.
**You Will:**
* Define and drive the AI ISV Partner Program strategy, including roadmap, success metrics, and workload priorities
* Own and evolve the AI use‑case and workload framework across vertical and horizontal solutions
* Identify portfolio gaps and evaluate ISV partners to extend Dell’s AI solution ecosystem
* Monitor AI industry trends and translate insights into actionable partner and product strategy
* Lead cross‑functional execution with engineering, solutions, partner enablement, validation, and GTM teams
* Serve as a thought leader on Dell’s AI ecosystem strategy, aligning technology, partners, and customer needs
**Take the First Step Toward Your Dream Career**
 Every Dell Technologies team member brings something unique to the table. Here’s what we’re looking for with this role:
**Essential Requirements**
* Strong understanding of AI/ML workloads and solution architectures, including training, inference, and operationalization
* 10\+ years of experience in technical product management, ecosystem strategy, AI platforms, or partner programs with former hands\-on development or architecture experience
* Experience defining product or program strategy supported by market analysis, workload frameworks, and gap assessments
* Ability to work cross functionally and influence without direct authority
* Excellent written and verbal communication skills, with the ability to articulate strategy to technical and executive audiences
**Desirable Requirements**
* Bachelor’s degree in Computer Science, Engineering, or related field, background in AI product strategy, platform ecosystems, or solution portfolio management
* Experience working with ISV partners in AI, cloud, data platforms, or enterprise software
* Familiarity with Dell AI platforms or comparable enterprise AI infrastructure ecosystems (NVIDIA, hyperscalers, data platforms)
**Compensation**
 Dell is committed to fair and equitable compensation practices. The salary range for this position is $216,750\.00 \- $280,500\.00
**Benefits And Perks Of Working At Dell Technologies**
 Your life. Your health. Supported by your benefits. You can explore the overall benefits experience that awaits you as a Dell Technologies team member — right now at MyWellatDell.com
**Who We Are**
 We believe that each of us has the power to make an impact. That’s why we put our team members at the center of everything we do. If you’re looking for an opportunity to grow your career with some of the best minds and most advanced tech in the industry, we’re looking for you.
 Dell Technologies is a unique family of businesses that helps individuals and organizations transform how they work, live and play. Join us to build a future that works for everyone because Progress Takes All of Us.
 Dell Technologies is committed to the principle of equal employment opportunity for all employees and to providing employees with a work environment free of discrimination and harassment. Read the full Equal Employment Opportunity Policy here.
**Job ID:** 
 R285489</t>
        </is>
      </c>
    </row>
    <row r="64">
      <c r="A64" t="inlineStr">
        <is>
          <t>li-4361015189</t>
        </is>
      </c>
      <c r="B64" t="inlineStr">
        <is>
          <t>Program Manager</t>
        </is>
      </c>
      <c r="C64" t="inlineStr">
        <is>
          <t>InVeris</t>
        </is>
      </c>
      <c r="D64" t="inlineStr">
        <is>
          <t>linkedin</t>
        </is>
      </c>
      <c r="E64">
        <f>HYPERLINK("https://www.linkedin.com/jobs/view/4361015189", "https://www.linkedin.com/jobs/view/4361015189")</f>
        <v/>
      </c>
      <c r="F64">
        <f>HYPERLINK("https://ars2.equest.com/?response_id=01f7f62ae9024aaf6a9cedc9ceeb37dd&amp;urlHash=Xn4L", "https://ars2.equest.com/?response_id=01f7f62ae9024aaf6a9cedc9ceeb37dd&amp;urlHash=Xn4L")</f>
        <v/>
      </c>
      <c r="G64" t="inlineStr">
        <is>
          <t>Suwanee, GA</t>
        </is>
      </c>
      <c r="H64" t="inlineStr"/>
      <c r="I64" t="inlineStr">
        <is>
          <t>**Job Title: Program Manager**
 InVeris Training Solutions is a global leader in integrated live fire and virtual training solutions for military forces, law enforcement agencies and commercial shooting ranges. We employ 400 people in seven countries, including the US, Australia, Canada, the Netherlands, Singapore, and the UK.
 We work on some of the most demanding challenges in the defense, law enforcement and commercial range industries: from saving lives to keeping our peacekeepers and civilians safely trained. What’s more, InVeris Training Solutions employees are committed, engaged, and excited that the work we do is in Service to Safety. We’ve got the best of both worlds in one company, and we invite you to become part of our growing team.
**Job Designation**
 The Program Manager plans, organizes, and manages all activities necessary to ensure the successful completion of assigned program within established objectives. Oversees program lifecycle and ensures results meet requirements regarding quality, reliability, scheduling and cost projection. Partners with all internal functions responsible for product design, production, delivery and support of product(s) assigned. Works with customers to ensure satisfaction and promotes customer relationship with InVeris.
**Job Core Responsibilities**
* Oversees program lifecycle and manages all activities necessary to meet business goals and objectives
* Develops detailed program plans, including budget, resource allocation and program communication
* Manages the entire program process with P\&amp;L responsibility
* Ensures customer satisfaction through excellent service and communication
* Consolidates product requirements and develops relevant documents for internal and external use
* Develops ROI analyses, opportunity business plans and product development road maps based on specific customer service requirements
* Works closely with other internal marketing and external sales teams to pursue new opportunities emerging from existing programs
* Creates forecasts of new opportunities and expansion of existing programs
* Other responsibilities as assigned
* Consistent exercise of independent judgment and discretion in matters of significance
* Regular, consistent, and punctual attendance is required. May need to work nights and weekends, variable schedule(s), and additional hours as necessary
**Job Specifications**
* Strong background on project management methodology
* Possess a strong technical background to understand and evaluate the technical specifications, requirements and capabilities associated with the program
* Ability to work independently and interface with cross\-functional disciplines; using excellent interpersonal skills to drive tasks to completion
* Demonstrated ability to manage multiple activities and projects
* Self\-motivated with problem solving and decision\-making skills
* Excellent communication and presentation skills with the ability to develop clear and detailed plans
**Educational Requirements**
* Post\-secondary degree or equivalent combination of relevant education and work experience that will allow successful performance of job expectations
**Required Experience**
* 5\-7 years of relevant experience
 This position requires use of information which is subject to the International Traffic in Arms Regulations (ITAR). All applicants must be U.S. persons within the meaning of ITAR. ITAR defines a U.S. person as a U.S. Citizen, U.S. Permanent Resident (i.e., 'Green Card Holder'), Political Asylee, or Refugee
 InVeris Training Solutions is an Equal Opportunity/Affirmative Action employer. All qualified applicants will receive consideration for employment without regard to race, color, religion, sex including sexual orientation and gender identity, national origin, disability, protected Veteran Status, or any other characteristic protected by applicable federal, state, or local law.
 If you are a qualified individual with a disability or a disabled veteran, you have the right to request an accommodation. Contact Human Resources at ITS\-HumanResources@inveristraining.com.
 296 Brogdon Road
 Suwanee, GA 30024 USA
 \+1\.800\.813\.9046
**Education Preferred**
* Bachelors or better
 Equal Opportunity Employer/Protected Veterans/Individuals with Disabilities
 This employer is required to notify all applicants of their rights pursuant to federal employment laws. For further information, please review the Know Your Rights notice from the Department of Labor.</t>
        </is>
      </c>
    </row>
    <row r="65">
      <c r="A65" t="inlineStr">
        <is>
          <t>li-4361034732</t>
        </is>
      </c>
      <c r="B65" t="inlineStr">
        <is>
          <t>Senior Product Owner, Oracle Record to Report &amp; Acquire to Retire</t>
        </is>
      </c>
      <c r="C65" t="inlineStr">
        <is>
          <t>Marriott International</t>
        </is>
      </c>
      <c r="D65" t="inlineStr">
        <is>
          <t>linkedin</t>
        </is>
      </c>
      <c r="E65">
        <f>HYPERLINK("https://www.linkedin.com/jobs/view/4361034732", "https://www.linkedin.com/jobs/view/4361034732")</f>
        <v/>
      </c>
      <c r="F65" t="inlineStr"/>
      <c r="G65" t="inlineStr">
        <is>
          <t>Bethesda, MD</t>
        </is>
      </c>
      <c r="H65" t="inlineStr"/>
      <c r="I65" t="inlineStr">
        <is>
          <t>**Additional Information**
**Job Number** 
 26013762
**Job Category** 
 Information Technology
**Location** 
 Marriott International HQ, 7750 Wisconsin Ave, Bethesda, Maryland, United States, 20814 VIEW ON MAP
**Schedule** 
 Full Time
**Located Remotely?** 
 Y
**Position Type** 
 Management
**Pay Range:** 
 $100,400\-$164,200 annually
**Bonus Eligible:** 
 Y
**Expiration Date:** 
 03/05/2026
**Job Summary**
 The Senior Product Owner, Oracle Record to Report (RTR) and Acquire to Retire (ATR) is a subject\-matter expert responsible for the design, implementation, and optimization of the full RTR and ATR lifecycle using Oracle ERP Cloud applications. This role requires in\-depth functional knowledge and translating business needs into functional specifications, managing system configurations, leading testing efforts, and providing user training and support for financial modules like Fixed Assets, Lease Accounting, Payables, Accounting Hub and General ledger modules including working knowledge of EPM, EDMCS, ARCS, TRCS and FCCS. The associate will collaborate with business stakeholders, system integrators and technical teams to translate business requirements into effective solutions and provide expert advice and support throughout the project lifecycle and beyond.
 In this role, the candidate will assume technical ownership of product delivery and advocate for appropriate industry standards and best practices that align with the company’s technology framework, guidelines and polices.
**CANDIDATE PROFILE**
**Education And Experience**
**Required Qualifications:**
* Undergraduate degree in an engineering or computer science discipline or equivalent experience/certification
* 7\+ years of progressive professional experience in information technology application development and support including:
* 5\+ years’ experience in Oracle ERP Implementation and support focused on Design, modeling, implementation, testing and maintenance
* 5\+ years of hands\-on experience managing Fusion ERP managing modules on the RTR and ATR domain including Accounting Hub, General Ledger, Payables, Fixed Assets, and Lease Accounting.
* 5\+ years of hands\-on experience managing Oracle EBS modules like General Ledger, Accounts Payable, Projects, Lease Accounting, Accounts Receivable, Fixed Assets acting as a strong functional Subject Matter Expert.
* At least 2\-3 full\-cycle Oracle implementation of migration projects focused on the RTR and ATR process.
* Ability to understand business requirements and translate into technical design documents.
* Ability to elicit, organize and document detailed and comprehensive functional system configuration requirements.
* Experience developing test plans, test scripts, and managing unit, system, regression, and user acceptance testing.
* Excellent problem\-solving, communication and collaboration skills.
* Strong verbal and written communication skills, with the ability to present complex ideas in clear business terms
* Experience in agile software methodologies and DevOps practices.
**Preferred Qualifications**
* 5\+ years’ domain experience in RTR and ATR processes relevant to supported business function; industry and competitive landscape knowledge.
* Understanding of Hospitality domain finance processes and Revenue Recognition is strongly desired.
* Experience in managing and leading a team of consultants to deliver the designed solution based on offshore model.
* Experience with SOX processes and IT General Controls.
* Ability to analyze user stories and develop an end\-to\-end solution design and functional design.
* Experience in Business Process redesign or transformation.
* Experience in functional understanding, document, map, design, execution and reconciliation of Conversion objects related to RTR and ATR domain that includes but not limited to Customers, Invoices, Contracts, Subscriptions, Pricing, etc.
* Experience in building OTBI and BIP Reports, knowledge of FDI and customization of FDI reports is a Plus.
* Experience in technical integrations of Third\-party Tax software integrations with Vertex or OneSource.
* Solid understanding of ETL and data migration techniques. Integration design and build experience with external systems is a Plus.
* Experience with cloud environments like OCI, AWS etc. Customization experience using OCI is a Plus.
* Ability to troubleshoot technical issues in ERP and follow through to resolution. Proven ability to prioritize and manage multiple support request while working on time sensitive projects and upgrades.
* Ability to work independently, identifying and driving required tasks to completion in a timely manner.
* Proven ability to support all aspects of large, complex applications with multiple stakeholders.
* Understanding of financial and accounting processes including cyclical events like month end close, quarter close etc.
* Understanding financial budgeting and forecasting processes.
* Experience with change management, and enterprise architecture frameworks
* Demonstrated ability to anticipate future integration platform opportunities.
**Core Work Activities**
* Serve as Functional lead / Subject Matter Expert for RTR and ATR Domain which includes Accounting Hub, General Ledger, Payables, Fixed Assets, and Lease Accounting modules of Oracle ERP Fusion Cloud and expertise in EDMCS, EPBCS and FCCS.
* Lead functional design, assist in technical design and development, configuration, deployment and support of Oracle ERP Fusion Cloud solutions.
* Lead discovery sessions with business users / system integrators / consultants to gather, elicit and document business requirements, perform gap analysis against standard Oracle functionality, and capture the "as\-is" and "to\-be" business processes.
* Design functional solutions for the RTR and ATR process, including configurations, customizations, extensions, and integrations. Develop functional design specifications (e.g., User stories, MD.50, BRD) following standard methodologies.
* Configure Oracle modules related to the RTR and ATR process, such as Payables, Fixed Assets, Lease Accounting, Accounting Hub, General Ledger, EDMCS, EPBCS and FCCS (Financial Close and Consolidation Cloud Services).
* Develop Role based access management and Segregation of duties rules and monitoring for RTR and ATR domain, advise and assist in drawing up options for User roles and access privileges. Ensure documentation of RBAC and SOD is current and maintained on a regular basis for audit and compliance purposes.
* Coordinate data extraction and transformation processes from PeopleSoft to Oracle Cloud ERP. Design and implement transformation scripts/processes for cleansing, formatting, and enriching data.
* Support validation efforts for comparing legacy data to converted Oracle Cloud records and generate reconciliation reports.
* Develop and execute comprehensive test plans, scripts, and scenarios for unit, system integration (SIT), and user acceptance testing (UAT). Lead the testing cycles and manage defect resolution.
* Collaborate with technical teams to define and validate integration strategies with third\-party applications, external systems, other internal feeder systems and other Oracle modules (where applicable).
* Provide end\-user training, create training materials, and offer post\-go\-live support to address functional and operational issues. Act as a senior point of escalation for complex problems.
* Act as a key liaison between business stakeholders, project managers, and technical teams to ensure clear communication and alignment throughout project lifecycle and project backlogs.
* Review and Monitor Oracle Cloud updates and new features, executing testing and making recommendations for potential enhancements to optimize system capabilities.
* Manage and monitor prod and non\-prod environments, ensuring compliance with security and performance standards.
* Liaison with Oracle for Penetration testing / Disaster Recovery testing cycles.
* Support and assist in the Internal security, SOX and Financial assurance process.
* Identify recurring issues and inefficiencies in the RTR and ATR processes and propose solutions to optimize and automate business processes using RPA or Agentic AI’s.
* Create and maintain clear, high\-quality documentation for processes, configurations, and functional designs.
* Ensure Aging of Production support tickets are below thresholds and continuously monitor the aging of tickets and their resolution.
* Ensure all hands\-on deck for Sev\-1 issues and create/maintain documentation related to Problem Management and triage.
* Communicate effectively with team members, stakeholders, and system integrators.
* Collaborate with infrastructure, security, enterprise architecture and broader corporate systems teams on SSO, architecture and security reviews and infrastructure management.
**Technical Leadership**
* Lead and mentor other team members, engineers and peers as appropriate
* Collaborate with product managers and other stakeholders in discovery and definition of requirements.
* Ensure the quality and timely delivery of product features.
* Participate in the evaluation and selection of Corporate Systems products and services.
* Provides input on department or project budgets, capital expenditures or other cost/resource estimates as requested.
* Apply knowledge/judgment to achieve business goals.
* Keeps up\-to\-date functionally and technically and apply new knowledge to job.
* Mentor and coach other team members.
* Perform other reasonable duties as required for this position.
*At Marriott International, we are dedicated to being an equal opportunity employer, welcoming all and providing access to opportunity. We actively foster an environment where the unique backgrounds of our associates are valued and celebrated. Our greatest strength lies in the rich blend of culture, talent, and experiences of our associates.  We are committed to non\-discrimination on any protected basis, including disability, veteran status, or other basis protected by applicable law.*
 All positions offer a 401(k) plan, stock purchase plan, discounts at Marriott properties, commuter benefits, employee assistance plan, and childcare discounts. Benefits are subject to terms and conditions, which may include rules regarding eligibility, enrollment, waiting period, contribution, benefit limits, election changes, benefit exclusions, and others. Click here to learn more.
 Full\-time positions also offer coverage for medical, dental, vision, health care flexible spending account, dependent care flexible spending account, life insurance, disability insurance, accident insurance, adoption expense reimbursements, paid parental leave and educational assistance.
**Washington Applicants Only** 
 : Employees will accrue paid sick leave, 0\.077 PTO balance for every hour worked and be eligible to receive a minimum of 9 holidays annually.
 Marriott HQ is committed to a hybrid work environment that enables associates to Be connected. Headquarters\-based positions are considered hybrid, for candidates within a commuting distance to Bethesda, MD; candidates outside of commuting distance to Bethesda, MD will be considered for Remote positions.
 Marriott International is the world’s largest hotel company, with more brands, more hotels and more opportunities for associates to grow and succeed.
 **Be** 
 where you can do your best work,
 **begin** 
 your purpose,
 **belong** 
 to an amazing global team, and
 **become** 
 the best version of you.</t>
        </is>
      </c>
    </row>
    <row r="66">
      <c r="A66" t="inlineStr">
        <is>
          <t>li-4353510517</t>
        </is>
      </c>
      <c r="B66" t="inlineStr">
        <is>
          <t>Principal Product Manager - Performance Solutions Delivery Architecture</t>
        </is>
      </c>
      <c r="C66" t="inlineStr">
        <is>
          <t>FactSet</t>
        </is>
      </c>
      <c r="D66" t="inlineStr">
        <is>
          <t>linkedin</t>
        </is>
      </c>
      <c r="E66">
        <f>HYPERLINK("https://www.linkedin.com/jobs/view/4353510517", "https://www.linkedin.com/jobs/view/4353510517")</f>
        <v/>
      </c>
      <c r="F66" t="inlineStr"/>
      <c r="G66" t="inlineStr">
        <is>
          <t>Youngstown, OH</t>
        </is>
      </c>
      <c r="H66" t="inlineStr"/>
      <c r="I66" t="inlineStr">
        <is>
          <t>FactSet creates flexible, open data and software solutions for over 200,000 investment professionals worldwide, providing instant access
 to financial data and analytics that investors use to make crucial decisions.
 At FactSet, our values are the foundation of everything we do. They express how we act and operate, serve as a compass in our decision\-making, and play a big role in how we treat each other, our clients, and our communities. We believe that the best ideas can come from anyone, anywhere, at any time, and that curiosity is the key to anticipating our clients’ needs and exceeding their expectations.
 The Principal Product Manager – Performance Solutions Delivery Architecture is responsible for discovery, strategy, success metrics, planning, launch, and optimization of the client solutioning process from their legacy Performance Solution to FactSet Performance Solution (FPS). These legacy Performance Solutions include many market solutions, including (but not limited to) SS\&amp;C Sylvan, SS\&amp;C Anova, Eagle Performance, Confluence StatPro, etc – but will also include clients transitioning from FactSet B\-One to FPS.
 This person will represent FactSet as a Performance Subject Matter Expert in client engagements during the solution creation phase of the sales \&amp; onboarding lifecycle, which begins during the sales process (pre\-contract) and extends throughout the implementation. This person will work heavily across Product, Sales, Enterprise Hosting, Portfolio Services, Professional Services, and Support Services.
**Job Requirements**
**Client Engagement and Solution Design:**
* Serve as the Performance Subject Matter Expert in new sales opportunities, particularly for complex, multi\-component Performance product sales.
* Partner with Sales, Professional Services, and Managed Services to thoroughly understand client requirements through Product Assessments \&amp; Solutions Workshops.
* Design and document Performance solutions tailored to client business requirements.
* Partner with Professional Services to develop and advise on the optimal approach to prioritizing implementation phases.
**Solution Documentation And Implementation Support**
* Produce comprehensive solution design documents to guide the Professional Services team in crafting Statements of Work (SOW) for implementation.
* Establish and document a prioritized gap list for clients, aligned with the implementation timeline and plan, ensuring all stakeholders are informed and engaged.
**Cross\-functional Collaboration**
* Work closely with various internal teams (Product, Sales, Enterprise Hosting, Portfolio Services, Professional Services, and Support Services) to ensure cohesive and coordinated efforts in client solutioning and implementation.
* Communicate with various Product teams across Performance and other functional areas to translate client use cases and requirements into actionable product enhancements which are needed as part of the solution design.
* Maintain continuous communication with clients throughout the solutioning and implementation phases to ensure alignment and satisfaction.
**Qualifications**
* Extensive experience as a Performance Subject Matter Expert, preferably with hands\-on experience in transitioning clients from legacy solutions such as SS\&amp;C Sylvan, SS\&amp;C Anova, Eagle Performance, Confluence StatPro, and FactSet B\-One to new performance solutions.
* Strong background in leading client workshops, requirements gathering, and solution design.
* Proven ability to create detailed and actionable solution design documents and implementation plans.
* Demonstrated capability to work collaboratively across multiple internal teams and manage complex projects, inspiring several cross\-functional teams to deliver on the product solution and vision without direct authority.
* Bachelor’s degree in STEM, finance, economics, or other relevant field, or equivalent experience
* 12\+ years relevant experience
**Competencies**
* Insights: Actively engages with users and prospects to deepen understanding of current user needs and anticipate future needs.  Sought out for expertise on end\-market trends and competitors.
* Strategy: Translates company and Firm Type strategies into specific priorities and objectives for their product line department. Evangelizes the strategy across the department and the business line. Proactively drives product sunsets where necessary. Thoughtfully experiments, prioritizes resources and repoints to most valuable problems.
* Execution: Challenges the status quo to extend the limits of what is possible.  Expertly navigates organizational obstacles to crush constraints
* Leadership \&amp; Inclusion:  Building reputation as a thought leader and internal subject matter expert.  Has a strong enterprise mindset. Promotes our culture of collaboration across functions.
**Working Environment** 
 : Hybrid
 For U.S. locations, must be legally authorized to work in the United States without the need for employer sponsorship, now or at any time in the future
**What's In It For You**
 At FactSet, our people are our greatest asset, and our culture is our biggest competitive advantage. Being a FactSetter means:
* The opportunity to join an S\&amp;P 500 company with over 45 years of sustainable growth powered by the entrepreneurial spirit of a start\-up.
* Support for your total well\-being. This includes health, life, and disability insurance, as well as retirement savings plans and a discounted employee stock purchase program, plus paid time off for holidays, family leave, and company\-wide wellness days.
* Flexible work accommodations. We value work/life harmony and offer our employees a range of accommodations to help them achieve success both at work and in their personal lives.
* A global community dedicated to volunteerism and sustainability, where collaboration is always encouraged, and individuality drives solutions.
* Career progression planning with dedicated time each month for learning and development.
* Business Resource Groups open to all employees that serve as a catalyst for connection, growth, and belonging.
**Learn More About Our Benefits Here.**
 Salary is just one component of our compensation package and is based on several factors including but not limited to education, work experience, and certifications.
**The budgeted amount range for this position in California, Colorado, Connecticut, New York City and Toronto is $140,000 \- $170,000**
**Company Overview**
 FactSet (NYSE:FDS \| NASDAQ:FDS) helps the financial community to see more, think bigger, and work better. Our digital platform and enterprise solutions deliver financial data, analytics, and open technology to more than 8,200 global clients, including over 200,000 individual users. Clients across the buy\-side and sell\-side, as well as wealth managers, private equity firms, and corporations, achieve more every day with our comprehensive and connected content, flexible next\-generation workflow solutions, and client\-centric specialized support. As a member of the S\&amp;P 500, we are committed to sustainable growth and have been recognized among the Best Places to Work in 2023 by Glassdoor as a Glassdoor Employees’ Choice Award winner. Learn more at www.factset.com and follow us on X and LinkedIn.
 At FactSet, we celebrate difference of thought, experience, and perspective. Qualified applicants will be considered for employment without regard to race, color, religion, national origin, sex, sexual orientation, gender identity, disability, protected veteran status or other characteristics protected by law. FactSet participates in E\-Verify</t>
        </is>
      </c>
    </row>
    <row r="67">
      <c r="A67" t="inlineStr">
        <is>
          <t>li-4360539019</t>
        </is>
      </c>
      <c r="B67" t="inlineStr">
        <is>
          <t>Technical Program Manager</t>
        </is>
      </c>
      <c r="C67" t="inlineStr">
        <is>
          <t>Elevance Health</t>
        </is>
      </c>
      <c r="D67" t="inlineStr">
        <is>
          <t>linkedin</t>
        </is>
      </c>
      <c r="E67">
        <f>HYPERLINK("https://www.linkedin.com/jobs/view/4360539019", "https://www.linkedin.com/jobs/view/4360539019")</f>
        <v/>
      </c>
      <c r="F67">
        <f>HYPERLINK("https://www.techcareers.com/job.asp?id=3153176975&amp;aff=5F88FB33-7ECC-414D-823B-00B1224EBD09&amp;urlHash=VpcP", "https://www.techcareers.com/job.asp?id=3153176975&amp;aff=5F88FB33-7ECC-414D-823B-00B1224EBD09&amp;urlHash=VpcP")</f>
        <v/>
      </c>
      <c r="G67" t="inlineStr">
        <is>
          <t>Hanover, MD</t>
        </is>
      </c>
      <c r="H67" t="inlineStr"/>
      <c r="I67" t="inlineStr">
        <is>
          <t>**Location:** 
 This role requires associates to be in\-office 1 \- 2 days per week, fostering collaboration and connectivity, while providing flexibility to support productivity and work\-life balance. This approach combines structured office engagement with the autonomy of virtual work, promoting a dynamic and adaptable workplace. Ideal candidates will be able to report to one of our Pulse Point locations in Richmond, VA, Norfolk, VA, Mason, OH, Atlanta GA, Washington, DC, Hanover, MD, or Wallingford, CT. Alternate locations may be considered if candidates reside within a commuting distance from an office.
 Please note that per our policy on hybrid/virtual work, candidates not within a reasonable commuting distance from the posting location(s) will not be considered for employment, unless an accommodation is granted as required by law.
 The
 **Technical Program Manager** 
 is responsible for the development and ongoing management of one or more multi\-year programs. Manages Enterprise\-wide programs of $7M \- $10M\+ size with multiple concurrent sub\-projects or equal complexity. Responsible for applying project management knowledge, skills, tools and techniques to project deliverables, processes, and systems. In addition to all responsibilities of a project manager which include managing all aspects of a project including initiating, planning, executing, closing and controlling.
**How You Will Make An Impact**
* Coaches and mentors project team members.
* Mentors other project managers around project management methodology.
* Determines project scope.
* Develops resource, risk, quality, cost, and scope management plans.
* Develops training plans.
* Develops requirements documents.
* Develops project approval matrix.
* Identifies project team training and tool needs.
* Defines, recommends and secures contractual agreements for technical services and products.
* Coordinates requirements, schedules implementation and post\-implement plans.
* Develops service\-level agreements for vendor partners and global resources firms.
* Defines quality gates for each project methodology phase.
* Defines critical success factors.
* Establishes and manages the project warranty period.
**Minimum Requirements**
* Requires an BA/BS degree in Information Technology, Computer Science or related field of study and a minimum of 10 years project management experience in broad\-based information systems, full life\-cycle application development and/or building enterprise applications and/or data warehouse planning and development with 3 years leading and directing project task(s); or any combination of education and experience, which would provide an equivalent background.
* Requires experience in creating an effective team environment, building strong relationships, negotiation, solving problems and issues, resolving conflicts, managing resources in a matrix environment and communicating effectively at all levels of an organization.
* Requires experience working with project management tools, documentation tools, and reporting tools.
**Preferred Skills, Capabilities And Experiences**
* Project management certification within one year of job placement and prior to moving to next level highly preferred.
* Experience working with portfolio management applications and rational tools highly preferred.
* Health insurance experience highly preferred.
* Experience working with multiple healthcare systems and data warehouses highly preferred.
* Experience working on IT development projects highly preferred.
* Strong oral and written communication skills highly preferred.
 For candidates working in person or virtually in the below location(s), the salary\* range for this specific position is $120,232 to $218,316
 Locations: Hanover, MD, Washington, DC
 In addition to your salary, Elevance Health offers benefits such as, a comprehensive benefits package, incentive and recognition programs, equity stock purchase and 401k contribution (all benefits are subject to eligibility requirements). The salary offered for this specific position is based on a number of legitimate, non\-discriminatory factors set by the Company. The Company is fully committed to ensuring equal pay opportunities for equal work regardless of gender, race, or any other category protected by federal, state, and local pay equity laws
 *.*
* The salary range is the range Elevance Health in good faith believes is the range of possible compensation for this role at the time of this posting. This range may be modified in the future and actual compensation may vary from posting based on geographic location, work experience, education and/or skill level. Even within the range, the actual compensation will vary depending on the above factors as well as market/business considerations. No amount is considered to be wages or compensation until such amount is earned, vested, and determinable under the terms and conditions of the applicable policies and plans. The amount and availability of any bonus, commission, benefits, or any other form of compensation and benefits that are allocable to a particular employee remains in the Company's sole discretion unless and until paid and may be modified at the Company's sole discretion, consistent with the law.
 Please be advised that Elevance Health only accepts resumes for compensation from agencies that have a signed agreement with Elevance Health. Any unsolicited resumes, including those submitted to hiring managers, are deemed to be the property of Elevance Health.
 Who We Are
 Elevance Health is a health company dedicated to improving lives and communities \- and making healthcare simpler. We are a Fortune 25 company with a longstanding history in the healthcare industry, looking for leaders at all levels of the organization who are passionate about making an impact on our members and the communities we serve.
 How We Work
 At Elevance Health, we are creating a culture that is designed to advance our strategy but will also lead to personal and professional growth for our associates. Our values and behaviors are the root of our culture. They are how we achieve our strategy, power our business outcomes and drive our shared success \- for our consumers, our associates, our communities and our business.
 We offer a range of market\-competitive total rewards that include merit increases, paid holidays, Paid Time Off, and incentive bonus programs (unless covered by a collective bargaining agreement), medical, dental, vision, short and long term disability benefits, 401(k) \+match, stock purchase plan, life insurance, wellness programs and financial education resources, to name a few.
 Elevance Health operates in a Hybrid Workforce Strategy. Unless specified as primarily virtual by the hiring manager, associates are required to work at an Elevance Health location at least once per week, and potentially several times per week. Specific requirements and expectations for time onsite will be discussed as part of the hiring process.
 The health of our associates and communities is a top priority for Elevance Health. We require all new candidates in certain patient/member\-facing roles to become vaccinated against COVID\-19 and Influenza. If you are not vaccinated, your offer will be rescinded unless you provide an acceptable explanation. Elevance Health will also follow all relevant federal, state and local laws.
 Elevance Health is an Equal Employment Opportunity employer and all qualified applicants will receive consideration for employment without regard to age, citizenship status, color, creed, disability, ethnicity, genetic information, gender (including gender identity and gender expression), marital status, national origin, race, religion, sex, sexual orientation, veteran status or any other status or condition protected by applicable federal, state, or local laws. Applicants who require accommodation to participate in the job application process may contact elevancehealthjobssupport@elevancehealth.com for assistance.
 Qualified applicants with arrest or conviction records will be considered for employment in accordance with all federal, state, and local laws, including, but not limited to, the Los Angeles County Fair Chance Ordinance and the California Fair Chance Act.</t>
        </is>
      </c>
    </row>
    <row r="68">
      <c r="A68" t="inlineStr">
        <is>
          <t>li-4359270098</t>
        </is>
      </c>
      <c r="B68" t="inlineStr">
        <is>
          <t>Lead Technical Program Manager</t>
        </is>
      </c>
      <c r="C68" t="inlineStr">
        <is>
          <t>Docusign</t>
        </is>
      </c>
      <c r="D68" t="inlineStr">
        <is>
          <t>linkedin</t>
        </is>
      </c>
      <c r="E68">
        <f>HYPERLINK("https://www.linkedin.com/jobs/view/4359270098", "https://www.linkedin.com/jobs/view/4359270098")</f>
        <v/>
      </c>
      <c r="F68">
        <f>HYPERLINK("https://careers.docusign.com/jobs/28497?lang=en-us&amp;iis=Job+board&amp;iisn=LinkedIn&amp;urlHash=H4bF", "https://careers.docusign.com/jobs/28497?lang=en-us&amp;iis=Job+board&amp;iisn=LinkedIn&amp;urlHash=H4bF")</f>
        <v/>
      </c>
      <c r="G68" t="inlineStr">
        <is>
          <t>San Francisco, CA</t>
        </is>
      </c>
      <c r="H68" t="inlineStr"/>
      <c r="I68" t="inlineStr">
        <is>
          <t>**Company Overview**
 Docusign brings agreements to life. Over 1\.5 million customers and more than a billion people in over 180 countries use Docusign solutions to accelerate the process of doing business and simplify people’s lives. With intelligent agreement management, Docusign unleashes business\-critical data that is trapped inside of documents. Until now, these were disconnected from business systems of record, costing businesses time, money, and opportunity. Using Docusign’s Intelligent Agreement Management platform, companies can create, commit, and manage agreements with solutions created by the \#1 company in e\-signature and contract lifecycle management (CLM).
 What you'll do
 We are looking for a highly accomplished Lead Technical Program Manager to spearhead complex programs focused on Government Cloud and Security. This role demands deep expertise in public sector government cloud environments, rigorous security compliance frameworks, and modern DevOps practices.
 You will be responsible for the end\-to\-end planning, execution, and successful delivery of these initiatives. A core part of the role is collaborating across engineering, product, operations, and executive teams to deliver secure, scalable cloud solutions for government and national security clients.
 The ideal candidate has a proven track record in program\-managing SaaS/PaaS deployments within regulated sectors, driving DevOps transformations, and guaranteeing compliance with stringent standards such as FedRAMP, SOC2, PCI, HIPAA, and SOX. You must thrive in high\-stakes environments, expertly coordinate intricate technical work among large teams, and demonstrate exceptional follow\-through to ensure timely, in\-scope delivery.
 A key expectation of this position is translating technical complexities into strategic, actionable insights for executive leadership, whom you will regularly update on program progress and strategy.
 This position is an individual contributor role reporting to the Senior Director, Cloud and Production Engineering.
**Responsibility**
* Lead end\-to\-end program management for Government Cloud and Security programs, including deployment of SaaS/PaaS platforms in government cloud environments
* Gather requirements from internal and external stakeholders to shape Government Cloud footprints, implement changes for regulatory compliance and maintain secure cloud infrastructure in the U.S. Government cloud environments
* Ensure compliance with FedRAMP, NIST, and DoD security controls
* Coordinate and orchestrate work across large, distributed teams of software engineers, SREs, DevOps teams, and stakeholders to align on priorities, resolve blockers, technical deliverables, timelines, dependencies and drive successful outcomes
* Collaborate with engineering and compliance teams to support ATO (Authorization to Operate) efforts
* Monitor, detect, and respond to security events and vulnerabilities
* Support audits, assessments, and continuous monitoring activities
* Prepare and deliver executive\-level presentations, dashboards, and reports that highlight project status, milestones, challenges, and outcomes, influencing strategic decisions
* Partner with Senior Technical Engineer to lead external meetings with government stakeholders and customer communities
* Communicate program status, risks, and outcomes to senior leadership and stakeholders, translating technical details into business impact
 Job Designation
**Hybrid:** 
 Employee divides their time between in\-office and remote work. Access to an office location is required. (Frequency: Minimum 2 days per week; may vary by team but will be weekly in\-office expectation)
 Positions at Docusign are assigned a job designation of either In Office, Hybrid or Remote and are specific to the role/job. Preferred job designations are not guaranteed when changing positions within Docusign. Docusign reserves the right to change a position's job designation depending on business needs and as permitted by local law.
 What you bring
**Basic**
* At least 12 years of professional experience in the High\-Tech Industry, including 8\+ years of experience in technical program management or managing Security programs and processes
* Experience in public and private cloud engineering
* Experience with IaaS/PaaS automation, cloud\-native best practices, and hybrid cloud transitions.
* Experience delivering multiple projects related to compliance such as FedRAMP \&amp; IL5, PCI, NIST, and other compliance initiatives
* Experience managing large\-scale, technically complex programs involving 50\+ team members, with a demonstrated ability to deliver under tight deadlines
* Experience with cloud infrastructure projects such as migrations, control planes, and automation pipelines, as well as incident response
* Experience with distributed systems, cloud platforms (e.g., AWS, Azure, GCP), and container orchestration (e.g., Kubernetes)
* Experience working with executives, including presenting strategic plans and program updates to senior leadership
* Experience with CI/CD pipelines, infrastructure as code (e.g., Terraform, Ansible), and monitoring tools (e.g., Prometheus, Grafana)
* Experience in building dashboards and data driven approach to projects
* Experience with project management tools (e.g., Jira, Asana, Microsoft Project) and agile/scrum frameworks
* Bachelor’s degree in Computer Science, Engineering, or a related technical field; advanced degree or equivalent experience
**Preferred**
* Confident in working with executive team members as well as working with security professionals and product owners at all levels
* Strong analytical thinking and investigative/problem solving capabilities
* Proactive self\-starter, ability to take initiative, learn quickly and drive operational excellence
* Exceptional attention to detail, follow\-through, and high drive to push projects forward, even in ambiguous or challenging situations
* Excellent spoken and written communication skills with an ability to state things simply and persuasively for a variety of audiences \- internal, external, business and technical
* Active or prior U.S. Government security clearance, i.e. active TS/SCI (Top Secret/Sensitive Compartmented Information) clearance a bonus.
* Experience supporting federal civilian, DoD, or intelligence community customers
* One or more of these certifications: CISM, CISA, CISSP, CompTIA Security\+, ITIL, CSM, CSPO
* Familiar in different security domains such as Network Security, Application Security, Data Security, Vulnerability Management, Client and Cloud Security.
* Strong understanding of security controls and how they should be implemented across applications, systems and internal/cloud platforms
* Experience in defining and implementing SLOs/SLIs for large\-scale systems.
* Understanding of setting OKR and managing of multiple deliverables
* Background in managing incident response processes or chaos engineering programs.
* Familiarity with DevOps software development methodologies
 Wage Transparency
 Pay for this position is based on a number of factors including geographic location and may vary depending on job\-related knowledge, skills, and experience.
 Based on applicable legislation, the below details pay ranges in the following locations:
 California: $157,500\.00 \- $254,350\.00 base salary
**This Role Is Also Eligible For The Following**
* Bonus: Sales personnel are eligible for variable incentive pay dependent on their achievement of pre\-established sales goals. Non\-Sales roles are eligible for a company bonus plan, which is calculated as a percentage of eligible wages and dependent on company performance.
* Stock: This role is eligible to receive Restricted Stock Units (RSUs).
**Benefits**
 Global benefits provide options for the following:
* Paid Time Off: earned time off, as well as paid company holidays based on region
* Paid Parental Leave: take up to six months off with your child after birth, adoption or foster care placement
* Full Health Benefits Plans: options for 100% employer paid and minimum employee contribution health plans from day one of employment
* Retirement Plans: select retirement and pension programs with potential for employer contributions
* Learning and Development: options for coaching, online courses and education reimbursements
* Compassionate Care Leave: paid time off following the loss of a loved one and other life\-changing events
 Life at Docusign
**Working here**
 Docusign is committed to building trust and making the world more agreeable for our employees, customers and the communities in which we live and work. You can count on us to listen, be honest, and try our best to do what’s right, every day. At Docusign, everything is equal.
 We each have a responsibility to ensure every team member has an equal opportunity to succeed, to be heard, to exchange ideas openly, to build lasting relationships, and to do the work of their life. Best of all, you will be able to feel deep pride in the work you do, because your contribution helps us make the world better than we found it. And for that, you’ll be loved by us, our customers, and the world in which we live.
**Accommodation**
 Docusign is committed to providing reasonable accommodations for qualified individuals with disabilities in our job application procedures. If you need such an accommodation, or a religious accommodation, during the application process, please contact us at accommodations@docusign.com.
 If you experience any issues, concerns, or technical difficulties during the application process please get in touch with our Talent organization at taops@docusign.com for assistance.
 Applicant and Candidate Privacy Notice
 States Not Eligible for Employment
 This position is not eligible for employment in the following states: Alaska, Hawaii, Maine, Mississippi, North Dakota, South Dakota, Vermont, West Virginia and Wyoming.
 Equal Opportunity Employer
 It's important to us that we build a talented team that is as diverse as our customers and where all employees feel a deep sense of belonging and thrive. We encourage great talent who bring a range of perspectives to apply for our open positions. Docusign is an Equal Opportunity Employer and makes hiring decisions based on experience, skill, aptitude and a can\-do approach. We will not discriminate based on race, ethnicity, color, age, sex, religion, national origin, ancestry, pregnancy, sexual orientation, gender identity, gender expression, genetic information, physical or mental disability, registered domestic partner status, caregiver status, marital status, veteran or military status, or any other legally protected category.
 EEO Know Your Rights poster</t>
        </is>
      </c>
    </row>
    <row r="69">
      <c r="A69" t="inlineStr">
        <is>
          <t>li-4362773464</t>
        </is>
      </c>
      <c r="B69" t="inlineStr">
        <is>
          <t>Senior Product Manager, Delivery Pipelines</t>
        </is>
      </c>
      <c r="C69" t="inlineStr">
        <is>
          <t>Capital One</t>
        </is>
      </c>
      <c r="D69" t="inlineStr">
        <is>
          <t>linkedin</t>
        </is>
      </c>
      <c r="E69">
        <f>HYPERLINK("https://www.linkedin.com/jobs/view/4362773464", "https://www.linkedin.com/jobs/view/4362773464")</f>
        <v/>
      </c>
      <c r="F69" t="inlineStr"/>
      <c r="G69" t="inlineStr">
        <is>
          <t>Plano, TX</t>
        </is>
      </c>
      <c r="H69" t="inlineStr"/>
      <c r="I69" t="inlineStr">
        <is>
          <t>Capital One is a high\-tech company, a scientific laboratory, and a nationally recognized brand all in one reaching tens of millions of consumers. We are a passionate and entrepreneurial team embracing bold ideas, fostering collaboration and delivering great experiences for our customers. Delivery Experience (DE) is at the heart of our approach. Delivery Experience delivers enterprise capabilities and a common developer experience enabling Capital One to thrive in the cloud. To scale our efforts in this space, we are building a world class CI/CD platform for deploying applications to the cloud that run critical business functions like mobile and online experiences for Capital One customers. This CI/CD platform is the common developer experience for the 1,800 software development teams at Capital One. The platform enables us to continue thriving in the cloud in a safe and well\-managed way by standardizing best practices and automating compliance and security requirements.
 As a Product Manager on the Developer Experience Product team, you will design and deliver best\-in\-class managed solutions that improve the quality of life of our software delivery teams while maintaining the highest quality and security standards. You will work with stakeholders at every level to identify and resolve pain points for software development teams throughout the software delivery life cycle. This team is focused on building a software delivery platform that is intuitive, reliable, automated, secure, adaptable, and fast. We’re passionate about building platform software for the next generation of developers at Capital One.
 In this role, you will advocate for the needs of the customer while building our platform roadmap. You will ensure that the capabilities we deliver achieve the intended business outcomes. You will be responsible for shaping multi\-year strategies and partnering with tech teams to deliver platform features. As an ideal candidate for this role, you are passionate about technology, you deeply understand how developers work, and genuinely and thoroughly empathize with internal and external customer needs. You are comfortable in conversation with engineering teams as well as stakeholders ranging from data scientists to senior leaders.
****As part of the CI/CD Product Team, you will:****
* Execute product management best practices in pursuit of an improved experience for Capital One engineers when they use our application deployment infrastructure.
* Drive execution of product strategies for cloud\-native software deployment technologies based on Infrastructure as Code (IaC).
* Develop vision and strategy based on industry research and grounded on a foundation of solving problems for our customers.
* As we evolve our pipeline, lead evaluation of third party solutions for fit, including, but not limited to: meeting our requirements, compatibility with our systems, and compliance with our security needs.
* Advocate for the product perspective in cross\-functional collaborations among stakeholders including cybersecurity, risk, compliance, supplier management, engineering, and our lines of business.
* Develop and maintain your product's roadmap to realize positive outcomes for our customers and help the delivery experience team achieve our key results.
* Oversee the end\-to\-end product lifecycle, from ideation and requirements gathering through launch and operation by defining, updating, and monitoring metrics and enhancing the system to improve those metrics.
**Capital One Product Framework**
 In this role, you’ll be expected to demonstrate proficiency in five key areas which we consider to be the foundation for successful Product management:
* Human Centered \- Obsesses about internal and external customer needs to reimagine and innovate product solutions
* Business Focused \- Delivers game\-changing outcomes by focusing on leverage and execution excellence
* Technology Driven \- Leverages technology to deliver innovative and resilient solutions that enable both near term and long term value
* Integrated Problem Solving \- Identifies and resolves complex problems to deliver outcomes while mitigating product risks
* Transformational Leadership \- Leads cross functional teams to solve customer problems and drive organizational alignment
**Basic Qualifications:**
* At least 5 years of experience working in Product Management
* Currently has, or is in the process of obtaining one of the following with an expectation that the required degree will be obtained on or before the scheduled start date:
+ A Bachelor's Degree in a quantitative field (Statistics, Economics, Operations Research, Analytics, Mathematics, Computer Science, Computer Engineering, Software Engineering, Mechanical Engineering, Information Systems or a related quantitative field)
+ A Master's Degree in a quantitative field (Statistics, Economics, Operations Research, Analytics, Mathematics, Computer Science, Computer Engineering, Software Engineering, Mechanical Engineering, Information Systems or a related quantitative field) or an MBA with a quantitative concentration
**Preferred Qualifications:**
* Experience translating business strategy and analysis into consumer facing digital products
* Experience working with Developer Tooling or Platform Engineering organizations
*At this time, Capital One will not sponsor a new applicant for employment authorization for this position.*
 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
 Chicago, IL: $182,500 \- $208,300 for Sr. Mgr, Product Management
 McLean, VA: $200,700 \- $229,100 for Sr. Mgr, Product Management
 New York, NY: $219,000 \- $249,900 for Sr. Mgr, Product Management
 Plano, TX: $182,500 \- $208,300 for Sr. Mgr, Product Management
 Richmond, VA: $182,500 \- $208,300 for Sr. Mgr, Product Management
 Candidates hired to work in other locations will be subject to the pay range associated with that location, and the actual annualized salary amount offered to any candidate at the time of hire will be reflected solely in the candidate’s offer letter.
 This role is also eligible to earn performance based incentive compensation, which may include cash bonus(es) and/or long term incentives (LTI). Incentives could be discretionary or non discretionary depending on the plan.
 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
 This role is expected to accept applications for a minimum of 5 business days.
 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
 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
 For technical support or questions about Capital One's recruiting process, please send an email to Careers@capitalone.com
 Capital One does not provide, endorse nor guarantee and is not liable for third\-party products, services, educational tools or other information available through this site.
 Capital One Financial is made up of several different entities. Please note that any position posted in Canada is for Capital One Canada, any position posted in the United Kingdom is for Capital One Europe and any position posted in the Philippines is for Capital One Philippines Service Corp. (COPSSC).</t>
        </is>
      </c>
    </row>
    <row r="70">
      <c r="A70" t="inlineStr">
        <is>
          <t>li-4339995990</t>
        </is>
      </c>
      <c r="B70" t="inlineStr">
        <is>
          <t>Technical Program Manager, Integration Management</t>
        </is>
      </c>
      <c r="C70" t="inlineStr">
        <is>
          <t>EnergyHub</t>
        </is>
      </c>
      <c r="D70" t="inlineStr">
        <is>
          <t>linkedin</t>
        </is>
      </c>
      <c r="E70">
        <f>HYPERLINK("https://www.linkedin.com/jobs/view/4339995990", "https://www.linkedin.com/jobs/view/4339995990")</f>
        <v/>
      </c>
      <c r="F70" t="inlineStr"/>
      <c r="G70" t="inlineStr"/>
      <c r="H70" t="inlineStr"/>
      <c r="I70" t="inlineStr">
        <is>
          <t>**About EnergyHub**
 EnergyHub empowers utilities and their customers to create a clean, distributed energy future. We help consumers turn their smart thermostats, EVs, batteries, and other products into virtual power plants that keep the grid stable and enable higher penetration of solar and wind power.
**About The Opportunity**
 Our Technical Operations team is looking for a Technical Program Manager to support our Distributed Energy Resource (DER) partners as they integrate with our platform, including managing launches, and facilitating post\-launch partner support systems. This Program Manager will establish and deliver onboarding content, develop and own project progress tracking methods, manage post\-integration support to scalably interact with our partners, and facilitate new product requests that increase the impact of these ecosystem partners.
 This role is fundamental to expanding our Distributed Energy Resource (DER) ecosystem by enabling our technology partners to integrate with our APIs and contribute to the broader portfolio of resources for our utility clients. We are looking for someone who is motivated by building and enforcing processes that will scale as we grow. To be impactful in this role, you have a strong technical skill set, are highly organized, and are comfortable interacting externally and cross\-functionally.
**Main Responsibilities: What you'll do**
* Interface with our DER device partners as they integrate against our APIs, enabling more distributed energy resources to participate in our utility programs
* Work with device partner stakeholders to communicate implementation requirements, related technical documentation, identify risks, manage and monitor project schedules in sustainable ways
* Create, manage, and deliver implementation content for partners to utilize from kickoff and throughout the integration process
* Own the triage process for partner issues and bugs – ensuring they get resolved and communicated.
* Coordinate with the product, partner, customer success, and engineering teams to represent and help shepherd new partner\-related product capabilities through internal evaluation and new product development processes
* Monitor the progress of partners to ensure they move through our process, either escalating where appropriate, influencing the partner to accelerate its integration, or ensuring the teams scale up/down their engagement based on partner priority and demonstrated motivation
* Facilitate a system for how technical specs are maintained and delivered to partners, in collaboration with product and engineering teams
* Other duties as assigned
**Required Skills and Experience: What you need**
* 5\+ years of experience leading large cross\-team initiatives
* A strong understanding of the software development lifecycle (SDLC) and related technologies.
* Experience working in a consulting environment, or otherwise experience coordinating with third\-party business and technical teams.
* The ability to understand and discuss technical concepts with engineering teams.
* Proven experience building new processes and rolling them out to teams and departments.
* Comfortable working with stakeholders of all levels.
* Ability to translate technical concepts for business stakeholders.
**Preferred Skills and Experience: Nice\-to\-haves**
* A working knowledge of the Utilities industry and/or relevant device manufacturers (Thermostat, Battery, EV, etc) and supporting business processes
**Why work for EnergyHub?**
* Collaborate with outstanding people: Our employees work hard, do great work, and enjoy collaborating and learning from each other.
* Make an immediate impact: New employees can expect to be given real responsibility for bringing new technologies to the marketplace. You are empowered to perform as soon as you join the team!
* Gain well rounded experience: EnergyHub offers a diverse and dynamic environment where you will get the chance to work directly with executives and develop expertise across multiple areas of the business.
* Work with the latest technologies: You’ll gain exposure to a broad spectrum of IoT, SaaS and machine learning challenges, including distributed fault\-tolerance, device control optimization, and process modeling to support scalable interaction with disparate downstream APIs.
* Be part of something important: Help create the future of how energy is produced and consumed. Make a positive impact on our climate.
* Focus on fun: EnergyHub places high value on our team culture. Happy hours and holiday parties are important to us, but what’s also important is how our employees feel every single day.
**Company Benefits**
 EnergyHub offers a generous benefits package including 100% paid medical for employees and a 401(k) with employer match. We offer a casual environment, the flexibility to set your own schedule, a fully stocked fridge and pantry, free Citi Bike membership, secure bike rack, gym subsidy, paid parental leave, and an education assistance program.
**EnergyHub is an Equal Opportunity Employer**
 EOE, Including Disability/Vets. Reasonable accommodations are available for individuals with disabilities throughout the application process. If you are a person with a disability needing assistance with the application process, please contact accommodations.apply@energyhub.net.
 In connection with your application, we collect information that identifies, reasonably relates to or describes you (“Personal Information”). The categories of Personal Information that we may collect include your name, government\-issued identification number(s), email address, mailing address, other contact information, emergency contact information, employment history, educational history, and demographic information. We collect and use those categories of Personal Information about you for human resources and other business management purposes, including identifying and evaluating you as a candidate for potential or future employment or future positions, recordkeeping in relation to recruiting and hiring, conducting analytics, and ensuring compliance with applicable legal requirements and Company policies. By submitting your application, you acknowledge that we may retain some of the personal data that you provide in your application for our internal operations such as managing our recruitment system and ensuring that we comply with labor laws and regulations even after we have made our employment decision.
**Notice To Third Party Agencies:**
 EnergyHub understands the value of professional recruiting services. However, we are not accepting resumes from recruiters or employment agencies for this position. In the event we receive a resume or candidate referral for this position from a third\-party recruiter or agency without a previously signed agreement, we reserve the right to pursue and hire those candidate(s) without any financial obligation to you.
 Please note that sponsorship of new applicants for employment authorization, or any other immigration\-related support, is not available for this position at this time.
 The base salary range of this opportunity is listed below and is determined within a range based on factors including qualifications, location and experience. This allows opportunity for growth and development within the role. The base salary offered is part of a total compensation package.
 Base Salary Range
 $110,000—$125,000 USD</t>
        </is>
      </c>
    </row>
    <row r="71">
      <c r="A71" t="inlineStr">
        <is>
          <t>li-4362982432</t>
        </is>
      </c>
      <c r="B71" t="inlineStr">
        <is>
          <t>Program Manager, Enterprise PMO</t>
        </is>
      </c>
      <c r="C71" t="inlineStr">
        <is>
          <t>Cohesity</t>
        </is>
      </c>
      <c r="D71" t="inlineStr">
        <is>
          <t>linkedin</t>
        </is>
      </c>
      <c r="E71">
        <f>HYPERLINK("https://www.linkedin.com/jobs/view/4362982432", "https://www.linkedin.com/jobs/view/4362982432")</f>
        <v/>
      </c>
      <c r="F71" t="inlineStr"/>
      <c r="G71" t="inlineStr"/>
      <c r="H71" t="inlineStr"/>
      <c r="I71" t="inlineStr">
        <is>
          <t>*Interested candidates based outside of the designated areas are welcome to apply, provided they have the indefinite right to work in the job location.*
 Cohesity is a leader in AI\-powered data security and management. Aided by an extensive ecosystem of partners, Cohesity makes it easy to secure, protect, manage, and get value from data — across the data center, edge, and cloud. Cohesity helps organizations defend against cybersecurity threats with comprehensive data security and management capabilities, including immutable backup snapshots, AI\-based threat detection, monitoring for malicious behavior, and rapid recovery at scale.
 We’ve been named a Leader by multiple analyst firms and have been globally recognized for Innovation, Product Strength, and Simplicity in Design.
 Join us on our mission to shape the future of our industry.
 As a Program Manager in the ePMO, you will play a key role in supporting project delivery and operational excellence across Cohesity’s enterprise portfolio. This position is ideal for candidates with top\-tier consulting experience and exposure to enterprise technology or SaaS environments. You will act as a junior project manager with strong analytical skills, coordinating project activities, tracking progress, and delivering actionable insights through data analysis and reporting. You thrive in fast\-paced, ambiguous environments and excel at cross\-functional collaboration.
**HOW YOU'LL SPEND YOUR TIME HERE:**
* Assist management in planning, coordinating, and tracking project activities to ensure timely delivery and alignment with business objectives, drawing on consulting methodologies and enterprise tech best practices.
* dentify and support opportunities to integrate AI and automation into project workflows, leveraging best practices from consulting and enterprise technology.
* Develop and maintain dashboards, reports, and project documentation using BI tools (e.g., Tableau, Power BI, Smartsheet), with a focus on executive\-ready analytics and deliverables.
* Prepare executive\-level reports and presentations, demonstrating consulting polish and professionalism in all communications.
* Analyze project data to identify trends, risks, and opportunities for improvement, providing data\-driven recommendations to senior stakeholders.
* Support cross\-functional teams by gathering requirements, facilitating meetings, and following up on action items, excelling in ambiguous, fast\-paced environments.
* Prepare regular status updates and project reports for stakeholders, ensuring clarity and strategic insight.
* Contribute to process improvement initiatives by providing data\-driven recommendations.
* Ensure data quality, governance, and security in all analytics and reporting activities.
* Help manage project schedules, resources, and deliverables.
* Communicate findings and project updates clearly to team members and stakeholders.
* Stay current with emerging BI and project management best practices.
**WE'D LOVE TO TALK TO YOU IF YOU HAVE MANY OF THE FOLLOWING:**
* 3\-5 years of experience in project management, business analysis, or management consulting, ideally with experience at a top consulting firm and in enterprise technology or SaaS environments.
* Experience in a high\-performing analytics or PMO environment preferred.
* Advanced proficiency in Excel, Power BI, Tableau, or similar analytics/visualization tools with experience preparing executive\-ready deliverables.
* Familiarity with project/portfolio management software (Smartsheet, Jira, Microsoft Project).
* Strong analytical, problem\-solving, and process improvement skills leveraging consulting frameworks and enterprise tech best practices.
* Demonstrated ability to identify, evaluate, and implement AI\-driven solutions to improve business processes and operational efficiency.
* Excellent communication and stakeholder management abilities.
* Bachelor’s degree in business, operations, analytics, or a related discipline.
**Preferred Attributes**
* Analytical mindset with a passion for operational excellence, innovation, and emerging technologies.
* Highly organized, detail\-oriented, and proactive; thrives in ambiguous, fast\-paced environments and excels at cross\-functional collaboration.
* Comfortable working in a fast\-paced, ambiguous environment and adapting to change.
* Brings the mindset, polish, and strategic approach of a top\-tier consulting professional.
 Disclosure Pursuant to Applicable State Equal Pay Transparency Laws \- This position has a starting pay range as listed below. Actual salary depends upon many factors, including a candidate’s skills, qualifications and experience, location, and salary expectations, and therefore a starting salary at the low end, high end, or even above the stated range may be offered. This position may also be eligible for bonus compensation, commission (if in a sales function), and/or equity grants. Additionally, full\-time employees are eligible to participate in our comprehensive benefits framework, including health and wellness benefits, vacation, paid holidays and refresh days, 401(k) retirement plan, life and disability insurance coverages, and other benefits the Company may offer from time to time.
 Pay Range :
 $95,200\.00\-$119,000\.00
*The compensation noted above is based on an annualized hourly rate assuming normal full\-time employment.*
**Data Privacy Notice for Job Candidates:
 For information on personal data processing, please see our* 
 Privacy Policy
 *.
 Equal Employment Opportunity Employer (EEOE)
 Cohesity is an Equal Employment Opportunity Employer. All qualified applicants will receive consideration for employment without regard to race, color, creed, religion, sex, sexual orientation, national origin or nationality, ancestry, age, disability, gender identity or expression, marital status, veteran status or any other category protected by law.
 If you are an individual with a disability and require a reasonable accommodation to complete any part of the application process, or are limited in the ability or unable to access or use this online application process and need an alternative method for applying, you may contact us at 1\-855\-9COHESITY or* 
 talent@cohesity.com
 *for assistance.
 In\-Office Expectations
 Cohesity employees who are within a reasonable commute (e.g. within a forty\-five (45\) minute average travel time) work out of our core offices 2\-3 days a week of their choosing.**
*Interested candidates based outside of the designated areas are welcome to apply, provided they have the right to work in the job location.*</t>
        </is>
      </c>
    </row>
    <row r="72">
      <c r="A72" t="inlineStr">
        <is>
          <t>li-4360578044</t>
        </is>
      </c>
      <c r="B72" t="inlineStr">
        <is>
          <t>Principal Tech Program Manager, Sponsored Ads</t>
        </is>
      </c>
      <c r="C72" t="inlineStr">
        <is>
          <t>Amazon</t>
        </is>
      </c>
      <c r="D72" t="inlineStr">
        <is>
          <t>linkedin</t>
        </is>
      </c>
      <c r="E72">
        <f>HYPERLINK("https://www.linkedin.com/jobs/view/4360578044", "https://www.linkedin.com/jobs/view/4360578044")</f>
        <v/>
      </c>
      <c r="F72">
        <f>HYPERLINK("https://www.amazon.jobs/jobs/3175378/principal-tech-program-manager-sponsored-ads?cmpid=SPLICX0248M&amp;utm_source=linkedin.com&amp;utm_campaign=cxro&amp;utm_medium=social_media&amp;utm_content=job_posting&amp;ss=paid&amp;urlHash=8AF_", "https://www.amazon.jobs/jobs/3175378/principal-tech-program-manager-sponsored-ads?cmpid=SPLICX0248M&amp;utm_source=linkedin.com&amp;utm_campaign=cxro&amp;utm_medium=social_media&amp;utm_content=job_posting&amp;ss=paid&amp;urlHash=8AF_")</f>
        <v/>
      </c>
      <c r="G72" t="inlineStr">
        <is>
          <t>Seattle, WA</t>
        </is>
      </c>
      <c r="H72" t="inlineStr"/>
      <c r="I72" t="inlineStr">
        <is>
          <t>**Description**
 At Amazon Ads, we’re re\-imagining the advertising landscape through advanced generative AI technologies and AI agents, revolutionizing how millions of customers discover products and engage with brands online.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deliver results to both. If you're energized by solving complex challenges and pushing the boundaries of what's possible with AI, join us in shaping the future of advertising.
 Amazon is looking for a Principal Technical Program Manager to lead the development of an AI agent for ads new ad products that leverage AI to help customers find and discover new products and engage with brands and sellers on Amazon.
 In this role, you will manage highly complex technical programs that span multiple VP\-level organizations. You will work across teams to align on project requirements, create work back plans, define API contracts, and manage strategic communications with executive stakeholders.
 This is a leadership position that requires an ability to earn trust with stakeholders across diverse disciplines including engineering, product, operations, legal, sales, UX, and marketing. You must be a highly\-collaborative team player capable of inspiring teams to innovate and deliver results against challenging timelines.
 Key job responsibilities
* Work with teams across engineering, product, operations, legal, UX, sales, and marketing to define requirements and deliver complex ad products that leverage generative AI.
* Lead daily stand\-ups, track progress against key milestones, and lead technical conversations.
* Identify, assess, track and mitigate issues and risks at multiple levels.
* Communicate effectively with stakeholders at all levels, from early career university hires to senior executives.
* Represent the team in conversations and debates related to complex decisions, trade\-offs, and solutions.
* Build relationships and manage by influence in a matrix organization to solve complex AI problems against tight timelines.
* Mentor senior and Principal TPMs and serve as a role model across the organization on TPM best practices (e.g., status reports, workback plans, executive communications).
**Basic Qualifications**
* 10\+ years of working directly with engineering teams experience
* 10\+ years of technical product or program management experience
* 10\+ years of software development experience
* Experience designing or architecting (design patterns, reliability and scaling) of new and existing systems
* Experience managing programs across cross functional teams, building processes and coordinating release schedules
* Experience owning/driving roadmap strategy and definition
**Preferred Qualifications**
* 12\+ years of hands\-on work managing complex technology projects experience
* Experience managing projects across cross functional teams, building sustainable processes and coordinating release schedules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WA, Seattle \- 177,000\.00 \- 239,400\.00 USD annually
**Company** 
 \- Amazon Advertising LLC
 Job ID: A3175378</t>
        </is>
      </c>
    </row>
    <row r="73">
      <c r="A73" t="inlineStr">
        <is>
          <t>li-4359897602</t>
        </is>
      </c>
      <c r="B73" t="inlineStr">
        <is>
          <t>Sr. Program Manager</t>
        </is>
      </c>
      <c r="C73" t="inlineStr">
        <is>
          <t>Trace Systems Inc.</t>
        </is>
      </c>
      <c r="D73" t="inlineStr">
        <is>
          <t>linkedin</t>
        </is>
      </c>
      <c r="E73">
        <f>HYPERLINK("https://www.linkedin.com/jobs/view/4359897602", "https://www.linkedin.com/jobs/view/4359897602")</f>
        <v/>
      </c>
      <c r="F73">
        <f>HYPERLINK("https://careers.tracesystems.com/jobs/7005/Sr.+Program+Manager?lang=en-US&amp;urlHash=6AW0", "https://careers.tracesystems.com/jobs/7005/Sr.+Program+Manager?lang=en-US&amp;urlHash=6AW0")</f>
        <v/>
      </c>
      <c r="G73" t="inlineStr">
        <is>
          <t>Tampa, FL</t>
        </is>
      </c>
      <c r="H73" t="inlineStr"/>
      <c r="I73" t="inlineStr">
        <is>
          <t>**Job Overview**
**Job Title:** 
 Sr. Program Manager
**Job Location:** 
 Tampa, FL
**Job Responsibilities**
 Trace Systems is actively recruiting for a Sr. Program Manager to join our team based in Tampa, FL. The Sr. Program Manager is responsible for overall contract performance for the Satellite Maintenance Terminal contract.
**Duties To Include**
* Management and oversight for the execution of strategic satellite terminal initiatives for the DOD including the certification through RMF or other cognizant DOD process
* Managing and overseeing all aspects of compliant delivery across the program portfolio of communications products, integrated solutions, and services.
* Serving as the primary interface with customers, corporate resources, and vendors on contractual and technical matters.
* Successfully executing contractual requirements in a manner that meets or exceeds specified performance objectives within program schedule and cost constraints.
* Identify, integrate and deliver technical solutions and resolve technical problems that arise during task order execution.
* Maintaining oversight of program logistics inclusive of CONUS and OCONUS\-based service provision, international shipping and customs clearance, and OCONUS personnel deployment and sustainment.
* Ensuring and maintaining high\-quality of fully compliant program deliverables. Gauging customer satisfaction with deliverables and tailoring them, where warranted, to address customer needs or concerns.
* Working closely with customers in defining scope of, and technical solutions for, upcoming Technical Guidance directives in support of providing best service delivery value.
* Providing regular program status reporting, and proactively managing customer expectations, particularly in the face of program exceptions or issues.
* Performing detailed deployment planning, developing/executing surge and contingency plans, and developing/executing risk mitigation strategies in complex equipment and service delivery environments where deployment conditions are dynamic and beyond contractor control.
* Effectively delegating to subordinate staff and vendors while maintaining cognizance of, and ultimate responsibility for, delegated actions.
* Assuming responsibility for maintaining profitability and identifying means of revenue and profitability growth.
* Directing and managing program sub\-projects, tasks, program personnel, and subcontractors while being the primary liaison among customers, employees, and corporate leadership regarding status, deliverables, performance/quality, issues, and personnel.
* Working closely with, and in support of other internal organizations, including finance, contracts/subcontracts, business development, purchasing, and recruiting.
* Ensuring adherence to government regulatory guidance and corporate procedures in executing the program.
* Proficient with Microsoft suite applications.
**Minimum Qualifications**
* An active, in\-scope US Government issued Secret clearance, or eligibility for a DOD Secret clearance.
* Due to the nature of the work and contract requirements, US Citizenship is required.
* Minimum 8 years of experience managing global IT/Communications projects for the US Department of Defense, of which a minimum 3 years must be for OCONUS.
**Desired Qualification**
* Experience in Military Signal Planning, Training, and Installation Background
**Education**
* Bachelor of Science in IT Management, Business Management or equivalent IT/Communications field.
**Trace Systems**
 Trace Systems Inc. was founded to support and defend our nation's security interests at home and abroad\-\- whenever and wherever. We provide enterprise IT, engineering, full life\-cycle communications, cybersecurity, cloud and virtualization services and solutions to the United States Department of Defense and other federal agencies.
 To Apply: We invite you to put your talents to work by joining a growing team of dynamic professionals here at Trace Systems! Be part of a culture at our leading\-edge company where you can achieve great things while fostering a satisfying and rewarding career progression. To learn more about our current openings, text ‘tracejobs’ to 97211 or apply directly through our website at: www.tracesystems.com. \#jointracesystems
 Trace Systems is an equal opportunity employer. Qualified candidates will be considered without regard to legally protected characteristics.</t>
        </is>
      </c>
    </row>
    <row r="74">
      <c r="A74" t="inlineStr">
        <is>
          <t>li-4329018627</t>
        </is>
      </c>
      <c r="B74" t="inlineStr">
        <is>
          <t>Technology Project &amp; Program Manager</t>
        </is>
      </c>
      <c r="C74" t="inlineStr">
        <is>
          <t>Wolters Kluwer</t>
        </is>
      </c>
      <c r="D74" t="inlineStr">
        <is>
          <t>linkedin</t>
        </is>
      </c>
      <c r="E74">
        <f>HYPERLINK("https://www.linkedin.com/jobs/view/4329018627", "https://www.linkedin.com/jobs/view/4329018627")</f>
        <v/>
      </c>
      <c r="F74" t="inlineStr"/>
      <c r="G74" t="inlineStr">
        <is>
          <t>Philadelphia, PA</t>
        </is>
      </c>
      <c r="H74" t="inlineStr"/>
      <c r="I74" t="inlineStr">
        <is>
          <t>If you are a problem\-solver who is passionate about ensuring customers are delighted by how products look/feel/work and are looking for a new challenge (as well as an opportunity to make a real difference in how nursing students use our products to become ready for practice), we want to hear from you!
 We are looking for a Product Owner to help us in our mission to ensure that the students and faculty who use our Nursing Education digital products/platforms at our most strategic accounts realize the full value of our digital solutions by proactively managing relationships, resolving issues, and championing customer needs in product development. The Product Owner acts as both an advocate and advisor by aligning customer outcomes to business goals.
 This Product Owner will have responsibility for implementing best practices in coordinating the investigation and resolution of common customer issues/requests for key accounts. The Product Owner will develop a first\-hand, in\-depth knowledge of what these users value and what helps customers in their workflows, to ensure nursing students and instructors have what they need to ensure the best educational experience. The Product Owner will work directly with key customers to troubleshoot problems and manage internal and external communications. In addition, for a limited number of customers, this Product Owner will provide project management oversite of implementation of digital products.
 The Product Owner manages the customer relationship for identified accounts on their assigned digital products/platforms. While the Product Owner is not expected to make technology decisions or understand the detail of the coding, they must have sufficient understanding of technology issues as well as an in\-depth understanding of the value each release brings to customers and how the release will work. This position will be closely aligned with the Product Management leadership in the ongoing development of our Enterprise Account strategy and will report to the Director of Product Development, Nursing.
 The Product Owner’s primary responsibilities include:
* Developing a deep understanding of Nursing Education customers and their needs, particularly their day\-to\-day interactions with our digital products/solutions
* Coordinating with Product Management on customer interactions to ensure a shared, thorough understanding of customer needs and how they align to short\- and long\-term strategic goals
* Delivering clear, empathetic, and professional communication tailored to each key account, ensuring complex issues are explained effectively
* Tracking and reporting on customer satisfaction metrics at key partnership accounts
* Developing best product implementation strategies with for key customers, ensuring timely delivery and alignment with business objectives, including coordination with Digital Implementation Specialist and Integration Nurse team members for seamless onboarding to our products/platforms through structured planning, relationship management, stakeholder coordination, and proactive risk management
* Bringing excellent organizational skills and a laser\-focus on customer service/insights to translate what customers have reported/requested into actionable/prioritized work for Agile/Scrum teams
* Owning the product development lifecycle/schedule by working with various Agile/Scrum teams to ensure that prioritized items are consumed/deployed in support of customer needs on the assigned products/platforms
* Being the “glue” in the product team who acts as a product’s “subject matter expert” for coordinating the investigation and resolution of customer issues across cross\-functional internal teams (including, but not limited to, Product Management, Technology, Content, Sales, Sales Enablement, and Customer Success/Support)
**Other Duties**
 Performs other duties as assigned by supervisor.
**Job Qualifications**
 Education: College degree (BA/BS) or equivalent experience required.
 Experience: At least 1\-year experience in customer service/support, with exposure to digital product development (particularly with Agile/Scrum teams) or equivalent experience in working on products/solutions for educational/academic markets
**Other Knowledge, Skills, Abilities, or Certifications:**
 Required:
* Superior communication and relationship management skills, including ability to facilitate customer communications (internal and external) and triage/troubleshoot customer escalations
* Demonstrated ability to remain professional and solution\-oriented when managing time\-sensitive or emotionally charged customer interactions, with a history of turning challenging situations into positive outcomes
* Strong project management skills, including ability to develop schedules, oversee work\-in\-progress, and implement risk mitigation strategies for efficient/effective solutions
* Ability to prioritize and act as a structured thinker who is able to see “the wood from the trees”
* Demonstrated experience coordinating cross\-functional teams to reach/exceed goals
* Experience in implementing best practice/standards in support of customer issues
 Preferred:
* General knowledge of the Nursing Education market
* Experience with understanding Technology opportunities, constraints, and choices, and ability to articulate associated risks (and possible mitigation plans)
* Familiarity with Agile/Scrum principles and practices for Product Owners
* Exposure to digital products/solutions in the educational space (including testing/assessment products)
* Exposure to backlog software (e.g., Jira, VSO, Trello, Wrike) and communication applications (Slack, MS Teams, Salesforce, etc.)
 Travel Requirements
* Up to 10% travel required
 Our Interview Practices
*To maintain a fair and genuine hiring process, we kindly ask that all candidates participate in interviews without the assistance of AI tools or external prompts. Our interview process is designed to assess your individual skills, experiences, and communication style. We value authenticity and want to ensure we’re getting to know you—not a digital assistant. To help maintain this integrity, we ask to remove virtual backgrounds and include in\-person interviews in our hiring process. Please note that use of AI\-generated responses or third\-party support during interviews will be grounds for disqualification from the recruitment process.*
*Applicants may be required to appear onsite at a Wolters Kluwer office as part of the recruitment process.*
**Compensation:**
 $75,900\.00 \- $129,950\.00 USD
*Compensation range listed is based on primary location of the position. Actual base salary offer is influenced by a wide array of factors including but not limited to skills, experience and actual hiring location. Your recruiter can share more information about the specific offer for the job location during the hiring process.*
**Additional Information** 
 :
 Wolters Kluwer offers a wide variety of competitive benefits and programs to help meet your needs and balance your work and personal life, including but not limited to: Medical, Dental, \&amp; Vision Plans, 401(k), FSA/HSA, Commuter Benefits, Tuition Assistance Plan, Vacation and Sick Time, and Paid Parental Leave. Full details of our benefits are available upon request.</t>
        </is>
      </c>
    </row>
    <row r="75">
      <c r="A75" t="inlineStr">
        <is>
          <t>li-4361062878</t>
        </is>
      </c>
      <c r="B75" t="inlineStr">
        <is>
          <t>Technical Program Manager</t>
        </is>
      </c>
      <c r="C75" t="inlineStr">
        <is>
          <t>Jobs via Dice</t>
        </is>
      </c>
      <c r="D75" t="inlineStr">
        <is>
          <t>linkedin</t>
        </is>
      </c>
      <c r="E75">
        <f>HYPERLINK("https://www.linkedin.com/jobs/view/4361062878", "https://www.linkedin.com/jobs/view/4361062878")</f>
        <v/>
      </c>
      <c r="F75">
        <f>HYPERLINK("https://click.appcast.io/t/M8bcyo7FGp_KuGTWKMmVQs85LifIPNWfrjdloOOz_vA=&amp;urlHash=y-8t", "https://click.appcast.io/t/M8bcyo7FGp_KuGTWKMmVQs85LifIPNWfrjdloOOz_vA=&amp;urlHash=y-8t")</f>
        <v/>
      </c>
      <c r="G75" t="inlineStr">
        <is>
          <t>Plano, TX</t>
        </is>
      </c>
      <c r="H75" t="inlineStr"/>
      <c r="I75" t="inlineStr">
        <is>
          <t>**Overview**
**Who we are**
 Collaborative. Respectful. A place to dream and do. These are just a few words that describe what life is like at Toyota. As one of the world's most admired brands, Toyota is growing and leading the future of mobility through innovative, high\-quality solutions designed to enhance lives and delight those we serve. We're looking for talented team members who want to Dream. Do. Grow. with us.
 An important part of the Toyota family is Toyota Financial Services (TFS), the finance and insurance brand for Toyota and Lexus in North America. While TFS is a separate business entity, it is an essential part of this world\-changing company\- delivering on Toyota's vision to move people beyond what's possible. At TFS, you will help create best\-in\-class customer experience in an innovative, collaborative environment.
**To save time applying, Toyota does not offer sponsorship of job applicants for employment\-based visas or any other work authorization for this position at this time.**
**This position is based in Plano, TX.**
**Who We're Looking For:**
 At TFS, we're embarking on a technology transformation journey, creating next generation products and platforms. These products enable TFS to provide a best\-in\-class experience to our customers and partners and position us to rapidly scale to realize our vision of mobility for all by enabling freedom of movement for everyone.
 We are seeking a Technical Program Manager (TPM) to lead our technology programs. This role requires strong technical acumen, program and stakeholder management, and a process optimization mindset.
 The expectation is as a TPM you will be hands\-on and driving the delivery of critical business initiatives, managing all aspects of the program, including planning, risk management, communication, and implementation. You are a technical problem solver, anticipating bottlenecks, identifying innovative solutions to resolve roadblocks, and balancing business needs against technical constraints.
 Key Responsibilities Include:
* Lead and manage cross\-functional technical programs of inter\-related projects, creating the program structure and shared alignment with the teams to deliver business and /or engineering objectives
* Collaborate with business, engineering, and architecture teams to design, coordinate, and launch new capabilities by breaking down complex challenges into manageable pros and ensure timely delivery.
* Coordinate launch planning among various teams to synchronize program milestones across multiple workflows into a unified timeline that satisfies both business objectives and customer requirements.
* Develop and execute scalable cross\-organization processes, mechanisms, metrics , and KPIs to deliver large\-scale programs.
* Influence long\-term and short\-term product and technical strategy .
* Assess risks, develop risk mitigation plans, anticipate bottlenecks, manage issue escalation, and collaborate with Product Management on potential tradeoffs, balancing business needs with technical considerations.
* Manage the intake queue by prioritizing and triaging incoming requests, ensuring all tasks are appropriately categorized, assigned, and tracked to meet business objectives and timelines.
**What You Bring:**
* Bachelor's Degree or equivalent experience.
* 8 \+ years of total progressive experience which includes 6 \+ years of software development experience and 6 \+ years of hands\-on experience managing complex technology program working with engineering team
* Established track record in managing large customer\-facing, cross\-functional program initiatives, drive collaboration with diverse teams to enable the development of high\-quality solutions
* Experience leading engineering teams in product driven companies .
* Proven ability to lead the development of technical roadmaps with a deep focus on execution, follow\-through, accountability, and results.
* Proven ability to influence and collaborate with senior executives and cross\-functional teams.
**Bonus if you have:**
* AWS Practitioner Certification .
* Bachelor's degree in a related technical field (Computer Science, Engineering) .
* Master's degree or an MBA .
* PMP certification .
* Experience working in the financial and banking industry.
* Experience managing the delivery of SDKs, CX Frameworks and SaaS products.
* Experience managing programs on public cloud platforms such as AWS .
**What We'll Bring**
 During your interview process, our team can fill you in on all the details of our industry\-leading benefits and career development opportunities.
 A few highlights include:
* A work environment built on teamwork, flexibility, and respect.
* Professional growth and development programs to help advance your career, as well as tuition reimbursement.
* Team Member Vehicle Purchase Discount.
* Toyota Team Member Lease Vehicle Program (if applicable).
* Comprehensive health care and wellness plans for your entire family.
* Toyota 401(k) Savings Plan featuring a company match, as well as an annual retirement contribution from Toyota regardless of whether you contribute.
* Paid holidays and paid time off.
* Referral services related to prenatal services, adoption, childcare, schools, and more.
* Tax advantaged accounts (Health Savings Account, Health Care FSA, Dependent Care FSA).
**Belonging at Toyota**
 Our success begins and ends with our people. We embrace all perspectives and value unique human experiences. Respect for all is our North Star. Toyota is proud to have 10\+ different Business Partnering Groups across 100 different North American chapter locations that support team members' efforts to dream, do and grow without questioning that they belong.
 Applicants for our positions are considered without regard to race, ethnicity, national origin, sex, sexual orientation, gender identity or expression, age, disability, religion, military or veteran status, or any other characteristics protected by law.
 Have a question, need assistance with your application or do you require any special accommodations? Please send an email to .</t>
        </is>
      </c>
    </row>
    <row r="76">
      <c r="A76" t="inlineStr">
        <is>
          <t>li-4362930763</t>
        </is>
      </c>
      <c r="B76" t="inlineStr">
        <is>
          <t>Donor and Patient Safety Program Manager</t>
        </is>
      </c>
      <c r="C76" t="inlineStr">
        <is>
          <t>LifeCenter Northwest</t>
        </is>
      </c>
      <c r="D76" t="inlineStr">
        <is>
          <t>linkedin</t>
        </is>
      </c>
      <c r="E76">
        <f>HYPERLINK("https://www.linkedin.com/jobs/view/4362930763", "https://www.linkedin.com/jobs/view/4362930763")</f>
        <v/>
      </c>
      <c r="F76">
        <f>HYPERLINK("https://www.paycomonline.net/v4/ats/web.php/portal/FA34F9F55C458FF7F84CAD659777CFD4/jobs/334717&amp;urlHash=2R4O", "https://www.paycomonline.net/v4/ats/web.php/portal/FA34F9F55C458FF7F84CAD659777CFD4/jobs/334717&amp;urlHash=2R4O")</f>
        <v/>
      </c>
      <c r="G76" t="inlineStr">
        <is>
          <t>Bellevue, WA</t>
        </is>
      </c>
      <c r="H76" t="inlineStr"/>
      <c r="I76" t="inlineStr">
        <is>
          <t>The Donor and Patient Safety Program Manager (DPSPM) is responsible for promoting a culture of safety and regulatory compliance across the organization, helping ensure the highest standards of care for organ donors and transplant recipients. This role oversees donor safety initiatives, adverse event management, and patient safety risk reduction strategies while aligning practices with CMS, OPTN/UNOS, FDA, AATB and other applicable regulatory requirements and best practices. The DPSPM collaborates with senior leadership and the clinical and quality teams to build and enhance donor and patient safety structures and systems and to identify and mitigate risks, implement corrective actions, and support continuous performance improvement within the organization.
**Essential Job Functions**
**Donor and Patient Safety Oversight**
* Design and implement a comprehensive Patient Safety program to monitor and evaluate donor and patient safety events, including near misses, adverse outcomes, and deviations from established protocols to minimize risk to donors and potential transplant recipients.
* Develop and deliver reports to LifeCenter’s Quality Council, senior leaders, and Governing and Advisory Boards, as requested.
* Work closely with senior\-level clinical options leadership to support an effective donor and patient safety program.
* Respond to alleged donor and recipient adverse events and safety situations in real time. Coordinate with Clinical and Quality staff to provide redundant and cascading reporting practices, ensuring 24/7/365 coverage of donor and patient safety oversight.
* Ensure timely reporting of patient and donor safety events to appropriate regulatory bodies and partners (e.g. OPTN/UNOS, FDA, AATB, transplant centers, tissue and eye banks).
* Monitor and lead investigations of adverse events and safety situations in collaboration with the LifeCenter Medical Director and advisory staff. Act as the primary point of contact between LifeCenter and regulatory bodies, transplant centers, hospitals, and tissue partners for ongoing investigation and communication.
* Serve as a liaison between clinical and non\-clinical stakeholders by translating complex medical information and integrating Medical Director/advisory guidance into regulatory and stakeholder communications.
* In collaboration with the LCNW audit program, conduct regular assessments of organ and tissue operations with regard to donor and patient safety. Track, trend, and report findings to internal stakeholders. Assist in implementation of intervention action plans, including development, adoption, and evaluation of best practices.
* Develop policies and procedures designed to ensure effective documentation, communication, and resolution for donor and patient safety events. Serves as an internal resource and subject matter expert on patient safety practices, promoting a culture of safety, transparency, and continuous improvement.
* In collaboration with the LifeCenter Medical Director and advisory staff and clinical leadership, perform root cause analyses (RCA) of safety events and develop effective corrective and preventive action (CAPA) plans. Ensure effectiveness and provide timely resolution of CAPA plans.
* Monitor, analyzes and trend donor and patient safety data, including potential, suspected, and confirmed adverse events, safety situations, overall donor and patient safety compliance, and process improvement initiatives.
**Regulatory Compliance \&amp; Reporting**
* Ensure compliance with CMS Conditions for Coverage, OPTN/UNOS bylaws and policies, FDA regulations, AATB standards and other applicable requirements relevant to donor and patient safety.
* Maintain complete and accurate documentation of all donor and patient safety investigations, reviews, and outcomes through the development and management of the LCNW Patient Safety occurrence reporting system.
* Serve as subject matter expert for patient safety related policies and procedures within the organization.
* Participates in emergency management activities to ensure a continuum of donor and patient safety oversight during emergent events.
**Education \&amp; Training**
* Develop and deliver donor and patient safety related education programs for LifeCenter staff, partner hospitals, and transplant centers.
* Promote a culture of safety by engaging staff in best practices, transparent communication, and share lessons learned from safety events.
* Provide onboarding and ongoing training to ensure staff awareness of best practice, organizational safety expectations, and regulatory requirements related to door and patient safety.
**Quality Improvement**
* Collaborate with the Quality Assurance \&amp; Performance Improvement (QAPI) Committee to integrate safety initiatives into standard practice and align with organizational priorities.
* Provide regular donor and patient safety reports to extended senior leadership, including ongoing analyses and trends for continuous process improvement.
* Contribute to strategic safety goals, including reducing adverse events, enhancing donor evaluation and management practices, and improving recipient outcomes.
* Participate in the development of and review of policies, procedures, and protocols that could impact donor and recipient safety.
**Supervision**
* This position has no formal supervisory responsibility but serves as an advisor and consultant for the organization, and coach and mentor for other positions in the department.
**Other Responsibilities**
* Performs other related duties as required by the needs of the company and the leadership team.
* Participates in, and may lead, employee committees, and events.
* Complies with applicable laws, regulations, and LifeCenter policies and procedures.
**Knowledge, Skills, Abilities**
* Subject Matter Expert knowledge of patient safety principles and healthcare regulations.
* Ability to interpret complex medical information and effectively communication Medical Director and advisory guidance to diverse stakeholders.
* Proven ability to analyze safety event data and performance metrics to identify trends, drive improvement initiatives, and monitor outcomes using quality improvement methodologies.
* Ability to build, operationalize, and sustain a comprehensive compliance program to establish oversight and cross\-functional accountability
* Strong background in interdisciplinary collaboration, with a track record of engaging clinical and operational leaders, compliance/legal teams, and front\-line staff to advance safety culture and implement system\-wide governance practices.
* Familiarity with legal and ethical risk considerations in patient safety, including event disclosure, patient rights, documentation practices, and coordination with legal or risk counsel as appropriate.
* Exceptional analytical, problem\-solving, and decision\-making skills.
* Strong written and verbal communication abilities, with skill in engaging diverse stakeholders.
* Ability to manage sensitive information with discretion and professionalism.
* Competence in data collection, analysis, and presentation (Microsoft Excel, PowerPoint, or other quality improvement tools).
* Ability to be flexible to respond to continuously changing situations, issues and priorities.
* Must be able to work effectively with others, some in remote locations.
* The ability to prioritize and complete work despite competing objectives.
**Behavioral Requirements**
 The employee in this position must uphold the core values of LifeCenter; these include:
* Integrity: We are trustworthy, reliable, respectful, and accountable.
* Collaboration: We work in partnership with others, seeking to understand and be understood, and finding common ground and shared goals to build upon together.
* Courage: We take personal responsibility and face challenges head\-on.
* Service: Through professionalism and dedication, we honor our commitment to serve others and our obligation to be good stewards of the gift of life.
**Physical Activities/Requirements**
* Travel out of the general work area may be required.
* Position functions while sitting and/or standing, use of keyboard, telephone, and specialized office equipment. The employee is required to be able to move up to 35 pounds with or without assistance.
* This position requires the ability to effectively operate phones, computers, and other office equipment.
* The individual must have the ability to communicate clearly using the English language to accurately convey information and be able to hear at normal speaking levels both in person and over the phone.
* Specific vision abilities required by this position include close vision and the ability to adjust focus.
* Generally, working conditions do not require exposure to hazardous materials or extremes in health and safety hazards. Work is normally performed in an office or hospital setting, as well as in other business environments.
**Anticipated Weekly Time Commitment**
 This position may need to work outside of regular business hours, including evenings and weekends.
**Education, Experience \&amp; Job Requirements** 
* 5\+ years of experience as a Patient Safety Manager or Specialist in healthcare required; experience in a critical care hospital setting preferred. Similar role/job responsibilities in healthcare quality or regulatory compliance will be considered.
* Bachelor’s degree in nursing, Healthcare Administration, Public Health, or related field required.
* Relevant work experience can be considered and substituted for academic requirements.
* Progressive experience with:
+ Patient safety, quality, or risk management within a healthcare setting, demonstrating increasing responsibility in leading safety initiatives, conducting risk assessments, root cause analyses, and implementing Corrective And Preventative Action (CAPA) plans and improvement strategies aligned with national safety standards and regulations.
+ Developing and managing patient safety programs or infrastructure, including policy development, staff education, committee facilitation, and escalation protocols that support a culture of safety.
* Proof of COVID\-19 vaccination or applicable medical or religious exemption will be required as a condition of employment upon offer.
**Benefits And Compensation**
 LifeCenter Northwest offers medical, dental, vision, basic life insurance, accidental death \&amp; dismemberment insurance, long\-term disability insurance, and travel accident insurance. Employees have the option of enrolling in the following supplemental or voluntary plans: life insurance, short\-term disability, accident insurance, hospital indemnity, critical illness coverage and pet insurance. Employees enrolled in our 403(b) program will receive an employer match of up to 7% after one year, employees are auto enrolled at 3% and may change their enrollment at any time. LifeCenter encourages all employees to find balance and well\-being and provides all employees access to an Employee Assistance Program (EAP) and provides a quarterly Wellness Reimbursement. Employees enjoy paid holidays throughout the calendar year and earn 119 hours of PTO annually (to start) as well as Health Time Off hours that is earned 1 hour per 30 worked, paid living donor leave, two weeks paid jury duty leave after 6 months of service, and three weeks of paid parental leave after one year of service is complete. A comprehensive review of benefits can be found at https://lcnw.org/about/employment\-opportunities/.
 The pay range for this role is provided above. Where a candidate’s compensation falls within this range is based on several bona fide factors such as experience, tenure, and other specialized knowledge. LifeCenter Northwest is committed to providing its employees equitable and competitive compensation.
 LifeCenter Northwest is proud to be an Equal Opportunity Employer.</t>
        </is>
      </c>
    </row>
    <row r="77">
      <c r="A77" t="inlineStr">
        <is>
          <t>li-4369191589</t>
        </is>
      </c>
      <c r="B77" t="inlineStr">
        <is>
          <t>Technical Program Manager - ERP Migration</t>
        </is>
      </c>
      <c r="C77" t="inlineStr">
        <is>
          <t>Jobs via Dice</t>
        </is>
      </c>
      <c r="D77" t="inlineStr">
        <is>
          <t>linkedin</t>
        </is>
      </c>
      <c r="E77">
        <f>HYPERLINK("https://www.linkedin.com/jobs/view/4369191589", "https://www.linkedin.com/jobs/view/4369191589")</f>
        <v/>
      </c>
      <c r="F77" t="inlineStr"/>
      <c r="G77" t="inlineStr">
        <is>
          <t>Mountain View, CA</t>
        </is>
      </c>
      <c r="H77" t="inlineStr"/>
      <c r="I77" t="inlineStr">
        <is>
          <t>Dice is the leading career destination for tech experts at every stage of their careers. Our client, Carlin Shayn Inc, is seeking the following. Apply via Dice today!
**Summary**
 We're seeking a Sr. Staff Technical Program Manager to lead a large‑scale ERP finance transformation, including migrations from our existing ERP to new platforms and modernization of core financial and operational processes. This role is part of the central Transformation and Program Management Office and partners with senior business and technology leaders to ensure the ERP landscape becomes a scalable, well‑controlled backbone for Clients’ growth.
 The impact you’ll have
 You will drive a company‑level transformation of how our business plans, records, and reports its financial and operational performance, using ERP best practices to simplify processes, strengthen controls, and improve data quality. By bringing structure and clarity to a complex multi‑year effort, you will reduce execution risk, accelerate time‑to‑value from the new ERP platform, and enable leaders to make faster, better‑informed decisions grounded in consistent, reliable information.
**Responsibilities**
* Program strategy and vision: Define and maintain the ERP finance transformation vision, scope, and success metrics, ensuring alignment with company strategy and finance objectives.
* Roadmap and portfolio: Own the multi‑phase ERP roadmap and associated program portfolio, sequencing initiatives to balance risk, capacity, and business value.
* Governance and execution framework: Stand up and lead the governance model and integrated program plan, driving clear decision‑making, transparency on risks and dependencies, and predictable delivery.
* Finance and ERP process transformation: Partner with process owners to transform core finance and operational processes (for example, order‑to‑cash, procure‑to‑pay, record‑to‑report, planning) in line with ERP best practices and stronger controls.
* Data, systems, and control outcomes: Own the definition of ERP‑related data, integration, and control outcomes so the implemented solution supports reliable reporting, compliance, and efficient operations.
**Requirements**
* 10\+ years leading high‑complexity, business‑critical technical or transformation programs that span multiple functions and systems, with a track record of influencing VP‑level stakeholders.
* Deep experience with ERP‑enabled business transformation, including large finance or enterprise‑wide ERP implementations or migrations.
* Proven ability to set up and run program governance and PMO‑like structures for complex initiatives, including integrated planning, RAID management, and executive reporting.
* Advanced ability to structure ambiguous problem spaces, conduct fit‑gap and trade‑off discussions, and drive alignment on decisions that balance process standardization, flexibility, and control.
* Strong data‑driven mindset and excellent written and verbal communication skills, with experience mentoring and elevating other TPMs or project managers and introducing scalable, repeatable program management practices.
**Skills**
* ERP Implementation
* Executive Reporting
* Program Governance
* SAP ERP Implementations
* Transformation Programs
* fit\-gap analysis
* NetSuite ERP Implementation
* RAID Management</t>
        </is>
      </c>
    </row>
    <row r="78">
      <c r="A78" t="inlineStr">
        <is>
          <t>li-4369311080</t>
        </is>
      </c>
      <c r="B78" t="inlineStr">
        <is>
          <t>IT Program Manager III</t>
        </is>
      </c>
      <c r="C78" t="inlineStr">
        <is>
          <t>Jobs via Dice</t>
        </is>
      </c>
      <c r="D78" t="inlineStr">
        <is>
          <t>linkedin</t>
        </is>
      </c>
      <c r="E78">
        <f>HYPERLINK("https://www.linkedin.com/jobs/view/4369311080", "https://www.linkedin.com/jobs/view/4369311080")</f>
        <v/>
      </c>
      <c r="F78">
        <f>HYPERLINK("https://click.appcast.io/t/tXym9QWMCkHZx8pRh5tnCYS1H0H6hXDRLsZ_d8Ymr00=&amp;urlHash=uGmR", "https://click.appcast.io/t/tXym9QWMCkHZx8pRh5tnCYS1H0H6hXDRLsZ_d8Ymr00=&amp;urlHash=uGmR")</f>
        <v/>
      </c>
      <c r="G78" t="inlineStr">
        <is>
          <t>Chicago, IL</t>
        </is>
      </c>
      <c r="H78" t="inlineStr"/>
      <c r="I78" t="inlineStr">
        <is>
          <t>Dice is the leading career destination for tech experts at every stage of their careers. Our client, Apex Systems, is seeking the following. Apply via Dice today!
**Job\#: 3021137**
**Job Description:**
**IT Program Manager**
**Chicago IL**
**10 months (Hybrid)**
**$65\.00 \- 67\.70/hr**
**Description:**
 Lead end\-to\-end project planning and execution for AI programs\-spanning discovery, prototyping, pilot, and production. Partner with the AI Product Owner, Agentic Framework Engineer, Full\-Stack Developer, and REs to manage scope, timelines, dependencies, and governance. Own delivery cadences, RAID management, stakeholder communication, and operational readiness (support, monitoring, knowledge management).
**Key Responsibilities**
 Establish and maintain integrated project plans for AI initiatives (milestones, dependencies, critical path)
 Run Agile ceremonies (Scrum/Kanban) while adapting to hybrid delivery needs for model and platform work
 Manage RAID logs (Risks, Assumptions, Issues, Dependencies) with clear owners, due dates, and mitigations
 Coordinate cross\-functional delivery across Product, Engineering (Agentic \&amp; Full\-Stack), RE, Data, and Compliance
 Track budgets, vendor engagement, and resourcing; maintain accurate status and forecast reports
 Ensure Responsible AI governance: data privacy controls, model risk management, bias \&amp; fairness checks, explainability, human\-in\-the\-loop processes
 Drive readiness for production support (runbooks, incident playbooks, SLAs/SLOs, observability, ServiceNow Knowledge Management alignment)
 Partner on release planning, change management, and operational handoffs; ensure post\-launch retrospectives and continuous improvement
 Maintain project artifacts in Jira/Confluence; uphold documentation standards (JSON\-first specs where applicable)
 Facilitate stakeholder communications: executive updates, decision logs, and outcome\-based reporting (KPIs/OKRs)
 Support evaluation pipelines (A/B tests, offline benchmarks, red\-team testing) and acceptance criteria for AI features
 Align security and compliance reviews (access controls, audit trails, policy exceptions) with enterprise standards
**Primary:**
 Project/Program Management (Agile \&amp; hybrid), AI delivery lifecycle, Risk \&amp; Controls, Stakeholder Management
**Secondary:**
 Jira, Confluence, ServiceNow (Knowledge \&amp; Change), RAID \&amp; dependency management, Budget \&amp; vendor coordination
**Tertiary:**
 Familiarity with Python and FastAPI integration patterns, LangChain/LangGraph concepts, RAG workflows, vector \&amp; relational database basics, Large Language Model (LLM) evaluation metrics (quality, safety, latency, cost)
**Primary Skill**
 Agile tools (Jira)
**Secondary Skill**
 Python
**EEO Employer**
 Apex Systems is an equal opportunity employer. We do not discriminate or allow discrimination on the basis of race, color, religion, creed, sex (including pregnancy, childbirth, breastfeeding, or related medical conditions), age, sexual orientation, gender identity, national origin, ancestry, citizenship, genetic information, registered domestic partner status, marital status, disability, status as a crime victim, protected veteran status, political affiliation, union membership, or any other characteristic protected by law. Apex will consider qualified applicants with criminal histories in a manner consistent with the requirements of applicable law. If you have visited our website in search of information on employment opportunities or to apply for a position, and you require an accommodation in using our website for a search or application, please contact our Employee Services Department at or .
 Apex Systems is a world\-class IT services company that serves thousands of clients across the globe. When you join Apex, you become part of a team that values innovation, collaboration, and continuous learning. We offer quality career resources, training, certifications, development opportunities, and a comprehensive benefits package. Our commitment to excellence is reflected in many awards, including ClearlyRated's Best of Staffing in Talent Satisfaction in the United States and Great Place to Work in the United Kingdom and Mexico. Apex uses a virtual recruiter as part of the application process. Click for more details.
**Apex Benefits Overview:** 
 Apex offers a range of supplemental benefits, including medical, dental, vision, life, disability, and other insurance plans that offer an optional layer of financial protection. We offer an ESPP (employee stock purchase program) and a 401K program which allows you to contribute typically within 30 days of starting, with a company match after 12 months of tenure. Apex also offers a HSA (Health Savings Account on the HDHP plan), a SupportLinc Employee Assistance Program (EAP) with up to 8 free counseling sessions, a corporate discount savings program and other discounts. In terms of professional development, Apex hosts an on\-demand training program, provides access to certification prep and a library of technical and leadership courses/books/seminars once you have 6\+ months of tenure, and certification discounts and other perks to associations that include CompTIA and IIBA. Apex has a dedicated customer service team for our Consultants that can address questions around benefits and other resources, as well as a certified Career Coach. You can access a full list of our benefits, programs, support teams and resources within our 'Welcome Packet' as well, which an Apex team member can provide.</t>
        </is>
      </c>
    </row>
    <row r="79">
      <c r="A79" t="inlineStr">
        <is>
          <t>li-4361025135</t>
        </is>
      </c>
      <c r="B79" t="inlineStr">
        <is>
          <t>HEALTH FACILITIES PROGRAM MANAGER, NURSING</t>
        </is>
      </c>
      <c r="C79" t="inlineStr">
        <is>
          <t>County of Los Angeles</t>
        </is>
      </c>
      <c r="D79" t="inlineStr">
        <is>
          <t>linkedin</t>
        </is>
      </c>
      <c r="E79">
        <f>HYPERLINK("https://www.linkedin.com/jobs/view/4361025135", "https://www.linkedin.com/jobs/view/4361025135")</f>
        <v/>
      </c>
      <c r="F79" t="inlineStr"/>
      <c r="G79" t="inlineStr">
        <is>
          <t>Los Angeles, CA</t>
        </is>
      </c>
      <c r="H79" t="inlineStr"/>
      <c r="I79" t="inlineStr">
        <is>
          <t>**EXAM NUMBER**
 PH5710C
**FIRST DAY OF FILING**
 Friday, September 20, 2024 at 8:30a.m., Pacific Time (PT)
*This examination will remain open until the needs of the service are met and is subject to closure without prior notice.*
**TYPE OF RECRUITMENT**
 Open Competitive Job Opportunity
**Definition**
**No out\-of\-class experience will be accepted.**
 Plans, organizes, assigns, directs, and evaluates, through subordinate nurse evaluator supervisors, the work of a major section of the Health Facilities Inspection Division.
**Classification Standards**
 Positions allocable to this class are assigned to the Department of Public Health, Health Facilities Inspection Division. Under general direction from the Assistant Chief, Health Facilities Inspection Division, positions provide technical and administrative direction, through Supervising Health Facilities Evaluator, Nursing positions, to nurse evaluators responsible for surveying and investigating health care facilities and enforcing licensing and certification standards in accordance with State, Federal, and local laws and regulations concerning total patient care. Positions also direct staff responsible for performing administrative assignments in licensing, enforcement, and training services; provide administrative direction to a staff of consultants; manage informal dispute resolution, compliance, and quality assessment and assurance monitoring processes; and handle informal complainant appeals. Health Facilities Program Manager, Nursing positions are required to apply an advanced, broad\-based knowledge of nursing practice and theory as well as advanced knowledge of management, supervisory, and leadership techniques. Health Facilities Program Manager, Nursing is distinguished from Supervising Health Facilities Evaluator, Nursing in that the latter is primarily responsible for supervising Health Facilities Evaluator, Nursing positions and support staff in the conduct of healthcare facility inspections and investigations.
* Develops, interprets, and directs the implementation of nursing philosophy and objectives and departmental policies and procedures; applies recognized standards of nursing care and practice to program activities.
* Assists in planning and implementing operational policies and procedures for nursing services and assigns, directs, and reviews the work of subordinate supervisors and other personnel.
* Monitors and evaluates program operations for compliance with licensure and regulatory standards.
* Manages the administration of survey services by reviewing inspection and investigatory reports, resolving problems pertaining to surveys, and coordinating work with other sections.
* Directs a staff of consultants in the provision of specialized consultative and enforcement services in the evaluation of total patient quality\-of\-care provided by hospitals and other health care facilities in accordance with Federal, State, and local licensing and certification requirements.
* Provides administrative and limited technical supervision to consultants exercising professional expertise in fields such as medicine, nursing, pharmacy, social work, and physical and occupational therapy.
* Coordinates all enforcement actions for the Division, including processing license revocations, Medicare and Medi\-Cal de\-certifications, and criminal complaints; and provides technical support to the surveyors and consultants.
* Directs program specialists conducting a variety of staff assignments such as reviewing and analyzing State, Federal, and local legislation and regulations affecting the program; planning and providing orientation and ongoing in\-service training for Division personnel; and reviewing licensure and certification documents.
* Represents the Health Facilities Inspection Division when interfacing with officials of governmental health agencies, fiscal intermediaries, provider groups, and voluntary associations.
**SELECTION REQUIREMENTS:**
 A Bachelor's degree\* in Nursing or closely related health field
**– AND –**
**Option I**
 Two years of experience at the level of Los Angeles County's Supervising Health Facilities Evaluator, Nursing\*\*.
**– OR –**
**Option II**
 Two years of consultative experience in the surveillance of health facilities for compliance with State, Federal, and local regulations.
**– OR –**
**Option III**
 Two years of experience as a Health Facilities Evaluator III\*\*\* enforcing local licensing and certification requirements relating to medical care.
**Required License**
 A valid, active license (without limitations or restrictions) to practice as a Registered Nurse issued by the State of California Board of Registered Nursing\*\*\*\*.
**A current certification in accordance with the American Heart Association's Basic Life Support (BLS) for Healthcare Providers (CPR \&amp; AED) program\*\*\*\*\*.** 
 All positions in this classification require possession of a current certification in accordance with the American Heart Association's BLS for CPR \&amp; AED program to perform job\-related essential functions. Candidates offered these positions would be required to show proof of a current certification before appointment.
**A valid California Class C Driver License** 
 or the ability to utilize an alternative method of transportation when needed to carry out job\-related essential functions.
**Physical Class**
**2 \- Light** 
 \- This class includes administrative and clerical positions requiring light physical effort that may include occasional light lifting to a 10 pound limit and some bending, stooping, or squatting. Considerable ambulation may be involved.
**Special Requirement Information**
 Please ensure the License and Certificate Section of the application is completed for the Registered Nurse License. Provide the title of your required license and certifications, number, date of issue, date of expiration and the name of the issuing agency as specified in the requirements on your application at the time of filing or e\-mail the information to hrexams@ph.lacounty.gov within fifteen (15\) calendar days of filing.
 **\*** 
 \*
 **Experience at the level of** 
**Supervising Health Facilities Evaluator, Nursing** 
 is defined as someone who provides first level of supervision to nurse evaluator staff responsible for surveying health care facilities and enforcing licensing and certification standards in accordance with State, Federal, and local laws and regulations pertaining to areas affecting total patient care such as nursing, physician, restorative, and related services; or performs administrative staff assignments in licensing, enforcement and training services.
* In order to receive credit for any type of college or university degree, such as a Bachelor's Degree or higher, you must attach a legible copy of the Official Diploma, Official Transcripts, or Official Letter from the accredited institution, which shows the date the degree was awarded, with Registrar's signature and school seal, to the application or within fifteen (15\) calendar days from application submission to hrexams@ph.lacounty.gov.
* ACCREDITATION: Accredited institutions are those listed in the publications of regional, national or international accrediting agencies which are accepted by the Department of Human Resources. Publications such as American Universities and Colleges and International Handbook of Universities are acceptable references.
* Foreign studies must be evaluated for equivalency to United States accredited institutions standards by an academic credential evaluation agency recognized by The National Association of Credential Evaluation Services (NACES) or the Association of International Credential Evaluators, Inc. (AICE). (see Employment Information under Accreditation Information).
* Official Transcript is defined as a transcript that bears the college seal and states "official and/or copy" issued by the school's Registrar Office. A printout of the transcript from the school's website is NOT considered official and, therefore, will NOT be accepted and may result in your application being incomplete and be rejected.
* NOTE: If you are unable to attach the required documents with your application online, you must e\-mail them to HRExams@ph.lacounty.gov within fifteen (15\) calendar days from application submission. In the "Subject" of the e\-mail please type the Exam Number and Exam Title.
* To qualify applicants must have County status in the specified class, as evidenced by holding or having held such payroll title in the service of Los Angeles County for the required amount of time to qualify.
* A current license to practice as a Registered Nurse issued by the California Board of Registered Nursing.
* Applicants must ensure the License and Certification Section of the application is completed. Provide the title(s) of your required license(s), the number(s), date(s) of issue, date(s) of expiration and the name(s) of the issuing agency for the required license as specified in the Selection Requirements.
* Applicants must attach a legible photocopy of their BLS certification with your application online at the time of filing or within fifteen (15\) calendar days from application submission to HRExams@ph.lacounty.gov.
**NOTE:** 
 If you are unable to attach the required documents with your application online, you must e\-mail them to HRExams@ph.lacounty.gov within fifteen (15\) calendar days from application submission. In the "Subject" of the e\-mail please type the Exam Number and Exam Title.
**Desirable Qualification**
* Additional points will be awarded for experience beyond the Selection Requirements.
**Examination Content**
 This examination will consist of an evaluation of education and experience based upon application information, desirable qualifications and supplemental questionnaire at the time of filing
 **weighted 100%.**
 Applicants must meet the requirements described above at the time of filing and achieve a passing score of 70% or higher on the examination in order to be added to the Eligible Register.
***Passing this examination and being added to the Eligible Register does not guarantee an offer of employment.***
**Eligibility Information**
 The names of candidates receiving a passing score in the examination will be added to the Eligible Register in the order of their score group for a period of twelve (12\) months following the date of eligibility.
**NO PERSON MAY COMPETE IN THIS EXAMINATION MORE THAN ONCE EVERY TWELVE (12\) MONTHS** 
 .
 Complete applications will be processed on an as received basis and promulgated to the Eligible Register accordingly.
**Vacancy Information**
 The Eligible Register resulting from this examination will be used to fill vacancies in the Department of Public Health as they occur.
**Available Shift**
 Any shift, including evenings, nights, weekends and holidays.
 \_\_\_\_\_\_\_\_\_\_\_\_\_\_\_\_\_\_\_\_\_\_\_\_\_\_\_\_\_\_\_\_\_\_\_\_\_\_\_\_\_\_\_\_\_\_\_\_\_\_\_\_\_\_\_\_\_\_\_\_\_\_\_
**Application and Filing Information**
**How To Apply**
**Applications must be filed ONLINE ONLY.** 
 Applications submitted by U.S. mail, fax, or in person will NOT be accepted. Any required documents and/or additional information, if any, must be received with your application at the time of filing online or sent to HRExams@ph.lacounty.gov
 **within fifteen (15\) calendar days from application submission** 
 .
 Apply online by clicking on the green
 **"Apply"** 
 button located on this posting. You can also track the status of your application using this website.
**Plan to submit your online application well in advance of the 5:00 p.m. Pacific Time (PT) deadline as you may be required to verify your email address. This only needs to be done once per email address, and if you already have a job seeker account on www.governmentjobs.com/careers/lacounty, you can verify at any time by logging in and following the prompts. This is to enhance the security of your online application and to ensure you do not enter an incorrect email address.**
**The acceptance of your application depends on whether you have** 
 clearly shown that you meet the
 **SELECTION** 
**REQUIREMENTS** 
 . Fill out the application and Supplemental Questionnaire accurately and completely to receive full credit for any relevant education and/or job experience you include. In the space provided on the application for education, include names and addresses of schools attended, dates attended, degree(s) received, and degree major. For each job held, give the name and address of your employer, your job/position title, start and end dates, the number of hours worked per week, and detailed description of work and duties performed. If the application and/or Supplemental Questionnaire is/are incomplete, the application will be
 **REJECTED.**
**Important Notes**
 Please note that
 **ALL** 
 information supplied by applicants and included in the application materials is subject to
 **VERIFICATION** 
 at any point during the examination and hiring process, including after an appointment has been made.
* Applications may be rejected at any stage of the examination and selection process.
* FALSIFICATION of any information may result in DISQUALIFICATION or RESCISSION OF APPOINTMENT.
* Utilizing VERBIAGE from Class Specification(s) and/or Selection Requirements serving as your description of duties WILL NOT be sufficient to demonstrate that you meet the requirements. In doing so your application will be dispositioned as INCOMPLETE and will not be accepted.
 Comments such as
 **"SEE RESUME"** 
 or
 **"SEE APPLICATION"** 
 will not be considered a valid response; therefore, using such statements will also result in your application being rejected as
 **INCOMPLETE.**
**Computer And Internet Access At Public Libraries**
 For candidates who may not have regular access to a computer or the internet, applications can be completed on computers at public libraries throughout Los Angeles County. Check the website for updated information at
 **https://lacountylibrary.org.**
**Social Security Number**
 Please include your Social Security Number for record control purposes. Federal law requires that all employed persons have a Social Security Number.
**Do Not Share User Id And Password**
 All applicants must file their application online using their OWN user ID and password. Using a family member or friend's user ID and password may erase a candidate's original application record.
**Anti\-racism, Diversity, And Inclusion (ardi)**
 The County of Los Angeles recognizes and affirms that all people are created equal and are entitled to all rights afforded by the Constitution of the United States. The Department of Human Resources is committed to promoting Anti\-racism, Diversity, and Inclusion efforts to address the in equalities and disparities amongst race. We support the ARDI Strategic Plan and its goals by improving equality, diversity, and inclusion in recruitment, selection, and employment practices.
**Fair Chance Employer**
 The County of Los Angeles is a Fair Chance employer. Except for a very limited number of positions, you will not be asked to provide information about a conviction history unless you receive a contingent offer of employment. The County will make an individualized assessment of whether your conviction history has a direct or adverse relationship with the specific duties of the job, and consider potential mitigating factors, including, but not limited to, evidence and extent of rehabilitation, recency of the offense(s), and age at the time of the offense(s).
 ***If asked to provide information about a conviction history, any convictions or court records which are exempted by a valid court order do not have to be disclosed.***
**Equal Employment Opportunity**
 It is the policy of the County of Los Angeles to provide equal employment opportunity for all qualified persons, regardless of race, religion, sex, national origin, age, sexual orientation, or disability or any other characteristic protected by State or Federal law. All positions are open to qualified men and women pursuant to the Americans with Disabilities Act of 1990 and the California Fair Employment and Housing Act. The County will follow all of its obligations under State and Federal laws regarding the provision of reasonable accommodations to applicants.
**Department Contact Name:** 
 Exam Analyst
**Department Contact E\-mail:** 
 HRExams@ph.lacounty.gov
**Department Contact Phone** 
**:** 
**(** 
 213\) 684\-8726
**Exam Number:** 
 PH5710C
**California Relay Services Phone:** 
 (800\) 735\-2922
**ADA Coordinator Phone:** 
 (844\) 914\-1006
**Teletype Phone:** 
 (800\) 899\-4099
**Alternate Teletype Phone** 
 : (800\) 897\-0077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2026-02-06T09:08:17Z</dcterms:created>
  <dcterms:modified xsi:type="dcterms:W3CDTF">2026-02-06T09:08:17Z</dcterms:modified>
</cp:coreProperties>
</file>