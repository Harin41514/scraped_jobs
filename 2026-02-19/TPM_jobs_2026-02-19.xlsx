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in-6dd0661ab76054d7</t>
        </is>
      </c>
      <c r="B2" t="inlineStr">
        <is>
          <t>Assistant Program Manager- Residential- Emerson</t>
        </is>
      </c>
      <c r="C2" t="inlineStr">
        <is>
          <t>Thomas Allen</t>
        </is>
      </c>
      <c r="D2" t="inlineStr">
        <is>
          <t>indeed</t>
        </is>
      </c>
      <c r="E2" t="inlineStr"/>
      <c r="F2" t="inlineStr"/>
      <c r="G2" t="inlineStr">
        <is>
          <t>Richfield, MN, US</t>
        </is>
      </c>
      <c r="H2" s="1" t="n">
        <v>46072</v>
      </c>
      <c r="I2" t="inlineStr">
        <is>
          <t>**Assistant Program Manager**
-----------------------------
### **Thomas Allen, Inc.**
Join our team as a Residential Assistant Program Manager, where you'll collaborate with the Program Manager to ensure smooth day\-to\-day activities while providing exceptional person\-centered care in accordance with MN 245D and the Positive Supports Rule.
This position offers a rewarding opportunity to make a real difference in the lives of those we serve, and to develop your leadership skills in a supportive and collaborative team environment. You'll encounter new challenges and opportunities for growth every day as you promote the independence, community integration, and well\-being of our individuals.
As a Residential Assistant Program Manager, you'll be part of a dedicated team committed to excellence, open communication, and continuous learning. Join us to take your career to the next level and make a meaningful impact on the lives of those we serve.
**FLSA Status: Hourly, Non\-Exempt**  
**Hiring Range:** **$21\.50\- $23\.50 Depending on Experience**
##### **We’re always growing! If this role isn’t quite right, check out our other open positions on our Careers page:****https://www.thomasalleninc.com/Careers/**
#### **Responsibilities****:**
* Partner with leadership to lead a team in providing person\-centered support services to individuals receiving services under 245D regulations, while fostering positive and respectful relationships with each person served.
* Collaborate with leadership to develop and implement individualized service plans that reflect the needs and preferences of each individual served, while promoting their independence and community integration.
* Work closely with leadership to ensure that individuals receiving services have access to quality care and services, including medical care and behavioral supports, in a safe and positive environment.
* Maintain accurate documentation of services provided and comply with all applicable regulations and policies, while encouraging the team to maintain high standards of professionalism and ethics.
* Coordinate transportation services as needed to individuals receiving services, promoting inclusivity and accessibility in partnership with leadership.
* Participate in quality assurance and improvement activities, working with the team to continuously improve service delivery and outcomes.
* Provide training and coaching to team members, fostering a positive and supportive work environment that values collaboration and continuous learning.
* Assist with scheduling, including alternating on\-call duties, and finding staff to fill in as needed, in partnership with leadership and the team's overall success.
* Perform other duties as assigned, contributing to the overall success of the team and the individuals receiving services, while working in partnership with leadership to achieve the team's goals.
#### **Qualifications:**
* Passion for providing person\-centered support that values individual preferences, interests, and goals
* Must have at least 2 years of full\-time experience working in a Community Residential setting.
* Must be mature, polite, and possess leadership abilities and demonstrate competency in the completion of the above noted job responsibilities.
* Ability to assist with personal hygiene, meal preparation, home maintenance, and community outings
* Physical ability to lift and move individuals and objects as required by the site
* Possession of a high school diploma or equivalent
* Ability to communicate effectively in English, both verbally and in writing
* Possession of a valid driver's license, auto insurance, and a clean driving record
* Successful completion of a DHS background clearance at no cost to you
* Valid driver's license, reliable vehicle, acceptable driving record, and proof of auto insurance required
* Possess current or willing to obtain First Aid training and CPR Certificate as required by the home/division.
* Individual must be mature, polite, competent, and possess team playing abilities, effective listening skills and strong overall social and communication skills.
* Must be proficient at High School level in speaking, comprehending, reading and writing English to fully communicate with the individuals we serve and staff members, to implement specialized medical and/or behavioral protocols and programming within the home/division, and to document required information.
* Must successfully complete Thomas Allen’s Medication Administration training course and prove competency.
#### **As a valued member of our team, you will be eligible for our benefits\-**
**Benefits provided to all employees:**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**Additional benefits gained for employees working 30\+ hours per week:**
* Comprehensive medical, dental, vision, disability, and life insurance coverage
* Health Savings Account (HSA), Flexible Spending Account (FSA), and Dependent Care Account (DCA) options to help you manage healthcare expenses
* 401(k) to help you plan for your financial future
**Additional benefits gained for employees working 35\+ hours per week:**
* Paid holidays to celebrate with family and friends and an additional floating holiday to use when you need it!
* Paid time off (PTO) to help you recharge and maintain work\-life balance
#### **Professional Development**
* Paid training and certifications to help you develop new skills and advance your career
* Tuition, licensure, and certification reimbursement to support your ongoing professional development
* Opportunities for career advancement and growth to help you achieve your professional goals
#### ***If you're passionate about uplifting individuals with disabilities, we want you on our team! Apply now and join a supportive, inclusive community making a positive difference.***
#### ***Thomas Allen is an Equal Opportunity Employer committed to diversity.***</t>
        </is>
      </c>
    </row>
    <row r="3">
      <c r="A3" t="inlineStr">
        <is>
          <t>in-4c59ff540fc0fa87</t>
        </is>
      </c>
      <c r="B3" t="inlineStr">
        <is>
          <t>Diabetes Health Education / Program Manager</t>
        </is>
      </c>
      <c r="C3" t="inlineStr">
        <is>
          <t>RENO-SPARKS INDIAN COLONY</t>
        </is>
      </c>
      <c r="D3" t="inlineStr">
        <is>
          <t>indeed</t>
        </is>
      </c>
      <c r="E3" t="inlineStr"/>
      <c r="F3" t="inlineStr"/>
      <c r="G3" t="inlineStr">
        <is>
          <t>Reno, NV, US</t>
        </is>
      </c>
      <c r="H3" s="1" t="n">
        <v>46072</v>
      </c>
      <c r="I3" t="inlineStr">
        <is>
          <t>**Position Summary:**
Supervise Diabetes Program Staff consisting of Diabetes Program Assistant, Nutritionist,
Exercise Therapist, and Exercise Assistant. Assist with program development and collaborate with Diabetes Team Clinic Staff on patient care and individual maintenance program. Provide health education focused on prevention and control of Type 1 and Type 11 diabetes to adults, adolescents, children, seniors, homebound and at\-risk patients.
**Duties:**
* Determine appropriate instructional methods for patient.
* Responsible for diabetes team documentation results of assessment, intervention, and outcomes of patients. Required to track data for reporting grant requirements to Indian
Health Service. Provide appropriate statistical data for compilations of quarterly report to
Indian Health Service.
* Identify problems requiring intervention of other medical providers for referral purposes.
Able to provide feedback to referral source. Facilitate communication between patients and providers to ensure health care and training needs are addressed.
* Responsible for referral and systems management for diabetes program.
* Provides diabetes prevention and control education to identified Type 1 and Type 11 patients and at\-risk patients. Diabetes prevention and control education will include information including but not limited to: medication management; exercise; weight management; diabetes disease process, and nutrition.
* Contribute to the development and implementation of fitness/exercise and nutrition education programs for diabetes patients and at\-risk clients in the area of weight management, obesity and diabetes management activities.
* Responsible for the establishment, coordination and circulation of the monthly diabetes prevention newsletter.
* Responsible for providing health education materials for general health care as requested.
* Assist Diabetes Team as needed with exercise activities and/or diabetes nutritionist with food preparation and cooking classes for patients.
* Assist with other related duties as assigned.
**Minimum Qualifications:**
* Bachelor’s Degree in Health education and/or Associate of Applied Science Degree in
Health Education with one year in Health Promotion.
* Knowledge of health concepts with an emphasis in diabetes education.
* Demonstrated ability to communicate and work effectively with Indian people. Must be able to work in a diverse minority environment.
* Obtain and maintain Certified Diabetes Educator certification within 90 days.
* Must have a valid driver’s license.
* Obtain and maintain CPR Certification within first three months of hire.
* Preference to qualified Indians will be given.
**PLEASE NOTE: hiring preference will be given to qualified members of the Reno\-Sparks**
**Indian Colony followed by members of other federally recognized tribes.**
**Reno\-Sparks Indian Colony requires a designated candidate to successfully complete a pre\-**
**employment criminal background check, drug screen, and confirmation of references.**
**Must be able to pass and comply with the HR Policy 164\.905: Background and Character**
**Investigation Procedures for Implementation of the Indian Child Protection and Family**
**Violence Act, Public Law101\-630\. Must pass and comply with the HR Policy 164\.905\-**
**PL101\.630\.**
Job Type: Full\-time
Pay: $76,440\.00 \- $94,011\.56 per year
Benefits:
* 401(k)
* Dental insurance
* Health insurance
* Life insurance
* Paid time off
* Vision insurance
Schedule:
* 8 hour shift
* Monday to Friday
License/Certification:
* Driver's License (Preferred)
Work Location: In person</t>
        </is>
      </c>
    </row>
    <row r="4">
      <c r="A4" t="inlineStr">
        <is>
          <t>in-4bf097045209e9e4</t>
        </is>
      </c>
      <c r="B4" t="inlineStr">
        <is>
          <t>Scholarship Program Manager</t>
        </is>
      </c>
      <c r="C4" t="inlineStr"/>
      <c r="D4" t="inlineStr">
        <is>
          <t>indeed</t>
        </is>
      </c>
      <c r="E4" t="inlineStr"/>
      <c r="F4" t="inlineStr"/>
      <c r="G4" t="inlineStr">
        <is>
          <t>Boston, MA, US</t>
        </is>
      </c>
      <c r="H4" s="1" t="n">
        <v>46072</v>
      </c>
      <c r="I4" t="inlineStr">
        <is>
          <t>**HOW TO APPLY:**
Please provide a cover letter expressing your interest and relevant skills.
**POSITION OVERVIEW:**
Supporting a Private Foundation and reporting to the Deputy Director, the Scholarship Program Manager will manage all scholarship awards made in partnership with a third\-party scholarship provider and all accompanying activities administered directly by the Program. These activities include scholar support, the mentoring program, mentor recruitment, scholar workshops, and other scholar support throughout students’ journey to ensure college and career success.  
This is a full\-time, in\-office position based in the Back Bay area of Boston, MA. Some local travel may be required
**RESPONSIBILITIES:**
**Program Management**
* Build and maintain high\-quality relationships with all program stakeholders, including scholars, external partners, scholars, mentors, advisors, and others.
* Provide timely responses to inquiries from scholars, mentors, and other partners on behalf of the program.
* Identify and build relationships with community leaders and prospective partners who can advance and execute program goals and objectives.
* Represent the program in the community.
**Program Operations**
* Oversee and regularly recruit new mentors to ensure robust pipeline of new mentors that are ready and willing to address scholar needs and interests.
* Develop and administer active calendar of enrichment workshops and events that bring meaningful content to program participants and foster the development of strong relationships and sense of community.
* Continually evaluate the quality, breadth, and depth of programming and participant experience through regular gathering of feedback through surveys, focus groups, individual interviews, etc..
* Work with staff and board to conceptualize, design, and execute new program offerings and special initiatives that strengthen the program for scholars and mentors.
* Manage all aspects of the scholar enrollment process each year, including annual selection of new scholars, annual renewal process for returning scholars, and annual enrollment and onboarding of all scholars.
* Ensure ongoing scholar support and engagement through regular check\-ins with scholars and their mentors, connecting scholars to appropriate resources whenever needed, and responding to immediate needs and questions.
**QUALIFICATIONS:**
* At least 8\-12 years of experience in education and/or youth development required. Experience with mentoring and/or with college aged youth a plus.
* A clear, proactive, communicator who is comfortable working in a small team and is willing to ask questions, proactively share updates, and collaborate.
* Ethical, impeccable integrity, judgment, and discretion along with a professional demeanor and interpersonal style that elicits trust.
* A self\-starter who anticipates and actively seeks opportunities to problem solve.
* Strong organizational and time management skills and ability to multi\-task.
* Excellent written and oral communication skills, with strong attention to detail.
* Adaptable, with a commitment to learning and growth.
* Strong desire to work within a collaborative and interdependent staff team.
*While the above is intended to describe the general nature and level of work for this position, it is not an exhaustive list of all responsibilities, duties, and skills required of individuals in this role.*  
**COMPENSATION AND BENEFITS:**  
The salary range for this position is between $100,000\-$120,000\. Benefits include paid vacation, sick, and personal days as well as paid holidays, health insurance, and retirement plan with an employer contribution.</t>
        </is>
      </c>
    </row>
    <row r="5">
      <c r="A5" t="inlineStr">
        <is>
          <t>in-2bae5195713116b2</t>
        </is>
      </c>
      <c r="B5" t="inlineStr">
        <is>
          <t>Assistant Program Manager- Residential- Echo Park/Cedar Crest</t>
        </is>
      </c>
      <c r="C5" t="inlineStr">
        <is>
          <t>Thomas Allen</t>
        </is>
      </c>
      <c r="D5" t="inlineStr">
        <is>
          <t>indeed</t>
        </is>
      </c>
      <c r="E5" t="inlineStr"/>
      <c r="F5" t="inlineStr"/>
      <c r="G5" t="inlineStr">
        <is>
          <t>Apple Valley, MN, US</t>
        </is>
      </c>
      <c r="H5" s="1" t="n">
        <v>46072</v>
      </c>
      <c r="I5" t="inlineStr">
        <is>
          <t>**Assistant Program Manager**
-----------------------------
### **Thomas Allen, Inc.**
Join our team as a Residential Assistant Program Manager, where you'll collaborate with the Program Manager to ensure smooth day\-to\-day activities while providing exceptional person\-centered care in accordance with MN 245D and the Positive Supports Rule.
This position offers a rewarding opportunity to make a real difference in the lives of those we serve, and to develop your leadership skills in a supportive and collaborative team environment. You'll encounter new challenges and opportunities for growth every day as you promote the independence, community integration, and well\-being of our individuals.
As a Residential Assistant Program Manager, you'll be part of a dedicated team committed to excellence, open communication, and continuous learning. Join us to take your career to the next level and make a meaningful impact on the lives of those we serve.
**FLSA Status: Hourly, Non\-Exempt**  
**Hiring Range:** **$21\.50\- $23\.50 Depending on Experience**
##### **We’re always growing! If this role isn’t quite right, check out our other open positions on our Careers page:****https://www.thomasalleninc.com/Careers/**
#### **Responsibilities****:**
* Partner with leadership to lead a team in providing person\-centered support services to individuals receiving services under 245D regulations, while fostering positive and respectful relationships with each person served.
* Collaborate with leadership to develop and implement individualized service plans that reflect the needs and preferences of each individual served, while promoting their independence and community integration.
* Work closely with leadership to ensure that individuals receiving services have access to quality care and services, including medical care and behavioral supports, in a safe and positive environment.
* Maintain accurate documentation of services provided and comply with all applicable regulations and policies, while encouraging the team to maintain high standards of professionalism and ethics.
* Coordinate transportation services as needed to individuals receiving services, promoting inclusivity and accessibility in partnership with leadership.
* Participate in quality assurance and improvement activities, working with the team to continuously improve service delivery and outcomes.
* Provide training and coaching to team members, fostering a positive and supportive work environment that values collaboration and continuous learning.
* Assist with scheduling, including alternating on\-call duties, and finding staff to fill in as needed, in partnership with leadership and the team's overall success.
* Perform other duties as assigned, contributing to the overall success of the team and the individuals receiving services, while working in partnership with leadership to achieve the team's goals.
#### **Qualifications:**
* Passion for providing person\-centered support that values individual preferences, interests, and goals
* Must have at least 2 years of full\-time experience working in a Community Residential setting.
* Must be mature, polite, and possess leadership abilities and demonstrate competency in the completion of the above noted job responsibilities.
* Ability to assist with personal hygiene, meal preparation, home maintenance, and community outings
* Physical ability to lift and move individuals and objects as required by the site
* Possession of a high school diploma or equivalent
* Ability to communicate effectively in English, both verbally and in writing
* Possession of a valid driver's license, auto insurance, and a clean driving record
* Successful completion of a DHS background clearance at no cost to you
* Valid driver's license, reliable vehicle, acceptable driving record, and proof of auto insurance required
* Possess current or willing to obtain First Aid training and CPR Certificate as required by the home/division.
* Individual must be mature, polite, competent, and possess team playing abilities, effective listening skills and strong overall social and communication skills.
* Must be proficient at High School level in speaking, comprehending, reading and writing English to fully communicate with the individuals we serve and staff members, to implement specialized medical and/or behavioral protocols and programming within the home/division, and to document required information.
* Must successfully complete Thomas Allen’s Medication Administration training course and prove competency.
#### **As a valued member of our team, you will be eligible for our benefits\-**
**Benefits provided to all employees:**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**Additional benefits gained for employees working 30\+ hours per week:**
* Comprehensive medical, dental, vision, disability, and life insurance coverage
* Health Savings Account (HSA), Flexible Spending Account (FSA), and Dependent Care Account (DCA) options to help you manage healthcare expenses
* 401(k) to help you plan for your financial future
**Additional benefits gained for employees working 35\+ hours per week:**
* Paid holidays to celebrate with family and friends and an additional floating holiday to use when you need it!
* Paid time off (PTO) to help you recharge and maintain work\-life balance
#### **Professional Development**
* Paid training and certifications to help you develop new skills and advance your career
* Tuition, licensure, and certification reimbursement to support your ongoing professional development
* Opportunities for career advancement and growth to help you achieve your professional goals
#### ***If you're passionate about uplifting individuals with disabilities, we want you on our team! Apply now and join a supportive, inclusive community making a positive difference.***
#### ***Thomas Allen is an Equal Opportunity Employer committed to diversity.***</t>
        </is>
      </c>
    </row>
    <row r="6">
      <c r="A6" t="inlineStr">
        <is>
          <t>in-360c02d9624e6d69</t>
        </is>
      </c>
      <c r="B6" t="inlineStr">
        <is>
          <t>Alumni Services Program Manager</t>
        </is>
      </c>
      <c r="C6" t="inlineStr">
        <is>
          <t>MN Adult and Teen Challenge</t>
        </is>
      </c>
      <c r="D6" t="inlineStr">
        <is>
          <t>indeed</t>
        </is>
      </c>
      <c r="E6" t="inlineStr"/>
      <c r="F6" t="inlineStr"/>
      <c r="G6" t="inlineStr">
        <is>
          <t>Minneapolis, MN, US</t>
        </is>
      </c>
      <c r="H6" s="1" t="n">
        <v>46072</v>
      </c>
      <c r="I6" t="inlineStr">
        <is>
          <t>Play a critical role in working with our graduates!
**Be the backbone of hope and healing.**  
At Minnesota Adult \&amp; Teen Challenge, every role matters in helping people overcome addiction and find a new path forward. Whether you’re working directly with clients or supporting behind the scenes, your contributions make recovery possible. In return, we offer a values\-driven workplace, supportive managers, and opportunities to grow. That commitment has earned us recognition from *Newsweek* *as a Best Addiction Treatment Center* and **seven straight** *Star Tribune Top Workplace* awards.
**Job Summary**  
The Alumni Services Program Manager will play a key role in supporting the aftercare needs of all
individuals who have attended the program, whether or not they have graduated. This position involves
overseeing the Alumni Services Program statewide, ensuring alumni receive ongoing support and
resources to help maintain life\-long recovery. The Program Manager will collaborate with internal
teams, manage alumni engagement initiatives, and coordinate efforts to provide continuous care.
**Essential Job Responsibilities:**
To perform this job successfully, an individual must be able to perform each essential job duty
satisfactorily. The essential functions include the following:
   
Lead the statewide Alumni Services Program, ensuring consistent systems, resources, and
Christ\-centered ministry alignment across all centers, while maintaining compliance with
applicable Minnesota statutes related to Board \&amp; Lodging.
   
Develop and support aftercare initiatives by providing ongoing alumni support, relapse
prevention resources, community connections, and continuum of care check\-ins.
   
Build and manage a statewide alumni volunteer network, equipping alumni to serve as speakers,
peer support, mentors, group leaders, and event volunteers within centers and local
communities.
   
Supervise and develop staff, interns, and volunteers by providing training, coaching, and
accountability to ensure effective and consistent service delivery.
   
Collaborate cross\-functionally with Admissions, Outreach, and program teams to provide timely
alumni support, re\-entry coordination, and ministry connection as needed.
   
Manage Alumni Services operations and outcomes, including data tracking, reporting, alumni
communications, content contributions, and the planning of alumni events and gatherings.
   
Ensure alumni services, volunteer engagement, and aftercare activities operate within
professional, ethical, and program boundaries, in alignment with organizational policies and
applicable Minnesota statutes and licensing requirements.
   
Maintain accurate documentation and protect the confidentiality of alumni information in
accordance with organizational policies and applicable privacy requirements.
   
Identify and respond appropriately to alumni risk factors, including relapse concerns, and
coordinate timely referrals or escalations to appropriate internal teams or external resources as
needed.
   
Monitor alumni engagement trends and outcomes to inform program improvements and
support data\-informed decision\-making.
**Required Skills \&amp; Experience (Minimum Qualifications):**
   
High school diploma or equivalent required.
   
Minimum of two (2\) years of experience in a recovery, treatment, aftercare, alumni services, or
related human services environment.
   
Must be at least 21 years of age.
   
Demonstrated experience supervising or leading staff, interns, and/or volunteers.
   
Knowledge of recovery principles, aftercare support, relapse prevention, and continuum of care
practices.
   
Ability to work effectively with individuals at varying stages of recovery, including those who did
not complete a treatment program.
   
Understanding of professional boundaries, confidentiality, and ethical standards within a
treatment or recovery support setting.
   
Familiarity with applicable Minnesota statutes and licensing requirements relevant to recovery
services, including Board and Lodging expectations, or ability to obtain such knowledge upon
hire.
   
Strong organizational, communication, and administrative skills, with the ability to manage
multiple priorities and meet deadlines.
   
Proficiency with Microsoft Office (Word, Excel), email, databases, and virtual meeting platforms.
   
Willingness and ability to work occasional evenings and weekends as required.
   
At least 1 year of freedom from problematic substances.
   
Comfort and compassion in working with individuals facing life\-controlling challenges, such as
mental health issues and addiction.
   
Commitment to MnTC’s culture of honor and core values, including compassion, respect,
integrity, servanthood, and trust.
   
Must pass a DHS background study as required under MN Statutes, Chapter 245C and 245G.
**Physical Requirements:**
The physical demands described here are representative of those that must be met by an employee to
successfully perform the essential functions of this job.
   
Prolonged periods sitting at a desk and working on a computer.
   
Must be able to lift up to 10 pounds at a time.
   
Ability to lift and carry up to 40 pounds periodically, particularly during alumni events.
Target Compensation (Negotiable based on qualifications):
$57,000 to $63,500 annual salary
Our robust benefits package includes medical, HSA, dental, vision, PTO, dependent care FSA, disability, life insurance and 403b retirement plan.
We seek to recruit, develop and retain the most talented people from a diverse candidate pool in order to successfully meet our mission of helping every Minnesotan find help and healing from addiction.
Mn Adult \&amp; Teen Challenge is an Equal Opportunity Employer and does not discriminate based on any category protected by federal, state or applicable laws.
Reasonable accommodation can be provided upon request.</t>
        </is>
      </c>
    </row>
    <row r="7">
      <c r="A7" t="inlineStr">
        <is>
          <t>in-67529716c053898e</t>
        </is>
      </c>
      <c r="B7" t="inlineStr">
        <is>
          <t>Day Services Program Manager</t>
        </is>
      </c>
      <c r="C7" t="inlineStr">
        <is>
          <t>Advocating Aspirations</t>
        </is>
      </c>
      <c r="D7" t="inlineStr">
        <is>
          <t>indeed</t>
        </is>
      </c>
      <c r="E7" t="inlineStr"/>
      <c r="F7" t="inlineStr"/>
      <c r="G7" t="inlineStr">
        <is>
          <t>Willoughby, OH, US</t>
        </is>
      </c>
      <c r="H7" s="1" t="n">
        <v>46072</v>
      </c>
      <c r="I7" t="inlineStr">
        <is>
          <t>***OPERATIONS:***
* Manages Day and Employment services and case load
* Pick up and drop off clients daily or ensure transportation is secured
* Coordinates daily staffing needs: (staffing hours, ensure appropriate services are offered, staff coverage for all shifts, provide coverage as needed, conduct monthly staff and client meetings).
* Works and Problem Solves with Administration.
* Ensures safety, and cleanliness.
* Assist with planning for staff retention.
* Manage staff within caseload assignment.
* Provides linkage to community partners.
* Actively participate in orienting and training of staff.
***COMPLIANCE AND REPORTING:***
* *Responsible for compliance of all sites in accordance with DODD rule as well as state, federal and local law.*
* *Make sure all documentation is completed in a timely and accurate manner.*
***ACCOUNTABILITY:***
* Distributes agency, DODD and other information amongst staff members.
* Dedicated to the health, safety and welfare of every client served by the agency.
* Weekly Meetings with direct supervisor and meetings with administration (as needed).
***FISCAL:***
* Accountable for individual funds, provides safeguards for security and monitoring, and obtains receipts for authorized transactions/purchases
* Responsible for supply budget, ordering, inventory, etc.
***CULTURAL COMPETENCIES***  
1\. Commitment to participating in a healthy safe workplace.  
2\. Understanding, patience and acceptance of all peoples.  
3\. Dedicated to the service and support of others.  
4\. Empowering the DD Community  
5\. Commitment to the Deaf Community.  
6\. Dedicated to cleanliness.
***FUNCTIONAL COMPETENCIES***
* Brand Ambassador: shared core values in all aspects of the role
* Team oriented approach
* Responsive transparent communication methods
* Able to respectfully communicate both verbally and written.
* Problem Solver and ability to resolve conflicts.
* Ability to multitask and be flexible.
* High level of ethics and accountability
* Detail oriented
* Commitment to overall growth of program
***EDUCATION, EXPERIENCE AND REQUIREMENTS***
* High School Diploma and Day Services environment familiarity
* Experience in a Health Care work environment.
* Travel required locally in community outings
* Lifting up to 30 lbs. required.
* Unpredictable situations that could result in physical contact requirement interventions and directed.
* Mental health crisis preparedness capability as directed
* Obtain and maintain required certifications
Job Type: Full\-time
Pay: $38,000\.00 \- $42,000\.00 per year
Benefits:
* Paid time off
* Professional development assistance
* Referral program
Education:
* High school or equivalent (Preferred)
Ability to Relocate:
* Willoughby, OH: Relocate before starting work (Required)
Work Location: Multiple locations</t>
        </is>
      </c>
    </row>
    <row r="8">
      <c r="A8" t="inlineStr">
        <is>
          <t>in-cce1b58d3c35b4b8</t>
        </is>
      </c>
      <c r="B8" t="inlineStr">
        <is>
          <t>Group Product Manager - In-Store Digital Media &amp; ESL</t>
        </is>
      </c>
      <c r="C8" t="inlineStr">
        <is>
          <t>Avery Dennison</t>
        </is>
      </c>
      <c r="D8" t="inlineStr">
        <is>
          <t>indeed</t>
        </is>
      </c>
      <c r="E8" t="inlineStr"/>
      <c r="F8" t="inlineStr"/>
      <c r="G8" t="inlineStr">
        <is>
          <t>Little Rock, AR, US</t>
        </is>
      </c>
      <c r="H8" s="1" t="n">
        <v>46072</v>
      </c>
      <c r="I8" t="inlineStr">
        <is>
          <t>**Company Description**  
About Avery Dennison
Avery Dennison Corporation (NYSE: AVY) is a global materials science and digital identification solutions company. We are Making Possible™ products and solutions that help advance the industries we serve, providing branding and information solutions that optimize labor and supply chain efficiency, reduce waste and mitigate loss, advance sustainability, circularity and transparency and better connect brands and consumers. We design and develop labeling and functional materials, radio\-frequency identification (RFID) inlays and tags, software applications that connect the physical and digital and offerings that enhance branded packaging and carry or display information that improves the customer experience. Serving industries worldwide — including home and personal care, apparel, general retail, e\-commerce, logistics, food and grocery, pharmaceuticals and automotive — we employ approximately 35,000 employees in nearly 60 countries. Our reported sales in 2025 were $8\.9 billion. Learn more at www.averydennison.com.
 **Job Description**  
About the Role
We are seeking a Group Product Manager to lead product strategy and execution for two of Vestcom's highest\-priority growth areas: In\-Store Digital Media and Electronic Shelf Labels (ESL). This role is responsible for driving business outcomes across both product lines, leading a team of product managers, and partnering closely with engineering, design, and go\-to\-market teams to deliver products that create measurable value for retailers and brands.
The ideal candidate combines strategic thinking with hands\-on discovery practices, maintaining direct relationships with customers while coaching their team to do the same. This is a high\-visibility role at the center of Vestcom's transformation from paper\-based solutions to digital retail media, representing Vestcom not only to customers but also to partners, industry peers, and the press.
Key Responsibilities
Product Strategy \&amp; Outcomes
* Own product vision and roadmap for In\-Store Digital Media and ESL product lines, with accountability for business outcomes including retailer adoption, brand revenue, and margin performance
* Define and track success metrics that connect product initiatives to business results, not just feature delivery
* Make prioritization decisions based on customer value and business impact, adjusting course as you learn what works
* Identify market adjacencies that expand the addressable market and develop effective product strategies to pursue them
Customer Discovery \&amp; Validation
* Conduct ongoing customer research, including weekly conversations with retailers, brands, and store operations teams
* Identify customer problems and opportunities through direct engagement, translating insights into product strategy
* Design and run experiments to validate product hypotheses before committing significant engineering resources
* Build evidence\-based business cases for new initiatives, including market sizing and competitive positioning
Team Leadership
* Lead, mentor, and develop product managers, with emphasis on building discovery capabilities and strategic thinking
* Foster a team culture focused on learning and outcomes rather than output volume
* Create clarity on goals and priorities while giving team members autonomy in how they achieve results
* Advance product management rigor and productivity across the team
Cross\-Functional Collaboration
* Partner with engineering and design as part of integrated product teams, collaborating on solutions rather than handing off requirements
* Work with sales, marketing, and customer success on go\-to\-market strategy, positioning, and sales enablement
* Partner with the commercial team to help drive client adoption of new products
* Communicate product strategy, progress, and learnings to executive leadership and stakeholders
 **Qualifications**  
Required Qualifications
* 8\+ years of product management experience, including 3\+ years leading or managing other product managers
* Demonstrated track record of delivering products that achieved measurable business outcomes
* Experience with B2B products, preferably in retail, media, advertising technology, or hardware/software solutions
* Strong customer research skills with experience conducting discovery interviews and translating insights into strategy
* Experience navigating ambiguous, early\-stage product challenges where the path forward required experimentation
* Excellent communication skills, with ability to influence without authority across engineering, design, and commercial teams
* Customer\-focused product leader who approaches problems from the customer's lens
Preferred Qualifications
* Experience with retail media networks, in\-store technology, or shelf\-edge solutions
* Background in two\-sided marketplace or platform products serving both retailers and brands
* Experience with hardware/software integrated products or IoT deployments
* Familiarity with modern product discovery practices (e.g., opportunity solution trees, continuous discovery)
* Experience working with enterprise retail customers (grocery, mass merchandise, convenience)
* Experience working in a remote environment, with offshore contractors and/or in a global environment
* Understanding of the modern tech stack, cloud, and complex data systems
* Familiarity with AI applications and frameworks (LLMs, RAG, agents)
What Success Looks Like
In your first year, you will be measured on business outcomes including:
* Retailer expansion and adoption metrics for In\-Store Digital Media
* Brand revenue growth and campaign retention rates
* ESL market expansion and enterprise customer acquisition
* Team development and capability building
* Quality of customer insights driving product decisions
 **Additional Information**  
 The salary range for this position is $128,550 \- $171,400 /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Experienced Avery Dennison employees who are interested in this position and have questions regarding how the hiring range listed above may apply to them should contact their HR representative. Avery Dennison reserves the right to modify this information at any time, subject to applicable law.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If you require accommodations to view or apply for a job, alternative methods are available to submit an application. Please contact (440\) 534\-6000 or NA.TA.Operations@averydennison.com to discuss reasonable accommodations.</t>
        </is>
      </c>
    </row>
    <row r="9">
      <c r="A9" t="inlineStr">
        <is>
          <t>in-166a7209e95575ab</t>
        </is>
      </c>
      <c r="B9" t="inlineStr">
        <is>
          <t>Residential Program Manager</t>
        </is>
      </c>
      <c r="C9" t="inlineStr">
        <is>
          <t>Upstate Caring Partners</t>
        </is>
      </c>
      <c r="D9" t="inlineStr">
        <is>
          <t>indeed</t>
        </is>
      </c>
      <c r="E9" t="inlineStr"/>
      <c r="F9" t="inlineStr"/>
      <c r="G9" t="inlineStr">
        <is>
          <t>Stittville, NY, US</t>
        </is>
      </c>
      <c r="H9" s="1" t="n">
        <v>46072</v>
      </c>
      <c r="I9" t="inlineStr">
        <is>
          <t>**$71,000 \- $74,400 annually**
The Residential Program Manager is responsible to oversee daily operations of multiple residences. The person in this position will ensure accomplishment of program\-wide goals, coordinate the scheduling of staff, complete all records and reports, facilitate on\-site orientation and training, and monitor and provide supervisory oversight to the overall operations of the program. The person in this position will also participate in Agency activities under the supervision of the program administrator.
**Core Responsibilities**
* Monitor the safety and well being of the individuals and report issues as necessary.
* Ensure the accomplishment of individuals’ goals and behavior plans; ensure that the Individual Program Plan (IPP) is implemented and documented.
* Maintain the timely completion of all records and reports.
* Supervise the daily operations of the residence.
* Ensure effective communication of daily work information and expectations.
* Maintain site staffing schedules and coverage. Use agency prescribed staff scheduling system
* Problem solve daily shift issues and/or conflicts as part of site leadership team.
* Provide coaching and counseling to DSP staff to enhance individual and team performance.
**Qualifications**
* Associates Degree in a related field.
* 15 credit hours must be completed to qualify for the Program Manager\- Residential position.
* BS/BA in Human Services or related field preferred.
* Minimum three years’ experience managing a residential program.
* Valid NYS Driver’s License required.
**Benefits**
Our work environment provides the opportunity to grow and learn in a fast\-paced atmosphere. We offer competitive benefits and salary to include a low\-cost individual health insurance plan, dollar for dollar retirement match (up to 7%), life insurance, voluntary benefits and generous paid time off.
* Comprehensive Health/Dental/Vision
* Direct Deposit
* Flexible Spending Account (FSA)
* Retirement Plan 403(b)
* Life Insurance
* Voluntary Benefits
* Employee Assistance Program (EAP)
* Generous PTO Plans (Sick, Vacation and Employee Leave)
* Tuition Reimbursement
* Service Awards
* Employee Appreciation Events
* Employee Discounts
Upstate Caring Partners is the premier provider of direct\-care services and programs in Central New York for individuals of all abilities and their families. If you believe in empowering people, Upstate Caring Partners is an excellent place to start or grow your career. Please visit our careers website to access the full job description located within the job posting. upstatecpjobs.org
To access a copy of the job description Click Here \- Program Manager Residential</t>
        </is>
      </c>
    </row>
    <row r="10">
      <c r="A10" t="inlineStr">
        <is>
          <t>in-94a4ae997d5e2d1d</t>
        </is>
      </c>
      <c r="B10" t="inlineStr">
        <is>
          <t>Health and Wellness Program Manager</t>
        </is>
      </c>
      <c r="C10" t="inlineStr">
        <is>
          <t>Empower Somerset</t>
        </is>
      </c>
      <c r="D10" t="inlineStr">
        <is>
          <t>indeed</t>
        </is>
      </c>
      <c r="E10" t="inlineStr"/>
      <c r="F10" t="inlineStr"/>
      <c r="G10" t="inlineStr">
        <is>
          <t>Somerville, NJ, US</t>
        </is>
      </c>
      <c r="H10" s="1" t="n">
        <v>46072</v>
      </c>
      <c r="I10" t="inlineStr">
        <is>
          <t>**Health and Wellness Program Manager**
**Reports to:** Director of Health and Wellness
**Job Functions:** Under the supervision of the Director of Health and Wellness, the Health and Wellness Program Manager will provide supervision, support, and program facilitation in central New Jersey primarily for the Adolescent School Grant as well as other agency initiatives. The ideal candidate will have a minimum of four years of experience in public health or a related field, youth development, and program facilitation, be highly organized and professional, be able to manage various aspects of project planning, implementation and follow through while constantly upholding the ethics of compassion and confidentiality.
**Primary Responsibilities:** 
* Plan, prioritize, and implement the Whole School, Whole Community, Whole Child (WSCC) model within school settings
* Implement public health and prevention strategies to promote environmental and system level change on various public health issues affecting youth
* Provide guidance and act as a role model to help youth cultivate their leadership skills
* Assist in preparing, managing, and submitting grant proposals and progress reports to federal and state funding sources
* Support the Director of Wellness with supervision of program staff
* Facilitate evidence\-based health education programs with fidelity and a high level of cultural competency for issues associated with vulnerable populations
* Coordinate projects, including trainings, meetings, and other agency events
* Oversee all projects related to , including sending out monthly e\-newsletters and posting school success stories on the site.
* Help to create impactful communication strategies using social media and other channels to reach intended audiences.
* Represent Empower Somerset in a professional manner and participate in all professional and/or educational activities related to position as requested or required
* Other relevant job duties as requested or required.
**Qualifications:**
* Bachelor’s Degree required
* 4 years of experience in public health, or related field
* Excellent organizational and communication skills and a high level of professionalism
* High ethical standards in maintaining confidentiality of sensitive subject matter
* Positive and affirming approach to working with various populations
* Frequent local driving
* Bilingual in Spanish / English a plus
**Position Details:**
**Hours:** Full\-time 35 hours/week
**Salary Range:** $55,000\-$60,000
**Benefits:** Medical / dental insurance package and 403B
**To Apply:** Please forward your resume and related materials to: Jobs@empowersomerset.com
Job Type: Full\-time
Pay: $55,000\.00 \- $60,000\.00 per year
Benefits:
* 401(k)
* Dental insurance
* Flexible schedule
* Health insurance
* Life insurance
* Paid time off
* Professional development assistance
* Vision insurance
Work Location: Hybrid remote in Somerville, NJ 08876</t>
        </is>
      </c>
    </row>
    <row r="11">
      <c r="A11" t="inlineStr">
        <is>
          <t>in-1bf62adc222b2918</t>
        </is>
      </c>
      <c r="B11" t="inlineStr">
        <is>
          <t>Program Manager (3 years experience req)</t>
        </is>
      </c>
      <c r="C11" t="inlineStr">
        <is>
          <t>A+K Ingenuity, LLC</t>
        </is>
      </c>
      <c r="D11" t="inlineStr">
        <is>
          <t>indeed</t>
        </is>
      </c>
      <c r="E11" t="inlineStr"/>
      <c r="F11" t="inlineStr"/>
      <c r="G11" t="inlineStr">
        <is>
          <t>Vancouver, WA, US</t>
        </is>
      </c>
      <c r="H11" s="1" t="n">
        <v>46072</v>
      </c>
      <c r="I11" t="inlineStr">
        <is>
          <t>**Program Manager**  
**Vancouver, WA**  
**Full Time \+ On call**
**Starting Pay Range: $33\.00 DOE**
**About us:**
A\+K Ingenuity presents innovative solutions to age old problems, through decades of experience working with adolescents and young adults. In 2018, 1,200 Washington youth were homeless within 12 months of residential treatment for addiction or mental health disorders. We provide foundational services and residential treatment for youth to integrate successfully into their homes and communities.
**Job Summary:**  
**Our BRS (Behavioral Rehabilitation Services) group home is seeking to hire a Program Manager** **to join our dedicated team!** The program manager will oversee the provision of safe supervision, structure and skill development opportunities for female\- identified adolescents (ages 13\-19\) as well as provide guidance, support and leadership for the direct care team. This role facilitates quality, goal\-directed therapeutic engagement in the program while fostering self\-determination for each resident using a holistic, trauma informed and strengths\-based perspective.
The Program Manager is responsible for the overall management of the programmatic, and operational systems related to the provision of care and services for youth; supervising/training/orienting direct care staff; ensuring adequate staffing through scheduling; the provision of regular and timely reports regarding operations and services; establishing a respective and supportive workplace environment to carry the mission of the agency; implementing quality assurance protocols and program development, and elevating any issues or concerns to the Executive Director
**Program Details:**   
The BRS program is well equipped to comfortably care and provide support for up to 6 youth at a time. Through our residential facility, the youth have access to education, case management, and mental health services onsite and within the community. The youth, from the WA DCYF foster care system, live in our long\-term group home while they await family reunification, other permanent placement options, or independent living. They attend public school, community activities, and participate in independent living readiness.
*Program Manager Key Areas of Responsibility:*
* Work collaboratively with case managers to develop and oversee a unique treatment plan based on the individual’s goals; monitor and review client progress; support with skill building to promote independence, and the achievement and long\- term maintenance of permanent placement.
* Work with individuals, family members, significant members of social and support networks and lead a variety of psycho\-educational groups.
* Build partnerships and collaborate with families, guardians, state case managers, social workers, and school staff.
* Direct the work activities of the team; set goals and priorities, supervise, orient and train new staff, manage daily logistics and staff scheduling.
* Routinely monitor staff training, personnel files, incident reports, individual support plan goals, behavioral support plans, and other support documents.
* Assure that the program contract is adhered to and program guidelines are followed according to licensing and A\+K Ingenuity standards.
* Communicate effectively with the management team regularly by means of written and oral reports about the programmatic aspects of the program.
* Ensure programming is fulfilling the agency’s mission and establish processes for meeting goals and objectives within BRS Program.
**Ideal candidates** will be supportive, flexible, culturally sensitive, trauma\-informed, with experience in mental health and social services systems. They communicate effectively with both adolescents in the program and other team members. Leadership skills, strong work ethic, and an eye for quality improvement, are crucial qualities for this position.
Must be comfortable working in a regulated environment; and work within the parameters of program licensing guidelines. Must have the ability to react promptly, empathetically, and appropriately to the potential challenges involved working in a residential facility.
At A\+K Ingenuity we strive to create a positive team\-based work environment. Our model utilizes a person\-centered, trauma\-informed, wrap\-around approach. We work together to best serve the needs of the youth in care and are strong believers that everyone is a valuable member of the team that adds to the growth of the program.
**Values:**
Our **THRIVE** values best describe how we do this work:
**Tenacity**
This means we are don’t give up on the youth we work with. We get to know their strengths and barriers and are unconditional and unyielding in our care despite setbacks.
**Health (relationships, bodies, futures and fun)**
The four basic pillars of an effective human life are healthy relationships with our selves, families and peers; physically healthy bodies and minds; a belief and active pursuit of a future of contribution and possibility; and engagement in healthy hobbies and recreation. A\+K Ingenuity’s program philosophy and practices are anchored on these four pillars.
**Relentless commitment to quality and transparency**
We understand that high quality programming and practices require a reflective commitment to achieving outcomes. Transparency with our youth, families and care team partners allow us to monitor progress, refine approaches, and continually identify areas where we can improve.
**Innovation**
Solutions to the complexities of trauma and its manifestations in the youth and families we serve require a steadfast attunement to current and evolving best\-practices. Through a culture of continuous learning and active participation with our partner agencies, we pursue and implement innovative practices.
·**Visionary advocacy** 
We advocate on behalf of youth in our care to receive the supports and services in their schools, families, and communities they need to thrive. This also entails advocating on behalf of systems improvements that address barriers and advance opportunities.
**Equity and inclusion**
Respect and value of all people; clients, families, partners, and employees, is central to advancing our mission and vision. We ensure all youth and families cultures, beliefs, values and preferences are reflected in every aspect of their treatment.
Visit our website to learn more about our mission, history and strategy for accomplishing our goal of achieving significant, positive, and long\-term clinical outcomes for the clients we serve.
**http://akingenuity.org/**
**Education and Work Experience:**
Minimum Qualifications
Applicants must meet **one** of the following:
* Master’s degree in social services or closely related field and one (1\) year experience working with children **OR**
* Bachelor’s degree in social services or closely related field and two (2\) years experience working with children **OR**
* Three (3\) years full\-time experience in a relevant field, plus demonstrated supervisory abilities and relevant experience.
Additional requirements:
* Valid Washington State driver’s license and acceptable driving record
* Ability to pass required background checks
* Must meet agency driving requirements and pass DHS criminal background check PM Job Post
* Pre\-service mandatory training, Food Handlers card, CPR/First Aid card, and annual TB testing required
**Additional requirements:** 
* Must pass DHS criminal background check
* Must meet agency’s driving requirement
* Pre\-service Mandatory training, Food Handlers card, CPR/Fist Aid card, and annual TB testing are required.
Position Open Until Filled
As an equal opportunity employer, we are committed to diversity, respect, and inclusion.
Job Type: Full\-time
Pay: From $33\.00 per hour
Benefits:
* 401(k)
* 401(k) matching
* Dental insurance
* Employee assistance program
* Health insurance
* Health savings account
* Life insurance
* Paid time off
* Parental leave
* Vision insurance
Education:
* High school or equivalent (Required)
Experience:
* Supervising: 3 years (Required)
* Residential Care: 3 years (Required)
* Behavioral health: 1 year (Required)
License/Certification:
* Driver's License (Required)
* CPR Certification (Preferred)
Willingness to travel:
* 25% (Preferred)
Work Location: In person</t>
        </is>
      </c>
    </row>
    <row r="12">
      <c r="A12" t="inlineStr">
        <is>
          <t>in-200b7e461a1c8c25</t>
        </is>
      </c>
      <c r="B12" t="inlineStr">
        <is>
          <t>Program Manager – Tax Call Center &amp; Service Desk Operations (Hybrid)</t>
        </is>
      </c>
      <c r="C12" t="inlineStr">
        <is>
          <t>Advocate IT</t>
        </is>
      </c>
      <c r="D12" t="inlineStr">
        <is>
          <t>indeed</t>
        </is>
      </c>
      <c r="E12" t="inlineStr"/>
      <c r="F12" t="inlineStr"/>
      <c r="G12" t="inlineStr">
        <is>
          <t>Frederick, MD, US</t>
        </is>
      </c>
      <c r="H12" s="1" t="n">
        <v>46072</v>
      </c>
      <c r="I12" t="inlineStr">
        <is>
          <t>**About Advocate IT**
Advocate IT, LLC is a Maryland\-based, SBA\-certified Historically Underutilized Business Zone (HUBZone) small business and Disability\-Owned Business Enterprise (DOBE) providing professional services, information technology, and operational support solutions to federal, state, and commercial customers. Headquartered in Frederick, Maryland, Advocate IT supports mission\-critical programs requiring operational discipline, regulatory compliance, and customer\-focused service delivery.
As a HUBZone\-certified and Disability\-Owned Business Enterprise, Advocate IT is committed to inclusive hiring, local workforce development, and delivering high\-quality services that support public sector missions.
Learn more at **www.advocateitllc.com**.
**Position Overview**
The Program Manager serves as the senior operational lead responsible for managing a large\-scale customer service and service desk environment supporting taxpayer inquiries and program operations. The role requires experience overseeing multiple functional responsibilities simultaneously, including customer service operations, service desk coordination, staffing oversight, performance management, and stakeholder engagement.
The Program Manager acts as the primary interface between Advocate IT leadership and State stakeholders and is responsible for ensuring operational continuity, performance accountability, and continuous improvement across all supported functions.
**Key Responsibilities**
* Provide overall oversight of day\-to\-day call center and service desk operations
* Lead and manage a team of **30\+ customer service and operational personnel**
* Ensure program objectives, service level agreements (SLAs), and quality standards are consistently achieved
* Manage staffing, scheduling, and operational readiness across multiple service functions
* Maintain quality assurance processes and operational responsiveness
* Coordinate with State stakeholders and internal leadership regarding performance, reporting, and operational needs
* Monitor performance metrics, identify trends, and implement process improvements
* Manage escalation procedures and ensure timely issue resolution
* Support onboarding, training, and performance coaching of staff
* Ensure compliance with confidentiality requirements, government data handling standards, and operational procedures
**Minimum Qualifications**
* Bachelor’s degree from an accredited college or university (experience substitution may be considered)
* Minimum five (5\) years of experience managing call center, service desk, or customer service operations
* Minimum three (3\) years of project or program management experience
* Demonstrated experience managing **large operational teams (30\+ personnel)**
* Experience managing or supporting **government contracts or public sector service delivery programs**
* Experience with call center software, service desk platforms, and CRM systems
* Strong leadership, organizational, and communication skills
**Preferred Qualifications**
* Experience supporting tax, financial services, or government revenue systems
* Experience managing operations involving taxpayer or financial account inquiries
* Experience managing SLA\-driven service desk or call center environments
* **Salesforce experience desired**
* Advanced proficiency in Microsoft Excel or operational reporting tools
* Experience working in regulated or compliance\-sensitive environments
**Work Environment**
* Hybrid work environment with onsite and remote work components
* Business hours support aligned with State operational schedules
* Collaborative environment focused on accountability, service quality, and continuous improvement
Job Type: Full\-time
Pay: $100,000\.00 \- $120,000\.00 per year
Benefits:
* 401(k)
* 401(k) matching
* Dental insurance
* Employee assistance program
* Employee discount
* Flexible schedule
* Flexible spending account
* Health insurance
* Health savings account
* Life insurance
* Paid time off
* Parental leave
* Professional development assistance
* Referral program
* Retirement plan
* Tuition reimbursement
* Vision insurance
Work Location: Hybrid remote in Frederick, MD 21701</t>
        </is>
      </c>
    </row>
    <row r="13">
      <c r="A13" t="inlineStr">
        <is>
          <t>in-0846a84d68034fc5</t>
        </is>
      </c>
      <c r="B13" t="inlineStr">
        <is>
          <t>Technical Product Manager AI</t>
        </is>
      </c>
      <c r="C13" t="inlineStr">
        <is>
          <t>vava technologies</t>
        </is>
      </c>
      <c r="D13" t="inlineStr">
        <is>
          <t>indeed</t>
        </is>
      </c>
      <c r="E13" t="inlineStr"/>
      <c r="F13" t="inlineStr"/>
      <c r="G13" t="inlineStr">
        <is>
          <t>Los Angeles, CA, US</t>
        </is>
      </c>
      <c r="H13" s="1" t="n">
        <v>46072</v>
      </c>
      <c r="I13" t="inlineStr">
        <is>
          <t>**Job Summary**  
We are seeking an energetic and detail\-oriented Technical Product Manager AI to lead the development and management of cutting\-edge artificial intelligence solutions. In this role, you will drive product strategies, collaborate with cross\-functional teams, and oversee the entire product lifecycle from conception to deployment. Your expertise will help shape innovative AI\-driven products that enhance user experiences and deliver measurable business value. This position offers a dynamic environment where leadership, technical acumen, and strategic thinking come together to create impactful AI products.
**Responsibilities**
* Define product vision, strategy, and roadmap for AI initiatives aligned with business goals.
* Gather and analyze requirements from stakeholders, translating them into clear specifications and user stories.
* Collaborate with engineering teams to design scalable AI solutions utilizing cloud platforms such as AWS.
* Oversee the development process using Agile methodologies, including SAFe frameworks, ensuring timely delivery within scope.
* Coordinate with IT infrastructure teams to ensure robust deployment environments supporting SaaS applications and APIs.
* Conduct user acceptance testing (UAT), develop test cases, and validate AI features for quality assurance.
* Create wireframes and prototypes using tools like Balsamiq to visualize product features and workflows.
* Manage project timelines using tools such as Jira, TFS, VersionOne, and Microsoft Project while maintaining adherence to SDLC standards.
* Lead requirements gathering sessions, facilitate communication across teams, and present product updates using Microsoft PowerPoint.
* Monitor analytics through Looker and other BI tools to evaluate product performance and inform future enhancements.
**Experience**
* Proven experience as a Product Manager or similar role in software development environments focusing on AI or machine learning products.
* Strong understanding of software development lifecycle (SDLC), APIs, databases (SQL), and IT infrastructure management.
* Hands\-on experience with cloud platforms like AWS along with familiarity in Agile, SAFe, Waterfall project management methodologies.
* Proficiency in programming languages such as Java; knowledge of HTML, UML diagrams; experience with version control systems like Git.
* Demonstrated ability to gather requirements, create wireframes, develop test cases, and perform user acceptance testing effectively.
* Excellent analysis skills combined with leadership qualities to guide cross\-functional teams towards shared objectives.
* Effective communication skills for stakeholder engagement, presentations, and documentation across diverse audiences.
* Familiarity with IoT technologies, SaaS solutions, Looker analytics platform, and IT governance practices is a plus. Join us in shaping the future of AI\-driven products! We’re committed to fostering innovation through collaboration while empowering our team members to excel in a fast\-paced environment filled with opportunities for growth and impact.
Job Types: Full\-time, Contract
Pay: $150,000\.00 \- $175,000\.00 per year
Benefits:
* 401(k)
* Flexible schedule
* Health insurance
* Life insurance
* Paid time off
Work Location: In person</t>
        </is>
      </c>
    </row>
    <row r="14">
      <c r="A14" t="inlineStr">
        <is>
          <t>in-c043cd65db463f00</t>
        </is>
      </c>
      <c r="B14" t="inlineStr">
        <is>
          <t>Deputy Program Manager – Tax Call Center &amp; Service Desk Operations (Hybrid)</t>
        </is>
      </c>
      <c r="C14" t="inlineStr">
        <is>
          <t>Advocate IT</t>
        </is>
      </c>
      <c r="D14" t="inlineStr">
        <is>
          <t>indeed</t>
        </is>
      </c>
      <c r="E14" t="inlineStr"/>
      <c r="F14" t="inlineStr"/>
      <c r="G14" t="inlineStr">
        <is>
          <t>Frederick, MD, US</t>
        </is>
      </c>
      <c r="H14" s="1" t="n">
        <v>46072</v>
      </c>
      <c r="I14" t="inlineStr">
        <is>
          <t>**About Advocate IT**
Advocate IT, LLC is a Maryland\-based, SBA\-certified Historically Underutilized Business Zone (HUBZone) small business and Disability\-Owned Business Enterprise (DOBE) providing professional services, information technology, and operational support solutions to federal, state, and commercial customers. Headquartered in Frederick, Maryland, Advocate IT supports mission\-critical programs requiring operational discipline, regulatory compliance, and customer\-focused service delivery.
Learn more at **www.advocateitllc.com**.
**Position Overview**
The Deputy Program Manager supports operational leadership across a large\-scale customer service and service desk environment responsible for handling high volumes of taxpayer inquiries and service requests. This role assists in managing daily operations, coordinating staff activities across multiple functional responsibilities, and ensuring consistent adherence to performance standards, operational procedures, and data protection requirements.
The Deputy Program Manager serves as an escalation point for operational and security\-related concerns and supports the Program Manager in maintaining operational continuity, workforce readiness, and compliance with State confidentiality and information handling standards.
**Key Responsibilities**
* Support day\-to\-day oversight of call center and service desk operations
* Assist in leading and coordinating a team supporting **30\+ customer service and operational personnel**
* Monitor operational performance against service level expectations and quality standards
* Support staffing coordination, scheduling, and workload balancing across multiple service functions
* Assist with escalation management and resolution of operational issues
* Ensure personnel adherence to confidentiality, privacy, and data handling procedures associated with taxpayer and State information
* Support enforcement of operational security procedures, including proper system access, information handling, and incident reporting protocols
* Monitor ticket queues, call volumes, and operational metrics to ensure timely response and resolution
* Support onboarding, training, and reinforcement of security awareness and operational compliance requirements
* Coordinate with internal leadership and State stakeholders as directed by the Program Manager
* Support continuous improvement initiatives and operational reporting activities
**Minimum Qualifications**
* Bachelor’s degree or equivalent experience
* Minimum three (3\) years of experience supporting call center, service desk, or customer service operations
* Experience supervising or coordinating operational teams
* Experience working in SLA\-driven operational environments
* Experience with call center software, service desk platforms, or CRM systems
* Experience supporting environments requiring protection of sensitive or confidential information
* Strong organizational, communication, and problem\-solving skills
**Preferred Qualifications**
* Experience supporting government contracts or public sector service delivery programs
* Experience supporting tax, financial services, or government revenue systems
* Experience managing or coordinating **high\-volume service desk or call center environments**, including teams responsible for handling large daily volumes of customer contacts or service tickets
* Experience supporting operational environments handling **thousands of customer interactions or tickets per month**
* **Salesforce experience desired**
* Advanced proficiency in Microsoft Excel or operational reporting tools
* Experience working in regulated or compliance\-sensitive environments
* Familiarity with IRS Publication 1075, taxpayer data protection requirements, or similar government data security frameworks
**Work Environment**
* Hybrid work environment with onsite and remote work components
* Business hours support aligned with State operational schedules
* Collaborative environment focused on service quality, accountability, operational security, and continuous improvement
**Benefits**
Advocate IT offers a competitive compensation and benefits package designed to support employee wellbeing and long\-term career growth, including:
* Competitive salary and performance\-based growth opportunities
* Health, dental, and vision insurance options
* Paid time off and recognized holidays
* Professional development and training opportunities
* Hybrid work flexibility supporting work\-life balance
* Career advancement opportunities within a growing HUBZone and Disability\-Owned Business Enterprise
Job Type: Full\-time
Pay: $85,000\.00 \- $100,000\.00 per year
Benefits:
* 401(k)
* 401(k) matching
* Dental insurance
* Employee assistance program
* Employee discount
* Flexible schedule
* Flexible spending account
* Health insurance
* Health savings account
* Life insurance
* Paid time off
* Parental leave
* Professional development assistance
* Referral program
* Retirement plan
* Tuition reimbursement
* Vision insurance
Work Location: Hybrid remote in Frederick, MD 21701</t>
        </is>
      </c>
    </row>
    <row r="15">
      <c r="A15" t="inlineStr">
        <is>
          <t>in-e5cdb39e3864049c</t>
        </is>
      </c>
      <c r="B15" t="inlineStr">
        <is>
          <t>eCommerce Product Owner</t>
        </is>
      </c>
      <c r="C15" t="inlineStr">
        <is>
          <t>Composites One</t>
        </is>
      </c>
      <c r="D15" t="inlineStr">
        <is>
          <t>indeed</t>
        </is>
      </c>
      <c r="E15" t="inlineStr"/>
      <c r="F15" t="inlineStr"/>
      <c r="G15" t="inlineStr">
        <is>
          <t>Schaumburg, IL, US</t>
        </is>
      </c>
      <c r="H15" s="1" t="n">
        <v>46072</v>
      </c>
      <c r="I15" t="inlineStr">
        <is>
          <t>**Begin your Composites One career today!**
**Position Overview:**
The eCommerce Product Owner steers the digital commerce vision, transforming the company’s online customer journey and competitive presence. This individual partners closely with assorted business units to craft, refine, and execute a robust eCommerce strategy—uniting technical insight with business acumen to deliver exceptional digital touchpoints.
**Key Responsibilities**
Strategic Direction \&amp; Customer Experience:
* Shape a multi\-year roadmap for digital commerce solutions in harmony with enterprise priorities and customer needs.
* Establish metrics and performance indicators to track digital program impact.
* Leverage customer feedback, behavioral analytics, and market research to pursue enhancements that advance experience\-driven results.
* Investigate industry developments to fuel innovation and keep digital capabilities advancing.
Multi\-Disciplinary Partnership:
* Serve as principal contact across technology, commercial, support, and marketing teams, as well as with partner organizations.
* Lead requirements definition, backlog refinement, and business case development, ensuring ongoing prioritization aligns with broader growth strategies.
* Integrate project planning with the Business division, coordinating with Program Management resources to align budgets and timelines towards shared outcomes.
Product Ownership \&amp; System Integration:
* Take full accountability for the commerce platform, overseeing feature planning, implementation, and adoption—from conceptualization through launch.
* Engage cross\-functionally with IT for seamless rollouts of new capabilities, advocating for technical enhancements that boost site performance and security.
* Guide UX/UI evolution and support data/process flows between online platforms and core backend business systems (like ERP, content, and product data management).
* Direct product development cycles using agile best practices, efficiently steering projects from inception to market.
Industry Awareness \&amp; Partner Oversight:
* Monitor competitive activity and emerging solutions to inform platform strategy and maintain digital leadership.
* Administer vendor and agency collaborations to reinforce platform objectives and experiential quality.
* Oversee external design and technology partners to maximize user satisfaction and business alignment.
**Expected Skills and Qualifications:**
* Minimum of 10 years of progressive experience in Product Management, Marketing, eCommerce, or a related field.
* Bachelor’s degree in Business Administration, Marketing, Computer Science, Information Technology, or a related discipline required, or an equivalent combination of education and experience.
* Demonstrated initiative with a proactive, solutions\-oriented approach to problem solving.
* Strong communication and follow\-through skills with the ability to drive initiatives to completion.
* Highly organized and self\-directed, with the ability to manage multiple priorities effectively.
* Data\-driven mindset, using analytics and insights to inform decisions and improve business outcomes.
* Experience working with digital commerce platforms and their integrations with ERP and product information management (PIM) systems.
* Proficiency with B2B eCommerce platforms and supporting tools.
* Experience using data analytics tools to evaluate customer behavior and platform performance (e.g., Google Analytics).
* Proficiency with project management software (e.g., Jira, Trello, Asana).
* Strong Microsoft Office skills (Excel, PowerPoint, Word, Outlook) and experience working in a Windows environment.
**Preferred Skills \&amp; Qualifications:**
* Experience working in agile project management environments.
* Advanced use of analytics to improve customer experience and digital performance.
* Understanding of IT infrastructure and basic security practices to support platform integrity and collaboration with IT teams.
* Experience optimizing integrations between eCommerce platforms and enterprise systems (ERP, PIM, etc.).
**Pre\-Employment Requirement:**
* Employment offers are contingent upon successful completion of a drug screen and background check. This requirement is especially critical for safety\-sensitive roles.
*The annual base salary range for this position is $160,000 \- $180,000\. The actual pay will be determined based on factors such as location, experience, skills, and qualifications. In addition to the base salary, employees may be eligible for discretionary bonuses and a comprehensive benefits package.*
**Discover a Fulfilling Career:**
At Composites One, our Team Members are the cornerstone of our success. Each role is essential in helping us provide exceptional service to our Customers. We cultivate a culture of empowerment and opportunity, fostering both personal and professional growth.
We believe in driving success and appreciating achievement. Our Team Members are eligible for annual bonuses and profit sharing because when the company thrives, we all benefit. Join us and be part of a Team where your hard work and dedication are valued, and together, we achieve great things.
**Respect, Teamwork, and Communication are Woven into our Core Values:**
Our guiding principle of Respect, Teamwork, and Communication embodies the spirit of our Core Values. We uphold these principles every day as we strive to make a positive impact for our Customers, our Team, and the world around us.
**Benefits**:
Explore our comprehensive health, retirement, wellness, and professional growth programs in detail here.
**Commitment to Diversity, Equity, and Inclusion**
At Composites One, all qualified applicants are considered for employment without regard to race, color, religion, sex, national origin, age, marital status, sexual orientation, gender identity, veteran status, disability, or other protected classification as defined by applicable law and regulation.
**ADA Accommodations**
Accommodations are available for applicants with disabilities in all phases of the application and employment process. To request accommodation please contact the ADA Coordinator by email at ADACoordinator@compositesone.com.</t>
        </is>
      </c>
    </row>
    <row r="16">
      <c r="A16" t="inlineStr">
        <is>
          <t>in-3ed20d7a01fbe72f</t>
        </is>
      </c>
      <c r="B16" t="inlineStr">
        <is>
          <t>Finance Program Manager</t>
        </is>
      </c>
      <c r="C16" t="inlineStr">
        <is>
          <t>Bird Conservancy of the Rockies</t>
        </is>
      </c>
      <c r="D16" t="inlineStr">
        <is>
          <t>indeed</t>
        </is>
      </c>
      <c r="E16" t="inlineStr"/>
      <c r="F16" t="inlineStr"/>
      <c r="G16" t="inlineStr">
        <is>
          <t>Fort Collins, CO, US</t>
        </is>
      </c>
      <c r="H16" s="1" t="n">
        <v>46072</v>
      </c>
      <c r="I16" t="inlineStr">
        <is>
          <t>**About the Organization:**
Bird Conservancy of the Rockies is a 501\-c(3\) non\-profit headquartered at the Environmental Learning Center at Barr Lake State Park with a satellite office in Fort Collins and fieldwork outposts in the Great Plains Region. Bird Conservancy of the Rockies conserves birds and their habitats through an integrated approach of Science, Education, and Stewardship. Our work radiates from the Rockies to the Great Plains, Mexico and beyond.
**Position Overview:**
Bird Conservancy of the Rockies is seeking a Program Manager to support programmatic operations and cross\-team coordination. Working closely with the Senior Program Manager, this position provides operational, financial, and administrative support to Team Leads—particularly the Stewardship Team—and serves as a liaison between program staff and organization\-wide support teams (finance, development, communications, and technology).
The Program Manager plays a key role in ensuring that grant\-funded projects are implemented effectively, on schedule, and in compliance with funding requirements. The position duty station is in Fort Collins with hybrid/ telework possible at the discretion of the supervisor.
**Essential Job Duties and Responsibilities:**
* Collaborate with Team Leads, with a primary focus on the Stewardship Team, to organize, plan, and implement grant\-funded projects, and to track and communicate project status, timelines, and deliverables to internal and external stakeholders.
* Manage project budgets in coordination with program director, finance, and program staff, maintaining a detailed understanding of expenses and funding sources to ensure program solvency.
* Perform programmatic cost allocations using accounting software (Sage Intacct).
* Support and coordinate program funding proposal processes as directed by the Senior Program Manager.
* Assist with improving and maintaining internal program management systems and workflows.
**Other Duties:**
* Other duties and special projects as assigned.
**Supervisory Responsibilities:** none
**Knowledge, Skills and Experience required** (unless otherwise noted):
* Bachelor’s degree in Natural Resources, Biology, Business Administration, or a related field; or equivalent relevant experience.
* Minimum of two years of experience managing a diverse portfolio of public and private grants, including tracking financial disbursements and program deliverables.
* At least one year of experience in accounting, budgeting, or financial administration.
* Strong written, verbal, and interpersonal communication skills, with the ability to work effectively with internal teams and external partners.
* Ability to clearly and concisely communicate program goals, progress, timelines, and requirements to diverse audiences.
* Demonstrated ability to manage multiple priorities, meet deadlines, and take ownership of assigned tasks in a collaborative, team\-oriented environment.
* Proficiency in Microsoft Office, with strong skills in Excel.
* Experience using project management software (e.g., Monday.com or similar platforms).
* Self\-motivated, detail\-oriented, and able to work both independently and collaboratively.
**Physical Demands /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 Primarily office\-based work environment.
* Ability to sit or stand for extended periods and work at a computer for much of the day.
* Moderate stress level typical of deadline\-driven project work.
* Requires reaching continually throughout the workday (mouse, keyboard, telephone).
* May include lifting up to thirty (30\) pounds of project gear on an infrequent basis. Proper lifting techniques required.
* Material and Equipment Directly Used:
* Standard office equipment (e.g. laptop, printers); PC with MS Office software applications.
**To Apply:**
Please submit your cover letter, resume and contacts for three references in ONE document to Ms. Jenny Berven at applicants@birdconservancy.org with “Program Manager\_First Name\_Last Name” in the subject line. Applications will be accepted and reviewed on a rolling basis until the position is filled. Preference will be given to those applications that are submitted before Feb 27th, 2026\.
**Equal Opportunity Employer:** Bird Conservancy of the Rockies aims to avoid partiality in hiring. As such, we ask that you please avoid the use of photos when submitting a resume and/or an application for employment. You will receive an email acknowledgment when you have successfully applied. Your completed application will be forwarded to the hiring manager. You will be notified if you are selected for further testing or interviews. Post\-offer background check required.As an organization, we are most interested in finding the best candidate for the job, from varied backgrounds and with attention to lived experiences. Bird Conservancy of the Rockies will consider an equivalent combination of knowledge, skills, education, and experience to meet minimum qualifications. If you are interested in applying, we encourage you to think broadly about your background and skill set for the role.Bird Conservancy of the Rockies is an Equal Opportunity Employer. Applicants are considered for positions for which they have applied without regard to gender identity, race, color, religion, creed, national origin, ancestry, age, marital status, disability, sexual orientation, genetic information, pregnancy, or other characteristics protected by law. Bird Conservancy of the Rockies will make special communication arrangements for persons with disabilities. Please call (303\) 659\-4348 for assistance.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
Pay: $58,000\.00 \- $72,000\.00 per year
Benefits:
* 401(k) matching
* Dental insurance
* Health insurance
* Paid time off
* Vision insurance
Work Location: In person</t>
        </is>
      </c>
    </row>
    <row r="17">
      <c r="A17" t="inlineStr">
        <is>
          <t>in-6c3bef93ce9fe52b</t>
        </is>
      </c>
      <c r="B17" t="inlineStr">
        <is>
          <t>Program Manager</t>
        </is>
      </c>
      <c r="C17" t="inlineStr">
        <is>
          <t>Intra-Aerospace LLC</t>
        </is>
      </c>
      <c r="D17" t="inlineStr">
        <is>
          <t>indeed</t>
        </is>
      </c>
      <c r="E17" t="inlineStr"/>
      <c r="F17" t="inlineStr"/>
      <c r="G17" t="inlineStr">
        <is>
          <t>Rancho Cucamonga, CA, US</t>
        </is>
      </c>
      <c r="H17" s="1" t="n">
        <v>46072</v>
      </c>
      <c r="I17" t="inlineStr">
        <is>
          <t>**Position Summary**
The Program Manager is responsible for leading all stages of the program, giving detailed attention to program strategy, project delegation, and program implementation.
**Primary Responsibilities** 
· Participate in the daily production meeting/ and or management of the daily production meeting
· Advises management of the status of work in progress, material availability, and potential production problems to ensure that personnel, equipment, materials, and services are provided as needed.
· Assists management in resolving problems concerning shipments, shortages, engineering changes, and cancellation of orders.
· Manage assigned projects from proposal stage through completion ensuring compliance of all program requirements.
· Prepare, maintain and coordinate with all organization managers/leads to keep programs on schedules.
· Prepare complete project plans addressing many factors of manufacturing.
· Review changes and project risks on a continuous and proactive basis with Engineering and Quality.
· Manage and direct all project activity to ensure contractual and technical requirements are met.
· Manage action items, production milestones, resource allocation and progress of all programs.
· Balance Company and Customer needs across all projects.
· Work with Controller/Cost Accountant to track compare actual cost to the budget.
· Serve as primary contact with the customer for all program related subjects.
· Identify risks/opportunities to improve project issues.
· Direct the work of other designated staff supporting contract execution, delegate critical functions, as required.
· Resolve conflicts, demands and priorities on assigned programs.
· Review and evaluate the program status on a continuing basis and work unplanned program issues to a best solution.
· Adherence to all internal process, policies and industry standards.
· Works with Purchasing to support supplies on technical, quality and delivery actions.
· Other duties may be assigned.
Education and Experience
· Associate degree or two to five (2 \- 5\) years of scheduling and/or production management
Knowledge, Skills and Abilities
· Standard Microsoft Programs
· Job Boss
· Ability to interact effectively with all departments
· Excellent verbal communication skills
· Extremely detail oriented
· Self\-motivated
· Able to meet strict deadlines
· Follow directions
· Maintain confidentiality
**Physical Demands** 
The physical demands described here are representative of those that must be met by any employee to successfully perform the essential functions of this job. Reasonable accommodations may be available to enable individuals with disabilities to perform the essential functions. While performing the duties of this job, the employee is frequently required to use hands to operate a PC in the performance of job duties, talk or hear. The employee is regularly required to sit, and reach with hands and arms, and occasionally required to stand, walk, and stoop. The employee must occasionally lift and/or move up to 25 pounds. Specific vision abilities required by this job include close, distance, and peripheral vision, depth perception and the ability to focus.
Job Type: Full\-time
Pay: $65,970\.95 \- $85,000\.00 per year
Benefits:
* 401(k)
* 401(k) matching
* Dental insurance
* Employee assistance program
* Employee discount
* Health insurance
* Health savings account
* Life insurance
* Paid time off
* Tuition reimbursement
* Vision insurance
Work Location: In person</t>
        </is>
      </c>
    </row>
    <row r="18">
      <c r="A18" t="inlineStr">
        <is>
          <t>in-4ba23f98aa498430</t>
        </is>
      </c>
      <c r="B18" t="inlineStr">
        <is>
          <t>Product Manager</t>
        </is>
      </c>
      <c r="C18" t="inlineStr">
        <is>
          <t>FECON</t>
        </is>
      </c>
      <c r="D18" t="inlineStr">
        <is>
          <t>indeed</t>
        </is>
      </c>
      <c r="E18" t="inlineStr"/>
      <c r="F18" t="inlineStr"/>
      <c r="G18" t="inlineStr">
        <is>
          <t>Lebanon, OH, US</t>
        </is>
      </c>
      <c r="H18" s="1" t="n">
        <v>46071</v>
      </c>
      <c r="I18" t="inlineStr">
        <is>
          <t>**Job Title:** Product Manager
**Manager Title:** Director of Product Management
**FLSA Status:** Exempt, Full\-Time
FECON, LLC is a vegetation management equipment manufacturer located in Lebanon, Ohio near Kings Island Amusement Park. FECON is known for having very high\-quality products and a team culture – and we are growing! We design, build, test, sell and service our equipment consisting of products such as our well\-known “Bull Hog” mulchers, the Stump Ex, our high\-quality FTX tractors of varying horsepower, as well as many other attachments. We offer competitive wages, full health care benefits and a continuous learning culture for those who want to grow with the company.
**Job Summary:**
The Product Manager is accountable for managing Fecon’s existing (assigned) product portfolio, leading the New Product Development (NPD) Stage/Gate process for all new products in development and identifying new product opportunities to meet Fecon’s growth expectations. The Product Manager will also act as a product expert and liaison to support all areas of the business.
**Job Duties/Responsibilities:**
* Drives New Product Development process (Stage/Gate) to quickly develop high preforming products that meet Fecon’s revenue growth and strategic goals.
* Manages the product life cycle for (assigned) product portfolio in order to meet strategic objectives as well as revenue and margin goals.
* Acts as a product expert and resource to all areas of the business for support, product education and to meet performance targets.
* Identifies new product opportunities, evaluates feasibility for strategic fit to establish a pipeline of future Fecon products and customer solutions to meet company growth objectives.
* Reports product performance and activity to leadership as a basis for sound decision making for engineering, marketing, sales, customer service and operational priorities and initiatives.
* Serves as the primary product expert to assist sales, marketing, engineering and customer service teams with product, technical and/or application questions; trains and coaches team members on becoming product experts.
* Collaborates with leadership team members to gain insight and develop alignment on product development goals.
* Collaborates with Regional Managers to determine what products, solutions and/or enhancements will assist in meeting our customer needs.
* Champions the New Product Development (stage/gate) Process. Acts as a coach to educate all team members on the process gaining buy in and support to drive results.
* Coordinates, manages and executes strategies in all aspects of product life cycle management including product development, product performance (financial), and product evolution. Establishes key performance measures associated with product lines.
* Establish and drive objectives to improve product performance (financial) to meet Fecon’s goals of revenue growth, gross margin goals and customer acceptance.
* Conducts competitive analysis and assists in developing strategies to drive product success including market position, product position and pricing.
* Conducts market and voice\-of\-the\-customer research to best understand existing and new markets, address customer needs and to assist in pricing strategies. Shares insights and analyses with internal teams.
* Provides feedback to management concerning product value, sustainability, and profitability and makes recommendations to introduce new products, make changes to existing lines, or withdraw products from the market.
* Collaborates with Engineering during the New Product Development process, product line continuous improvement projects and to evaluation and implement customer and market feedback. Drives collaboration across all internal teams to successfully launch products and introduce product enhancements.
* Assists in developing, designing and implementing marketing and training collateral as well as product related presentations for assigned products.
* Monitors vendor/manufacturing partners performance and their ability to meet contracted specifications.
* Reviews marketing collateral, including web site to ensure it is current, accurate, and reflective of the product specifications, performance etc.
* Participates in (quality) war room acting as customer advocate and participating as a team member to drive root cause analysis to solve warranty and quality issues.
* Generates enthusiasm and interest in new products by preparing presentations and conducting new product Gate meetings and launches.
* Assists in the development of new marketing tools and resources, including the development of videos, photographs, brochures, press releases, or other materials.
* Performs other related duties as assigned.
**Required Skills/Abilities:**
* Strong organizational skills
* Excellent interpersonal skills both written and verbal.
* Skilled in MS Office
* Strong analytical and problem\-solving skills.
* Critical Thinker
* Strong Project Management Skills
**Education and Experience:**
* Bachelor’s degree in Engineering or Product Management related.
* Minimum of 3 years of experience working in a manufacturing environment.
* Minimum of 2 years of product/project management experience.
* Previous sales and marketing experience preferred.
**Physical Requirements:**
* Must be able to traverse the production facility.
* Prolonged periods sitting at a desk and working on a computer.
* Must be able to lift\-up to 15 pounds at times.
* Ability to travel a minimum of 20% of the time.
*This job description is not designed to cover or contain a comprehensive listing of activities, duties or responsibilities that are required of the employee. Duties, responsibilities and activities may change or new ones may be added at any time with or without notice.*  
***Equal Opportunity Employer/Veterans/Disabled***</t>
        </is>
      </c>
    </row>
    <row r="19">
      <c r="A19" t="inlineStr">
        <is>
          <t>in-58dc81cf81c088dd</t>
        </is>
      </c>
      <c r="B19" t="inlineStr">
        <is>
          <t>Product Manager – Regalia</t>
        </is>
      </c>
      <c r="C19" t="inlineStr">
        <is>
          <t>Jostens</t>
        </is>
      </c>
      <c r="D19" t="inlineStr">
        <is>
          <t>indeed</t>
        </is>
      </c>
      <c r="E19" t="inlineStr"/>
      <c r="F19" t="inlineStr"/>
      <c r="G19" t="inlineStr">
        <is>
          <t>Minneapolis, MN, US</t>
        </is>
      </c>
      <c r="H19" s="1" t="n">
        <v>46071</v>
      </c>
      <c r="I19" t="inlineStr">
        <is>
          <t>**PRODUCT MANAGER – REGALIA**
=============================
**HYBRID \| ONSITE AT JOSTENS’ MINNEAPOLIS HEADQUARTERS 3 DAYS/WEEK**
**ABOUT YOU:**
You are a strategic, detail\-oriented product leader who thrives on turning insight into action. As Product Manager – Regalia, you will lead the strategy, development, and commercial success of Jostens’ Regalia category—including caps, gowns, tassels, stoles, cords, medals, and accessories. You will own the full product lifecycle—from insight discovery and concept development to launch and in\-market performance—ensuring assortments are competitive, on\-trend, and aligned with financial and brand goals.
This role blends design thinking, operational execution, and cross\-functional leadership, giving you the opportunity to shape one of Jostens’ most visible and meaningful product categories.  
**YOU WILL:**
* **Lead the Regalia product strategy.** Define and continually refine the vision and roadmap aligned with revenue, margin, and brand positioning goals.
* **Own the full product lifecycle.** Drive initiatives from concept through launch and ongoing in\-market performance.
* **Balance cost, quality, and innovation.** Deliver competitive assortments by managing trade\-offs across pricing, sustainable materials, customization options, and production capabilities.
* **Serve as the Regalia subject\-matter expert.** Provide insights on trends, performance, and category strategy to leadership, buyers, and external partners.
* **Drive operational excellence.** Own product processes and partner cross\-functionally to document workflows, improve efficiency, reduce rework, and enable scalable growth.
* **Gather customer insights.** Analyze feedback from sales teams, retailers, events, students, and administrators to inform future assortments and improvements.
* **Collaborate across functions.** Work closely with sourcing, marketing, sales, operations, and finance to ensure aligned execution and go\-to\-market success.
**YOU HAVE:**
* **Education.** Bachelor’s degree in a related field or equivalent experience.
* **Product Development Experience.** 3–5 years of experience in product line development, management, or execution.
* **Resourcefulness.** Ability to leverage internal partners and tools to achieve plan objectives.
* **Execution Agility.** Self\-starter who can prioritize across multiple initiatives in a fast\-paced environment.
* **Operational Discipline.** Strong organization, follow\-up, and time management skills with attention to detail.
* **Analytical \&amp; Results Focus.** Data\-driven mindset with the ability to translate insights into action.
* **Communication Skills.** Strong written, verbal, and presentation skills across levels of the organization.
* **Technical Familiarity.** Experience with project management tools such as Jira, OnBase, or Wrike preferred.
**LOVE WHERE YOU WORK:**
* **We care about your health.** We offer competitive healthcare (health, dental, vision, coverage) in addition to voluntary benefits including home and car insurance, pet insurance, flexible spending account, amongst many more.
* **We invest in your future.** Our 401K plan has immediate vesting, so you can start saving for retirement right away.
* **We believe in flexibility.** We offer a hybrid schedule with on\-site work 3 days a week.
* **We want you to unplug when needed.** We believe in taking your time off without guilt and offer accrued paid time off and company paid holidays. \*For Washington residents, you will receive 13 vacation days, 8 paid sick leave, 8 company paid holidays, and family paid leave.
* **We care about your development.** We support tuition reimbursement after 6 months of service.
* **We believe in pay transparency.** The salary range is $XX to $XX with annual bonus eligibility.
**APPLICATION DEADLINE: March 31, 2026**
**ABOUT US:**
Jostens leads the student commemoration market and has been serving local communities for over 125 years. We work with thousands of K\-12 schools, colleges and universities each year, and have the honor of partnering with beloved sports teams and esteemed organizations across the country. Our iconic products — like yearbooks, letter jackets, class jewelry and championship rings — keep meaningful traditions alive and inspire millions of people to celebrate their unique stories, milestone moments and biggest accomplishments every year. We have 13 first\-class facilities across the globe, from North America to the Caribbean. Watch a short video about us here.
**ALL ABOUT MARKETING**
Our Marketing team leverages digital marketing strategies and tactics focused on schools, independent sales reps, parents, and students to deliver the right message, to the right customer, at the right time. Team members will understand and leverage customer insights through data analysis \&amp; testing to then create experiences and relevant content throughout the customer journey and to support our specialized products lines including Yearbooks, Class Rings, Graduation Products, and Professional Sports. Through executing across a variety of consumer touchpoints on jostens.com, social, e\-mail and print materials, the team collaborates with internal partners to create relevant and timely marketing campaigns to meet the needs of our customers. Jostens allows for a hybrid work setting that focuses on creating professional and personal development. We can’t wait to show you what our Marketing Team has to offer at Jostens!
**AMERICANS WITH DISABILITIES ACT (ADA):**
Jostens is committed to the full inclusion of all qualified individuals. If reasonable accommodation is required to fully participate in the job application or interview process, or to perform the essential functions of the position, please reach out to our HR team at recruiter@jostens.com or (952\) 830\-3300\.
Jostens is an Equal Opportunity Employer and complies with applicable employment laws. EOE/M/F/Vet/Disabled are encouraged to apply.
California Privacy Policy: https://www.jostens.com/about/california\-employee\-privacy\-policy</t>
        </is>
      </c>
    </row>
    <row r="20">
      <c r="A20" t="inlineStr">
        <is>
          <t>in-5c75dcc03d5a3852</t>
        </is>
      </c>
      <c r="B20" t="inlineStr">
        <is>
          <t>Revenue Enablement Program Manager, Customer Education</t>
        </is>
      </c>
      <c r="C20" t="inlineStr">
        <is>
          <t>Houzz</t>
        </is>
      </c>
      <c r="D20" t="inlineStr">
        <is>
          <t>indeed</t>
        </is>
      </c>
      <c r="E20" t="inlineStr"/>
      <c r="F20" t="inlineStr"/>
      <c r="G20" t="inlineStr">
        <is>
          <t>Remote, US</t>
        </is>
      </c>
      <c r="H20" s="1" t="n">
        <v>46071</v>
      </c>
      <c r="I20" t="inlineStr">
        <is>
          <t>**About the Role**  
We are seeking an experienced and strategic Revenue Enablement Program Manager to own Customer Training across onboarding, partner enablement, and paid education services. This role is responsible for building a scalable customer and partner training motion that accelerates time to value, drives product adoption, improves retention, and unlocks services revenue.  
This role sits within Revenue Enablement and partners closely with Customer Success, Sales, Partnerships, Product, and Services. You will own the end\-to\-end strategy, content, delivery model, and measurement for customer and partner training programs, with a mandate to evolve training into a repeatable, monetized offering.
### **What You'll Do**
* *Customer \&amp; Partner Training Program Development*:
* Design, build, and scale customer and partner training programs across onboarding, advanced use cases, and ongoing education
* Define clear learning objectives tied to adoption, retention, and customer outcomes
* Develop role\-based, lifecycle\-aligned curricula for customers and partners
* Ensure training programs support successful onboarding, early activation, and long\-term value realization
* Paid Training \&amp; Services Enablement
* Build and launch paid customer and partner training offerings in partnership with Services and GTM leadership
* Define training packages, delivery models, and success criteria
* Partner with Sales and Customer Success to support positioning, attach, and expansion of paid training
* Track revenue contribution, attach rate, and ROI of training services
* *Content Development \&amp; Learning Design*:
* Develop scalable training content including live workshops, virtual sessions, on\-demand courses, facilitator guides, and participant materials
* Translate product capabilities into practical, outcome\-driven customer workflows
* Continuously update training content based on product changes, customer feedback, and adoption data
* Ensure content is consistent, high quality, and easy to deliver at scale
* Facilitator Enablement \&amp; Delivery Readiness
* Enable and certify internal and external facilitators to deliver customer and partner training
* Establish delivery standards, certification criteria, and quality controls
* Coach facilitators to reinforce value, adoption best practices, and customer outcomes
* Ensure consistent learner experience across all delivery formats
* *Cross\-Functional Collaboration*:
* Partner with Customer Success to align training to onboarding motions, health scores, and renewal outcomes
* Collaborate with Sales and Partnerships to support customer and partner readiness pre\- and post\-sale
* Work closely with Product to ensure training reflects product truth and roadmap direction
* Act as the single point of accountability for customer and partner training within Revenue Enablement
* *Metrics \&amp; Impact*:
* Define and track success metrics for training programs, including adoption, time to value, retention, and services revenue
* Measure engagement and effectiveness of training delivery and content
* Use data and feedback to continuously optimize programs and prioritize investment
* Report on training impact to Revenue Enablement and GTM leadership
### **At a Minimum, We'd Like You to Have**
* 5\+ years in Revenue Enablement, Customer Enablement, Learning Programs, or a related role
* Proven experience designing and scaling customer or partner training programs
* Experience building or supporting paid services or monetized training offerings preferred
* Strong instructional design and adult learning expertise
* Ability to translate product functionality into clear customer outcomes
* Strong cross\-functional leadership and stakeholder management skills
* Data\-driven approach to program design and optimization
* Strong project management skills with the ability to operate in ambiguous, build\-from\-scratch environments
### **Ideally, You'll Also Have**
* Experience supporting SaaS customer onboarding and post\-sale enablement
* Familiarity with customer lifecycle enablement, adoption frameworks, or value realization models
* Experience working with learning platforms or content management systems
* Background in fast\-growing or scaling organizations
**Compensation, Benefits and Perks**  
This role has an annual starting salary range of **$120,000 \- $150,000**. In addition to salary, you’re eligible for competitive benefits that support you and your family as part of your total rewards package at Houzz. Also, depending on the role, you could be eligible for an equity award. Actual compensation is influenced by a wide array of factors, including, but not limited to, skills, experience, and specific work location. **Benefits and perks include**:* Flexible Paid Time Off (PTO)
* Home internet stipend
* Medical, dental, and vision benefits
* Maternity/paternity leave program
* Employee Assistance Program (EAP)
* Professional Development Reimbursement Program
* 401(k) retirement savings plans (Pre\-Tax and Roth)
\- Flexible Spending Accounts (FSA) \- Medical \&amp; Dependent Care* Health Savings Account (HSA) with company contribution
* Healthy at Houzz program
Houzz is an Equal Employment Opportunity employer. When applying for a role at Houzz, we guarantee your application will be considered regardless of your sex; race; color; gender; national origin; height or weight; ancestry; physical or mental disability; medical condition; genetic information; marital status; registered domestic partner status; age; sexual orientation; military and veteran status; or any other basis protected by federal, state or local law or ordinance or regulation.  
We embrace and celebrate the value that diversity brings to an organization. Diverse backgrounds and different points of view help Houzz provide the best experience for our community. Houzz is committed to fostering an inclusive environment through projects and initiatives, such as employee resource groups, that support Houzzers’ efforts to be themselves and share their lives at work.  
If you would like assistance or an accommodation due to a disability, please email us at accommodations@houzz.com. This information will be treated as confidential and used only for determining an appropriate accommodation for the interview process.  
Houzz is an Equal Opportunity Employer. M/F/Disability/Veterans
\_\_\_\_\_\_\_\_\_\_\_\_\_\_\_\_\_\_ **Be Who You Are and Do What You Love at Houzz** **About Houzz**
When founders Adi and Alon remodeled their home, they were frustrated by the lack of resources and inspiration to help them articulate a vision and select the right pro to make it a reality.  
So they built Houzz.  
Houzz is now the leading platform for home remodeling and design, providing an all\-in\-one software solution for industry professionals and tools for homeowners to update their homes from start to finish. Using Houzz, people can find ideas and inspiration, hire professionals, and shop for products. Houzz Pro (houzz.com/pro) provides home industry professionals with a business management and marketing SaaS solution that helps them to win projects, collaborate with clients and teams, and run their business efficiently and profitably. **Our Mission and Core Values**
We're proud to say there's no one quite like us. Houzz is a community\-centric, innovative tech company that continues to disrupt the home renovation and design industry. Our mission\-driven culture is rooted in our core values, and we’re all here for one purpose: make the home remodeling and design process more fun and productive for everyone. **Our Mission**
To create the best experience for home renovation and design. **Our Core Values*****We’re a Community***
We put our community of Houzzers, industry professionals and homeowners first. We approach our work with care, humility and respect. We deliver value to our community through our products and services. ***We Build the Future***
We are visionaries who challenge the status quo. We are creative, innovative and curious. We embrace change and different ideas to drive our industry forward. ***We Make Things Happen***
We are solution\-seekers and self\-starters. We listen, move fast and empower our teams to deliver extraordinary results and products. We play to win.  
By applying for a job with us, you acknowledge and agree to the terms of our Job Applicant Privacy Notice.* Roles listing ‘Remote \- US’ as a location are not currently available in the following states: Alaska, Hawaii, Louisiana and Montana.
\#LI\-Remote</t>
        </is>
      </c>
    </row>
    <row r="21">
      <c r="A21" t="inlineStr">
        <is>
          <t>in-5f0012ef72836021</t>
        </is>
      </c>
      <c r="B21" t="inlineStr">
        <is>
          <t>Revenue Enablement Program Manager, Customer Success</t>
        </is>
      </c>
      <c r="C21" t="inlineStr">
        <is>
          <t>Houzz</t>
        </is>
      </c>
      <c r="D21" t="inlineStr">
        <is>
          <t>indeed</t>
        </is>
      </c>
      <c r="E21" t="inlineStr"/>
      <c r="F21" t="inlineStr"/>
      <c r="G21" t="inlineStr">
        <is>
          <t>Remote, US</t>
        </is>
      </c>
      <c r="H21" s="1" t="n">
        <v>46071</v>
      </c>
      <c r="I21" t="inlineStr">
        <is>
          <t>**About the Role**  
Houzz is seeking a Revenue Enablement Program Manager to own post\-onboarding enablement for Customer Success, International GTM teams, and Revenue tech stack adoption.  
This role ensures CSMs and global teams have the skills, confidence, and clarity to drive retention, renewal, and value. *What You’ll Own*:* Everboarding programs for CS / COS / Existing Business teams
* Renewal, retention, and value reinforcement motions
* International GTM enablement and localization
* Post\-onboarding adoption of Gong, Salesforce, telephony, and GTM tools
* Manager enablement for CS leaders
 *What Success Looks Like*:* CSMs are confident in renewal and value conversations
* International teams feel supported—not overloaded
* Tool usage reinforces process discipline and visibility
* CS leaders see enablement as a performance partner
 *What You Will Not Own*:* AE enablement of any kind
* New hire onboarding
* Tool configuration or systems implementation
* Key Partnerships
* Customer Success leadership
* Revenue Operations
* Instructional Design
* Product Marketing (as needed)
### **What You'll Do**
* *Program Development \&amp; Delivery*:
* Design, facilitate, and continuously improve training programs for onboarding, ongoing education, product rollouts, and sales methodology.
* Deliver engaging virtual enablement sessions to global revenue teams (AEs, CSMs, SGMs, PSS, COS, etc.).
* *Sales Effectiveness \&amp; Coaching*:
* Partner with sales leadership to identify performance gaps and implement targeted enablement initiatives.
* Provide 1:1 and group coaching on discovery, pitching, objection handling, and deal execution.
* Embed frameworks such as MEDDICC, Sandler, or Challenger to reinforce consistent sales execution.
* *Content \&amp; Knowledge Management*:
* Develop and maintain playbooks, pitch decks, competitive battlecards, and process guides.
* Ensure resources are accessible, up to date, and aligned to the buyer journey.
* *Cross\-Functional Collaboration*:
* Work with Product Marketing and Product Management to translate new features into effective sales messaging and training.
* Partner with RevOps to analyze sales data, identify trends, and measure enablement impact.
* *Metrics \&amp; Impact*:
* Track adoption, engagement, and performance outcomes tied to enablement initiatives.
* Report on enablement effectiveness and continuously refine strategies to maximize revenue impact.
### **At a Minimum, We'd Like You to Have**
* 4\+ years in Sales Enablement, Sales Training, or related revenue\-facing role (B2B SaaS strongly preferred).
* Proven track record as a top\-performing sales professional or trainer before moving into enablement.
* Strong facilitation, presentation, and coaching skills; able to engage both in\-person and virtually.
* Deep understanding of sales processes, methodologies, and buyer psychology.
* Excellent written and verbal communication skills, with the ability to distill complex ideas into simple, actionable insights.
* Experience managing learning platforms, content systems, or sales enablement tools (e.g., Seismic, Salesloft, Outreach, Gong, Chorus, Zoom).
* Strong project management skills with the ability to prioritize, execute, and meet deadlines in a fast\-paced environment.
### **Ideally, You'll Also Have**
* 7–10\+ years in Enablement, L\&amp;D, or Customer Success leadership
* Strong understanding of retention and lifecycle motions
* Experience supporting global or distributed teams
* Comfort working across tools, process, and people
**Compensation, Benefits and Perks**  
This role has an annual starting salary range of **$120,000 \- $150,000**. In addition to salary, you’re eligible for competitive benefits that support you and your family as part of your total rewards package at Houzz. Also, depending on the role, you could be eligible for an equity award. Actual compensation is influenced by a wide array of factors, including, but not limited to, skills, experience, and specific work location. **Benefits and perks include**:* Flexible Paid Time Off (PTO)
* Home internet stipend
* Medical, dental, and vision benefits
* Maternity/paternity leave program
* Employee Assistance Program (EAP)
* Professional Development Reimbursement Program
* 401(k) retirement savings plans (Pre\-Tax and Roth)
\- Flexible Spending Accounts (FSA) \- Medical \&amp; Dependent Care* Health Savings Account (HSA) with company contribution
* Healthy at Houzz program
Houzz is an Equal Employment Opportunity employer. When applying for a role at Houzz, we guarantee your application will be considered regardless of your sex; race; color; gender; national origin; height or weight; ancestry; physical or mental disability; medical condition; genetic information; marital status; registered domestic partner status; age; sexual orientation; military and veteran status; or any other basis protected by federal, state or local law or ordinance or regulation.  
We embrace and celebrate the value that diversity brings to an organization. Diverse backgrounds and different points of view help Houzz provide the best experience for our community. Houzz is committed to fostering an inclusive environment through projects and initiatives, such as employee resource groups, that support Houzzers’ efforts to be themselves and share their lives at work.  
If you would like assistance or an accommodation due to a disability, please email us at accommodations@houzz.com. This information will be treated as confidential and used only for determining an appropriate accommodation for the interview process.  
Houzz is an Equal Opportunity Employer. M/F/Disability/Veterans
\_\_\_\_\_\_\_\_\_\_\_\_\_\_\_\_\_\_ **Be Who You Are and Do What You Love at Houzz** **About Houzz**
When founders Adi and Alon remodeled their home, they were frustrated by the lack of resources and inspiration to help them articulate a vision and select the right pro to make it a reality.  
So they built Houzz.  
Houzz is now the leading platform for home remodeling and design, providing an all\-in\-one software solution for industry professionals and tools for homeowners to update their homes from start to finish. Using Houzz, people can find ideas and inspiration, hire professionals, and shop for products. Houzz Pro (houzz.com/pro) provides home industry professionals with a business management and marketing SaaS solution that helps them to win projects, collaborate with clients and teams, and run their business efficiently and profitably. **Our Mission and Core Values**
We're proud to say there's no one quite like us. Houzz is a community\-centric, innovative tech company that continues to disrupt the home renovation and design industry. Our mission\-driven culture is rooted in our core values, and we’re all here for one purpose: make the home remodeling and design process more fun and productive for everyone. **Our Mission**
To create the best experience for home renovation and design. **Our Core Values*****We’re a Community***
We put our community of Houzzers, industry professionals and homeowners first. We approach our work with care, humility and respect. We deliver value to our community through our products and services. ***We Build the Future***
We are visionaries who challenge the status quo. We are creative, innovative and curious. We embrace change and different ideas to drive our industry forward. ***We Make Things Happen***
We are solution\-seekers and self\-starters. We listen, move fast and empower our teams to deliver extraordinary results and products. We play to win.  
By applying for a job with us, you acknowledge and agree to the terms of our Job Applicant Privacy Notice.* Roles listing ‘Remote \- US’ as a location are not currently available in the following states: Alaska, Hawaii, Louisiana and Montana.
\#LI\-Remote</t>
        </is>
      </c>
    </row>
    <row r="22">
      <c r="A22" t="inlineStr">
        <is>
          <t>in-002f6a30063f51ca</t>
        </is>
      </c>
      <c r="B22" t="inlineStr">
        <is>
          <t>Strategic Operations Program Manager, Renewals Sales Excellence</t>
        </is>
      </c>
      <c r="C22" t="inlineStr">
        <is>
          <t>NetApp</t>
        </is>
      </c>
      <c r="D22" t="inlineStr">
        <is>
          <t>indeed</t>
        </is>
      </c>
      <c r="E22" t="inlineStr"/>
      <c r="F22" t="inlineStr"/>
      <c r="G22" t="inlineStr">
        <is>
          <t>San Jose, CA, US</t>
        </is>
      </c>
      <c r="H22" s="1" t="n">
        <v>46071</v>
      </c>
      <c r="I22"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**Role Overview**
-----------------
The Strategic Operations Program Manager, reporting to the Sr. Director of Renewal Sales Excellence, serves as a high\-leverage operator and renewal insights leader for the Renewals and LCM organization at NetApp. This role drives clarity, discipline, and cross\-functional execution across the global renewal revenue engine while also shaping how the organization thinks about renewal sales excellence.  
Blending a Chief\-of\-Staff\-style program leadership remit with the analytical rigor of Sales Excellence, this role builds operating mechanisms, orchestrates complex initiatives, improves processes and systems, and enriches leadership decision\-making through actionable insights. You create structure where there is ambiguity and momentum where there are blockers.  
Beyond execution, this role acts as a Renewal Insights and Thought Leadership engine—challenging conventional approaches, introducing fresh perspectives, and helping define what best\-in\-class renewal execution looks like today and in the future. You don’t just operationalize strategy; you help shape it by connecting data, customer experience, market trends, and systems innovation into a clear point of view that influences leadership decisions and investment priorities.**What You'll Deliver**
-----------------------
1\. Orchestrate Cross\-Functional Execution* Drive priority initiatives across the Sales ecosystem, CSO, RevOps, Finance, IT, Product, and Customer Success—ensuring alignment, progress, and accountability.
* Translate strategic objectives into execution plans, milestones, and cross\-team operating rhythms.
* Proactively identify risks, dependencies, and constraints before they become bottlenecks.
2\. Build Scalable Operating Mechanisms* Establish the processes, governance structures, and operating rhythms that power the global renewals business.
* Own mechanisms for forecasting reviews, pipeline hygiene, business performance reporting, and operational cadence.
* Standardize playbooks, documentation, and workflows to enable repeatability, scale, and consistent execution.
3\. Lead Renewal Insights \&amp; Thought Leadership* Develop and articulate a clear point of view on renewal sales excellence grounded in data, customer behavior, and market trends.
* Translate renewal performance data into insights, narratives, and recommendations that shape strategy—not just reporting.
* Identify leading indicators, emerging risks, and future opportunities across automation, customer experience, and commercial execution.
* Act as a strategic thought partner to Renewal, Sales, and Customer Success leadership—bringing perspective, challenge, and fresh ideas.
* Continuously benchmark internal performance against best practices and evolving SaaS and technology renewal models.
4\. Create Clarity Out of Ambiguity* Synthesize complex, cross\-functional inputs into clear insights, decisions, and next steps.
* Bring structure, prioritization, and logic to ambiguous or rapidly evolving problems.
* Serve as a connective operator tying together strategy, data, systems, and people.
5\. Drive Forecasting Accuracy \&amp; Performance Insight* Build and maintain visibility into renewal performance, risk, and trends.
* Move beyond forecast accuracy to uncover behavioral, operational, and systemic drivers of renewal outcomes.
* Partner with Sales, IT, and RevOps to ensure pipeline discipline, forecast precision, and data integrity.
* Define dashboards, metrics, and analytics that illuminate renewal health, execution quality, and risk velocity.
**What You’ll Deliver \- Part 2**
---------------------------------
6\. Advance Automation, Systems \&amp; Customer Experience* Partner with IT and Business Systems to optimize and modernize renewal tooling, workflows, and data sources.
* Champion automation opportunities that simplify execution, reduce manual effort, and improve speed and scalability.
* Reimagine renewal workflows with a customer\-first lens—balancing experience, efficiency, and commercial outcomes.
* Challenge legacy processes and assumptions that limit insight, agility, or customer value.
7\. Enable Leadership with Strategic Insight \&amp; Accountability* Produce executive\-ready insights, reports, and narratives with clear implications and recommended actions.
* Prepare materials for QBRs, MBRs, planning cycles, and leadership reviews.
* Track strategic priorities, ensure follow\-through, and drive accountability across teams.
* Constructively challenge assumptions and elevate the quality of renewal performance discussions.
**Who You Are**
---------------
* A renewal strategist at heart and an operator by trade—able to see both the system and the signal.
* A critical thinker who questions norms, pressure\-tests ideas, and brings fresh perspective to renewal execution.
* Comfortable pivoting quickly while still pushing the organization forward.
* Naturally curious about why performance behaves the way it does—and relentless about turning insight into action.
* Passionate about renewal automation, customer experience, and commercial excellence as strategic differentiators.
* Influential without authority and credible with senior leadership.
* Exceptionally organized with strong judgment and executive\-level communication skills.
* AI\-native—leveraging AI not only for productivity, but as a thinking partner for insight generation and experimentation.
* Thrives in dynamic, ambiguous environments where priorities evolve and speed matters.
**The Impact you Enable**
-------------------------
* A renewal engine that is predictable, scalable, insight\-driven, and customer\-centric.
* Leadership equipped with clearer visibility, sharper insights, and faster, better decisions.
* Renewal teams aligned around the right metrics, behaviors, and operating rhythms.
* Accelerated adoption of automation and modern renewal experiences.
* A shift from running renewals well to leading the industry in how renewal sales is designed and executed.
**Education and Experience**
----------------------------
* This role typically requires a minimum of 12 years of related experience and a bachelors degree, or commensurate experience
Compensation:  
The target salary range for this position is 157,250 \- 233,200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23">
      <c r="A23" t="inlineStr">
        <is>
          <t>in-c829f1e0235ce7b0</t>
        </is>
      </c>
      <c r="B23" t="inlineStr">
        <is>
          <t>AVP, AML/CFT Program Manager</t>
        </is>
      </c>
      <c r="C23" t="inlineStr">
        <is>
          <t>Triumph Financial</t>
        </is>
      </c>
      <c r="D23" t="inlineStr">
        <is>
          <t>indeed</t>
        </is>
      </c>
      <c r="E23" t="inlineStr"/>
      <c r="F23" t="inlineStr"/>
      <c r="G23" t="inlineStr">
        <is>
          <t>Dallas, TX, US</t>
        </is>
      </c>
      <c r="H23" s="1" t="n">
        <v>46071</v>
      </c>
      <c r="I23" t="inlineStr">
        <is>
          <t>Join TBK Bank!
At TBK Bank, a subsidiary of Triumph, we're a team of passionate, driven, collaborative, solutions\-minded people who want to make a difference in the lives of our customers and communities. Our mission is to do well and to do good at the same time. We accomplish this by working together, because at the end of the day, TBK means striving for excellence, while delivering with humility. We thrive on providing exceptional customer service, and we look for friendly professionals dedicated to helping customers achieve their financial goals.
Position summary: The AVP AML/CFT (BSA) Program Manager will be a member of the Enterprise Risk and Compliance Team and report directly to the VP BSA Officer. The AVP AML/CFT (BSA) Program Manager will oversee the daily operations of the AML/CFT (BSA) Program components. This role will require supervision of program related tasks.
Essential Duties \&amp; Responsibilities* Develops and oversee quality control review of program pillars.
* Drafts and maintains program applicable job aids, procedures, and workflows.
* Trains team members on program applicable processes/standards.
* Submits core application and automated surveillance support requests to promote resolution to program effectiveness.
* Maintains automated surveillance configuration documentation.
* Participates in configuration and tuning of automated surveillance tools.
* Participates in program applicable metric (key performance and risk indicators) development and enhancements.
* Reports metrics for areas of responsibility to Management on a monthly, quarterly, and annual basis.
* Maintains Sanctions Framework inclusive of program applicable lists.
* Serves as Administrator for ancillary Sanctions screening software.
* Leads process for periodic scrubs of database against OFAC list as additions are made to the list, including coordination with the branches for documentation reviews and makes final determination of OFAC list “hits.”
* Develops and maintains library of program applicable collaboration and tracking tool(s)
* Monitors for program critical application changes/releases
* Drives team efforts to complete preparatory work prior to BSA/AML regulatory examinations of the Bank.
* Participates in new product development and system changes that may impact compliance with the AML/CFT (BSA) OFAC program.
* Promotes program innovation via proficient usage of technology resources (Dashboards, monitoring software updates, FinTech integrations, collaboration software)
* Assists VP BSA Officer with risk assessments, emerging risk analysis and remediation efforts including but not limited to financial crimes, sanctions, FinTech\-related issues, and regulatory changes.
* Participates in BSA/AML/CIP/OFAC audits, and exams by compiling requested items and producing various reports.
* Participates in meetings necessary to promote efficiency and task prioritization across the Enterprise Risk Management Team.
* Partners with various lines of business in an effort to fully understand customer relationships and program applicable processes.
* Maintains strict confidentiality over customer information.
* Maintains a current understanding of AML/CFT (BSA), terrorism financing, and sanctions.
* Performs other duties as assigned.
Experience \&amp; Education* Bachelor’s degree in business preferred or a combination of banking experience and/or degree.
* 5\-7 years; AML/CFT (BSA) and Sanctions compliance and/or risk management
* Extensive knowledge of BSA/AML/USA Patriot Act/OFAC/CIP regulatory requirements for financial institutions preferred.
* Experience via AML Risk Manager a plus but not required.
* Experience in writing procedures and/or process manuals is required.
* Proven experience as a Supervisor/Manager or relevant role
* Association of Certified Anti\-Money Laundering (ACAMS) certification or comparable professional certification preferred.
Skills \&amp; Abilities Required* Strong writing, analytical, and communication skills, and must be able to multi\-task and complete projects on time.
* Should be an organized, detail\-oriented, self\-starter with the ability to work independently or in teams, without supervision.
* Strong Technical Skills and proficiency in launching applications and maneuvering in a Windows based environment.
* Proficient in spreadsheet (formula usage and pivot tables) and database reporting applications; Microsoft Office Suite/internet navigation skills including proficiency with internet search engines.
* Ability to understand and analyze specific transactions and trends within customer accounts.
* Fundamental knowledge of general banking principles, philosophies, and operations.
* Ability to establish and maintain effective work relationships both internally and externally.
* Ability to adjust to a rapidly changing environment.
Work Environment
The work environment characteristics described here maybe encountered while performing the essential functions of this job. Reasonable accommodations may be made to enable individuals with disabilities to perform the essential functions.* Moderate noise (i.e., business office with computers, phones, printers, light traffic).
* Ability to work in a confined area.
* Ability to sit at a computer terminal for an extended period of time. Occasional stooping or kneeling may be necessary.
* While performing the duties of this job, the employee is regularly required to stand, sit, talk, hear, and use hands and fingers to operate a computer keyboard and telephone.
* Specific vision abilities are required by this job due to computer work.
* Light to moderate lifting is required.
* Regular, predictable attendance is required.
We offer Medical, Dental, Vision, Paid Time Off, 401k and much more.
Go on. Do it. Apply Today!</t>
        </is>
      </c>
    </row>
    <row r="24">
      <c r="A24" t="inlineStr">
        <is>
          <t>in-63120bb5137c2e76</t>
        </is>
      </c>
      <c r="B24" t="inlineStr">
        <is>
          <t>AVP, AML/CFT Program Manager</t>
        </is>
      </c>
      <c r="C24" t="inlineStr">
        <is>
          <t>TBK Bank</t>
        </is>
      </c>
      <c r="D24" t="inlineStr">
        <is>
          <t>indeed</t>
        </is>
      </c>
      <c r="E24" t="inlineStr"/>
      <c r="F24" t="inlineStr"/>
      <c r="G24" t="inlineStr">
        <is>
          <t>Dallas, TX, US</t>
        </is>
      </c>
      <c r="H24" s="1" t="n">
        <v>46071</v>
      </c>
      <c r="I24" t="inlineStr">
        <is>
          <t>Join TBK Bank!
At TBK Bank, a subsidiary of Triumph, we're a team of passionate, driven, collaborative, solutions\-minded people who want to make a difference in the lives of our customers and communities. Our mission is to do well and to do good at the same time. We accomplish this by working together, because at the end of the day, TBK means striving for excellence, while delivering with humility. We thrive on providing exceptional customer service, and we look for friendly professionals dedicated to helping customers achieve their financial goals.
Position summary: The AVP AML/CFT (BSA) Program Manager will be a member of the Enterprise Risk and Compliance Team and report directly to the VP BSA Officer. The AVP AML/CFT (BSA) Program Manager will oversee the daily operations of the AML/CFT (BSA) Program components. This role will require supervision of program related tasks.
Essential Duties \&amp; Responsibilities* Develops and oversee quality control review of program pillars.
* Drafts and maintains program applicable job aids, procedures, and workflows.
* Trains team members on program applicable processes/standards.
* Submits core application and automated surveillance support requests to promote resolution to program effectiveness.
* Maintains automated surveillance configuration documentation.
* Participates in configuration and tuning of automated surveillance tools.
* Participates in program applicable metric (key performance and risk indicators) development and enhancements.
* Reports metrics for areas of responsibility to Management on a monthly, quarterly, and annual basis.
* Maintains Sanctions Framework inclusive of program applicable lists.
* Serves as Administrator for ancillary Sanctions screening software.
* Leads process for periodic scrubs of database against OFAC list as additions are made to the list, including coordination with the branches for documentation reviews and makes final determination of OFAC list “hits.”
* Develops and maintains library of program applicable collaboration and tracking tool(s)
* Monitors for program critical application changes/releases
* Drives team efforts to complete preparatory work prior to BSA/AML regulatory examinations of the Bank.
* Participates in new product development and system changes that may impact compliance with the AML/CFT (BSA) OFAC program.
* Promotes program innovation via proficient usage of technology resources (Dashboards, monitoring software updates, FinTech integrations, collaboration software)
* Assists VP BSA Officer with risk assessments, emerging risk analysis and remediation efforts including but not limited to financial crimes, sanctions, FinTech\-related issues, and regulatory changes.
* Participates in BSA/AML/CIP/OFAC audits, and exams by compiling requested items and producing various reports.
* Participates in meetings necessary to promote efficiency and task prioritization across the Enterprise Risk Management Team.
* Partners with various lines of business in an effort to fully understand customer relationships and program applicable processes.
* Maintains strict confidentiality over customer information.
* Maintains a current understanding of AML/CFT (BSA), terrorism financing, and sanctions.
* Performs other duties as assigned.
Experience \&amp; Education* Bachelor’s degree in business preferred or a combination of banking experience and/or degree.
* 5\-7 years; AML/CFT (BSA) and Sanctions compliance and/or risk management
* Extensive knowledge of BSA/AML/USA Patriot Act/OFAC/CIP regulatory requirements for financial institutions preferred.
* Experience via AML Risk Manager a plus but not required.
* Experience in writing procedures and/or process manuals is required.
* Proven experience as a Supervisor/Manager or relevant role
* Association of Certified Anti\-Money Laundering (ACAMS) certification or comparable professional certification preferred.
Skills \&amp; Abilities Required* Strong writing, analytical, and communication skills, and must be able to multi\-task and complete projects on time.
* Should be an organized, detail\-oriented, self\-starter with the ability to work independently or in teams, without supervision.
* Strong Technical Skills and proficiency in launching applications and maneuvering in a Windows based environment.
* Proficient in spreadsheet (formula usage and pivot tables) and database reporting applications; Microsoft Office Suite/internet navigation skills including proficiency with internet search engines.
* Ability to understand and analyze specific transactions and trends within customer accounts.
* Fundamental knowledge of general banking principles, philosophies, and operations.
* Ability to establish and maintain effective work relationships both internally and externally.
* Ability to adjust to a rapidly changing environment.
Work Environment
The work environment characteristics described here maybe encountered while performing the essential functions of this job. Reasonable accommodations may be made to enable individuals with disabilities to perform the essential functions.* Moderate noise (i.e., business office with computers, phones, printers, light traffic).
* Ability to work in a confined area.
* Ability to sit at a computer terminal for an extended period of time. Occasional stooping or kneeling may be necessary.
* While performing the duties of this job, the employee is regularly required to stand, sit, talk, hear, and use hands and fingers to operate a computer keyboard and telephone.
* Specific vision abilities are required by this job due to computer work.
* Light to moderate lifting is required.
* Regular, predictable attendance is required.
We offer Medical, Dental, Vision, Paid Time Off, 401k and much more.
Go on. Do it. Apply Today!</t>
        </is>
      </c>
    </row>
    <row r="25">
      <c r="A25" t="inlineStr">
        <is>
          <t>in-c95c68ea7a70d72f</t>
        </is>
      </c>
      <c r="B25" t="inlineStr">
        <is>
          <t>Senior Product Manager - 26-01781</t>
        </is>
      </c>
      <c r="C25" t="inlineStr">
        <is>
          <t>NavitasPartners</t>
        </is>
      </c>
      <c r="D25" t="inlineStr">
        <is>
          <t>indeed</t>
        </is>
      </c>
      <c r="E25" t="inlineStr"/>
      <c r="F25" t="inlineStr"/>
      <c r="G25" t="inlineStr">
        <is>
          <t>Arlington, VT, US</t>
        </is>
      </c>
      <c r="H25" s="1" t="n">
        <v>46071</v>
      </c>
      <c r="I25" t="inlineStr">
        <is>
          <t>### **Job Title:** **Senior Product Manager**
**Location:** Washington, DC  
**Duration:** 9 Months (Possibility of Extension)
### **Background**
Seeking a Senior Product Manager to support the Governance, Risk, and Compliance (GRC) team within the IT division. This team is responsible for defining, implementing, and managing processes that support compliance, policy, outreach, and privacy initiatives across the organization.
The ideal candidate will have strong experience working within security, compliance, or risk\-focused environments, particularly in federal settings.
### **Key Responsibilities**
* Gather and synthesize requirements from both technical and non\-technical stakeholders to inform product strategy and prioritization decisions.
* Translate regulatory requirements, policies, and stakeholder needs into clearly defined product requirements and user stories.
* Develop and maintain product roadmaps for GRC automation tools, driving measurable improvements in efficiency and risk reduction.
* Manage and prioritize the product backlog, balancing short\-term operational needs with long\-term strategic objectives.
* Partner closely with engineering and DevOps teams to integrate security and privacy controls into Agile workflows, enabling continuous compliance.
* Enhance organizational understanding and accessibility of policy and process requirements.
* Lead stakeholder communication, ensuring transparency and alignment around roadmap initiatives and outcomes.
* Measure product outcomes and leverage data and feedback to drive continuous process and service improvement.
### **Required Qualifications**
* 5\+ years of Product Management experience.
* Minimum 2 years working with security, compliance, or risk management teams.
* Demonstrated experience gathering requirements, managing backlogs, and delivering product roadmaps.
* Experience streamlining and automating business processes using technology solutions.
* Knowledge of federal security compliance frameworks such as FISMA, NIST, and FedRAMP.
* Strong understanding of federal information security principles and privacy regulations.
* Experience with Agile methodologies and collaboration with engineering and DevOps teams.
* Excellent communication skills with the ability to translate complex security concepts for diverse audiences.
* Proven track record of cross\-functional collaboration and stakeholder management.</t>
        </is>
      </c>
    </row>
    <row r="26">
      <c r="A26" t="inlineStr">
        <is>
          <t>in-93a6893590f7b262</t>
        </is>
      </c>
      <c r="B26" t="inlineStr">
        <is>
          <t>Senior Product Manager - 26-01781</t>
        </is>
      </c>
      <c r="C26" t="inlineStr">
        <is>
          <t>NavitasPartners</t>
        </is>
      </c>
      <c r="D26" t="inlineStr">
        <is>
          <t>indeed</t>
        </is>
      </c>
      <c r="E26" t="inlineStr"/>
      <c r="F26" t="inlineStr"/>
      <c r="G26" t="inlineStr">
        <is>
          <t>Washington, DC, US</t>
        </is>
      </c>
      <c r="H26" s="1" t="n">
        <v>46071</v>
      </c>
      <c r="I26" t="inlineStr">
        <is>
          <t>### **Job Title:** **Senior Product Manager**
**Location:** Washington, DC  
**Duration:** 9 Months (Possibility of Extension)
### **Background**
Seeking a Senior Product Manager to support the Governance, Risk, and Compliance (GRC) team within the IT division. This team is responsible for defining, implementing, and managing processes that support compliance, policy, outreach, and privacy initiatives across the organization.
The ideal candidate will have strong experience working within security, compliance, or risk\-focused environments, particularly in federal settings.
### **Key Responsibilities**
* Gather and synthesize requirements from both technical and non\-technical stakeholders to inform product strategy and prioritization decisions.
* Translate regulatory requirements, policies, and stakeholder needs into clearly defined product requirements and user stories.
* Develop and maintain product roadmaps for GRC automation tools, driving measurable improvements in efficiency and risk reduction.
* Manage and prioritize the product backlog, balancing short\-term operational needs with long\-term strategic objectives.
* Partner closely with engineering and DevOps teams to integrate security and privacy controls into Agile workflows, enabling continuous compliance.
* Enhance organizational understanding and accessibility of policy and process requirements.
* Lead stakeholder communication, ensuring transparency and alignment around roadmap initiatives and outcomes.
* Measure product outcomes and leverage data and feedback to drive continuous process and service improvement.
### **Required Qualifications**
* 5\+ years of Product Management experience.
* Minimum 2 years working with security, compliance, or risk management teams.
* Demonstrated experience gathering requirements, managing backlogs, and delivering product roadmaps.
* Experience streamlining and automating business processes using technology solutions.
* Knowledge of federal security compliance frameworks such as FISMA, NIST, and FedRAMP.
* Strong understanding of federal information security principles and privacy regulations.
* Experience with Agile methodologies and collaboration with engineering and DevOps teams.
* Excellent communication skills with the ability to translate complex security concepts for diverse audiences.
* Proven track record of cross\-functional collaboration and stakeholder management.</t>
        </is>
      </c>
    </row>
    <row r="27">
      <c r="A27" t="inlineStr">
        <is>
          <t>in-bfb787a3284791e6</t>
        </is>
      </c>
      <c r="B27" t="inlineStr">
        <is>
          <t>Senior Product Manager - 26-01781</t>
        </is>
      </c>
      <c r="C27" t="inlineStr">
        <is>
          <t>NavitasPartners</t>
        </is>
      </c>
      <c r="D27" t="inlineStr">
        <is>
          <t>indeed</t>
        </is>
      </c>
      <c r="E27" t="inlineStr"/>
      <c r="F27" t="inlineStr"/>
      <c r="G27" t="inlineStr">
        <is>
          <t>Baltimore, MD, US</t>
        </is>
      </c>
      <c r="H27" s="1" t="n">
        <v>46071</v>
      </c>
      <c r="I27" t="inlineStr">
        <is>
          <t>### **Job Title:** **Senior Product Manager**
**Location:** Washington, DC  
**Duration:** 9 Months (Possibility of Extension)
### **Background**
Seeking a Senior Product Manager to support the Governance, Risk, and Compliance (GRC) team within the IT division. This team is responsible for defining, implementing, and managing processes that support compliance, policy, outreach, and privacy initiatives across the organization.
The ideal candidate will have strong experience working within security, compliance, or risk\-focused environments, particularly in federal settings.
### **Key Responsibilities**
* Gather and synthesize requirements from both technical and non\-technical stakeholders to inform product strategy and prioritization decisions.
* Translate regulatory requirements, policies, and stakeholder needs into clearly defined product requirements and user stories.
* Develop and maintain product roadmaps for GRC automation tools, driving measurable improvements in efficiency and risk reduction.
* Manage and prioritize the product backlog, balancing short\-term operational needs with long\-term strategic objectives.
* Partner closely with engineering and DevOps teams to integrate security and privacy controls into Agile workflows, enabling continuous compliance.
* Enhance organizational understanding and accessibility of policy and process requirements.
* Lead stakeholder communication, ensuring transparency and alignment around roadmap initiatives and outcomes.
* Measure product outcomes and leverage data and feedback to drive continuous process and service improvement.
### **Required Qualifications**
* 5\+ years of Product Management experience.
* Minimum 2 years working with security, compliance, or risk management teams.
* Demonstrated experience gathering requirements, managing backlogs, and delivering product roadmaps.
* Experience streamlining and automating business processes using technology solutions.
* Knowledge of federal security compliance frameworks such as FISMA, NIST, and FedRAMP.
* Strong understanding of federal information security principles and privacy regulations.
* Experience with Agile methodologies and collaboration with engineering and DevOps teams.
* Excellent communication skills with the ability to translate complex security concepts for diverse audiences.
* Proven track record of cross\-functional collaboration and stakeholder management.</t>
        </is>
      </c>
    </row>
    <row r="28">
      <c r="A28" t="inlineStr">
        <is>
          <t>in-3fb2e1144faf25f0</t>
        </is>
      </c>
      <c r="B28" t="inlineStr">
        <is>
          <t>Senior Product Manager - 26-01781</t>
        </is>
      </c>
      <c r="C28" t="inlineStr">
        <is>
          <t>NavitasPartners</t>
        </is>
      </c>
      <c r="D28" t="inlineStr">
        <is>
          <t>indeed</t>
        </is>
      </c>
      <c r="E28" t="inlineStr"/>
      <c r="F28" t="inlineStr"/>
      <c r="G28" t="inlineStr">
        <is>
          <t>Alexandria, VA, US</t>
        </is>
      </c>
      <c r="H28" s="1" t="n">
        <v>46071</v>
      </c>
      <c r="I28" t="inlineStr">
        <is>
          <t>### **Job Title:** **Senior Product Manager**
**Location:** Washington, DC  
**Duration:** 9 Months (Possibility of Extension)
### **Background**
Seeking a Senior Product Manager to support the Governance, Risk, and Compliance (GRC) team within the IT division. This team is responsible for defining, implementing, and managing processes that support compliance, policy, outreach, and privacy initiatives across the organization.
The ideal candidate will have strong experience working within security, compliance, or risk\-focused environments, particularly in federal settings.
### **Key Responsibilities**
* Gather and synthesize requirements from both technical and non\-technical stakeholders to inform product strategy and prioritization decisions.
* Translate regulatory requirements, policies, and stakeholder needs into clearly defined product requirements and user stories.
* Develop and maintain product roadmaps for GRC automation tools, driving measurable improvements in efficiency and risk reduction.
* Manage and prioritize the product backlog, balancing short\-term operational needs with long\-term strategic objectives.
* Partner closely with engineering and DevOps teams to integrate security and privacy controls into Agile workflows, enabling continuous compliance.
* Enhance organizational understanding and accessibility of policy and process requirements.
* Lead stakeholder communication, ensuring transparency and alignment around roadmap initiatives and outcomes.
* Measure product outcomes and leverage data and feedback to drive continuous process and service improvement.
### **Required Qualifications**
* 5\+ years of Product Management experience.
* Minimum 2 years working with security, compliance, or risk management teams.
* Demonstrated experience gathering requirements, managing backlogs, and delivering product roadmaps.
* Experience streamlining and automating business processes using technology solutions.
* Knowledge of federal security compliance frameworks such as FISMA, NIST, and FedRAMP.
* Strong understanding of federal information security principles and privacy regulations.
* Experience with Agile methodologies and collaboration with engineering and DevOps teams.
* Excellent communication skills with the ability to translate complex security concepts for diverse audiences.
* Proven track record of cross\-functional collaboration and stakeholder management.</t>
        </is>
      </c>
    </row>
    <row r="29">
      <c r="A29" t="inlineStr">
        <is>
          <t>in-60f0faa42c778325</t>
        </is>
      </c>
      <c r="B29" t="inlineStr">
        <is>
          <t>Outpatient PT Program Manager</t>
        </is>
      </c>
      <c r="C29" t="inlineStr">
        <is>
          <t>Aegis Therapies</t>
        </is>
      </c>
      <c r="D29" t="inlineStr">
        <is>
          <t>indeed</t>
        </is>
      </c>
      <c r="E29" t="inlineStr"/>
      <c r="F29" t="inlineStr"/>
      <c r="G29" t="inlineStr">
        <is>
          <t>Elm Grove, WI, US</t>
        </is>
      </c>
      <c r="H29" s="1" t="n">
        <v>46071</v>
      </c>
      <c r="I29" t="inlineStr">
        <is>
          <t>**Program Manager \- Outpatient PT**
====================================
**Great Work/life Balance and Flexibility of hours**
**Full\-time, Part\-time \&amp; Consistent PRN Opportunities Available**
**Location: Heritage Elm Grove \- Elm Grove, WI**
**Setting:** Assisted Living, Independent Living, Outpatient,
Lovely Community \- Work with higher functioning residents
**Job Type:** Full\-time, Part\-time, PRN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30">
      <c r="A30" t="inlineStr">
        <is>
          <t>in-ac087028bf4482b5</t>
        </is>
      </c>
      <c r="B30" t="inlineStr">
        <is>
          <t>Outpatient PT Program Manager - Part-time</t>
        </is>
      </c>
      <c r="C30" t="inlineStr">
        <is>
          <t>Aegis Therapies</t>
        </is>
      </c>
      <c r="D30" t="inlineStr">
        <is>
          <t>indeed</t>
        </is>
      </c>
      <c r="E30" t="inlineStr"/>
      <c r="F30" t="inlineStr"/>
      <c r="G30" t="inlineStr">
        <is>
          <t>Hartland, WI, US</t>
        </is>
      </c>
      <c r="H30" s="1" t="n">
        <v>46071</v>
      </c>
      <c r="I30" t="inlineStr">
        <is>
          <t>**Program Manager \- Outpatient**
=================================
**Great Work/life Balance and Flexibility of hours**
**Full\-time, Part\-time \&amp; Consistent PRN Opportunities Available**
**Location: Heritage Lake County \- Hartland, WI**
**Setting:** Assisted Living, Independent Living, Outpatient,
Lovely Community \- Work with higher functioning residents
**Job Type:** Full\-time, Part\-time, PRN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31">
      <c r="A31" t="inlineStr">
        <is>
          <t>in-b01c5d2506695adc</t>
        </is>
      </c>
      <c r="B31" t="inlineStr">
        <is>
          <t>Outpatient PT Program Manager</t>
        </is>
      </c>
      <c r="C31" t="inlineStr">
        <is>
          <t>Aegis Therapies</t>
        </is>
      </c>
      <c r="D31" t="inlineStr">
        <is>
          <t>indeed</t>
        </is>
      </c>
      <c r="E31" t="inlineStr"/>
      <c r="F31" t="inlineStr"/>
      <c r="G31" t="inlineStr">
        <is>
          <t>Hartland, WI, US</t>
        </is>
      </c>
      <c r="H31" s="1" t="n">
        <v>46071</v>
      </c>
      <c r="I31" t="inlineStr">
        <is>
          <t>**Program Manager \- Outpatient**
=================================
**Great Work/life Balance and Flexibility of hours**
**Full\-time, Part\-time \&amp; Consistent PRN Opportunities Available**
**Location: Heritage Lake County \- Hartland, WI**
**Setting:** Assisted Living, Independent Living, Outpatient,
Lovely Community \- Work with higher functioning residents
**Job Type:** Full\-time, Part\-time, PRN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32">
      <c r="A32" t="inlineStr">
        <is>
          <t>in-a57644fa6b07093d</t>
        </is>
      </c>
      <c r="B32" t="inlineStr">
        <is>
          <t>Outpatient PT Program Manager - Part-time</t>
        </is>
      </c>
      <c r="C32" t="inlineStr">
        <is>
          <t>Aegis Therapies</t>
        </is>
      </c>
      <c r="D32" t="inlineStr">
        <is>
          <t>indeed</t>
        </is>
      </c>
      <c r="E32" t="inlineStr"/>
      <c r="F32" t="inlineStr"/>
      <c r="G32" t="inlineStr">
        <is>
          <t>Hartford, WI, US</t>
        </is>
      </c>
      <c r="H32" s="1" t="n">
        <v>46071</v>
      </c>
      <c r="I32" t="inlineStr">
        <is>
          <t>**Program Manager \- Outpatient PT**
====================================
**Great Work/life Balance and Flexibility of hours**
**Full\-time, Part\-time \&amp; Consistent PRN Opportunities Available**
**Location: Waterford at Hartford \- Hartford, WI**
**Setting:** Assisted Living, Independent Living, Outpatient,
Lovely Community \- Work with higher functioning residents
**Job Type:** Full\-time, Part\-time, PRN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33">
      <c r="A33" t="inlineStr">
        <is>
          <t>in-82bad3fa725d37a5</t>
        </is>
      </c>
      <c r="B33" t="inlineStr">
        <is>
          <t>Program Manager / Physical Therapy Assistant</t>
        </is>
      </c>
      <c r="C33" t="inlineStr">
        <is>
          <t>Aegis Therapies</t>
        </is>
      </c>
      <c r="D33" t="inlineStr">
        <is>
          <t>indeed</t>
        </is>
      </c>
      <c r="E33" t="inlineStr"/>
      <c r="F33" t="inlineStr"/>
      <c r="G33" t="inlineStr">
        <is>
          <t>St. Louis, MO, US</t>
        </is>
      </c>
      <c r="H33" s="1" t="n">
        <v>46071</v>
      </c>
      <c r="I33" t="inlineStr">
        <is>
          <t>**Rehab Program Manager**
=========================
**Job Type: Full\-time**
------------------------
**Schedule: 40 hours per week**
-------------------------------
**Setting: Nursing Home, Skilled Nursing Facility**
---------------------------------------------------
If you’re brimming with ambition and a desire to learn, a **Program Manager** role with Aegis Therapies is right for you. This position is a steppingstone to management roles, and it allows you to gain management experience without being a direct supervisor.
**Aegis Therapies**, one of the nation’s leading providers of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Graduate from Therapy program
* Current license or ability to obtain as a Therapist in the state of practice
As a lead in the building, you’ll treat patients while getting some experience with administrative tasks, such as scheduling and serving as a liaison for the Director of Rehab.
**If you love to make a difference in people’s lives and have big goals for yourself, apply today.**</t>
        </is>
      </c>
    </row>
    <row r="34">
      <c r="A34" t="inlineStr">
        <is>
          <t>in-96ed248332b8b481</t>
        </is>
      </c>
      <c r="B34" t="inlineStr">
        <is>
          <t>Program Manager Outpatient PT</t>
        </is>
      </c>
      <c r="C34" t="inlineStr">
        <is>
          <t>Aegis Therapies</t>
        </is>
      </c>
      <c r="D34" t="inlineStr">
        <is>
          <t>indeed</t>
        </is>
      </c>
      <c r="E34" t="inlineStr"/>
      <c r="F34" t="inlineStr"/>
      <c r="G34" t="inlineStr">
        <is>
          <t>West Bend, WI, US</t>
        </is>
      </c>
      <c r="H34" s="1" t="n">
        <v>46071</v>
      </c>
      <c r="I34" t="inlineStr">
        <is>
          <t>**Program Manager \- Outpatient**
=================================
**Great Work/life Balance and Flexibility of hours**
**Full\-time, Part\-time \&amp; Consistent PRN Opportunities Available**
**Location: Waterford at West Bend \- West Bend, WI**
**Setting:** Assisted Living, Independent Living, Outpatient,
Lovely Community \- Work with higher functioning residents
**Job Type:** Full\-time, Part\-time, PRN
**Schedule:** Monday to Friday, No Weekends, No Evenings
If you’re customer focused, great at developing relationships, and brimming with ambition, **this position is right for you!**
With a **Program Manager Outpatient** career, you get the best of both worlds: the chance to improve the lives of seniors while developing your leadership skills as the “go to person” on the team for the customer, resident, and staff.
**Aegis Therapies**, one of the nation’s leading providers of contract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Current license or ability to obtain as a Therapist/Assistant in the state of practice
* Must meet Clinical Competency requirements
* Current CPR certification, preferred
As a lead in the building, the **Program Manager** will treat patients while getting leadership experience with administrative tasks, such as scheduling and serving as a liaison for Area Manager.
If you love to make a difference in people’s lives and have big goals for yourself, apply today.</t>
        </is>
      </c>
    </row>
    <row r="35">
      <c r="A35" t="inlineStr">
        <is>
          <t>in-a5f63eabc1b83b5a</t>
        </is>
      </c>
      <c r="B35" t="inlineStr">
        <is>
          <t>Program Manager-Rehabilitation-Supported Employment for Craven/Carteret Counties, NC</t>
        </is>
      </c>
      <c r="C35" t="inlineStr">
        <is>
          <t>ServiceSource Inc.</t>
        </is>
      </c>
      <c r="D35" t="inlineStr">
        <is>
          <t>indeed</t>
        </is>
      </c>
      <c r="E35" t="inlineStr"/>
      <c r="F35" t="inlineStr"/>
      <c r="G35" t="inlineStr">
        <is>
          <t>Fayetteville, NC, US</t>
        </is>
      </c>
      <c r="H35" s="1" t="n">
        <v>46071</v>
      </c>
      <c r="I35" t="inlineStr">
        <is>
          <t>The rate of pay is $52,000\.00annually. Must be a resident of Craven or Carteret County, NC.
*Make an impact by joining ServiceSource, a champion for people with disabilities. Explore new opportunities! ServiceSource is an organization of talented people who drive innovation, embrace change, and* *strengthen communities**.*
**Job** **Summary**
Responsible for the coordination and daily operations of the Supported Employment Program, including quality service delivery, recruitment, and outreach for participants of the program. Provide supervision, training and guidance to assigned staff. Oversee the development and implementation of services for participants of the program. Ensure compliance with all requirements of funding partners and regulatory bodies.
**Primary** **Duties**
**Reasonable accommodations may be made to enable individuals with disabilities to perform the essential functions.** These duties and responsibilities will be rated on the Annual Performance Review.
* Supervise assigned staff to include hiring, training, mentoring, and completing performance evaluations across a multi\-county territory requiring 2\-3 days per county, per month in\-person travel to ensure staff responsibilities are completed accurately, timely, and in compliance with requirements of regulatory bodies, funding partners, and CARF.
* Lead the services at the Supported Employment program to ensure that the program is aligned with the goals of our mission and funding partners and maximizes billing utilization. Ensure that the program provides meaningful and quality services, meets participants’ needs, ensures health and safety, and reaches desired outcomes.
* Ensure the timely assignment of referrals, accurate management of the authorizations, and completion of monthly billing processes through State Portal systems and SetWorks.
* Maintain collaboration with all members of the support team and other relevant internal and external programs, resources, community partners and employers to support the success of individuals in the program.
* Ensure accurate and timely completion of all required documentation and planning. Maintain familiarity with all regulatory requirements, funding partners, and CARF and ensure compliance with such regulations.
**Additional** **Responsibilities**
* Review staff documentation as required. Assure that all documentation is collected and maintained to required guidelines of the funding partners and regulatory bodies.
* Ensure that the vocational and non\-vocational needs of the individuals served are being met and monitor services being provided by assigned staff to secure that they are holistic and person\-centered.
* Meeting regularly with team members individually and as a group to discuss challenges, brainstorm solutions, including employment strategies, behavioral and crisis interventions and and counseling techniques.
* Collect required outcome data and analyze to determine success of program. Conduct focus groups and satisfaction surveys with individuals served, family members, and other partners.
* Provide guidance and leadership in areas of program design, development and implementation.
* Meet with representatives of other community agencies, support coordinators, families, and significant others for the purpose of employee program planning and review.
* Coordinate and participate in Person\-Centered Planning (PCP) process as needed and other meetings pertaining to the participant’s outcomes and support activities.
* Complete and/or ensure employees complete in an accurate and timely manner all intake documents, evaluation/assessment reports, progress reports, case notes, incident reports, attendance and other supporting documentation, and annual plans. Maintain up\-to\-date participant files in compliance with all regulatory bodies, funding partners, and CARF standards, etc.
* Maintain familiarity with corporate policies and procedures. Monitor employee’s compliance to organizational policies and procedures.
* Travel overnight for staff oversight, stakeholder meetings and conferences.
* Perform other responsibilities as assigned.
**Qualifications: Education, Experience, and Certification(s****)**
* Bachelor’s Degree in Human Services, Education, Marketing, or another related field required. One (1\) year of related experience can be substituted for one year of education.
* Two (2\) years experience providing staff supervision and/or mentoring required.
* Three (3\) years experience working with people with disabilities in a supported employment setting preferred.
* Experience providing management, supervision, and/or mentoring of supported employment staff preferred.
* Experience conducting community outreach and building partnerships with community organizations and employers preferred.
* Mastery in State Vocational Rehabilitation and Medicaid guidelines related to Supported Employment.
* Valid driver’s license and/or access to reliable transportation to perform work\-related travel required. Eligible drivers must have a good motor vehicle record (MVR).
**Knowledge, Skills, and Abilities**
* Strategic leader with the ability to take initiative, develop new techniques to ensure positive outcomes, and inspire their team members to do their best everyday.
* A well\-organized and self\-directed team player.
* An excellent communicator and presenter.
* Strong community engagement and collaboration skills and knowledge of community resources.
* Solution\-oriented mindset and conflict\-resolution skills.
* Supervisory and management skills and experience in an organization providing services to adults with disabilities.
* Knowledge of behavior intervention principles.
* Computer knowledge and experience leading to proficiency in software packages, presentation programs, and spreadsheet operations is required.
* Strong interpersonal skills and the ability to communicate verbally and in writing. Ability to relate to people at all levels of an organization.
* Ability to solve practical problems and deal with a variety of concrete variables in situations where only limited standardization exists.
* Ability to write professional reports and correspondence.
* Ability to read and interpret documents such as safety rules, operating and maintenance instructions and procedure manuals.
* Ability to pass a criminal background check and drug screening as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sit, talk, and hear. The employee may occasionally regularly require standing; reach with hands and arms; and talk or hear. The employee is occasionally required to walk and sit. The employee may occasionally lift or move products and supplies, up to 50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Work is performed within an office or community setting, and travel throughout the community is required 30% of the time for staff oversight, stakeholder meetings and conferences. Some overnight travel may be required 2\-5 days per month. The employee may be visiting a variety of worksites and may occasionally be exposed to outside weather conditions. The noise level in the ServiceSource office environment is usually quiet. The noise level at worksites could be quiet, moderate, or loud.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36">
      <c r="A36" t="inlineStr">
        <is>
          <t>in-be1bb3c479a6c517</t>
        </is>
      </c>
      <c r="B36" t="inlineStr">
        <is>
          <t>Program Manager</t>
        </is>
      </c>
      <c r="C36" t="inlineStr">
        <is>
          <t>K&amp;A Engineering</t>
        </is>
      </c>
      <c r="D36" t="inlineStr">
        <is>
          <t>indeed</t>
        </is>
      </c>
      <c r="E36" t="inlineStr"/>
      <c r="F36" t="inlineStr"/>
      <c r="G36" t="inlineStr">
        <is>
          <t>Binghamton, NY, US</t>
        </is>
      </c>
      <c r="H36" s="1" t="n">
        <v>46071</v>
      </c>
      <c r="I36" t="inlineStr">
        <is>
          <t>**K\&amp;A Engineering Consulting –** is a privately held company, providing comprehensive consulting, engineering and design, program/project management, construction management, and support services to power utility and industrial clients. Specializing in substation, transmission, distribution, distributed energy resources, and EPC services, we excel in solving complex challenges with precision\-driven solutions. We pride ourselves on employing top talent, fostering a culture of excellence, and building meaningful relationships with clients and employees.
***Powered By Innovation, Passion, And Purpose.***
**Start your K\&amp;A Career:**
We are seeking a highly motivated and skilled **Program Manager** to join our team at K\&amp;A Engineering in **Binghamton, New York.** In this role, you will have the opportunity to work on exciting and challenging projects that make a real impact in the energy and utility sectors. You’ll be part of a dynamic, people\-focused team where your expertise, ideas, and contributions will be valued and celebrated.
**Role Expectations:**
* Lead a multi\-discipline team through the Engineering, Procurement, and Construction phases of different programs.
* Create and maintain an attitude of leadership towards the contractor's project team with respect to overall management activities (including quality assurance, engineering, procurement, planning and controls, construction management, commissioning, industrial labor relations and safety) to achieve quality programs, while respecting the established budget and schedule objectives.
* Responsible for planning, monitoring, appraising, and reviewing and delivering the overall program and its activities in accordance with the goals of the organization.
* Focus on SPI and CPI performance indicators as decision drivers.
* Oversight of scheduling/cost controllers and activities.
* Preparing and completing action plans; implementing and reporting on production, productivity, quality, and customer\-service standards; identifying risks, resolving problems; completing audits; identifying trends; determining improvements; implementing change.
* Meets Avangrid objectives by preparing Program Initiation and Program Management Plan, executing plan requirements, analyzing variances; initiating corrective actions.
* Development of On Boarding, Training and Resource Retention Plan
* Achieve efficiencies by accepting responsibility and accountability for results, accomplishing new and different requests; exploring opportunities to add value to the Avangrid organization.
* Develop and execute a program evaluation framework to assess the strengths of the program and to identify areas to target for improvement.
* Responsible for planning, monitoring, appraising, and reviewing and delivering the overall program and its activities in accordance with the goals of the organization. In charge of handling all aspects of technical programs for their organization.
* Interfaces with the Executive sponsors, business leaders and stakeholders to make sure all requirements captured.
* Focus on SPI and CPI performance indicators as decision drivers.
* Oversight of scheduling/cost controllers and activities. This person will work with SMEs, estimators and procurement present accurate project budgets.
* Preparing and completing action plans; implementing and reporting on production, productivity, quality, and customer\-service standards; identifying risks, resolving problems; completing audits; identifying trends; determining improvements; implementing change.
* Meets Avangrid objectives by preparing Program Initiation and Program Management Plan, executing plan requirements, analyzing variances; initiating corrective actions.
* Development of On Boarding, Training and Resource Retention Plan
**What we’re looking for:**
* 10 years or more in large scale projects Program Management for Utility business
* Bachelor’s degree in engineering, MBA preferred.
* Program Management Professional Certification (PgMP) or Project Management Professional (PMP) Certification
* Proficient in Microsoft Project, Excel, PowerPoint, and Word.
* Hybrid Schedule\- Must report to the office 3x a week
**Pay Range: $125,000—$135,000/annually**
**Why Join K\&amp;A?**  
**People\-First Culture:** We put our people at the center of everything we do, creating an environment where your professional and personal growth is a top priority.  
**Innovation \&amp; Learning:**We encourage continuous learning and invest in your development through training, mentorship, and hands\-on experience.  
**Collaborative Team Environment:** We believe in the power of collaboration and working together to achieve the best outcomes for our clients and employees.  
**Recognition \&amp; Growth:** We’ve earned our reputation through uncompromising precision and a commitment to excellence. As an agile and fast\-growing company, we offer plenty of opportunities for your career advancement and growth.  
**Competitive Compensation \&amp; Benefits:**We offeracomprehensive benefits package for eligible classified employees, including but not limited to:
* Medical, Dental, and Vision Insurance
* FSA, HSA, and Dependent Care Spending Account
* 401K (Traditional and Roth with Company Match)
* Lifestyle Spending Account (LSA)
* Paid Parental Leave
* Paid Holidays and Flexible PTO
* Tuition Reimbursement, Parking and Transit Reimbursement, and Pet Insurance
* Long\-Term Disability, Short\-Term Disability, and Life Insurance
* EAP (Employee Assistance Program)
* Relocation Assistance
***Check out our career page for more information!***
The salary range for this role considers a wide range of factors that are considered in making compensation decisions, including but not limited to technical ability, experience and training, licenses and certifications, and other related skillsets. The disclosed range is an estimate and has not been adjusted for the applicable geographic differential associated with the location at which the position may be filled.</t>
        </is>
      </c>
    </row>
    <row r="37">
      <c r="A37" t="inlineStr">
        <is>
          <t>in-b0fcda0d2dc66925</t>
        </is>
      </c>
      <c r="B37" t="inlineStr">
        <is>
          <t>Program Manager</t>
        </is>
      </c>
      <c r="C37" t="inlineStr">
        <is>
          <t>K&amp;A Engineering</t>
        </is>
      </c>
      <c r="D37" t="inlineStr">
        <is>
          <t>indeed</t>
        </is>
      </c>
      <c r="E37" t="inlineStr"/>
      <c r="F37" t="inlineStr"/>
      <c r="G37" t="inlineStr">
        <is>
          <t>Rochester, NY, US</t>
        </is>
      </c>
      <c r="H37" s="1" t="n">
        <v>46071</v>
      </c>
      <c r="I37" t="inlineStr">
        <is>
          <t>**K\&amp;A Engineering Consulting –** is a privately held company, providing comprehensive consulting, engineering and design, program/project management, construction management, and support services to power utility and industrial clients. Specializing in substation, transmission, distribution, distributed energy resources, and EPC services, we excel in solving complex challenges with precision\-driven solutions. We pride ourselves on employing top talent, fostering a culture of excellence, and building meaningful relationships with clients and employees.
***Powered By Innovation, Passion, And Purpose.***
**Start your K\&amp;A Career:**
We are seeking a highly motivated and skilled **Program Manager** to join our team at K\&amp;A Engineering in **Rochester, New York.** In this role, you will have the opportunity to work on exciting and challenging projects that make a real impact in the energy and utility sectors. You’ll be part of a dynamic, people\-focused team where your expertise, ideas, and contributions will be valued and celebrated.
**Role Expectations:**
* Lead a multi\-discipline team through the Engineering, Procurement, and Construction phases of different programs.
* Create and maintain an attitude of leadership towards the contractor's project team with respect to overall management activities (including quality assurance, engineering, procurement, planning and controls, construction management, commissioning, industrial labor relations and safety) to achieve quality programs, while respecting the established budget and schedule objectives.
* Responsible for planning, monitoring, appraising, and reviewing and delivering the overall program and its activities in accordance with the goals of the organization.
* Focus on SPI and CPI performance indicators as decision drivers.
* Oversight of scheduling/cost controllers and activities.
* Preparing and completing action plans; implementing and reporting on production, productivity, quality, and customer\-service standards; identifying risks, resolving problems; completing audits; identifying trends; determining improvements; implementing change.
* Meets Avangrid objectives by preparing Program Initiation and Program Management Plan, executing plan requirements, analyzing variances; initiating corrective actions.
* Development of On Boarding, Training and Resource Retention Plan
* Achieve efficiencies by accepting responsibility and accountability for results, accomplishing new and different requests; exploring opportunities to add value to the Avangrid organization.
* Develop and execute a program evaluation framework to assess the strengths of the program and to identify areas to target for improvement.
* Responsible for planning, monitoring, appraising, and reviewing and delivering the overall program and its activities in accordance with the goals of the organization. In charge of handling all aspects of technical programs for their organization.
* Interfaces with the Executive sponsors, business leaders and stakeholders to make sure all requirements captured.
* Focus on SPI and CPI performance indicators as decision drivers.
* Oversight of scheduling/cost controllers and activities. This person will work with SMEs, estimators and procurement present accurate project budgets.
* Preparing and completing action plans; implementing and reporting on production, productivity, quality, and customer\-service standards; identifying risks, resolving problems; completing audits; identifying trends; determining improvements; implementing change.
* Meets Avangrid objectives by preparing Program Initiation and Program Management Plan, executing plan requirements, analyzing variances; initiating corrective actions.
* Development of On Boarding, Training and Resource Retention Plan
**What we’re looking for:**
* 10 years or more in large scale projects Program Management for Utility business
* Bachelor’s degree in engineering, MBA preferred.
* Program Management Professional Certification (PgMP) or Project Management Professional (PMP) Certification
* Proficient in Microsoft Project, Excel, PowerPoint, and Word.
* Minimum five (5\) years' experience in the functional area under which it will be contracted: Gas\-Hydro and OSG.
* Hybrid Schedule\- Must report to the office 3x a week
**Pay Range: $125,000—$135,000/annually**
**Why Join K\&amp;A?**  
**People\-First Culture:** We put our people at the center of everything we do, creating an environment where your professional and personal growth is a top priority.  
**Innovation \&amp; Learning:**We encourage continuous learning and invest in your development through training, mentorship, and hands\-on experience.  
**Collaborative Team Environment:** We believe in the power of collaboration and working together to achieve the best outcomes for our clients and employees.  
**Recognition \&amp; Growth:** We’ve earned our reputation through uncompromising precision and a commitment to excellence. As an agile and fast\-growing company, we offer plenty of opportunities for your career advancement and growth.  
**Competitive Compensation \&amp; Benefits:**We offeracomprehensive benefits package for eligible classified employees, including but not limited to:
* Medical, Dental, and Vision Insurance
* FSA, HSA, and Dependent Care Spending Account
* 401K (Traditional and Roth with Company Match)
* Lifestyle Spending Account (LSA)
* Paid Parental Leave
* Paid Holidays and Flexible PTO
* Tuition Reimbursement, Parking and Transit Reimbursement, and Pet Insurance
* Long\-Term Disability, Short\-Term Disability, and Life Insurance
* EAP (Employee Assistance Program)
* Relocation Assistance
***Check out our career page for more information!***
The salary range for this role considers a wide range of factors that are considered in making compensation decisions, including but not limited to technical ability, experience and training, licenses and certifications, and other related skillsets. The disclosed range is an estimate and has not been adjusted for the applicable geographic differential associated with the location at which the position may be filled.</t>
        </is>
      </c>
    </row>
    <row r="38">
      <c r="A38" t="inlineStr">
        <is>
          <t>in-3f63faec364087e2</t>
        </is>
      </c>
      <c r="B38" t="inlineStr">
        <is>
          <t>Product Manager</t>
        </is>
      </c>
      <c r="C38" t="inlineStr">
        <is>
          <t>Segra</t>
        </is>
      </c>
      <c r="D38" t="inlineStr">
        <is>
          <t>indeed</t>
        </is>
      </c>
      <c r="E38" t="inlineStr"/>
      <c r="F38" t="inlineStr"/>
      <c r="G38" t="inlineStr">
        <is>
          <t>Charlotte, NC, US</t>
        </is>
      </c>
      <c r="H38" s="1" t="n">
        <v>46071</v>
      </c>
      <c r="I38" t="inlineStr">
        <is>
          <t>Location Requirement  
The work arrangement for this role is hybrid, requiring three (3\) days in a Segra office with flexibility to work remotely two (2\) days each week.  
Location: Any Segra office; Kansas City, MO and Charlotte, NC are preferred.  
Role Overview  
The Product Manager I is responsible for managing the full product life cycle for 3–4 telecommunications products at various stages of development. This role is critical in shaping the vision, strategy, and execution of Segra’s product portfolio. The ideal candidate brings a collaborative mindset, technical depth, and the ability to work cross\-functionally to deliver high\-quality solutions.  
This position supports pre\- and post\-sale activities across more than 20 states and multiple verticals, including Enterprise, Carrier, Government, Education, Channel Partners, and Agents. Infrequent travel may be required.  
Key Responsibilities  
Business Operations  
* Engage internal and external stakeholders to gather feedback, prioritize initiatives, and align product direction with business goals.
* Collaborate across teams to develop market and competitive intelligence.
* Define, track, and analyze KPIs to measure product performance and drive continuous improvement.
* Maintain deep knowledge of assigned products, including technology, pricing, and market trends.
* Participate in and occasionally lead Quarterly Department Meetings to communicate product updates, challenges, strategy, training opportunities, and future enhancements.
Product Life Cycle Management  
* Own all phases of the product development life cycle: concept and research, planning and design, financial modeling, scope definition, development and testing, launch, evaluation, maintenance, enhancement, and end\-of\-life.
* Evangelize products internally through training and enablement, ensuring teams understand positioning, value propositions, and competitive advantages.
* Partner cross\-functionally with Sales Engineering, Network Engineering, NOC, Project Management, Procurement, Outside Plant, Carrier Relations, Legal, and other teams to define requirements and deliver solutions that meet customer expectations.
* Oversee development of connectivity and communication solutions, including 5G and Packet Core technologies.
* Ensure products meet security standards and comply with industry regulations and best practices.
* Educate sales and engineering teams on product capabilities, demos, solution design, and sales requirements.
* Instruct operational teams (NOC, provisioning, field services, etc.) on installation, deployment, and support processes.
* Coordinate product launches with Marketing, Sales, Engineering, and other stakeholders.
* Document workflows, systems requirements, regulatory considerations, taxation, and billing impacts.
* Support product retirement and alternate vendor evaluations when required (e.g., SONET, TDM, DSL).
* Serve as the cross\-functional leader accountable for all aspects of assigned products.
Marketing \&amp; Technical Writing  
* Review and edit technical content for marketing collateral, sales materials, blogs, and web pages.
* Support strategic sales opportunities and RFPs with technical responses.
* Provide guidance on special MSA or SLA product requests.
* Act as a verbal and written spokesperson for seminars, conferences, and trade shows.
* Create white papers, product definitions, competitive data sheets, training materials, presentations, and videos from the ground up.
Required Qualifications  
* Associate’s degree in Information Science, Computer Science, Business Administration, Engineering, or equivalent combination of education and experience.
* Minimum of 3 years of experience supporting or managing telecommunications products and services.
* Working knowledge of the OSI model and experience with technologies such as Metro Ethernet, Transport Delivery, IP\-based services, Cyber/Network Security, Data Centers, Private/Public Cloud, SD\-WAN, Wi\-Fi, or Voice/Collaboration solutions (Hosted PBX, SIP Trunking, PRI, UCaaS).
* Understanding of production network environments and critical infrastructure.
* Knowledge of telecom business practices, order processing, provisioning, and service activation.
* Experience navigating vendor selection, contracts, and negotiations.
* Proficiency with Microsoft Office (Word, Excel, PowerPoint).
Preferred Qualifications  
* Bachelor’s degree or advanced technical degree.
* Telecommunications, Project Management, or Business certifications such as PMP, Six Sigma, CCNA/CCNP/CCDA, MEF, CCSP, CISSP, CompTIA A\+/Security\+, Fortinet NSE 1–3, or similar.
Key Competencies  
* Strong organizational, analytical, and problem\-solving skills.
* Excellent written and verbal communication skills, including public speaking.
* Ability to manage multiple projects independently and thrive in ambiguous environments.
* Comfortable engaging in detailed technical discussions with engineering teams.
* Proven ability to build and maintain strong internal and external relationships.
* Demonstrates integrity, accountability, and a results\-driven mindset.
Salary Range  
$100,000 – $125,000 annually, based on experience and qualifications.  
Benefits Overview  
Segra offers a comprehensive benefits package to full\-time employees, including:  
* Medical, dental, and vision insurance
* Life insurance
* 401(k) with company match and immediate vesting
* Flexible Spending Accounts (FSA) and Health Savings Accounts (HSA)
* Tuition and gym reimbursements
* Vacation/PTO, paid holidays, and floating holidays
* Volunteer days and parental leave
* Legal, accidental, hospital indemnity, identity theft, and pet insurance
About Segra  
Segra is one of the largest independent fiber network companies in the nation, delivering state\-of\-the\-art communication solutions backed by always\-on customer service. Our future\-forward infrastructure supports advanced IP, Ethernet, dark fiber architectures, data centers, and technology solutions including hosted voice, security, and cloud services.  
We put customers at the center of everything we do and invest in the communities we serve by hiring locally and continuously upgrading our network. Segra employs over 1,200 people, supports more than 500,000 on\-net and near\-net buildings, and operates over 44,000 fiber\-route miles.  
Our Commitment to Equality  
Segra is an equal opportunity employer and prohibits discrimination of any kind. Employment decisions are made without regard to race, color, religion, sex (including pregnancy and gender identity), national origin, political affiliation, sexual orientation, marital status, disability, genetic information, age, military service, or any other non\-merit\-based factor.  
SEGRA is committed to being an equal opportunity employer. The company does not discriminate on the basis of sex, race, color, creed, national origin, age, religion, sexual orientation, gender identity, gender expression, pregnancy, genetic information, veteran status, disability, or any other characteristic protected by applicable federal, state, or local laws in employment with or treatment once employed in the company. No question on this application is used for the purpose of limiting or eliminating any applicant from consideration for employment on any basis prohibited by applicable local, state or federal law. Individuals with disabilities may be entitled to a reasonable accommodation under the Americans with Disabilities Act and certain state or local laws. Please inform SEGRA’s personnel if you need assistance completing this application or to otherwise participate in the application process.  
NOTHING IN THIS APPLICATION FOR EMPLOYMENT SHALL CREATE AN EXPRESS OR IMPLIED CONTRACT OF EMPLOYMENT.</t>
        </is>
      </c>
    </row>
    <row r="39">
      <c r="A39" t="inlineStr">
        <is>
          <t>in-57c98b591835e873</t>
        </is>
      </c>
      <c r="B39" t="inlineStr">
        <is>
          <t>Product Manager</t>
        </is>
      </c>
      <c r="C39" t="inlineStr">
        <is>
          <t>Segra</t>
        </is>
      </c>
      <c r="D39" t="inlineStr">
        <is>
          <t>indeed</t>
        </is>
      </c>
      <c r="E39" t="inlineStr"/>
      <c r="F39" t="inlineStr"/>
      <c r="G39" t="inlineStr">
        <is>
          <t>Remote, US</t>
        </is>
      </c>
      <c r="H39" s="1" t="n">
        <v>46071</v>
      </c>
      <c r="I39" t="inlineStr">
        <is>
          <t>Location Requirement  
The work arrangement for this role is hybrid, requiring three (3\) days in a Segra office with flexibility to work remotely two (2\) days each week.  
Location: Any Segra office; Kansas City, MO and Charlotte, NC are preferred.  
Role Overview  
The Product Manager I is responsible for managing the full product life cycle for 3–4 telecommunications products at various stages of development. This role is critical in shaping the vision, strategy, and execution of Segra’s product portfolio. The ideal candidate brings a collaborative mindset, technical depth, and the ability to work cross\-functionally to deliver high\-quality solutions.  
This position supports pre\- and post\-sale activities across more than 20 states and multiple verticals, including Enterprise, Carrier, Government, Education, Channel Partners, and Agents. Infrequent travel may be required.  
Key Responsibilities  
Business Operations  
* Engage internal and external stakeholders to gather feedback, prioritize initiatives, and align product direction with business goals.
* Collaborate across teams to develop market and competitive intelligence.
* Define, track, and analyze KPIs to measure product performance and drive continuous improvement.
* Maintain deep knowledge of assigned products, including technology, pricing, and market trends.
* Participate in and occasionally lead Quarterly Department Meetings to communicate product updates, challenges, strategy, training opportunities, and future enhancements.
Product Life Cycle Management  
* Own all phases of the product development life cycle: concept and research, planning and design, financial modeling, scope definition, development and testing, launch, evaluation, maintenance, enhancement, and end\-of\-life.
* Evangelize products internally through training and enablement, ensuring teams understand positioning, value propositions, and competitive advantages.
* Partner cross\-functionally with Sales Engineering, Network Engineering, NOC, Project Management, Procurement, Outside Plant, Carrier Relations, Legal, and other teams to define requirements and deliver solutions that meet customer expectations.
* Oversee development of connectivity and communication solutions, including 5G and Packet Core technologies.
* Ensure products meet security standards and comply with industry regulations and best practices.
* Educate sales and engineering teams on product capabilities, demos, solution design, and sales requirements.
* Instruct operational teams (NOC, provisioning, field services, etc.) on installation, deployment, and support processes.
* Coordinate product launches with Marketing, Sales, Engineering, and other stakeholders.
* Document workflows, systems requirements, regulatory considerations, taxation, and billing impacts.
* Support product retirement and alternate vendor evaluations when required (e.g., SONET, TDM, DSL).
* Serve as the cross\-functional leader accountable for all aspects of assigned products.
Marketing \&amp; Technical Writing  
* Review and edit technical content for marketing collateral, sales materials, blogs, and web pages.
* Support strategic sales opportunities and RFPs with technical responses.
* Provide guidance on special MSA or SLA product requests.
* Act as a verbal and written spokesperson for seminars, conferences, and trade shows.
* Create white papers, product definitions, competitive data sheets, training materials, presentations, and videos from the ground up.
Required Qualifications  
* Associate’s degree in Information Science, Computer Science, Business Administration, Engineering, or equivalent combination of education and experience.
* Minimum of 3 years of experience supporting or managing telecommunications products and services.
* Working knowledge of the OSI model and experience with technologies such as Metro Ethernet, Transport Delivery, IP\-based services, Cyber/Network Security, Data Centers, Private/Public Cloud, SD\-WAN, Wi\-Fi, or Voice/Collaboration solutions (Hosted PBX, SIP Trunking, PRI, UCaaS).
* Understanding of production network environments and critical infrastructure.
* Knowledge of telecom business practices, order processing, provisioning, and service activation.
* Experience navigating vendor selection, contracts, and negotiations.
* Proficiency with Microsoft Office (Word, Excel, PowerPoint).
Preferred Qualifications  
* Bachelor’s degree or advanced technical degree.
* Telecommunications, Project Management, or Business certifications such as PMP, Six Sigma, CCNA/CCNP/CCDA, MEF, CCSP, CISSP, CompTIA A\+/Security\+, Fortinet NSE 1–3, or similar.
Key Competencies  
* Strong organizational, analytical, and problem\-solving skills.
* Excellent written and verbal communication skills, including public speaking.
* Ability to manage multiple projects independently and thrive in ambiguous environments.
* Comfortable engaging in detailed technical discussions with engineering teams.
* Proven ability to build and maintain strong internal and external relationships.
* Demonstrates integrity, accountability, and a results\-driven mindset.
Salary Range  
$100,000 – $125,000 annually, based on experience and qualifications.  
Benefits Overview  
Segra offers a comprehensive benefits package to full\-time employees, including:  
* Medical, dental, and vision insurance
* Life insurance
* 401(k) with company match and immediate vesting
* Flexible Spending Accounts (FSA) and Health Savings Accounts (HSA)
* Tuition and gym reimbursements
* Vacation/PTO, paid holidays, and floating holidays
* Volunteer days and parental leave
* Legal, accidental, hospital indemnity, identity theft, and pet insurance
About Segra  
Segra is one of the largest independent fiber network companies in the nation, delivering state\-of\-the\-art communication solutions backed by always\-on customer service. Our future\-forward infrastructure supports advanced IP, Ethernet, dark fiber architectures, data centers, and technology solutions including hosted voice, security, and cloud services.  
We put customers at the center of everything we do and invest in the communities we serve by hiring locally and continuously upgrading our network. Segra employs over 1,200 people, supports more than 500,000 on\-net and near\-net buildings, and operates over 44,000 fiber\-route miles.  
Our Commitment to Equality  
Segra is an equal opportunity employer and prohibits discrimination of any kind. Employment decisions are made without regard to race, color, religion, sex (including pregnancy and gender identity), national origin, political affiliation, sexual orientation, marital status, disability, genetic information, age, military service, or any other non\-merit\-based factor.  
SEGRA is committed to being an equal opportunity employer. The company does not discriminate on the basis of sex, race, color, creed, national origin, age, religion, sexual orientation, gender identity, gender expression, pregnancy, genetic information, veteran status, disability, or any other characteristic protected by applicable federal, state, or local laws in employment with or treatment once employed in the company. No question on this application is used for the purpose of limiting or eliminating any applicant from consideration for employment on any basis prohibited by applicable local, state or federal law. Individuals with disabilities may be entitled to a reasonable accommodation under the Americans with Disabilities Act and certain state or local laws. Please inform SEGRA’s personnel if you need assistance completing this application or to otherwise participate in the application process.  
NOTHING IN THIS APPLICATION FOR EMPLOYMENT SHALL CREATE AN EXPRESS OR IMPLIED CONTRACT OF EMPLOYMENT.</t>
        </is>
      </c>
    </row>
    <row r="40">
      <c r="A40" t="inlineStr">
        <is>
          <t>in-373dd2d597708fd2</t>
        </is>
      </c>
      <c r="B40" t="inlineStr">
        <is>
          <t>Product Manager</t>
        </is>
      </c>
      <c r="C40" t="inlineStr">
        <is>
          <t>Segra</t>
        </is>
      </c>
      <c r="D40" t="inlineStr">
        <is>
          <t>indeed</t>
        </is>
      </c>
      <c r="E40" t="inlineStr"/>
      <c r="F40" t="inlineStr"/>
      <c r="G40" t="inlineStr">
        <is>
          <t>US</t>
        </is>
      </c>
      <c r="H40" s="1" t="n">
        <v>46071</v>
      </c>
      <c r="I40" t="inlineStr">
        <is>
          <t>Location Requirement  
The work arrangement for this role is hybrid, requiring three (3\) days in a Segra office with flexibility to work remotely two (2\) days each week.  
Location: Any Segra office; Kansas City, MO and Charlotte, NC are preferred.  
Role Overview  
The Product Manager I is responsible for managing the full product life cycle for 3–4 telecommunications products at various stages of development. This role is critical in shaping the vision, strategy, and execution of Segra’s product portfolio. The ideal candidate brings a collaborative mindset, technical depth, and the ability to work cross\-functionally to deliver high\-quality solutions.  
This position supports pre\- and post\-sale activities across more than 20 states and multiple verticals, including Enterprise, Carrier, Government, Education, Channel Partners, and Agents. Infrequent travel may be required.  
Key Responsibilities  
Business Operations  
* Engage internal and external stakeholders to gather feedback, prioritize initiatives, and align product direction with business goals.
* Collaborate across teams to develop market and competitive intelligence.
* Define, track, and analyze KPIs to measure product performance and drive continuous improvement.
* Maintain deep knowledge of assigned products, including technology, pricing, and market trends.
* Participate in and occasionally lead Quarterly Department Meetings to communicate product updates, challenges, strategy, training opportunities, and future enhancements.
Product Life Cycle Management  
* Own all phases of the product development life cycle: concept and research, planning and design, financial modeling, scope definition, development and testing, launch, evaluation, maintenance, enhancement, and end\-of\-life.
* Evangelize products internally through training and enablement, ensuring teams understand positioning, value propositions, and competitive advantages.
* Partner cross\-functionally with Sales Engineering, Network Engineering, NOC, Project Management, Procurement, Outside Plant, Carrier Relations, Legal, and other teams to define requirements and deliver solutions that meet customer expectations.
* Oversee development of connectivity and communication solutions, including 5G and Packet Core technologies.
* Ensure products meet security standards and comply with industry regulations and best practices.
* Educate sales and engineering teams on product capabilities, demos, solution design, and sales requirements.
* Instruct operational teams (NOC, provisioning, field services, etc.) on installation, deployment, and support processes.
* Coordinate product launches with Marketing, Sales, Engineering, and other stakeholders.
* Document workflows, systems requirements, regulatory considerations, taxation, and billing impacts.
* Support product retirement and alternate vendor evaluations when required (e.g., SONET, TDM, DSL).
* Serve as the cross\-functional leader accountable for all aspects of assigned products.
Marketing \&amp; Technical Writing  
* Review and edit technical content for marketing collateral, sales materials, blogs, and web pages.
* Support strategic sales opportunities and RFPs with technical responses.
* Provide guidance on special MSA or SLA product requests.
* Act as a verbal and written spokesperson for seminars, conferences, and trade shows.
* Create white papers, product definitions, competitive data sheets, training materials, presentations, and videos from the ground up.
Required Qualifications  
* Associate’s degree in Information Science, Computer Science, Business Administration, Engineering, or equivalent combination of education and experience.
* Minimum of 3 years of experience supporting or managing telecommunications products and services.
* Working knowledge of the OSI model and experience with technologies such as Metro Ethernet, Transport Delivery, IP\-based services, Cyber/Network Security, Data Centers, Private/Public Cloud, SD\-WAN, Wi\-Fi, or Voice/Collaboration solutions (Hosted PBX, SIP Trunking, PRI, UCaaS).
* Understanding of production network environments and critical infrastructure.
* Knowledge of telecom business practices, order processing, provisioning, and service activation.
* Experience navigating vendor selection, contracts, and negotiations.
* Proficiency with Microsoft Office (Word, Excel, PowerPoint).
Preferred Qualifications  
* Bachelor’s degree or advanced technical degree.
* Telecommunications, Project Management, or Business certifications such as PMP, Six Sigma, CCNA/CCNP/CCDA, MEF, CCSP, CISSP, CompTIA A\+/Security\+, Fortinet NSE 1–3, or similar.
Key Competencies  
* Strong organizational, analytical, and problem\-solving skills.
* Excellent written and verbal communication skills, including public speaking.
* Ability to manage multiple projects independently and thrive in ambiguous environments.
* Comfortable engaging in detailed technical discussions with engineering teams.
* Proven ability to build and maintain strong internal and external relationships.
* Demonstrates integrity, accountability, and a results\-driven mindset.
Salary Range  
$100,000 – $125,000 annually, based on experience and qualifications.  
Benefits Overview  
Segra offers a comprehensive benefits package to full\-time employees, including:  
* Medical, dental, and vision insurance
* Life insurance
* 401(k) with company match and immediate vesting
* Flexible Spending Accounts (FSA) and Health Savings Accounts (HSA)
* Tuition and gym reimbursements
* Vacation/PTO, paid holidays, and floating holidays
* Volunteer days and parental leave
* Legal, accidental, hospital indemnity, identity theft, and pet insurance
About Segra  
Segra is one of the largest independent fiber network companies in the nation, delivering state\-of\-the\-art communication solutions backed by always\-on customer service. Our future\-forward infrastructure supports advanced IP, Ethernet, dark fiber architectures, data centers, and technology solutions including hosted voice, security, and cloud services.  
We put customers at the center of everything we do and invest in the communities we serve by hiring locally and continuously upgrading our network. Segra employs over 1,200 people, supports more than 500,000 on\-net and near\-net buildings, and operates over 44,000 fiber\-route miles.  
Our Commitment to Equality  
Segra is an equal opportunity employer and prohibits discrimination of any kind. Employment decisions are made without regard to race, color, religion, sex (including pregnancy and gender identity), national origin, political affiliation, sexual orientation, marital status, disability, genetic information, age, military service, or any other non\-merit\-based factor.  
SEGRA is committed to being an equal opportunity employer. The company does not discriminate on the basis of sex, race, color, creed, national origin, age, religion, sexual orientation, gender identity, gender expression, pregnancy, genetic information, veteran status, disability, or any other characteristic protected by applicable federal, state, or local laws in employment with or treatment once employed in the company. No question on this application is used for the purpose of limiting or eliminating any applicant from consideration for employment on any basis prohibited by applicable local, state or federal law. Individuals with disabilities may be entitled to a reasonable accommodation under the Americans with Disabilities Act and certain state or local laws. Please inform SEGRA’s personnel if you need assistance completing this application or to otherwise participate in the application process.  
NOTHING IN THIS APPLICATION FOR EMPLOYMENT SHALL CREATE AN EXPRESS OR IMPLIED CONTRACT OF EMPLOYMENT.</t>
        </is>
      </c>
    </row>
    <row r="41">
      <c r="A41" t="inlineStr">
        <is>
          <t>in-70f6793f5e35bcb0</t>
        </is>
      </c>
      <c r="B41" t="inlineStr">
        <is>
          <t>Program Manager</t>
        </is>
      </c>
      <c r="C41" t="inlineStr">
        <is>
          <t>Trideum Corporation</t>
        </is>
      </c>
      <c r="D41" t="inlineStr">
        <is>
          <t>indeed</t>
        </is>
      </c>
      <c r="E41" t="inlineStr"/>
      <c r="F41" t="inlineStr"/>
      <c r="G41" t="inlineStr">
        <is>
          <t>White Sands Missile Range, NM, US</t>
        </is>
      </c>
      <c r="H41" s="1" t="n">
        <v>46071</v>
      </c>
      <c r="I41" t="inlineStr">
        <is>
          <t>**Program Manager**  
Full\-time  
**White Sands Missile Range, NM**
**About Us**
Trideum Corporation is a 100% employee\-owned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candidates who are passionate about leading a dynamic team supporting test and evaluation activities.
The selected candidate will work in an office environment at the customer site on White Sands Missile Range. The person in this role will be responsible for leading and setting the tone for the testing and evaluation support activities of defense systems to include system analysis, data collection, and technical maintenance.
This is an exciting opportunity for a successful applicant to be integrally involved in the continued development and refinement of systems to be utilized in the multi\-domain operational environment. This role requires dedication and precise decision\-making skills to develop support plans to meet the customers’ needs. In this role, the candidate must be able to conceptualize adaptable and flexible solutions to meet customer needs in a dynamic environment.
**What You’ll Do**
**Responsibilities include, but are not limited to:**
* Understand the customer, their mission, and their current capabilities.
* Provide overall contract planning, coordination, control, and direction in relation to contract execution.
* Provide oversight in various engineering, analysis, and general support activities as related to customer requirements.
* Establish and maintain direct touchpoints/meetings with government leads (supported customer, KO/COR, et al).
* Develop and deliver contract deliverables and responses to the government such as monthly status reports.
* Track and manage contract financials to ensure budgetary compliance.
* Oversee administrative functions as required to include security, property control, purchasing, financial accounting, human resources, safety, environmental compliance, and clerical support.
* Ensure all rules, regulations, and directives issued are adhered to by all employees.
**Requirements and Qualifications:**
* Possess a Bachelor’s Degree in Engineering and/or Business from an accredited college or university
* 5 years of demonstrated engineering and management experience on government contracts or projects with organizational responsibilities of a similarly complex nature and financial scope.
* Possess experience working on and demonstrated leadership responsibilities on at least two large projects or programs utilizing mechanical, computer, electrical and electronics engineering disciplines
* Experience reviewing and approving the work of project managers, engineers, support staff and contract administrative personnel
* One (1\) year of experience demonstrating knowledge of the acquisition process specifically related to the test career field
* U.S. Citizenship and an active top\-secret level clearance
* Experience with Army Test and Evaluation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Employee Stock Ownership Plan (ESOP).
* Paid leave.
* Free access to certified financial planners, wellness and support services, and discount programs.
*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row>
    <row r="42">
      <c r="A42" t="inlineStr">
        <is>
          <t>in-5aa9a32f74908f8b</t>
        </is>
      </c>
      <c r="B42" t="inlineStr">
        <is>
          <t>Site Program Manager I</t>
        </is>
      </c>
      <c r="C42" t="inlineStr">
        <is>
          <t>Think Together</t>
        </is>
      </c>
      <c r="D42" t="inlineStr">
        <is>
          <t>indeed</t>
        </is>
      </c>
      <c r="E42" t="inlineStr"/>
      <c r="F42" t="inlineStr"/>
      <c r="G42" t="inlineStr">
        <is>
          <t>Upland, CA, US</t>
        </is>
      </c>
      <c r="H42" s="1" t="n">
        <v>46071</v>
      </c>
      <c r="I42" t="inlineStr">
        <is>
          <t>**Job Title: Site Program Manager**  
**Status: Full Time, Exempt****JOB SUMMARY:**
The Site Program Manager (SPM) is the on\-site leader of a Think Together educational program conducted on a partner\-school campus. The SPM oversees all aspects of the state\-wide recognized after school program ensuring it meets educational and recreational requirements, operates safely and efficiently, and functions in accordance with policies and operational procedures. The SPM is responsible for student safety and site operations. Must ensure program quality to provide a positive student experience. Responsible to foster positive partner relationships through effective communication both internally and externally while aligning with school day to uphold program satisfaction. The SPM is responsible for meeting and maintaining the Average Daily Attendance (ADA) the site is funded/contracted for. This role requires an individual who can manage multiple components and funding streams and be available at varying times including, but not limited to, before school, after school, non\-instructional days, and weekends. (Saturdays, summer, and winter)  
The SPM supervises all Think Together Program staff and volunteers who work on site, ensures all administrative and documentation requirements are met, and is the primary contact and liaison between Think Together and students, parents, school administration, donors, visitors, and other collaborators.
The SPM ensures compliance with all the terms of the agreement between Think Together and the school district and manages adherence to program requirements established by the program model and any funding stipulations. The SPM position has two (2\) job level roles as noted in the matrix below. The role qualifiers are differentiator attributes that guide job level titles per SPM and are general, not finite. (For example, numbers below are approximate, not explicit). Level 1 may perform role at dual sites.  
**Job Level Guide**  
**Job Level Guide**  
**Level I** **Level II**  
Student Attendance Goal  
84 \- 207  
208 \- 419  
PL Oversight (Number of
Program Leaders)  
4 \-10  
11 \- 20 **Site Level Complexities (qualifiers)*** Headcount, Attendance Goal, Number of Services, hours of service
 **ESSENTIAL DUTIES AND RESPONSIBILITIES:**
* Manages successful day\-to\-day site operations and program activities.
* Ensures that all program activities operate consistently and ethically within the mission and values of Think Together and align with the four core agreements:
1\) Be responsible
2\) Be respectful
3\) Be safe and 4\) Have fun
* Monitors and assesses the success of the Think Together program including participation levels, quality of activities, behaviors, and student achievement for continued quality improvement. SPM is responsible for a positive student experience.
* Implements all Think Together Program Design and other program expectations.
* Implements a comprehensive curriculum, including lessons and activities, which ensures the academic success of students.
* SPM is responsible for ensuring Program quality. SPM is responsible for training and coaching all staff to understand all routines, procedures, and program design. SPM must provide all staff with printed lessons, materials and supplies for implementation, and ensure student engagement.
* Effectively trains and supervises the site team on academic and enrichment instructional practices for student academic success and engagement. Provides ongoing coaching to all direct reports.
* Demonstrates a positive work environment and team ethic.
* SPM ensures a safe and healthy environment for students and staff daily. SPM to ensures implementation of all safety guidelines per Think Together/district policies and procedures. SPM is responsible for ensuring the implementation of school safety plans and with reporting all incidents.
* Interviews, recommends, supervises, trains, disciplines, and terminates Think Together site staff.
* Ensures sustainability of all funding sources by complying with mandatory goals set forth by funding source, e.g., attendance targets (ADA), grants, etc.
* Maintains accurate, complete, and timely records of all student enrollment data through student database. SPM is responsible for ensuring each site meets Average Daily Attendance (ADA) and follows all data and attendance policies.
* Ensures accuracy of data entry, attendance taking and confidentiality of student records.
* Maintains accurate program records and follows operational reporting procedures.
* Maintains a high\-level of confidentiality and will not disclose any sensitive information or content related to the Program, the students, families, staff, etc.
* Ability to meet metrics and deliverables to ensure successful performance and goal achievement.
* Effectively implements student assessments and evaluations for student and program improvement.
* Meets regularly and communicates with school principal and faculty to collaborate and align on both school and Think Together academic goals and initiatives.
* Regularly, keep school administrators, school staff and parents informed on program activities and daily incidents.
* Provide excellent customer service to all internal and external stakeholders. Foster effective working relationships with all stakeholders and attend school meetings as required for partnership and alignment with school day.
* Creates and thrives on open communication between team members and stakeholders for continued self\-improvement and skill development.
* Ability to work cooperatively and collaboratively with partners, staff, public officials, private sector officials, parents, and community leaders.
* Ability to communicate effectively both orally and written and demonstrate sensitivity to target audience.
* Manages site level budgets.
* Maintains and ensures the accurate approval of all timecards for their direct reports, according to pay practice policies.
* Implements other human resource policies and procedures.
* Attends SPM meetings in\-person and/or virtually, and other meetings and training, as requested.
* Implements other plans or requirements related to the Program quality, customer experience and business needs.
* Manages and meets all deadlines established and as assigned.
**PREFERRED SKILLS AND QUALIFICATIONS:**
* Strive for self\-improvement that includes knowledge and skill development.
* Ability to speak and write Standard English appropriate in a public\-school setting.
* Excellent communication, time management and organizational skills.
* Comfortable with public speaking and providing direction.
* Strong time management skills.
* Ability to solve practical problems and deal with a variety of concrete variables in situations where only limited standardization exists. Ability to interpret a variety of instructions furnished in written, oral, diagram, or schedule form.
* Performs other duties as assigned.
**QUALIFICATIONS AND REQUIREMENTS:**  
**Education and Experience**  
Level 1  
High School Diploma or G.E.D required. Bachelor's degree highly preferred.  
Combination of education and experience related to position, with increasing responsibility, which may include but not limited to:
 \&gt; 1\- 2\+ years of experience working in education/youth programs.
 \&gt; At least 1\+ year in a supervisory or leadership position is required and 2\+ years highly preferred.  
Internal Candidate:
 \&gt; Completion of Think Together Build the Bench Program for SPM preferred.  
Level 2  
High School Diploma or G.E.D required. Bachelor's degree highly preferred.  
Combination of education and experience related to position, with increasing responsibility, which may include but not be limited to:
 \&gt; 2\- 3\+ years of experience working in education/youth programs,
 \&gt; At least 2\+ years in a supervisory or leadership position is required and 3\+ years highly preferred.
 \&gt; AA or vocational certificate related to the position.  
Internal Candidate:
 \&gt; Completion of Think Together Build the Bench Program for SPM preferred.* Previous classroom experience required.
* Strong ability to communicate with students, parents, school staff and faculty both verbally and in writing.
* Excellent program management skills, including demonstrated record of completing tasks on time and within budget.
* Bilingual / Bi\-cultural (Spanish) may apply in some districts.
* CPR/First Aid certified or ability to obtain within first 60 days of hire.
* Satisfactory TB skin test.
* Passing background check (DOJ \&amp; FBI).
 ***Compensation: $70,305***
*Think Together is an Equal Opportunity Employer that does not discriminate on the basis of actual or perceived race, color, national origin, ancestry, sex, gender, gender identity, gender expression, pregnancy, childbirth or related medical conditions, religious creed, physical disability, mental disability, age for individuals age 40 and over, medical condition (as defined by state law (for example, cancer or genetic characteristics or HIV/AIDS), marital status, military and veteran status, sexual orientation, genetic information, citizenship status or any other characteristic protected by federal, state or local law. Our management team is dedicated to this policy with respect to recruitment, hiring, placement, promotion, transfer, training, compensation, benefits, employee activities and general treatment during employment.*</t>
        </is>
      </c>
    </row>
    <row r="43">
      <c r="A43" t="inlineStr">
        <is>
          <t>in-2c676fe58a40b86a</t>
        </is>
      </c>
      <c r="B43" t="inlineStr">
        <is>
          <t>Program Manager</t>
        </is>
      </c>
      <c r="C43" t="inlineStr">
        <is>
          <t>Boeing Intelligence &amp; Analytics</t>
        </is>
      </c>
      <c r="D43" t="inlineStr">
        <is>
          <t>indeed</t>
        </is>
      </c>
      <c r="E43" t="inlineStr"/>
      <c r="F43" t="inlineStr"/>
      <c r="G43" t="inlineStr">
        <is>
          <t>Annapolis Junction, MD, US</t>
        </is>
      </c>
      <c r="H43" s="1" t="n">
        <v>46071</v>
      </c>
      <c r="I43" t="inlineStr">
        <is>
          <t>**Program Manager**
 **Why This is an Exciting Role:**
As a Program Manager (PM) at Boeing Intelligence \&amp; Analytics (BI\&amp;A), you will hold full responsibility and accountability for program execution across cost, schedule, scope, and technical performance in alignment with Government requirements and contractual objectives. You will serve as the single point of accountability to the Government and Prime Contractor for program success.
* Serve as the single point of accountability for program performance, ensuring successful delivery across cost, schedule, technical scope, and contractual requirements.
* Lead and direct operational execution of the software development and technical support Task Order, aligning performance with Government priorities, contract objectives, and measurable outcomes.
* Own cost and schedule performance, including burn\-rate management, Estimate at Completion (EAC) forecasting, staffing alignment, variance analysis, and corrective action implementation.
* Approve and baseline integrated program plans, including risk and opportunity management, change control, configuration management, dependency tracking, and milestone execution.
* Serve as the primary executive interface to the Prime Contractor and Government stakeholders, maintaining trusted relationships and ensuring transparent communication of status, risks, and mitigation strategies.
* Chair all Technical Exchange Meetings (TEMs), Integrated Product Team (IPT) sessions, and formal program reviews, ensuring alignment between technical execution and contractual deliverables.
* Provide leadership oversight across systems engineering, software development, UX, cybersecurity, and test functions to ensure technical excellence supports program performance objectives.
* Authorize and manage scope evolution within an agile, product\-centric environment while maintaining disciplined requirements management and configuration control.
* Lead and make final decisions on workforce planning, recruitment, performance management, salary actions, and policy implementation to ensure program stability and growth.
* Drive continuous performance improvement and customer satisfaction initiatives, ensuring long\-term program success and recompete positioning.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 We offer hands\-on access to cutting\-edge technologies and a culture of technical excellence.
 **Experience and Qualifications:**
To be eligible for this demanding position, the ideal candidate should demonstrate the following experience and qualifications:
**Required Education and Years of Experience:**
* Bachelor’s degree in engineering, systems, business, or related technical discipline and 14\+ years of progressive experience leading and owning complex Government programs; advanced degree may substitute for years of experience.
* Minimum ten (10\) years of experience serving as the responsible Program Manager on contracts of similar size, scope, and complexity within the DoD or Intelligence Community.
**Required Qualifications:**
* Active TS/SCI with Polygraph Clearance
* PMP Certification
* Program Execution \&amp; Financial Oversight
	+ Demonstrated experience owning full lifecycle program execution across cost, schedule, and technical performance.
	+ Experience in areas including
	+ Resource planning and workforce alignment
	+ Project cost estimating and burn\-rate management
	+ Integrated Master Schedule (IMS) development, approval, and performance management
	+ Financial forecasting and variance analysis
	+ Reviewing and approving and certifying Earned Value metrics, Estimate to Complete (ETC), and Funds/Manhour Expenditure Reports
	+ Resource planning and workforce alignment
	+ Project cost estimating and burn\-rate management
	+ Integrated Master Schedule (IMS) development, approval, and performance management
	+ Financial forecasting and variance analysis
	+ Reviewing and approving and certifying Earned Value metrics, Estimate to Complete (ETC), and Funds/Manhour Expenditure Reports
	+ Experience managing and allocating Management Reserve within contractual limits.
	+ Experience approving and presenting the Integrated Program Baseline (IPB) or resource\-loaded schedule to the Government.
	+ Experience owning formal risk management processes and mitigation funding decisions.
* Leadership \&amp; Workforce Management
	+ Experience leading cross\-functional, multi\-discipline teams delivering mission\-critical solutions.
	+ Experience allocating and balancing contract resources including staffing, facilities, subcontractors, and budget authority.
	+ Experience making final hiring decisions and driving workforce performance outcomes.
	+ Experience establishing, integrating, and improving program management processes.
	+ Experience leading Integrated Product Teams (IPTs) to deliver new capabilities.
* Government \&amp; Partner Engagement
	+ Proven ability to lead and represent the program in classified, multi\-stakeholder environments.
	+ Experience serving as the primary contractual and performance authority to Government Program Managers and partner leadership.
	+ Experience preparing and delivering formal program status reviews and Government briefings.
	+ Ability to communicate issues, risks, and recommended solutions clearly and proactively to senior Government stakeholders.
* Technical \&amp; Operational Environment
	+ Strong working knowledge of agile software development within mission\-critical or national security systems.
	+ Ability to organize, create, and maintain clear and effective program documentation.
	+ Strong written and oral communication skills; ability to function effectively in a team environment.
* Contract \&amp; Regulatory Compliance
	+ Experience operating under FAR/DFARS, DoD 5000 series acquisition guidance, and Intelligence Community Directive (ICD) 801 frameworks.
	+ Experience ensuring cross\-discipline integration within the contract to meet Government objectives.
	+ Experience reviewing, approving, and authorizing submission of all financial and technical deliverables prior to Government submission.
**Desired Qualifications:**
* Experience leading end\-to\-end Government program start\-up from proposal submission and source selection decision through Authority to Proceed (ATP), including transition execution, workforce ramp\-up, subcontractor onboarding, financial baseline establishment, and customer engagement cadence.
* Experience managing Task/Technical Task Order (TTO)\-based contracts within IDIQ or multi\-award contract environments.
* Experience overseeing multiple subcontractors, including performance management, integration, and compliance with contractual and financial requirements.
* Project management experience supporting complex, mission\-critical systems or system\-of\-systems environments.
* Experience supporting DoD system acquisition programs, including familiarity with milestone\-driven development and acquisition lifecycle processes.
* Experience supporting program financial reporting, including budget tracking, forecasting, and variance analysis.
* Proposal development experience serving as Capture Manager, Volume Lead, Section Lead, or primary author on technical or management volumes.
 **Telework/Remote Availability:** This position is primarily on\-site. Limited telework may be available based on customer approval and mission requirements.
**Work Location(s):** Annapolis Junction, MD
**Contingent Upon Program Award**
The position is contingent upon program award.
**Summary Pay Range:**
Please note that the information shown below is a general guideline only. Pay is based upon candidate experience and qualifications, as well as market and business considerations.
$175,000\-$275,000
 **Expected Closure Date:**
Applications for this position will be accepted through **March 30,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
BI\&amp;A is an Equal Opportunity Employer. All qualified applicants will receive consideration for employment without regard to race, color, religion, sex, pregnancy, sexual orientation, gender identity, national origin, age, protected veteran status, or disability status.
Equal Employment Opportunity is the Law (PDF)</t>
        </is>
      </c>
    </row>
    <row r="44">
      <c r="A44" t="inlineStr">
        <is>
          <t>in-bab27386c3835f10</t>
        </is>
      </c>
      <c r="B44" t="inlineStr">
        <is>
          <t>Sr. Technical Product Manager (Hybrid)</t>
        </is>
      </c>
      <c r="C44" t="inlineStr">
        <is>
          <t>Identity Digital</t>
        </is>
      </c>
      <c r="D44" t="inlineStr">
        <is>
          <t>indeed</t>
        </is>
      </c>
      <c r="E44" t="inlineStr"/>
      <c r="F44" t="inlineStr"/>
      <c r="G44" t="inlineStr">
        <is>
          <t>Bellevue, WA, US</t>
        </is>
      </c>
      <c r="H44" s="1" t="n">
        <v>46071</v>
      </c>
      <c r="I44" t="inlineStr">
        <is>
          <t>**Summary / Objective**
The Sr. Technical Product Manager will help to develop plans that grow our 275\+ top\-level domains (TLDs) across existing markets while working to support the identification of new opportunities. Will use their deep background in all aspects of a business (product, analytics, finance, marketing) to take projects from the idea phase to implementation. In this role, you will rapidly assess the viability of new strategies and quantify their impact for executive stakeholders.
This role reports to the VP of Product Strategy.
**What You'll Do**
* Work closely with the CRO and VP of Product to ensure plans and initiatives stay aligned with Identity Digital's vision
* Contribute to a TLD differentiation strategy and create the short and long term plans to bring these to market
* Build and enhance B2B product offerings in the enterprise space, inclusive of DPML, Global Block, Abuse Shield and others
* Build and optimize a product merchandising strategy for the long term optimization of TLD presentation \&amp; Pricing
* Utilize financial and statistical best practices in the evaluation of new projects and plans
* Lead competitive research analysis that helps refine and guide our approach to bringing top\-level domain strategies and products to market
* Coordinate with appropriate teams to develop and design reporting and analytic solutions for organizational excellence
* Contribute to the development of Identity Digital as a thought leader in the domain industry by writing content and participating in industry events
* Identify high risk / high reward test for registry products to find new growth opportunities
* Support the continued development of automated tools and processes to assist Sales and Channel
* Create detailed user stories, acceptance criteria, and product backlogs that account for both technical requirements and user experience considerations
* Contribute to a culture of collaboration with internal teams and remove roadblocks
* Identify, hire, and onboard talent as needed
* Set performance expectations, conduct regular evaluations, and provide feedback to team members to enhance productivity and development
* Identify training needs, coordinate professional development initiatives, and mentor team members to enhance skills and knowledge to deliver on tooling such as machine learning models \&amp; product merchandising services
* Actively models and promotes Identity Digital’s core values through day\-to\-day interactions, behaviors, and decision\-making
* Other duties as assigned
**Who You Are / What You Bring**
* 5\+ years experience in a Financial or Product Management role, or combination of education and experience
* Bachelor's degree in computer science or equivalent discipline is desired
* Indicate requirements that are job\-related and consistent with business necessity
* Proven track record in market positioning and competitive analysis for emerging technologies within ambiguous or undefined environments
* Proficiency in technical documentation, specifically writing business requirements, use cases, user stories, and designing application wireframes
* Technical expertise in SQL or Python to manipulate big data, with an additional preference for exposure to machine learning models
* Strong background in operational execution, including change management, analytical problem\-solving, and continuous process improvement
* Highly developed interpersonal skills and the ability to communicate complex program updates to cross\-functional stakeholders
* Advanced understanding of web technologies and a history of successfully delivering long\-term, technical initiatives
* Demonstrated success working autonomously in remote settings while maintaining seamless collaboration with a wider team
* Ability to travel as needed
* Ability to work across time zones as part of a global organization as needed
* Reliable transportation to the workplace
**Physical Requirements**
* Prolonged periods of sitting at a desk and working on a computer
* Must be able to lift up to 15 pounds at times
**Salary Range**
The U.S. base salary range for this full\-time position is $127,000 \- $167,000 (flexibility based on experience) plus benefits as described below. In addition, the successful candidate will be eligible to receive other compensation from time to time in the form of discretionary and/or nondiscretionary bonuses and long\-term incentive plan. Actual compensation will be influenced by a candidate’s qualifications, internal employee equity considerations, and location. We will not ask for information about a candidate's current or past compensation for purposes of developing an offer of employment.
US team members (and their spouses, domestic partners, and/or dependent children) are covered by generously subsidized medical, dental, and vision insurance which includes company contributions to a Health Savings Accounts. Team members are also covered by company\-paid life and disability insurance and have the option of participating in employee\-paid supplemental life, accidental death and dismemberment, critical illness, and accident insurance. In addition, team members can enroll in the company's 401(k) plan with up to a 5% match. You receive 15 days of paid vacation yearly, increasing to 20 days after one year. Additionally, you get 5 days of paid sick leave, 13 paid holidays, and 20 weeks of paid parental leave for birthing parents, 12 weeks for others. Also, there's an opportunity for tuition reimbursement for qualifying expenses.
Note: Benefits programs are subject to eligibility requirements and may vary in certain locations.
**A few things to know about us**
Identity Digital is an Equal Opportunity Employer and does not discriminate based on race, color, religion, sex, age, national origin, veteran status, marital status, sexual orientation, gender identity, disability or any other category prohibited by local, state or federal law. This policy applies to all aspects of employment, including recruitment, placement, promotion, transfer, demotion, compensation, benefits, social and recreational activities, and termination.
**Background Check Statement**
At the time of an offer, you will be required to complete a background check. Any offer is contingent upon a satisfactory background check.
**Sponsorship Statement**
Please note that work sponsorship for this position may not be available now or in the future. While we strive to support our candidates, not all roles will qualify. Eligibility will be reviewed on a case\-by\-case basis.
**Accommodation Statement**
We are committed to the full inclusion of all qualified individuals. As part of this commitment, Identity Digital will ensure that persons with disabilities are provided reasonable accommodations. If reasonable accommodation is needed to participate in the job application or interview process, please contact our Recruiting Team at careers@identity.digital.</t>
        </is>
      </c>
    </row>
    <row r="45">
      <c r="A45" t="inlineStr">
        <is>
          <t>in-17d7962fae1af60b</t>
        </is>
      </c>
      <c r="B45" t="inlineStr">
        <is>
          <t>Principal Technical Program Manager - AI</t>
        </is>
      </c>
      <c r="C45" t="inlineStr">
        <is>
          <t>Motorola Solutions</t>
        </is>
      </c>
      <c r="D45" t="inlineStr">
        <is>
          <t>indeed</t>
        </is>
      </c>
      <c r="E45" t="inlineStr"/>
      <c r="F45" t="inlineStr"/>
      <c r="G45" t="inlineStr">
        <is>
          <t>Waltham, MA, US</t>
        </is>
      </c>
      <c r="H45" s="1" t="n">
        <v>46071</v>
      </c>
      <c r="I45" t="inlineStr">
        <is>
          <t>**Company Overview**
--------------------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
Motorola Solutions' innovations, products, and services play essential roles in people's lives. Our end\-to\-end suite of software solutions helps customers manage emergency communications, process video and evidence, and leverage cutting\-edge AI\-driven analytics for security and operational insights. We are industry leaders in video security and analytics, with solutions deployed in more than 120 countries across diverse environments such as school campuses, transportation systems, healthcare centers, public venues, critical infrastructure, prisons, factories, casinos, airports, financial institutions, government facilities, and retailers.  
Our AI\-powered security solutions integrate advanced video analytics, machine learning, and embedded intelligence to enable proactive threat detection, enhanced situational awareness, and automated decision\-making.**Job Description**
-------------------
Reporting to the VP of AI for Motorola Solutions, the Principal Technical Program Manager will be a critical, high\-impact leader who thrives on turning highly ambiguous concepts into enterprise\-scale AI products and solutions. They will be responsible for driving the strategy and measurable success of our core Artificial Intelligence efforts. This role is pivotal in managing the lifecycle and adoption of central AI models and foundational AI infrastructure built by our organization and consumed by downstream product teams for their features. This includes building enterprise\-scale cloud and edge AI platforms, ensuring that our AI investments translate into quantifiable, improved customer outcomes.
**Key Responsibilities**
The Principal TPM will own the strategy, definition, and execution of programs across the following core areas:
* End\-to\-End AI Feature Delivery: Drive and coordinate efforts across the central AI organization and all dependent product teams to ensure the seamless, end\-to\-end delivery of AI features and products that demonstrably deliver value for our end customers.
* AI Impact Tracker \&amp; Baseline: Work across various product teams to define and implement ways to establish and measure a systemic link AI model performance and customer outcomes. This includes baselining current customer impact and owning the program to drive measurable, continuous improvement in AI effectiveness.
* AI for Developer Practices: Drive strategic programs to integrate AI/ML into our internal software development lifecycle, tracking adoption, evangelizing best practices, and reporting on the impact of these tools on engineering velocity and quality.
* Organizational Performance Management: Design, implement, and maintain a high\-value, executive\-facing dashboard that tracks all key AI impact metrics, development efficiency metrics, and overall organizational goals. Managing the data fidelity and reporting accuracy is a core responsibility.
* Cross\-Functional Alignment \&amp; Impact Communication: Own the organizational mechanism for driving transparency and alignment with partner product teams. This includes regularly presenting the status of core AI metrics, communicating strategic research initiatives to move those metrics, tracking progress, and quantifying the actual impact delivered to stakeholders and customers.
* Emergent Strategic Initiatives: Provide immediate program management and definition for critical projects. This is a dynamic responsibility that may involve:
	+ Bringing initial definition to highly ambiguous product concepts.
	+ Conducting early\-stage customer/partner discovery.
	+ Ensuring these initiatives are properly prioritized, staffed, and smoothly transitioned to a dedicated Product Manager (PdM) once scoped.
**Qualifications \&amp; Experience**
* 10\+ years of technical program management experience, with significant time spent leading complex, cross\-functional programs in AI/ML research and platforms.
* Technical Acumen: Deep understanding of AI and Machine learning, Machine Learning lifecycle (MLOps), data platforms, and the challenges of building and deploying central, reusable AI infrastructure and models. A background in computer vision and/or voice technologies is a significant plus..
* Ability to engage in technical discussions with engineering teams, understand key concepts and provide guidance and support
* Metrics Expertise: Proven experience defining and implementing metrics frameworks (KPIs, OKRs) to measure the success of core technology platforms and drive organizational change and accountability.
* Strong analytical skills, with experience working with AI performance metrics (e.g. Precision/Recall), real\-time video processing, and inference optimization.
* Leadership: Demonstrated ability to operate at a Principal level, influence senior leaders across organizations, drive consensus, and communicate complex technical and strategic concepts clearly and concisely.
* Excellent oral and written communication skills, with the ability to present ideas, roadmap elements, and business cases to both technical and non\-technical stakeholders.
* Customer\-focused with a track record of building strong relationships and understanding customer needs
* Domain Knowledge: Experience in public safety, security\-focused software (e.g., video security, evidence management), mission\-critical systems, or emergency communications is a plus.
* Pathfinding: Experience bringing initial definition to "highly ambiguous" product concepts and conducting early\-stage discovery for emergent initiatives.
Target Base Salary Range: 160,000 \- 220,000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\#LI\-CR1
\#LI\-REMOTE
**Basic Requirements**
----------------------
* 10\+ years of technical program management experience
**Travel Requirements**
-----------------------
Under 10%**Relocation Provided**
-----------------------
None**Position Type**
-----------------
Experienced**Referral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6">
      <c r="A46" t="inlineStr">
        <is>
          <t>in-ad514d4c3aeb3d98</t>
        </is>
      </c>
      <c r="B46" t="inlineStr">
        <is>
          <t>CX Product Manager - Oracle Apps</t>
        </is>
      </c>
      <c r="C46" t="inlineStr">
        <is>
          <t>NOV</t>
        </is>
      </c>
      <c r="D46" t="inlineStr">
        <is>
          <t>indeed</t>
        </is>
      </c>
      <c r="E46" t="inlineStr"/>
      <c r="F46" t="inlineStr"/>
      <c r="G46" t="inlineStr">
        <is>
          <t>Houston, TX, US</t>
        </is>
      </c>
      <c r="H46" s="1" t="n">
        <v>46071</v>
      </c>
      <c r="I46" t="inlineStr">
        <is>
          <t>**Primary Duties and Responsibilities**
* Lead the NOV CX team to support CX strategy and deliver Oracle applications such as CPQ and PRM
* Coordinate with other workstreams within the CX department and other Enterprise Solutions (ES) teams to build a scalable and supportable platform for businesses to document customer interactions
* Collaborate with the CX Scrum Master, Delivery Manager and Technical Manager to ensure the delivery of the solution is in line with documented expectations
* Work closely with the PMO to ensure a predictable positive outcome in Tier 1 project delivery
* Responsible for overseeing the software development aspect of our lifecycle for these apps, including development and management of changes across the enterprise for CPQ and PRM applications. The releases can be inclusive of application updates, operating system patches, security improvements, hardware upgrades, Projects and Programs
* Manage the efficient development and testing of Approved Backlog tickets to be worked on for the identified release cycle
* Identify Blockers and effectively move tickets through the development process
* Manage the development of identified change and ensure the delivery of quality, supportable systems on\-time
Leverage existing and emerging technologies to improve operational efficiencies and effectiveness  
* 
**Minimum Qualifications/Experience**
* Bachelor's degree in Computer Science, Engineering, Information Systems, or related discipline
* Big Machines (Oracle CPQ Cloud): 5\-7 years’ experience
* Working knowledge of Oracle PRM
* Experience with Agile, Iterative cycles (Sprints, Kanban)
Experience with Oracle EBusiness suite, Oracle PRM, Oracle Sales Cloud integration  
* 
**Additional Desirable Attributes**
* Oracle Cloud Fusion certification(s) strongly preferred
* CPQ certification(s) strongly preferred
* Knowledge of typical Sales model, a plus
* Experience with other non\-Oracle CX applications like MSFT D365, Adobe Magento eCommerce, ERPs like JDE or Oracle ERP Cloud, a plus
Experience working in the Oil \&amp; Gas industry preferred  
* 
Excellent written and verbal communication skills.</t>
        </is>
      </c>
    </row>
    <row r="47">
      <c r="A47" t="inlineStr">
        <is>
          <t>in-b1aace7753ecc590</t>
        </is>
      </c>
      <c r="B47" t="inlineStr">
        <is>
          <t>Program Manager</t>
        </is>
      </c>
      <c r="C47" t="inlineStr">
        <is>
          <t>Community Resources for Justice</t>
        </is>
      </c>
      <c r="D47" t="inlineStr">
        <is>
          <t>indeed</t>
        </is>
      </c>
      <c r="E47" t="inlineStr"/>
      <c r="F47" t="inlineStr"/>
      <c r="G47" t="inlineStr">
        <is>
          <t>Brookfield, MA, US</t>
        </is>
      </c>
      <c r="H47" s="1" t="n">
        <v>46071</v>
      </c>
      <c r="I47" t="inlineStr">
        <is>
          <t>**Job Summary:** Supervise the delivery of high\-quality residential services to the individuals receiving support from Community Strategies in Massachusetts. Support a culture that develops superior agency wide operations through a leadership role in Community Strategies.
**Functional Responsibilities:**  
1\. Coordinates and supervises daily residential and program activities including supervision of staff, maintenance of residence, and teaching personal care of the consumers.
2\. Ensure high quality residential services to all individuals delivered within a team management approach
3\. Able to apply all the basic tenants of Positive Behavioral Supports (PBS) in work with individuals and staff
4\. Represent CRJ/CS in meetings with stakeholders, including funders, families, guardians, regulatory and review committees and agencies
5\. Hire, train, supervise and manage the performance of program operations staff with particular focus on each of the Residential Directors.
6\. Provide on\-call support in the evening and on weekends for the group home(s) in conjunction with the Residential Director, Clinical Department and Nursing Department.
7\. Organizes and facilitates opportunities for community integration in leisure and vocational areas for all consumers as well as maintaining open communications with the consumers family, service coordinators and responsible outside Departments.
8\. Helps and supports individuals develop confidence and accountability to the rules of society and the structure of the program
9\. Ensures all the proper documentation of individual care in the HCSIS and Electronic Medical Records system as well as trains all staff on the proper handling of information.
10\. Manages program funds and supervises personal finances for each of the individuals.
11\. Implement Policies and Procedures in accordance with the regulations of the State of Massachusetts and consistent with CRJ agency practice
12\. Researches and utilizes all available means of therapy in relation to each client’s individual needs.
13\. Implement all behavior plans, ISP objectives, ADL’s, and recreational activities.
14\. Ensure all performance reviews are conducted annually and provide on\-going supervision to all staff.
15\. Insure that complete and appropriate individual records are maintained in accordance with the Department of Developmental Services and Community Resources for Justice Regulations and policies.
16\. Ensures duties and responsibilities are carried out in a supportive and professional manner and attends appropriate meetings.
17\. Performs other job related projects and activities as requested or directed.
**Addendum:**  
Based on the specific needs of the individuals supported in the home, the Program Manager have additional responsibilities to meet those needs. The current designations in these specific locations are Stabilization, Behavioral and Medical. Additional responsibilities will be outlined by the Residential Director in accordance with the contract or service agreement for that specific location.
**Qualifications:**  
1\. Bachelor’s Degree, preferred
2\. Two years of management experience in Human Services, preferred
3\. Three years of experience with DD or ID populations, management experience preferred
4\. Bilingual, bicultural, encouraged
5\. Prior experience in residential treatment and/or community\-based group homes, preferred
6\. Excellent writing skills, including the ability to write detailed and extensive reports
7\. Excellent expressive language skills, both in 1:1 and group settings. The ability to adjust a presentation to the receptive abilities of listeners.
8\. Excellent receptive language skills, including the ability to understand speakers of varying levels of competence and actively listen
9\. Ability to develop constructive and cooperative working relationships with others and maintain them over time.
10\. Constructively work in an agency setting with supervisors, peers, managers and staff
11\. Successfully represent CRJ when interacting with funding sources, guardians, families and other stakeholders
12\. Ability to use appropriate conflict resolution techniques
13\. Maintain awareness of the importance of diversity
14\. Ability to pass First Aid, CPR, PABC and all training required by Residential Counselors
**Core Competencies:**  
* Customer Focus
* Communication Skills
* Team Effectiveness
* Problem Solving \&amp; Decision Making
* Adaptability/Cooperation
* Continuous Development
* Initiative
* Process Improvement
Management Competencies
* Building high performance
* Commitment to results
* Financial management
* Project management
* Workforce planning
* Collaborative problem solving
* Decision making
**Technical Competencies:**  
* Use of Outlook, PowerPoint and Excel \- spreadsheets and graphing.
* Ability to use CRJ’s Electronic Medical Record System and other reporting systems
* Ability to use HCSIS effectively
* Use of the internet and electronic devices to improve work performance
**Physical Demands:**  
Sitting for extended periods, speaking, climbing stairs, periodic light lifting, and traveling throughout New England.
**Working Conditions:** The primary work is located at the individual group home location, MA with occasional travel to other programs within all parts of the state. The noise, temperature and working conditions are what you would expect in a normal home environment, but the Program Manager should be prepared to encounter individuals having behavioral episodes at any of these locations. Travel to administrative offices in Shirley is required. May require being on call and may require working various hours to cover open shifts which may include nights, evenings, weekends and holidays.
\#INDPM2</t>
        </is>
      </c>
    </row>
    <row r="48">
      <c r="A48" t="inlineStr">
        <is>
          <t>in-b8f10aad9b7d956e</t>
        </is>
      </c>
      <c r="B48" t="inlineStr">
        <is>
          <t>HEALTH PROGRAM MANAGER II</t>
        </is>
      </c>
      <c r="C48" t="inlineStr">
        <is>
          <t>California State Personnel Board</t>
        </is>
      </c>
      <c r="D48" t="inlineStr">
        <is>
          <t>indeed</t>
        </is>
      </c>
      <c r="E48" t="inlineStr"/>
      <c r="F48" t="inlineStr"/>
      <c r="G48" t="inlineStr">
        <is>
          <t>CA, US</t>
        </is>
      </c>
      <c r="H48" s="1" t="n">
        <v>46071</v>
      </c>
      <c r="I48" t="inlineStr">
        <is>
          <t>California Correctional Health Care Services
JC\-507907 * 
HEALTH PROGRAM MANAGER II
HEALTH PROGRAM MANAGER II
$7,872\.00 \- $9,781\.00 per Month  
New to State candidates will be hired into the minimum salary of the classification or minimum of alternate range when applicable.
**Final Filing Date:** **2/25/2026**
**Application Methods:**Electronic (Using your CalCareer Account)
By Mail
Drop\-off
Job Description and Duties
Effective July 1, 2025, in accordance with the applicable Memorandum of Understanding, the Personal Leave Program 2025 (PLP 2025\) was implemented in response to the status of the State budget. PLP 2025 requires each full\-time employee in Bargaining Unit S01, and related Excluded, Exempt and Statutory Exempt employees, will have their base salary reduced by three percent and will receive five PLP 2025 leave credits monthly through June 2027\. Salaries do not reflect the recent changes.  
Under the general direction of the Associate Director, Compliance and Reporting Unit (CRU), the Health Program Manager (HPM) II (Supervisory) oversees the activities of section staff responsible for evaluating the effectiveness, efficiency, and compliance at each CDCR institution with health care related CCHCS policies and procedures, court mandates, and federal and state regulations; facilitating timely access to health care services for patients. Travel may be required.  
This position is located in CRU, Corrections Services (CS). The CS’ programs provide vital services that ensure CCHCS’ continued compliance, health care access, and safety throughout all institutions.
This advertisement is for a HPM II position located at CCHCS Headquarters (HQ), in Elk Grove, Sacramento County. Please indicate the position number on your application: 042\-822\-8428\-001\. **Note:** Main communication for this position will be through email. Please ensure you have a valid email address on your application. **Please note:** A Training and Development (T\&amp;D) assignment will not be considered at this time.  
This is a limited term position which may be extended or become permanent.  
Working Conditions
About the location – CCHCS HQ, Elk Grove  
Located less than 30 minutes from Sacramento and Lodi, the progressive city of Elk Grove offers a great mix of newly developed housing, business projects, and recreational opportunities. You will enjoy working at our campus\-style office complex with free parking, and perhaps even call Elk Grove home.  
 5 % Travel is required to institution.  
The position is eligible for office\-centered telework, in accordance with the Statewide Telework Policy and will be required to report to the office as needed/required. The successful candidate must reside in California upon appointment.  
Position Details
**Job Code \#:** JC\-507907
**Position \#(s):**
042\-822\-8428\-001
**Working Title:** **HEALTH PROGRAM MANAGER II**
**Classification:** HEALTH PROGRAM MANAGER II
$7,872\.00 \- $9,781\.00
New to State candidates will be hired into the minimum salary of the classification or minimum of alternate range when applicable.
**\# of Positions:** 1
**Work Location:** Sacramento County
**Telework:** Hybrid
**Job Type:** 12 Month Limited Term \- Full Time
Department Information
Vision
We enhance public safety and promote successful community reintegration through education, treatment and active participation in rehabilitative and restorative justice programs.  
Mission
To facilitate the successful reintegration of the individuals in our care back to their communities equipped with the tools to be drug\-free, healthy, and employable members of society by providing education, treatment, rehabilitative, and restorative justice programs, all in a safe and humane environment.  
CDCR and CCHCS are committed to building an inclusive and culturally diverse workplace. We are determined to attract and hire more candidates from diverse communities and empower all employees from a variety of backgrounds, perspectives, and personal experiences. We are proud to foster inclusion and drive collaborative efforts to increase representation at all levels of the Department.  
CDCR and CCHCS strive to collaborate with the community to enhance public safety and promote successful community reintegration through education, treatment and active participation in rehabilitative and restorative justice programs. Incumbents establish and maintain cooperative working relationships within the department, other governmental agencies, health care partners, and communities.  
CDCR/CCHCS values all team members. We work cooperatively to provide the highest level of health care possible to a diverse correctional population, which includes medical, dental, nursing, mental health, and pharmacy. We encourage creativity and ingenuity while treating others fairly, honestly, and with respect, all of which are critical to the success of the CDCR/CCHCS mission.
Commitment to California Model
CDCR and CCHCS are proud to partner on the California Model which will transform the correctional landscape for our employees and the incarcerated. The California Model is a systemwide change that leverages national and international best practices to address longstanding challenges related to incarceration and institution working conditions, creating a safe, professional, and satisfying workplace for staff as well as rehabilitation for the incarcerated. Additionally, the California Model improves success of the decarcerated through robust re\-entry efforts back into to the community.
Special Requirements
Please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driver’s license number (unless required), basis of eligibility, examination results, LEAP status, marital status, and age. Confidential information on the first page of applications submitted electronically online, such as Easy ID number, SSN, examination related information, and driver’s license number will automatically be redacted upon submission.
Possession of Minimum Qualifications (MQ) will be verified prior to interview and/or appointment. If you are meeting MQ’s with education, you must include your unofficial transcripts/diploma for verification. Official transcripts may be required upon appointment. If it is determined an applicant does not meet the MQ’s, the candidate will be withheld from the eligibility list, rendering them inactive and ineligible to be hired for the position. Candidates who have been withheld may file an appeal with the State Personnel Board.
Applicants who completed their education outside of the US (with foreign degrees/transcripts) must obtain and submit verification of U.S. course/degree equivalency. Foreign education credential evaluation services can be found at NACES \| National Association of Credential Evaluation Services.
Candidates new to CCHCS are required to submit to a background investigation process utilizing Live Scan Fingerprinting.
When submitting supporting documents, PDF file format is preferred.
CCHCS utilizes E\-Verify to confirm candidate’s identity and employment authorization. For more information about E\-Verify, you may go to www.e\-verify.gov.
This advertisement may be used for other vacancies that occur during the life of this recruitment.
*Employment History on the STD. 678* ***must****be complete and include dates, accurate hours per week, total time worked, duties and responsibilities, and contact names and phone numbers of supervisors.* To prepare for the State Application process, please visit Work4CA: State Application Checklist.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2/25/2026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California Correctional Health Care Services
Classification and Pay \- Mail
Attn: A. Momoh (JC\-507907\)
Classification and Pay
P.O. Box 588500, D\-1, Personnel
Elk Grove, CA 95758
**Address for Drop\-Off Application Packages**
You may drop off your application and any applicable or required documents at:
California Correctional Health Care Services
Classification and Pay \- Drop Off
A. Momoh (JC\-507907\)
8280 Longleaf Drive, Bldg. D\-1, Suite 101
Elk Grove, CA 95758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required and must be included.
* Statement of Qualifications \-
A Statement of Qualifications is **REQUIRED** and must be submitted with your Employment Application (STD. 678\). Applications received without an appropriate Statement of Qualifications based on the instructions below will be rejected for being incomplete and will not be considered. Resumes, cover letters, and other documents will not be considered as a response to the Statement of Qualifications. Please refer to the “Statement of Qualifications” section below for specific requirements.
For helpful guidance on writing an effective Statement Of Qualifications or a Supplemental Questionnaire, please visit Work4CA: How to Write a Statement of Qualifications.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Demonstrated leadership and program planning ability; documented experience working with data and health\-policy related topics; demonstrated ability to act independently, open\-mindedness, flexibility, and tact.
Benefits
Information on benefits afforded by membership in the California Public Employees Retirement System Benefit can be found on the CalHR website at www.benefits.calhr.ca.gov/state\-employees/retirement/.  
Information on the benefits and protections provided to public employees by the State Civil Service Act can be found on the CalHR website at www.calhr.ca.gov/about\-calhr/divisions\-programs/personnel\-management/merit\-system\-principles\-an\-overview/. *This webpage is intended to provide general information. Benefit eligibility may be based on job classification, bargaining unit, time base and length of appointment.*
Contact Information
The Human Resources Contact is available to answer questions regarding the application process. The Hiring Unit Contact is available to answer questions regarding the position.
**Human Resources Contact:**  
When sending an email, include: job control (JC) \# 507907and position \# (042\-822\-8428\-001\).  
(000\) \-  
cchcshrecos@cdcr.ca.gov
**Hiring Unit Contact:**  
Barb Pires  
(916\) 691\-3741  
Barbara.Pires@cdcr.ca.gov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CCHCS EEO Office  
(916\) 691\-6118  
CCHCS\_EEO@cdcr.ca.gov
California Relay Service: 1\-800\-735\-2929 (TTY), 1\-800\-735\-2922 (Voice) TTY is a Telecommunications Device for the Deaf, and is reachable only from phones equipped with a TTY Device.
ADDITIONAL INFORMATION
**PRIORITY CONSIDERATION WILL BE GIVEN TO RE\-EMPLOYMENT, DEPARTMENTAL RESTRICTION OF APPOINTMENT, STATE RESTRICTION OF APPOINTMENT, AND SURPLUS CANDIDATES.**All methods of appointment may be considered.  
**Examination Information**  
To obtain list eligibility for the HPM II before applying for the position(s), you must first take and pass the HPM II examination. **State Application Checklist**
To prepare for the State application process, please visit Work4CA: State Application Checklist.**Interview Checklist**
To prepare for the interview process, please refer to the Work4CA: Interview Checklist
STATEMENT OF QUALIFICATIONS
APPLICATIONS RECEIVED WITHOUT A STATEMENT OF QUALIFICATIONS (SOQ)/SUPPLEMENTAL QUESTIONNAIRE (SQ) WILL NOT BE CONSIDERED. **NOTE**: Resumes, cover letters, and other materials will not be accepted in place of the required SOQ/SQ.
* Applicant must answer the questions listed below in numerical order.
* SOQ shall not exceed two (2\) pages in length, single\-spaced, 12 point Arial font, and be in justified paragraph format.
* The document shall be titled "Statement of Qualifications \- (Your Full Name).”
* When completing the SOQ, please include all relevant experience, education, and training for the statement below.
Please explain your experience as it relates to the following questions below:
* Describe your experience and ability in managing small and large projects with a focus on policy development, process improvement, and with an integral data component.
* Describe your experience with developing and utilizing databases and other business intelligence software including Power BI.
* Describe your experience and ability to interact and communicate effectively with executives, staff, the public, and other governmental agencies.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49">
      <c r="A49" t="inlineStr">
        <is>
          <t>in-9657bb1cd4b7fa3b</t>
        </is>
      </c>
      <c r="B49" t="inlineStr">
        <is>
          <t>ENVIRONMENTAL PROGRAM MANAGER I (SUPERVISORY)</t>
        </is>
      </c>
      <c r="C49" t="inlineStr">
        <is>
          <t>California State Personnel Board</t>
        </is>
      </c>
      <c r="D49" t="inlineStr">
        <is>
          <t>indeed</t>
        </is>
      </c>
      <c r="E49" t="inlineStr"/>
      <c r="F49" t="inlineStr"/>
      <c r="G49" t="inlineStr">
        <is>
          <t>CA, US</t>
        </is>
      </c>
      <c r="H49" s="1" t="n">
        <v>46071</v>
      </c>
      <c r="I49" t="inlineStr">
        <is>
          <t>Department of Resources Recycling \&amp; Recovery
JC\-508258 * 
Environmental Program Manager I (Supervisory)
ENVIRONMENTAL PROGRAM MANAGER I (SUPERVISORY)
$12,551\.00 \- $15,602\.00 per Month  
New to State candidates will be hired into the minimum salary of the classification or minimum of alternate range when applicable.
**Final Filing Date:** **2/27/2026**
**Application Methods:**Electronic (Using your CalCareer Account)
By Mail
Drop\-off
Job Description and Duties
Do you have a passion to perform a variety of scientific, analytical, and technical assistance duties to implement enforcement requirements and assist with program analysis of compliance policies? Does developing and implementing a brand new statutory program and its associated enforcement and field resource tools sound like a career developing opportunity? Are you looking for a career where you save the environment and improve the health of the citizens of California? This may be the job for you!
Under the general direction of the Environmental Program Manager II, the Environmental Program Manager I (Supervisory) is responsible for overseeing and implementing the Plastic Pollution Prevention and Packaging Producer Responsibility Act of 2023 and other Department extended producer responsibility (EPR) enforcement programs. The Section Manager oversees Senior Environmental Scientists (Supervisory) to ensure that staff applies principles of scientific research, biological and environmental sciences and integrated waste management, and knowledge of environmental characteristics as they relate to the programs overseen. Reviews and evaluates program performance and achievements, asseses technical documents and monitoring records. The Section Manager oversees the evaluation of environmental monitoring data and ensures sound conclusions have been made regarding compliance with standards. In addition, the incumbent is responsible for the formulation, development and administration of State policy and programs and will maintain effective multi\-disciplinary relationships in the accomplishment of the Department’s program goals and objectives. Additional duties include enforcement of statutes and regulations related to extended producer responsibility, drafting regulations, and testifying at hearings.  
This position may be eligible for hybrid telework under Government Code 14200 for eligible applicants residing in California, subject to the candidate meeting telework eligibility criteria set forth in the CalEPA telework policy and/or future program need. Employees not residing in California are not eligible for telework. Regardless of telework eligibility, all employees may be required to report to the position’s designated headquarters location, as indicated on their duty statement, at their own expense. **Beginning July 1st, 2026, it is** **anticipated** **the position will be office\-centered and employees will be expected to** **report** **to****the office at least four days per week.**
Position Details
**Job Code \#:** JC\-508258
**Position \#(s):**
835\-856\-0756\-001
**Working Title:** **Environmental Program Manager I (Supervisory)**
**Classification:** ENVIRONMENTAL PROGRAM MANAGER I (SUPERVISORY)
$12,551\.00 \- $15,602\.00
New to State candidates will be hired into the minimum salary of the classification or minimum of alternate range when applicable.
**\# of Positions:** 1
**Work Location:** Sacramento County
**Telework:** Hybrid
**Job Type:** Permanent, Full Time
Department Information
California’s Department of Resources Recycling and Recovery (CalRecycle) brings together the state’s recycling and waste management programs to move the state towards a circular economy that reduces waste and reuses all materials.
Through landmark initiatives like the Integrated Waste Management Act and Beverage Container Recycling and Litter Reduction Act, California works toward a society that uses less, recycles more, and takes resource conservation to higher and higher levels.
CalRecycle’s Mission: Protecting California’s environment and climate for the health and prosperity of future generations through the reduction, reuse and recycling of California resources, environmental education, disaster recovery and the transition from a disposable to a fully circular economy.
CalRecycle values diversity, equity, and inclusion throughout the organization. We foster an environment where employees from a variety of backgrounds, cultures, and personal experiences are welcomed and can thrive. We believe the diversity of our employees is essential to inspiring innovative solutions. Together we further our mission to protect the environment and preserve resources by empowering Californians to reduce, reuse, and recycle. Join CalRecycle to improve the lives of all Californians.
Department Website: http://www.calrecycle.ca.gov
Special Requirements
* The position(s) require(s) a valid California Drivers License (CDL). You must answer the questions addressing your CDL on your application. Ensure you provide your CDL number, class, expiration date, and any endorsements and/or restrictions.
* When submitting application in hard copy, applicants are required to submit a standard state application (Form Std.678\) with an original signature, and clearly indicate RPA 25\-170 \&amp; Position \# 835\-856\-0756\-001 in the “Job Title(s)” section of the Standard State Application or you will not be considered for the position.
* Please attach a copy of your transcripts (unofficial or official) to your application to ensure the educational requirements have been met for this position. Failure to do so will result in your application being rejected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2/27/2026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Resources Recycling \&amp; Recovery
N/A
Attn: Human Resources RPA 25\-170
P.O. Box 4025, MS 19A
Sacramento, CA 95812\-4025
**Address for Drop\-Off Application Packages**
You may drop off your application and any applicable or required documents at:
Department of Resources Recycling \&amp; Recovery
N/A
Human Resources RPA 25\-170
1001 I Street, 19th Floor
Sacramento, CA 95812\-4025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Degree and/or School Transcripts
* Statement of Qualifications \-
Please see Statement of Qualifications Section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 Supervisory and leadership experience.
* Ability to plan, organize, and work with a team of multidisciplinary professional staff.
* Ability to promote collaborative relationships with internal and external customers.
* Experience developing, reviewing, interpreting, or implementing environmental policies, laws, and regulations.
* Experience analyzing and interpreting environmental data.
* Experience presenting data information and findings to executive management, governing boards, or other decision\-making bodies in private and public settings.
* Experience evaluating, analyzing and/or problem\-solving complex situations, developing options, making recommendations, and writing appropriate guidance and/or policy documents and/or informative reports.
* High\-level media engagement and communications experience.
Benefits
In addition to a compelling vision for California, CalRecycle offers competitive pay, benefits, and features for its workforce. To review the pay and benefits offered to California civil service staff, please review CalHR's website at CalHR Benefits Website \- CalHR
Contact Information
The Human Resources Contact is available to answer questions regarding the application process. The Hiring Unit Contact is available to answer questions regarding the position.
**Department Website:** http://www.calrecycle.ca.gov
**Human Resources Contact:**  
Human Resources RPA 25\-170  
(916\) 341\-6646  
careers@calrecycle.ca.gov
**Hiring Unit Contact:**  
Alexis Robison  
(916\) 341\-6646  
Alexis.Robison@calrecycle.ca.gov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341\-6660  
EEO@calrecycle.ca.gov
California Relay Service: 1\-800\-735\-2929 (TTY), 1\-800\-735\-2922 (Voice) TTY is a Telecommunications Device for the Deaf, and is reachable only from phones equipped with a TTY Device.
Statement of Qualifications
SOQ should have a title of “Statement of Qualifications, Your Name,” be no more than 3 pages, and no smaller than 12\-point font.  
1\. What have you done to support diversity in your unit?  
2\. Where do you see staff development given diminishing resources and increasing workload?  
**Please note Resumes, letters, Supplemental Questionnaire, transcripts, degrees, your state application, cover letters and other materials** **will not** **take the place of the Statement of Qualifications. Responses must be numbered and submitted in the same order.** **S****imply copying and pasting your resume will also not be accepted.** **Applications received without an SOQ may be rejected.**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50">
      <c r="A50" t="inlineStr">
        <is>
          <t>in-452389e9f119e5e6</t>
        </is>
      </c>
      <c r="B50" t="inlineStr">
        <is>
          <t>Program Manager</t>
        </is>
      </c>
      <c r="C50" t="inlineStr">
        <is>
          <t>HX5</t>
        </is>
      </c>
      <c r="D50" t="inlineStr">
        <is>
          <t>indeed</t>
        </is>
      </c>
      <c r="E50" t="inlineStr"/>
      <c r="F50" t="inlineStr"/>
      <c r="G50" t="inlineStr">
        <is>
          <t>Lackland AFB, TX, US</t>
        </is>
      </c>
      <c r="H50" s="1" t="n">
        <v>46071</v>
      </c>
      <c r="I50" t="inlineStr">
        <is>
          <t>**Program Manager**  
**Program Manager, Senior**  
**Lackland Air Force Base**
HX5 is an award\-winning provider of engineering, research and development, and technical services to clients such as NASA and the Department of Defense. Founded in 2004, HX5 is a fast\-growing veteran\- and woman\-owned company with locations nationwide.  
HX5 is currently seeking a Program Manager to support the HNI Division at Lackland Air Force Base, MA.
**Essential Duties and Responsibilities:**
* Use qualitative and quantitative techniques for gathering, analyzing, and measuring the effectiveness, efficiency, and productivity of acquisition programs.
* Possess the knowledge of support activities that assist in assessing what programs are within schedule and cost baselines, be able to recommend viable solutions to problems, and the pursuit of alternative courses of action.
* Must be able to effectively communicate orally and in writing, providing quality acquisition and program documentation (briefings, documents, plans, etc.).
* Plan, research, analyze, and assess system acquisition in terms of development, production, and deployment of weapons systems and associated equipment as well as formulate plans and recommend effective strategies in meeting cost, schedule and performance objectives.
* Must be able to support and develop acquisition reports, including statutory and regulatory reports (i.e., Defense Acquisition Executive Summary (DAES), Monthly Acquisition Report (MAR), etc.).
* Support program management reviews, senior level meeting/reviews, and IMP/IMS reviews.
* Support and develop various briefings/schedules of program status and acquisition tasks to senior management.
**Education and Experience:**
* Must have one of the following combinations of education and experience:
	+ Master’s or Doctorate Degree in a related field and ten years of experience in the respective technical / professional discipline being performed, five years of which must be in the DoD
	+ OR, Bachelor’s Degree in a related field and 12 years of experience in the respective technical/professional discipline being performed, five of which must be in the DoD
	+ OR, 15 years of directly related experience with proper certifications as described in the PWS labor category performance requirements, eight of which must be in the DoD.
**Other Position Requirements:**
* Proof of U.S. Citizenship or US Permanent Residency is a requirement for this position.
* Must be able to complete a U.S. government background investigation.
* Must be able to obtain a Top\-Secret clearance by date of hire.
* Must be able to travel, including air travel.
**HX5 offers a competitive salary and benefits package to include:**
* Medical/Dental/Vision Insurance
* 401(k) plan with Company Match
* Paid Holidays
* Paid Time Off
* Parental Leave
* Life Insurance
* Tuition Reimbursement
* Medical and Dependent Care Flexible Spending Accounts
* Pet Insurance
HX5, LLC is an Equal Opportunity Employer that recruits and hires qualified candidates without regard to race, religion, sex, age, national origin, ancestry, citizenship, disability, or veteran status.
HX5, LLC is a Drug Free Workplace Employer.
**ACCESSIBILITY NOTICE:**  
If you need a reasonable accommodation for any part of the employment process due to a physical or mental disability, please call (850\) 362\-6551\.
CJ</t>
        </is>
      </c>
    </row>
    <row r="51">
      <c r="A51" t="inlineStr">
        <is>
          <t>in-530261e6ca90c638</t>
        </is>
      </c>
      <c r="B51" t="inlineStr">
        <is>
          <t>EMPLOYMENT PROGRAM MANAGER III</t>
        </is>
      </c>
      <c r="C51" t="inlineStr">
        <is>
          <t>California State Personnel Board</t>
        </is>
      </c>
      <c r="D51" t="inlineStr">
        <is>
          <t>indeed</t>
        </is>
      </c>
      <c r="E51" t="inlineStr"/>
      <c r="F51" t="inlineStr"/>
      <c r="G51" t="inlineStr">
        <is>
          <t>CA, US</t>
        </is>
      </c>
      <c r="H51" s="1" t="n">
        <v>46071</v>
      </c>
      <c r="I51" t="inlineStr">
        <is>
          <t>Employment Development Department
JC\-508529 * 
Alternate Office Manager
EMPLOYMENT PROGRAM MANAGER III
$7,873\.00 \- $9,861\.00 per Month  
New to State candidates will be hired into the minimum salary of the classification or minimum of alternate range when applicable.
**Final Filing Date:** **2/28/2026**
**Application Methods:**Electronic (Using your CalCareer Account)
By Mail
Drop\-off
Job Description and Duties
**THIS POSITION MAY BE ELIGIBLE FOR A HYBRID WORK SCHEDULE. THE AMOUNT OF TELEWORK IS AT THE DISCRETION OF THE DEPARTMENT AND IS SUBJECT TO CHANGE AS BUSINESS NEEDS ARISE.**  
The Employment Program Manager III (EPM III) serves as a Section Manager/Alternate Manager of an Unemployment Insurance Center providing leadership, coaching and management of the EPM\-Is, EPM\-IIs, and administrative personnel as assigned. The EPM III will model the mission, vision, and values of the Department and of the Branch in interactions with internal and external customers.
The position requires the selected candidate to be knowledgeable in the Unemployment Insurance (UI) program and UI system in order to plan, coordinate, direct, supervise and evaluate the activities of multiple units that handle Determinations, Claims Filing and Information Services to UI customers and employers. The EPM III is responsible for managing additional functions/production of the UI Center including Appeals, Adjustments, Overpayments, Payment Authorization, Clerical Work and Quality Control. The EPM III is also responsible for overseeing and monitoring the accuracy of office attendance and payroll as well as effectively handling personnel issues and promoting staff development plans.
Travel may be required. Position located in Anaheim, CA. Near freeway 91 and 57\. Position exists in Orange County.
Working Conditions
Visa Sponsorship  
This position is not eligible for visa sponsorship. Applicants must be authorized to work in the US without the need for visa sponsorship by the start date of employment.  
Office and cubicle environment. Occasional and overnight travel may be required.
Position Details
**Job Code \#:** JC\-508529
**Position \#(s):**
280\-017\-9198\-005
**Working Title:** **Alternate Office Manager**
**Classification:** EMPLOYMENT PROGRAM MANAGER III
$7,873\.00 \- $9,861\.00
New to State candidates will be hired into the minimum salary of the classification or minimum of alternate range when applicable.
**\# of Positions:** 1
**Work Location:** Orange County
**Telework:** Hybrid
**Job Type:** Permanent, Full Time
**Work Shift:** 8:00am – 5:00pm
**Work Week:** Monday – Friday
Department Information
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Department Website: http://www.edd.ca.gov
Special Requirements
Must have current list or transfer eligibility. Submit a State Application (STD 678\) and a Statement of Qualifications no longer than two pages describing your skills, knowledge, experience and training that help you to be successful in this managerial position.
**It is strongly encouraged to apply through your CalCareer Account at** **www.calcareers.ca.gov****.**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“Application Instructions’ section below and ensure the following:
* Clearly indicate the Job Code \#, Position Number and the Classification Title of this position in the “Examination or Job Title(s) For Which You Are Applying” section located on Page 3 of your State Examination/Employment STD Form 678\.
* Clearly indicate the basis of your eligibility (list, transfer, reinstatement, etc.) in the “Explanations” section located on Page 3 of your State Examination/Employment Application STD Form 678\.
* Remove and do not submit the “Equal Employment Opportunity” questionnaire (Page 10\) with your completed State Examination/Employment Application STD Form 678\. This page is for examination use only.
* Do not include your full Social Security Number on your documents and/or do not provide any LEAP information.
**Examination/Assessment**
To apply for this position, you must obtain list eligibility by taking and passing the examination. If you already have list eligibility for this classification, you do not need to retake the examination unless your list eligibility has expired.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2/28/2026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Employment Development Department
Mail In Address
Attn: Job Control \#508529
Human Resource Services Division, MIC 54
PO Box 826880
Sacramento, CA 94280\-0001
**Address for Drop\-Off Application Packages**
You may drop off your application and any applicable or required documents at:
Employment Development Department
Drop Off Address
Attn: Job Control \#508529
EDD/Human Resource Services Division
1416 9th Street, 1st floor lobby
Sacramento, CA 95814
08:00 AM \- 04:30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**A Statement of Qualifications (SOQ) is Required.** Please see “Statement of Qualifications Requirements” section for more information about the SOQ.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 Vision and Goal Oriented, Strategic Thinking Skills, Results Driven, Effective Time Skills, Results Driven, Effective Time Management, Organizational Skills and Effective Leadership.
* Concise and professional writing skills
* Familiarity with Progressive Discipline and Corrective Action Processes.
* Familiarity with office attendance and payroll quality control.
* Strong knowledge on human resource development.
* Strong knowledge of UI center oversight and operational needs
* Proficient use of Microsoft Office Suite (Outlook, Excel, Word and PowerPoint)
* Recent two years of UI knowledge/experience
* Knowledge of UI systems including SCDB, CUBS, UISS.
Benefits
Contact Information
The Hiring Unit Contact is available to answer questions regarding the position or application process.
**Department Website:** http://www.edd.ca.gov
**Hiring Unit Contact:**  
Krystina Vu  
(916\) 809\-7783  
Thao.Vu@edd.ca.gov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654\-8434  
Accessibility@edd.ca.gov
California Relay Service: 1\-800\-735\-2929 (TTY), 1\-800\-735\-2922 (Voice) TTY is a Telecommunications Device for the Deaf, and is reachable only from phones equipped with a TTY Device.
Statement of Qualifications Requirements
A **Statement of Qualifications (SOQ) is Required**. The SOQ serves as documentation of each candidate’s ability to present information clearly and concisely in writing. The SOQ is not a resume or cover letter. Resumes and/or Cover Letters **DO NOT** take the place of the SOQ. Applications received without an SOQ or an SOQ submitted without following instructions may not receive further consideration and may be excluded from the hiring process.
Please carefully read the instructions as you will be rated on your ability to adhere to the filing requirements, in addition to how well your experience and/or education meet the Desirable Qualifications (DQ) of the position. The DQs are identified on the job bulletin under the Desirable Qualification section.
* The Statement of Qualifications (SOQ) must be in 12 point font, and not exceed 2 pages in length.
* Describe your experience, background, and qualifications and explain how these qualifications will help you to be successful in this managerial position. Provide specific examples of prior leadership roles and responsibilities including any experience relative to the Employment Development.
* Initial evaluation of each applicant will be based on content of answers and written communication skills, in addition to all other application materials. Applicants who do not submit an SOQ will be disqualified from the selection process.
Background Investigation Requirement
The position(s) may require an applicant to pass a background investigation. However, applicants will not be asked to provide information about a conviction history unless they receive a conditional offer of employment.
The department will make an individualized assessment of whether the conviction history has a direct or adverse relationship with the specific duties of the job and the work performed by the department. The department will consider potential mitigating factors, including, but not limited to, evidence and extent of rehabilitation, recency, nature and seriousness, and age at the time of the offense(s).
The investigation will consist of completion of a personal history statement and fingerprinting checks with the Federal Bureau of Investigation, Department of Justice, and/or local law enforcement agencies. Anyone failing to pass the background investigation will be provided information on how to appeal the process. A criminal conviction may not result in an automatic determination of "Not Qualified."
**ADDITIONAL DEPARTMENT INFORMATION**
The Employment Development Department may require a new probation in accordance with applicable probationary period rules.
 **Merit System Principles**  
Information regarding Merit System Principles provided to public employees by the State Civil Service Act can be found on the CalHR website at https://www.calhr.ca.gov/Training/Pages/performance\-management\-merit\-system\-principles.aspx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52">
      <c r="A52" t="inlineStr">
        <is>
          <t>in-4b2f7862d251a1f1</t>
        </is>
      </c>
      <c r="B52" t="inlineStr">
        <is>
          <t>Program Manager -Recruited</t>
        </is>
      </c>
      <c r="C52" t="inlineStr">
        <is>
          <t>ACL Digital</t>
        </is>
      </c>
      <c r="D52" t="inlineStr">
        <is>
          <t>indeed</t>
        </is>
      </c>
      <c r="E52" t="inlineStr"/>
      <c r="F52" t="inlineStr"/>
      <c r="G52" t="inlineStr">
        <is>
          <t>Boston, MA, US</t>
        </is>
      </c>
      <c r="H52" s="1" t="n">
        <v>46071</v>
      </c>
      <c r="I52" t="inlineStr">
        <is>
          <t>The Program Manager will be responsible for temporarily managing one or more established Harvard programs that serve faculty, staff or students. Represents program to public, University community and those served by the program. Ensures that program and service delivery objectives are met while under management. Responsibilities may include, but are not limited to forecasting revenues and expenses, creating a budget for the program, allocating resources from one area of the budget to another with limited review, negotiating with external suppliers, signing contracts of significance on behalf of the program, creating and implementing department systems, practices, policies and procedures, and developing and maintaining internal and external constituent relationships. The Manager will maintain and use files, records, materials and digital content about the program. Candidate should have 3\+ years of program management experience in a large scale, complex higher education or non\-profit setting.</t>
        </is>
      </c>
    </row>
    <row r="53">
      <c r="A53" t="inlineStr">
        <is>
          <t>in-8db62f4bdd8902b0</t>
        </is>
      </c>
      <c r="B53" t="inlineStr">
        <is>
          <t>Program Manager</t>
        </is>
      </c>
      <c r="C53" t="inlineStr">
        <is>
          <t>Columbia University</t>
        </is>
      </c>
      <c r="D53" t="inlineStr">
        <is>
          <t>indeed</t>
        </is>
      </c>
      <c r="E53" t="inlineStr"/>
      <c r="F53" t="inlineStr"/>
      <c r="G53" t="inlineStr">
        <is>
          <t>New York, NY, US</t>
        </is>
      </c>
      <c r="H53" s="1" t="n">
        <v>46071</v>
      </c>
      <c r="I53" t="inlineStr">
        <is>
          <t>* Job Type: Officer of Administration
* Bargaining Unit:
* Regular/Temporary: Regular
* End Date if Temporary:
* Hours Per Week: 35
* Standard Work Schedule:
* Building:
* Salary Range: $85,000 \- $95,000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The Division of Women’s Genetics in the Department of Obstetrics and Gynecology is seeking a program manager to support the Clinical Director of Genetics and the Associate Director of Women’s Genetics Research in executing the aims of the division. The individual will coordinate, monitor and manage all administrative items relating to Director and research portfolio supervised by the Associate Director. This role will also include management of the CLARUM project, funded by ARPA\-H.
Responsibilities
**Administrative Management:**
* Oversee the scheduling of meetings for relevant stakeholders in *ad hoc* projects.
* Assist with writing reports and manuscripts detailing research findings, program updates and others as applicable.
* Conduct relevant literature reviews as needed.
* Supplies: ensure that all supplies are ordered and shipped as needed.
* Monitor of sponsored research expenditures for assigned protocols.
* Support the development of workflows to improve operational efficiency and consistency.
* Coordinate communication and follow up with internal teams and external partners to support project execution.
**Regulatory Management:**
* Coordinate and manage regulatory procedures for human subject research (e.g., IRB protocol, consent forms, interview data) for assigned protocols.
* Responsible for preparation of documents for renewals, modifications, yearly submissions, correspondence, and audits related to IRB for multiple ongoing NIH\-sponsored research studies in genetics.
* Assist in the preparation of annual reports including regulatory information to funding and regulatory agencies.
* Ensure that regulatory compliance is met and that regulatory files are audit\-ready.
* Monitor and verify that all research staff are using up to date IRB approved study documents. Updating and distributing revised versions promptly to maintain compliance.
* Manage MTAs/DUA’s for projects as applicable.
**Research Coordination:**
* Screen, recruit, and consent patients to genetics projects as needed.
* Coordinate research samples including, processing, storing and shipment with cross coverage for Women’s Genetics Center sample coordination.
* Coordinate follow up for various genetics projects including sending surveys, completing research interviews, and data entry
* Assist in transcription and coding of interview data to support qualitative and quantitative analysis.
* Maintain accurate and organized study records, databases and files to ensure regulatory compliance.
* Assist in the development and implementation of study materials such as protocols, consent forms and relevant surveys.
* Support the development of study documents such as SOP’s, training materials and tracking logs.
 **ARPA\-H CLARUM Management (50%)**
* Develop and adhere to project timelines and milestones.
* Set agendas for project operations meeting and follow up on action items to maintain progress.
* Attends study team meetings and trainings.
* Consent patients in reproductive arm of study (task 3\) and coordinate samples with laboratories.
* Coordinate contracts with external vendors and monitoring deliverables and invoice processing.
* Oversite of all relevant IRBs and manage protocol and consent development for sites.
* Coordinate and support discovery duo activities.
* Manage program’s data processing, transfer and retrieval of samples as needed.
* Perform other related duties and responsibilities as assigned/requested.
Minimum Qualifications
* Requires bachelor’s degree or equivalent in education and experience, plus four years of related experience.
* Strong interpersonal and organizational skills.
* Ability to exercise initiative and judgment.
* Team player with ability to thrive in busy office environment.
* Ability to think and write clearly and to edit materials accurately.
* Ability to work under pressure and meet deadlines.
* Ability to handle multiple projects simultaneously and prioritize tasks while maintaining responsibility for timely execution.
* Working knowledge of Microsoft Office: Word, PowerPoint, Excel and Access.
Preferred Qualifications
* Bilingual in English and Spanish.
* Experience with REDCap or other clinical research data systems.
* Experience with genetics.
The Department of Obstetrics and Gynecology is dedicated to the goal of building a multicultural faculty and staff committed to teaching, working and serving in a diverse community, and strongly encourages applications from candidates of traditionally underrepresented backgrounds.  
We are continuously seeking to recruit individuals who will enhance the diversity of our workplace and the effectiveness of our organization.
Equal Opportunity Employer / Disability / Veteran
Columbia University is committed to the hiring of qualified local residents.</t>
        </is>
      </c>
    </row>
    <row r="54">
      <c r="A54" t="inlineStr">
        <is>
          <t>in-48719197c05ddb44</t>
        </is>
      </c>
      <c r="B54" t="inlineStr">
        <is>
          <t>Network Implementation Program Manager-Salt Lake City, UT</t>
        </is>
      </c>
      <c r="C54" t="inlineStr"/>
      <c r="D54" t="inlineStr">
        <is>
          <t>indeed</t>
        </is>
      </c>
      <c r="E54" t="inlineStr"/>
      <c r="F54" t="inlineStr"/>
      <c r="G54" t="inlineStr">
        <is>
          <t>Remote, US</t>
        </is>
      </c>
      <c r="H54" s="1" t="n">
        <v>46071</v>
      </c>
      <c r="I54" t="inlineStr">
        <is>
          <t>**About Forged Fiber**
At Forged Fiber, our mission is bold but simple: deliver fast, reliable, future\-proof connectivity that builds the foundation for everything online. As we execute, we believe the right way to do something is the only way. This foundation guides how the company builds, operates, and maintains a state\-of\-the\-art open\-access fiber network platform that empowers millions.
Forged Fiber is about more than building a network. It is about people. Every role matters. Every contribution counts. Together, employees create impact through teamwork, trust, and a shared commitment to excellence.
**The Role**
We are seeking an experienced Network Implementation Program Manager to lead and manage end‑to‑end implementation of large\-scale telecommunications projects. This role is responsible for ensuring the execution, accuracy, quality, and timely delivery of network deployment programs while working cross‑functionally with engineering, construction, vendors, and external partners.
The ideal candidate is highly analytical, detail‑driven, organized, and proactive in identifying risks, resolving issues, and driving operational excellence across all phases of implementation.
**The Main Responsibilities**
Project \&amp; Milestone Management:
* Manage Major and Minor project milestones, ensuring real\-time status accuracy, timely updates, and clear reporting.
* Track progress across multiple concurrent projects with a focus on 0–180\-day forecasting and scheduling alignment.
* Drive project closeouts, validating deliverables and ensuring documentation completeness.
Risk Identification \&amp; Issue Resolution:
* Identify implementation risks in real time and assign ownership to appropriate teams.
* Develop mitigation plans and track actions to ensure timely resolution.
* Surface cross\-functional gaps and escalate blockers with supporting data and analysis.
Quality Assurance \&amp; Deliverable Validation:
* Ensure all deliverables meet engineering, construction, and operational quality standards.
* Track and monitor project quality metrics, vendor performance, and SLA compliance.
* Validate accuracy and completeness of data submitted by vendors and internal/external partners.
Data, Reporting \&amp; Forecasting:
* Maintain accurate, up\-to\-date data across all systems and reporting tools.
* Forecast resource needs, timelines, and project outcomes for 0–180 days.
* Develop clear, concise reporting for leadership and stakeholders.
Process Improvement \&amp; Operational Excellence
* Identify process gaps and drive implementation of improvements across engineering, construction, and deployment.
* Collaborate with cross\-functional teams to enhance workflows, handoffs, and SLAs.
* Adopt and promote continuous learning of engineering and construction processes, tools, SLAs, and handoff requirements.
**What We Look For in a Candidate**
Forged Fiber’s culture is built on honesty, respect, trust, transparency, and a growth mindset. We strive to treat people as they want to be treated, and to operate with consistency, integrity, customer obsession, and courage. We’re looking for top tier talent to join Forged Fiber that can help us bring this mindset to our everyday work and deliver meaningful results.
**Qualifications**
* 5\+ years of experience in telecommunications, network deployment, or related technical program management.
* Bachelor's Degree or equivalent education and experience or 2\-3 years with a Master's Degree.
* Strong understanding of wireless or wireline network design, engineering, and construction lifecycles.
* Proven success managing cross\-functional implementation programs in fast\-paced environments.
* Experience with milestone management, forecasting, vendor oversight, and project quality control.
* Exceptional organizational, communication, and analytical skills.
* Ability to synthesize complex information and drive clear action plans.
* Proficient with project management tools, data dashboards, and reporting systems.
* Knowledgeable and able to work in appropriate systems and Microsoft Office
 **Preferred Skills**
* Experience with large carriers, fiber deployments, wireless networks, or infrastructure providers.
* Knowledge of engineering SLAs, construction processes, and network activation workflows.
* Advanced Excel/Sheets, data visualization tools, or project tracking software.
* Strong vendor management and contract oversight experience.
 **Compensation**
This information reflects the anticipated base salary range for this position based on current national data. Minimums and maximums may vary based on location. Individual pay is based on skills, experience and other relevant factors.
 Location Based Pay Ranges:
$70,000\-$116,000
Forged Fiber offers a comprehensive package featuring a broad range of Health, Life, Voluntary Lifestyle benefits and other perks that enhance your physical, mental, emotional and financial wellbeing.
 **What to Expect Next**
**Background Screening**
If you are selected for a position, there will be a background screen, which may include checks for criminal records and/or motor vehicle reports and/or drug screening, depending on the position requirements.
Forged Fiber 37 Services, LLC participates in E‑Verify and will provide the federal government with your Form I‑9 information to confirm that you are authorized to work in the United States. Employers can only use E‑Verify once you have accepted a job offer and completed the Form I‑9\.
**Equal Employment Opportunities**
It is the policy of Forged Fiber to provide equal employment opportunity (EEO) to all persons regardless of age, color, national origin, citizenship status, physical or mental disability, race, religion, creed, gender, sex, sexual orientation, gender identity and/or expression, genetic information, martial status, status with regard to public assistance, veteran status, or any other characteristic protected by federal, state, or local law. We do not tolerate unlawful discrimination in any employment decisions, including recruiting, hiring, compensation, promotion, benefits, discipline, termination, job assignments or training. In addition, Forged Fiber will provide reasonable accommodations for qualified individuals with disabilities, and is a fair change employer and does not initiate a background check until after an offer is made.
 **© 2026 Forged Fiber 37 Services, LLC**</t>
        </is>
      </c>
    </row>
    <row r="55">
      <c r="A55" t="inlineStr">
        <is>
          <t>in-30561c318965349f</t>
        </is>
      </c>
      <c r="B55" t="inlineStr">
        <is>
          <t>Sr. Network Implementation Program Manager- Englewood/Colorado Springs CO</t>
        </is>
      </c>
      <c r="C55" t="inlineStr"/>
      <c r="D55" t="inlineStr">
        <is>
          <t>indeed</t>
        </is>
      </c>
      <c r="E55" t="inlineStr"/>
      <c r="F55" t="inlineStr"/>
      <c r="G55" t="inlineStr">
        <is>
          <t>Remote, US</t>
        </is>
      </c>
      <c r="H55" s="1" t="n">
        <v>46071</v>
      </c>
      <c r="I55" t="inlineStr">
        <is>
          <t>**About Forged Fiber**
At Forged Fiber, our mission is bold but simple: deliver fast, reliable, future\-proof connectivity that builds the foundation for everything online. As we execute, we believe the right way to do something is the only way. This foundation guides how the company builds, operates, and maintains a state\-of\-the\-art open\-access fiber network platform that empowers millions.
Forged Fiber is about more than building a network. It is about people. Every role matters. Every contribution counts. Together, employees create impact through teamwork, trust, and a shared commitment to excellence.
**The Role**
We are seeking a highly experienced Network Implementation Program Manager to provide strategic leadership and end‑to‑end oversight of large‑scale, complex telecommunications deployment programs. This senior\-level role is responsible for driving execution excellence, ensuring delivery quality, and influencing cross‑functional alignment across engineering, construction, operations, vendors, and external partners.
The ideal candidate is a strategic thinker with deep technical implementation expertise, exceptional cross\-functional leadership skills, and the ability to anticipate risks, resolve issues, and drive continuous improvement across all phases of network deployment.
 **The Main Responsibilities**
Strategic Project \&amp; Program Leadership:
* Lead and oversee major deployment programs, ensuring accurate milestone tracking, reporting, and alignment to organizational goals.
* Manage multiple complex programs concurrently with a strong focus on 0–180‑day forecasting, capacity planning, and delivery readiness.
* Serve as the lead for the Construction NIPM and Project Coordinator Team, providing guidance, workflow alignment, and escalation support across day‑to‑day operations.
* Support team members through OTJ training, including print reading, civil permit interpretation, and process/procedure clarification.
* Serve as the daily point of contact for the LE contractor, addressing field questions, technical clarifications, and operational concerns to ensure smooth execution.
* Drive program closeouts, ensuring quality validation, documentation completeness, and operational readiness.
Risk Mitigation, Issue Resolution \&amp; Escalation:
* Proactively identify program‑level risks and systemic gaps across engineering, construction, supply chain, and vendor operations.
* Develop and execute mitigation strategies, assign action ownership, and ensure timely follow\-through.
* Provide leadership‑ready escalations supported by analytics, data insights, and impact assessments.
Quality Assurance \&amp; Technical Oversight:
* Ensure all deliverables meet engineering, construction, and operational quality standards.
* Monitor program quality metrics, vendor performance, SLA compliance, and operational readiness.
* Validate the accuracy and completeness of data and deliverables from vendors and internal/external partners.
Advanced Reporting, Forecasting \&amp; Analytics:
* Maintain accurate, real‑time program data across systems and dashboards, ensuring reporting accuracy and integrity.
* Deliver strategic forecasting for resources, timelines, risks, and performance across a 0–180‑day horizon.
* Produce executive‑level reports, scorecards, and insights that support strategic decision\-making.
Process Optimization \&amp; Operational Excellence:
* Identify systemic process gaps and drive high‑impact improvements across engineering, construction, deployment, and operations.
* Influence cross\-functional teams to enhance workflows, handoffs, SLAs, and data quality standards.
* Champion continuous learning and standardization of engineering, construction, and deployment methodologies and tools.
 **What We Look For in a Candidate**
Forged Fiber’s culture is built on honesty, respect, trust, transparency, and a growth mindset. We strive to treat people as they want to be treated, and to operate with consistency, integrity, customer obsession, and courage. We’re looking for top tier talent to join Forged Fiber that can help us bring this mindset to our everyday work and deliver meaningful results.
**Qualifications**
* 7\+ years of experience in telecommunications, network deployment, or large‑scale technical program management.
* Bachelor’s Degree required; Master’s Degree preferred.
* Deep understanding of wireless/wireline engineering, network design, construction, and activation lifecycles.
* Demonstrated success leading complex deployment programs in fast‑paced, cross‑functional environments.
* Expertise in milestone management, forecasting, vendor oversight, quality control, and operational reporting.
* Excellent leadership, communication, analytical, and organizational skills.
* Ability to synthesize complex information and influence stakeholders at all levels.
* Proficiency with project/program management tools, dashboards, and data systems.
 **Preferred Skills**
* Experience with large carriers, fiber deployment programs, wireless networks, or infrastructure service providers.
* Strong understanding of engineering SLAs, construction processes, utility coordination, and activation workflows.
* Advanced proficiency with Excel/Sheets, visualization tools, and project tracking systems.
* Extensive vendor management experience, including contract oversight, performance governance, and relationship management.
 **Compensation**
This information reflects the anticipated base salary range for this position based on current national data. Minimums and maximums may vary based on location. Individual pay is based on skills, experience and other relevant factors.
 Location Based Pay Ranges:
$83,000\-$138,000
Forged Fiber offers a comprehensive package featuring a broad range of Health, Life, Voluntary Lifestyle benefits and other perks that enhance your physical, mental, emotional and financial wellbeing.
 **What to Expect Next**
**Background Screening**
If you are selected for a position, there will be a background screen, which may include checks for criminal records and/or motor vehicle reports and/or drug screening, depending on the position requirements.
Forged Fiber 37 Services, LLC participates in E‑Verify and will provide the federal government with your Form I‑9 information to confirm that you are authorized to work in the United States. Employers can only use E‑Verify once you have accepted a job offer and completed the Form I‑9\.
This role is pre‑designated as safety‑sensitive under applicable state laws due to routine work at heights, near utilities, and around live traffic, where impairment poses a significant safety risk.
**Equal Employment Opportunities**
It is the policy of Forged Fiber to provide equal employment opportunity (EEO) to all persons regardless of age, color, national origin, citizenship status, physical or mental disability, race, religion, creed, gender, sex, sexual orientation, gender identity and/or expression, genetic information, martial status, status with regard to public assistance, veteran status, or any other characteristic protected by federal, state, or local law. We do not tolerate unlawful discrimination in any employment decisions, including recruiting, hiring, compensation, promotion, benefits, discipline, termination, job assignments or training. In addition, Forged Fiber will provide reasonable accommodations for qualified individuals with disabilities, and is a fair change employer and does not initiate a background check until after an offer is made.
 **© 2026 Forged Fiber 37 Services, LLC**</t>
        </is>
      </c>
    </row>
    <row r="56">
      <c r="A56" t="inlineStr">
        <is>
          <t>in-eef3aa69ddac74a2</t>
        </is>
      </c>
      <c r="B56" t="inlineStr">
        <is>
          <t>Network Implementation Program Manager Fort Collins, Greeley, Loveland, CO</t>
        </is>
      </c>
      <c r="C56" t="inlineStr"/>
      <c r="D56" t="inlineStr">
        <is>
          <t>indeed</t>
        </is>
      </c>
      <c r="E56" t="inlineStr"/>
      <c r="F56" t="inlineStr"/>
      <c r="G56" t="inlineStr">
        <is>
          <t>Remote, US</t>
        </is>
      </c>
      <c r="H56" s="1" t="n">
        <v>46071</v>
      </c>
      <c r="I56" t="inlineStr">
        <is>
          <t>**About Forged Fiber**
At Forged Fiber, our mission is bold but simple: deliver fast, reliable, future\-proof connectivity that builds the foundation for everything online. As we execute, we believe the right way to do something is the only way. This foundation guides how the company builds, operates, and maintains a state\-of\-the\-art open\-access fiber network platform that empowers millions.
Forged Fiber is about more than building a network. It is about people. Every role matters. Every contribution counts. Together, employees create impact through teamwork, trust, and a shared commitment to excellence.
**The Role**
We are seeking an experienced Network Implementation Program Manager to lead and manage end‑to‑end implementation of large\-scale telecommunications projects. This role is responsible for ensuring the execution, accuracy, quality, and timely delivery of network deployment programs while working cross‑functionally with engineering, construction, vendors, and external partners.
The ideal candidate is highly analytical, detail‑driven, organized, and proactive in identifying risks, resolving issues, and driving operational excellence across all phases of implementation.
**The Main Responsibilities**
Project \&amp; Milestone Management:
* Manage Major and Minor project milestones, ensuring real\-time status accuracy, timely updates, and clear reporting.
* Track progress across multiple concurrent projects with a focus on 0–180\-day forecasting and scheduling alignment.
* Drive project closeouts, validating deliverables and ensuring documentation completeness.
Risk Identification \&amp; Issue Resolution:
* Identify implementation risks in real time and assign ownership to appropriate teams.
* Develop mitigation plans and track actions to ensure timely resolution.
* Surface cross\-functional gaps and escalate blockers with supporting data and analysis.
Quality Assurance \&amp; Deliverable Validation:
* Ensure all deliverables meet engineering, construction, and operational quality standards.
* Track and monitor project quality metrics, vendor performance, and SLA compliance.
* Validate accuracy and completeness of data submitted by vendors and internal/external partners.
Data, Reporting \&amp; Forecasting:
* Maintain accurate, up\-to\-date data across all systems and reporting tools.
* Forecast resource needs, timelines, and project outcomes for 0–180 days.
* Develop clear, concise reporting for leadership and stakeholders.
Process Improvement \&amp; Operational Excellence
* Identify process gaps and drive implementation of improvements across engineering, construction, and deployment.
* Collaborate with cross\-functional teams to enhance workflows, handoffs, and SLAs.
* Adopt and promote continuous learning of engineering and construction processes, tools, SLAs, and handoff requirements.
**What We Look For in a Candidate**
Forged Fiber’s culture is built on honesty, respect, trust, transparency, and a growth mindset. We strive to treat people as they want to be treated, and to operate with consistency, integrity, customer obsession, and courage. We’re looking for top tier talent to join Forged Fiber that can help us bring this mindset to our everyday work and deliver meaningful results.
**Qualifications**
* 5\+ years of experience in telecommunications, network deployment, or related technical program management.
* Bachelor's Degree or equivalent education and experience or 2\-3 years with a Master's Degree.
* Strong understanding of wireless or wireline network design, engineering, and construction lifecycles.
* Proven success managing cross\-functional implementation programs in fast\-paced environments.
* Experience with milestone management, forecasting, vendor oversight, and project quality control.
* Exceptional organizational, communication, and analytical skills.
* Ability to synthesize complex information and drive clear action plans.
* Proficient with project management tools, data dashboards, and reporting systems.
* Knowledgeable and able to work in appropriate systems and Microsoft Office
 **Preferred Skills**
* Experience with large carriers, fiber deployments, wireless networks, or infrastructure providers.
* Knowledge of engineering SLAs, construction processes, and network activation workflows.
* Advanced Excel/Sheets, data visualization tools, or project tracking software.
* Strong vendor management and contract oversight experience.
 **Compensation**
This information reflects the anticipated base salary range for this position based on current national data. Minimums and maximums may vary based on location. Individual pay is based on skills, experience and other relevant factors.
 Location Based Pay Ranges:
$70,000\-$116,000
Forged Fiber offers a comprehensive package featuring a broad range of Health, Life, Voluntary Lifestyle benefits and other perks that enhance your physical, mental, emotional and financial wellbeing.
 **What to Expect Next**
**Background Screening**
If you are selected for a position, there will be a background screen, which may include checks for criminal records and/or motor vehicle reports and/or drug screening, depending on the position requirements.
Forged Fiber 37 Services, LLC participates in E‑Verify and will provide the federal government with your Form I‑9 information to confirm that you are authorized to work in the United States. Employers can only use E‑Verify once you have accepted a job offer and completed the Form I‑9\.
**Equal Employment Opportunities**
It is the policy of Forged Fiber to provide equal employment opportunity (EEO) to all persons regardless of age, color, national origin, citizenship status, physical or mental disability, race, religion, creed, gender, sex, sexual orientation, gender identity and/or expression, genetic information, martial status, status with regard to public assistance, veteran status, or any other characteristic protected by federal, state, or local law. We do not tolerate unlawful discrimination in any employment decisions, including recruiting, hiring, compensation, promotion, benefits, discipline, termination, job assignments or training. In addition, Forged Fiber will provide reasonable accommodations for qualified individuals with disabilities, and is a fair change employer and does not initiate a background check until after an offer is made.
 **© 2026 Forged Fiber 37 Services, LLC**</t>
        </is>
      </c>
    </row>
    <row r="57">
      <c r="A57" t="inlineStr">
        <is>
          <t>in-6a5c479cdf7d7ac2</t>
        </is>
      </c>
      <c r="B57" t="inlineStr">
        <is>
          <t>Network Implementation Program Manager-Colorado Springs, CO</t>
        </is>
      </c>
      <c r="C57" t="inlineStr"/>
      <c r="D57" t="inlineStr">
        <is>
          <t>indeed</t>
        </is>
      </c>
      <c r="E57" t="inlineStr"/>
      <c r="F57" t="inlineStr"/>
      <c r="G57" t="inlineStr">
        <is>
          <t>Remote, US</t>
        </is>
      </c>
      <c r="H57" s="1" t="n">
        <v>46071</v>
      </c>
      <c r="I57" t="inlineStr">
        <is>
          <t>**About Forged Fiber**
At Forged Fiber, our mission is bold but simple: deliver fast, reliable, future\-proof connectivity that builds the foundation for everything online. As we execute, we believe the right way to do something is the only way. This foundation guides how the company builds, operates, and maintains a state\-of\-the\-art open\-access fiber network platform that empowers millions.
Forged Fiber is about more than building a network. It is about people. Every role matters. Every contribution counts. Together, employees create impact through teamwork, trust, and a shared commitment to excellence.
**The Role**
We are seeking an experienced Network Implementation Program Manager to lead and manage end‑to‑end implementation of large\-scale telecommunications projects. This role is responsible for ensuring the execution, accuracy, quality, and timely delivery of network deployment programs while working cross‑functionally with engineering, construction, vendors, and external partners.
The ideal candidate is highly analytical, detail‑driven, organized, and proactive in identifying risks, resolving issues, and driving operational excellence across all phases of implementation.
**The Main Responsibilities**
Project \&amp; Milestone Management:
* Manage Major and Minor project milestones, ensuring real\-time status accuracy, timely updates, and clear reporting.
* Track progress across multiple concurrent projects with a focus on 0–180\-day forecasting and scheduling alignment.
* Drive project closeouts, validating deliverables and ensuring documentation completeness.
Risk Identification \&amp; Issue Resolution:
* Identify implementation risks in real time and assign ownership to appropriate teams.
* Develop mitigation plans and track actions to ensure timely resolution.
* Surface cross\-functional gaps and escalate blockers with supporting data and analysis.
Quality Assurance \&amp; Deliverable Validation:
* Ensure all deliverables meet engineering, construction, and operational quality standards.
* Track and monitor project quality metrics, vendor performance, and SLA compliance.
* Validate accuracy and completeness of data submitted by vendors and internal/external partners.
Data, Reporting \&amp; Forecasting:
* Maintain accurate, up\-to\-date data across all systems and reporting tools.
* Forecast resource needs, timelines, and project outcomes for 0–180 days.
* Develop clear, concise reporting for leadership and stakeholders.
Process Improvement \&amp; Operational Excellence
* Identify process gaps and drive implementation of improvements across engineering, construction, and deployment.
* Collaborate with cross\-functional teams to enhance workflows, handoffs, and SLAs.
* Adopt and promote continuous learning of engineering and construction processes, tools, SLAs, and handoff requirements.
**What We Look For in a Candidate**
Forged Fiber’s culture is built on honesty, respect, trust, transparency, and a growth mindset. We strive to treat people as they want to be treated, and to operate with consistency, integrity, customer obsession, and courage. We’re looking for top tier talent to join Forged Fiber that can help us bring this mindset to our everyday work and deliver meaningful results.
**Qualifications**
* 5\+ years of experience in telecommunications, network deployment, or related technical program management.
* Bachelor's Degree or equivalent education and experience or 2\-3 years with a Master's Degree.
* Strong understanding of wireless or wireline network design, engineering, and construction lifecycles.
* Proven success managing cross\-functional implementation programs in fast\-paced environments.
* Experience with milestone management, forecasting, vendor oversight, and project quality control.
* Exceptional organizational, communication, and analytical skills.
* Ability to synthesize complex information and drive clear action plans.
* Proficient with project management tools, data dashboards, and reporting systems.
* Knowledgeable and able to work in appropriate systems and Microsoft Office
 **Preferred Skills**
* Experience with large carriers, fiber deployments, wireless networks, or infrastructure providers.
* Knowledge of engineering SLAs, construction processes, and network activation workflows.
* Advanced Excel/Sheets, data visualization tools, or project tracking software.
* Strong vendor management and contract oversight experience.
 **Compensation**
This information reflects the anticipated base salary range for this position based on current national data. Minimums and maximums may vary based on location. Individual pay is based on skills, experience and other relevant factors.
 Location Based Pay Ranges:
$70,000\-$116,000
Forged Fiber offers a comprehensive package featuring a broad range of Health, Life, Voluntary Lifestyle benefits and other perks that enhance your physical, mental, emotional and financial wellbeing.
 **What to Expect Next**
**Background Screening**
If you are selected for a position, there will be a background screen, which may include checks for criminal records and/or motor vehicle reports and/or drug screening, depending on the position requirements.
Forged Fiber 37 Services, LLC participates in E‑Verify and will provide the federal government with your Form I‑9 information to confirm that you are authorized to work in the United States. Employers can only use E‑Verify once you have accepted a job offer and completed the Form I‑9\.
**Equal Employment Opportunities**
It is the policy of Forged Fiber to provide equal employment opportunity (EEO) to all persons regardless of age, color, national origin, citizenship status, physical or mental disability, race, religion, creed, gender, sex, sexual orientation, gender identity and/or expression, genetic information, martial status, status with regard to public assistance, veteran status, or any other characteristic protected by federal, state, or local law. We do not tolerate unlawful discrimination in any employment decisions, including recruiting, hiring, compensation, promotion, benefits, discipline, termination, job assignments or training. In addition, Forged Fiber will provide reasonable accommodations for qualified individuals with disabilities, and is a fair change employer and does not initiate a background check until after an offer is made.
 **© 2026 Forged Fiber 37 Services, LLC**</t>
        </is>
      </c>
    </row>
    <row r="58">
      <c r="A58" t="inlineStr">
        <is>
          <t>in-bb6a5033afa8e9fc</t>
        </is>
      </c>
      <c r="B58" t="inlineStr">
        <is>
          <t>Program Manager</t>
        </is>
      </c>
      <c r="C58" t="inlineStr"/>
      <c r="D58" t="inlineStr">
        <is>
          <t>indeed</t>
        </is>
      </c>
      <c r="E58" t="inlineStr"/>
      <c r="F58" t="inlineStr"/>
      <c r="G58" t="inlineStr">
        <is>
          <t>Danville, VA, US</t>
        </is>
      </c>
      <c r="H58" s="1" t="n">
        <v>46071</v>
      </c>
      <c r="I58" t="inlineStr">
        <is>
          <t>**Program Manager – Electronics Manufacturing Services (EMS)**
**Drive Success at the Intersection of Technology and Customer Excellence**
As a Program Manager in our dynamic Electronics Manufacturing Services (EMS) environment, you'll be the vital bridge between our valued customers and our expert internal teams. This influential role puts you at the center of exciting technology projects, where you'll orchestrate the successful delivery of electronic products from concept to completion. You'll have the opportunity to build meaningful client relationships while leveraging your technical expertise and leadership skills to drive operational excellence.
**Key Responsibilities:**
* Be the main contact for EMS customer accounts, maintaining strong relationships throughout the product lifecycle.
* Lead programs from New Product Introduction through production and ongoing support.
* Work with internal teams to meet production schedules and quality standards.
* Manage build plans and materials to ensure on\-time delivery.
* Lead Customer Focus Team meetings to align resources and address program needs.
* Track and report key metrics including delivery, cost, quality, and customer satisfaction.
* Manage excess inventory, support forecasting, and reduce supply chain risks.
* Oversee change management processes and cross\-functional communication.
* Support financial forecasting, backlog management, and monitor AR and tariffs.
* Organize Quarterly Business Reviews with customers to evaluate performance and find growth opportunities.
* Identify additional sales opportunities within existing accounts.
* Work with sales to develop proposals, quotes, and program expansions.
* Lead continuous improvement initiatives to enhance value and reduce costs.
**Why You'll Thrive in This Role:**
This position offers a perfect blend of technical challenge, client relationship building, and strategic business impact. You'll have the opportunity to work with cutting\-edge electronic products while developing valuable skills in project management, customer service, and cross\-functional leadership. Your contributions will directly impact both customer satisfaction and company growth.
**Qualifications and Experience:**
* Bachelor's degree in Engineering, Business, Supply Chain, or related field, preferred.
* 1 \+ years of experience in program management. EMS or electronics manufacturing environment, preferred.
* Strong knowledge of PCBA, box build, and electronic product lifecycles, preferred.
* Proven ability to manage cross\-functional projects and communicate effectively with both technical and non\-technical stakeholders.
* Familiarity with ERP and CRM systems and advanced skills in Microsoft Excel and PowerPoint.
* Understanding of sales processes, value propositions, and account development strategies.
* Strong interpersonal, negotiation, and communication skills.
* Experience with Lean, Six Sigma, or continuous improvement tools is a plus.
* Working knowledge of quality standards like ISO 9001, ISO 13485, IPC\-A\-610, or AS9100, ITAR, ROHS, preferred.
**We Value Potential and Drive:**
While experience in electronics manufacturing is beneficial, we are willing to train the right person who demonstrates exceptional drive, adaptability, and eagerness to learn a new industry. If you have transferable program management skills and a passion for technology, we encourage you to apply.
**Work Environment:**
* Primarily office\-based with regular interaction on the manufacturing floor
* Occasional travel to customer sites or global EMS facilities.
* Flexibility required for meetings across multiple time zones.
* 9/80 schedule, enjoy every other Friday off for enhanced work\-life balance
**Location:** Danville, Virginia 24540
**Comprehensive Benefits Package:**
Excellent Health Benefits, including dental and vision: zero waiting period  
401K and company matching: no vesting period  
Health Savings Account/Flexible Spending Account  
Basic Life, AD\&amp;D and Disability Insurance  
PTO – 15 days/annual  
Paid Holidays – 10 days/annual  
Tuition Reimbursement  
Employee Assistance Program  
Employee Discounts</t>
        </is>
      </c>
    </row>
    <row r="59">
      <c r="A59" t="inlineStr">
        <is>
          <t>in-e44015d8302a28d7</t>
        </is>
      </c>
      <c r="B59" t="inlineStr">
        <is>
          <t>Program Manager</t>
        </is>
      </c>
      <c r="C59" t="inlineStr">
        <is>
          <t>Nexagen Networks, Inc.</t>
        </is>
      </c>
      <c r="D59" t="inlineStr">
        <is>
          <t>indeed</t>
        </is>
      </c>
      <c r="E59" t="inlineStr"/>
      <c r="F59" t="inlineStr"/>
      <c r="G59" t="inlineStr">
        <is>
          <t>Hanover, MD, US</t>
        </is>
      </c>
      <c r="H59" s="1" t="n">
        <v>46071</v>
      </c>
      <c r="I59" t="inlineStr">
        <is>
          <t>**Program Manager**
**Security Clearance Requirement:** **Current and Active Top Secret Clearance is required**
As the Program Manager, you will join a high\-performing team dedicated to excellence, innovation, and mission\-critical support. At Nexagen, you will drive technological advancements and help secure our nation’s future. With outstanding benefits and unparalleled growth prospects, you will thrive in our collaborative and innovative **environment.** Leverage over two decades of industry expertise to drive transformative innovation and deliver exceptional services across diverse government sectors.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 **Job Description**
We’re Growing in Maryland!
Nexagen Networks is proud to announce the expansion of our cleared operations footprint with the opening of a new office location in Frederick. As we continue supporting the United States Army and Joint missions across the Fort Detrick / Fort Meade corridor, we are growing our team of cleared professionals across engineering, cybersecurity, program management, logistics, and mission support disciplines.
Our Frederick location will serve as a collaborative hub supporting programs operating in the Fort Detrick and Hanover / Fort Meade region, offering proximity to customer sites while providing flexibility for our cleared workforce.
As a Program Manager, you will lead the planning, execution, and oversight of complex Government programs supporting mission\-critical operations. You will work closely with Government stakeholders, technical teams, and program personnel to ensure the successful delivery of program objectives within scope, schedule, and budget while maintaining compliance with contract requirements and operational mission needs.
### **Position Responsibilities**
* Lead end\-to\-end program management for complex, mission\-critical Government programs, including budget, schedule, trade\-off analysis, lifecycle cost, risk management, and requirements development
* Develop and maintain Strategy Reports, the Performance Work Statement (PWS), and Contract Data Requirements Lists (CDRLs)
* Assess program procedures, practices, and documentation for compliance with contract specifications and operational mission requirements
* Serve as the primary interface between Government stakeholders and Contractor teams, coordinating technical direction, tasking, and schedule changes across multidisciplinary efforts
* Serve as the focal point working with the assigned COR, and maintain detailed knowledge of all daily activities associated with the PWS
* Maintain weekly\-updated SharePoint repositories supporting secure program execution, including third\-party support agreements and equipment/software warranties
* Issue formal expiration notices at 120\-, 60\-, and 30\-day intervals for agreements and warranties
* Track program finances and material execution using SharePoint\-based tools, including material CLIN purchases, WBS tracking, schedules, staffing, invoices, risks, and available funding
* Receive and manage SETA\-related complaints and notify the Contracting Officer (KO) and COR of serious, sensitive, or EEO\-related matters
* Designate and oversee an alternate Program Manager to ensure continuity of operations
### **Qualifications**
* Minimum of 10 years of experience managing Government programs
* At least five years of experience in a supervisory capacity, managing and supervising personnel
* Experience managing Contractor or Government teams, including requirements analysis, project costing, deliverable tracking, and schedule/financial data monitoring
* MA/MS/MBA from an accredited college or university in Business, Accounting, Program Management, Operations Management, or Engineering
* PMP Certification and/or DAWIA Program Management Certification in Program Management
###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our customers’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t>
        </is>
      </c>
    </row>
    <row r="60">
      <c r="A60" t="inlineStr">
        <is>
          <t>in-5a17ffc36a79f238</t>
        </is>
      </c>
      <c r="B60" t="inlineStr">
        <is>
          <t>Sr. Network Implementation Program Manager- Phoenix, Mesa, Tucson AZ</t>
        </is>
      </c>
      <c r="C60" t="inlineStr"/>
      <c r="D60" t="inlineStr">
        <is>
          <t>indeed</t>
        </is>
      </c>
      <c r="E60" t="inlineStr"/>
      <c r="F60" t="inlineStr"/>
      <c r="G60" t="inlineStr">
        <is>
          <t>Remote, US</t>
        </is>
      </c>
      <c r="H60" s="1" t="n">
        <v>46071</v>
      </c>
      <c r="I60" t="inlineStr">
        <is>
          <t>**About Forged Fiber**
At Forged Fiber, our mission is bold but simple: deliver fast, reliable, future\-proof connectivity that builds the foundation for everything online. As we execute, we believe the right way to do something is the only way. This foundation guides how the company builds, operates, and maintains a state\-of\-the\-art open\-access fiber network platform that empowers millions.
Forged Fiber is about more than building a network. It is about people. Every role matters. Every contribution counts. Together, employees create impact through teamwork, trust, and a shared commitment to excellence.
**The Role**
We are seeking a highly experienced Network Implementation Program Manager to provide strategic leadership and end‑to‑end oversight of large‑scale, complex telecommunications deployment programs. This senior\-level role is responsible for driving execution excellence, ensuring delivery quality, and influencing cross‑functional alignment across engineering, construction, operations, vendors, and external partners.
The ideal candidate is a strategic thinker with deep technical implementation expertise, exceptional cross\-functional leadership skills, and the ability to anticipate risks, resolve issues, and drive continuous improvement across all phases of network deployment.
 **The Main Responsibilities**
Strategic Project \&amp; Program Leadership:
* Lead and oversee major deployment programs, ensuring accurate milestone tracking, reporting, and alignment to organizational goals.
* Manage multiple complex programs concurrently with a strong focus on 0–180‑day forecasting, capacity planning, and delivery readiness.
* Serve as the lead for the Construction NIPM and Project Coordinator Team, providing guidance, workflow alignment, and escalation support across day‑to‑day operations.
* Support team members through OTJ training, including print reading, civil permit interpretation, and process/procedure clarification.
* Serve as the daily point of contact for the LE contractor, addressing field questions, technical clarifications, and operational concerns to ensure smooth execution.
* Drive program closeouts, ensuring quality validation, documentation completeness, and operational readiness.
Risk Mitigation, Issue Resolution \&amp; Escalation:
* Proactively identify program‑level risks and systemic gaps across engineering, construction, supply chain, and vendor operations.
* Develop and execute mitigation strategies, assign action ownership, and ensure timely follow\-through.
* Provide leadership‑ready escalations supported by analytics, data insights, and impact assessments.
Quality Assurance \&amp; Technical Oversight:
* Ensure all deliverables meet engineering, construction, and operational quality standards.
* Monitor program quality metrics, vendor performance, SLA compliance, and operational readiness.
* Validate the accuracy and completeness of data and deliverables from vendors and internal/external partners.
Advanced Reporting, Forecasting \&amp; Analytics:
* Maintain accurate, real‑time program data across systems and dashboards, ensuring reporting accuracy and integrity.
* Deliver strategic forecasting for resources, timelines, risks, and performance across a 0–180‑day horizon.
* Produce executive‑level reports, scorecards, and insights that support strategic decision\-making.
Process Optimization \&amp; Operational Excellence:
* Identify systemic process gaps and drive high‑impact improvements across engineering, construction, deployment, and operations.
* Influence cross\-functional teams to enhance workflows, handoffs, SLAs, and data quality standards.
* Champion continuous learning and standardization of engineering, construction, and deployment methodologies and tools.
 **What We Look For in a Candidate**
Forged Fiber’s culture is built on honesty, respect, trust, transparency, and a growth mindset. We strive to treat people as they want to be treated, and to operate with consistency, integrity, customer obsession, and courage. We’re looking for top tier talent to join Forged Fiber that can help us bring this mindset to our everyday work and deliver meaningful results.
**Qualifications**
* 7\+ years of experience in telecommunications, network deployment, or large‑scale technical program management.
* Bachelor’s Degree required; Master’s Degree preferred.
* Deep understanding of wireless/wireline engineering, network design, construction, and activation lifecycles.
* Demonstrated success leading complex deployment programs in fast‑paced, cross‑functional environments.
* Expertise in milestone management, forecasting, vendor oversight, quality control, and operational reporting.
* Excellent leadership, communication, analytical, and organizational skills.
* Ability to synthesize complex information and influence stakeholders at all levels.
* Proficiency with project/program management tools, dashboards, and data systems.
 **Preferred Skills**
* Experience with large carriers, fiber deployment programs, wireless networks, or infrastructure service providers.
* Strong understanding of engineering SLAs, construction processes, utility coordination, and activation workflows.
* Advanced proficiency with Excel/Sheets, visualization tools, and project tracking systems.
* Extensive vendor management experience, including contract oversight, performance governance, and relationship management.
 **Compensation**
This information reflects the anticipated base salary range for this position based on current national data. Minimums and maximums may vary based on location. Individual pay is based on skills, experience and other relevant factors.
 Location Based Pay Ranges:
$83,000\-$138,000
Forged Fiber offers a comprehensive package featuring a broad range of Health, Life, Voluntary Lifestyle benefits and other perks that enhance your physical, mental, emotional and financial wellbeing.
 **What to Expect Next**
**Background Screening**
If you are selected for a position, there will be a background screen, which may include checks for criminal records and/or motor vehicle reports and/or drug screening, depending on the position requirements.
Forged Fiber 37 Services, LLC participates in E‑Verify and will provide the federal government with your Form I‑9 information to confirm that you are authorized to work in the United States. Employers can only use E‑Verify once you have accepted a job offer and completed the Form I‑9\.
This role is pre‑designated as safety‑sensitive under applicable state laws due to routine work at heights, near utilities, and around live traffic, where impairment poses a significant safety risk.
**Equal Employment Opportunities**
It is the policy of Forged Fiber to provide equal employment opportunity (EEO) to all persons regardless of age, color, national origin, citizenship status, physical or mental disability, race, religion, creed, gender, sex, sexual orientation, gender identity and/or expression, genetic information, martial status, status with regard to public assistance, veteran status, or any other characteristic protected by federal, state, or local law. We do not tolerate unlawful discrimination in any employment decisions, including recruiting, hiring, compensation, promotion, benefits, discipline, termination, job assignments or training. In addition, Forged Fiber will provide reasonable accommodations for qualified individuals with disabilities, and is a fair change employer and does not initiate a background check until after an offer is made.
 **© 2026 Forged Fiber 37 Services, LLC**</t>
        </is>
      </c>
    </row>
    <row r="61">
      <c r="A61" t="inlineStr">
        <is>
          <t>in-f7aa09510e1630c0</t>
        </is>
      </c>
      <c r="B61" t="inlineStr">
        <is>
          <t>Global Product Manager, Mapping - EP</t>
        </is>
      </c>
      <c r="C61" t="inlineStr">
        <is>
          <t>Abbott</t>
        </is>
      </c>
      <c r="D61" t="inlineStr">
        <is>
          <t>indeed</t>
        </is>
      </c>
      <c r="E61" t="inlineStr"/>
      <c r="F61" t="inlineStr"/>
      <c r="G61" t="inlineStr">
        <is>
          <t>Saint Paul, MN, US</t>
        </is>
      </c>
      <c r="H61" s="1" t="n">
        <v>46071</v>
      </c>
      <c r="I6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**Global Product Manager, Mapping \- EP**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position works out of our St. Paul, MN location in the Electrophysiology division.
In Abbott’s Electrophysiology (EP) business, we’re advancing the treatment of heart disease through breakthrough medical technologies in atrial fibrillation, allowing people to restore their health and get on with their lives.
The **Global Product Manager, Mapping** is globally responsible for serving as a key contributor of the overall commercialization effort for the EnSite X EP System and software. providing guidance and support on related product development activities (defining requirements), market development activities, and collaboration with global sales/marketing teams. This position has responsibility for leading early phase product planning activities including business justification, executing and managing implementation of commercial strategies and development and execution of product commercialization plans. The incumbent in this position will be regarded as a deep technical expert related to assigned product(s)/product lines with broad knowledge of related fields.
**What You’ll Work On**
* Develops analysis around the competitive environment and clearly defines product positioning, key issues, strategies, and target audiences for assigned product(s)/product lines.
* Collaborates with marketing colleagues on integrated marketing business plan deliverables for assigned programs.
* Partners with marketing colleagues to shape customer requirements for related products.
* Serves as leader of physician product planning advisory board for assigned product(s)/product lines.
* Works with marketing communications to support development of launch materials, product literature, and any other collateral material required to support sales and key marketing messages.
* Development and execution of the marketing plan.
* This includes definition of and segmentation of the market, targeting and positioning, and all aspects of the marketing mix (product, place/distribution, price, and integrated marketing/promotion).
* Develops product marketing bulletins on new and current products. Provides communication to sales team on market released products.
* Conducts product overviews for physician and sales reps.
* Presents product and marketing plans to internal management.
* Drives market development activities through establishment of best practices and development of tools to raise awareness of the benefits of assigned product(s)/product lines.
* Builds strong relationships with global teams to ensure successful launch of new sites / new products and collaborates to ensure launch of new sales enablement tools and collaborate to ensure launch of new sales enablement tools.
* Works with market research to collect all limited market release survey data and shares results regularly with management.
* Builds strong relationships with leading KOL’s around the world.
* Complies with U.S. Food and Drug Administration (FDA) regulations, other regulatory requirements, Company policies, operating procedures, processes, and task assignments. Maintains positive and cooperative communications and collaboration with all levels of employees, customers, contractors, and vendors.
**Required Qualifications**
* Bachelors’ degree.
* Minimum 3\+ years’ experience working in healthcare, life sciences, or technology\-based products.
* 2\+ years minimum of marketing experience.
* Experience working with complex product portfolios in the medical device industry.
* Experience with strategic product planning and commercial execution.
* Demonstrated leadership skills/experience, including the ability to map task interdependencies, prioritize such tasks, and develop, monitor and live within budgets as well as the demonstrated ability to forecast major milestones.
* Understanding of both the technology and capabilities of the Division’s products, market and customer dynamics, and functional operations across departments.
* Experience working in a broader enterprise/cross\-division business unit model preferred. Ability to work in a highly matrixed and geographically diverse business environment.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Position requires an understanding of both the technology and capabilities of the Division’s products, market and customer dynamics, and functional operations across departments.
* Additionally, the successful candidate will exhibit: Positive attitude, Leadership, Desire and ability to lead the organization to ensure goals achievement
* Excellent verbal, written, and presentation/communication skills
* Have a deep understanding of the complexities of diagnostics market and customer needs
* Ability to develop, rationalize, and present strategy
* Strong analytical and computer skills, with working knowledge of financial models
* Strong work ethic, self\-motivation, and resourcefulness
* Strong organizational and follow\-up skills, as well as attention to detail
* Ability to travel up to 30%, including internationally
**Preferred Qualifications**
* MBA preferred.
* Experience working in a broader enterprise/cross\-division business unit model preferred. Ability to work in a highly matrixed and geographically diverse business environment.
* Ability to work within a team and as an individual contributor in a fast\-paced, changing environment. Ability to leverage and/or engage others to accomplish projects.
* Strong verbal and written communications with ability to effectively communicate at multiple levels in the organization.
* Ability to multitask, prioritize and meet deadlines in timely manner.
* Exhibit: Positive attitude, leadership, desire and ability to lead the organization to ensure goals achievement, deep understanding of the complexities of market and customer needs, ability to develop, rationalize, and present strategy, strong analytical and computer skills, with working knowledge of financial models, strong work ethic, self\-motivation, and resourcefulness.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$99,300\.00 – $198,700\.00\. In specific locations, the pay range may vary from the range posted.</t>
        </is>
      </c>
    </row>
    <row r="62">
      <c r="A62" t="inlineStr">
        <is>
          <t>in-cdf1461335978fcc</t>
        </is>
      </c>
      <c r="B62" t="inlineStr">
        <is>
          <t>Product Manager</t>
        </is>
      </c>
      <c r="C62" t="inlineStr">
        <is>
          <t>UL Solutions</t>
        </is>
      </c>
      <c r="D62" t="inlineStr">
        <is>
          <t>indeed</t>
        </is>
      </c>
      <c r="E62" t="inlineStr"/>
      <c r="F62" t="inlineStr"/>
      <c r="G62" t="inlineStr">
        <is>
          <t>Northbrook, IL, US</t>
        </is>
      </c>
      <c r="H62" s="1" t="n">
        <v>46071</v>
      </c>
      <c r="I62" t="inlineStr">
        <is>
          <t>The Product Manager leads the definition and execution of roadmap priorities by partnering closely with Engineering, Operations, Sales, Marketing, Quality, and external industry stakeholders. Success in this role requires strong market knowledge of building products and construction systems, disciplined P\&amp;L and margin management, and the ability to translate strategy into scalable, revenue‑producing programs delivered through cross‑functional leadership.
**Strategy, Roadmap \&amp; Revenue Growth**
* Develop and own a clear product and service roadmap aligned to business strategy, technology investments, and market demand, with a direct focus on revenue growth and profitability.
* Identify, prioritize, and execute revenue‑generating initiatives across new services, service line extensions, and lifecycle optimization opportunities to meet Vitality Index (NPVI) KPI
* Lead business case development for organic growth initiatives, including market sizing, revenue forecasts, cost structures, and margin impact.
* Translate market and customer insights into actionable decisions that balance near‑term revenue delivery with long‑term strategic growth.
**P\&amp;L Ownership \&amp; Profitability Management**
* Own and manage product and service profitability, including pricing strategy, margin levers, cost drivers, and investment tradeoffs.
* Define pricing and competitive positioning strategies based on North American market dynamics, customer value, and competitive benchmarks.
**Cross‑Functional Program Execution**
* Lead cross‑functional teams (Engineering, Operations, Sales, Marketing, Quality, Client Services) to execute roadmap initiatives from concept through launch and scale.
* Drive disciplined execution of programs, ensuring on‑time, on‑budget delivery while meeting defined revenue and profitability targets.
* Serve as the single point of accountability for project outcomes, aligning stakeholders around priorities, tradeoffs, and execution plans.
**Market, Customer \&amp; Industry Leadership**
* Apply deep knowledge of the building products, construction materials and systems market in North America to inform strategy and investment decisions.
* Engage directly with customers, specifiers, regulators, trade associations, and industry stakeholders to identify unmet needs and emerging opportunities.
* Partner with Sales to support customer discovery, value articulation, and commercialization of new and existing services.
* Conduct Voice of Customer (VOC) gathering and analysis to address opportunities in the market and eco\-system needs
**Go‑to‑Market \&amp; Commercial Enablement**
* Define and execute go‑to‑market strategies for new services, including value proposition, target segments, pricing, and launch plans.
* Enable Sales and Commercial teams with training, tools, collateral, and messaging to support successful revenue adoption.
* Track post‑launch performance and continuously optimize offerings based on market response and financial outcomes.
* 5–7\+ years of product management, product strategy, or new business development experience with direct revenue and P\&amp;L accountability.
* Demonstrated experience developing and executing product roadmaps tied to revenue growth and margin improvement.
* 5–7\+ years at manufacturer or TIC services. Strong understanding of building products, construction materials, or building systems markets in North America.
* Proven ability to lead cross‑functional teams and execute complex programs in a matrixed organization.
* Bachelor’s degree in engineering, business, or related field (or equivalent experience).
* Ability to travel up to \~15% domestically.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offer:**
We understand compensation is an important factor as you consider the next step in your career. The estimated salary range for this position is $130,000\. to $145,000\.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8/18/2026\.
\#LI\-JK3
\#LI\-Hybrid</t>
        </is>
      </c>
    </row>
    <row r="63">
      <c r="A63" t="inlineStr">
        <is>
          <t>in-eee2a9c5c569fca3</t>
        </is>
      </c>
      <c r="B63" t="inlineStr">
        <is>
          <t>EEO and Diversity Program Manager (Diversity Program Manager)</t>
        </is>
      </c>
      <c r="C63" t="inlineStr">
        <is>
          <t>City University of New York</t>
        </is>
      </c>
      <c r="D63" t="inlineStr">
        <is>
          <t>indeed</t>
        </is>
      </c>
      <c r="E63" t="inlineStr"/>
      <c r="F63" t="inlineStr"/>
      <c r="G63" t="inlineStr">
        <is>
          <t>New York, NY, US</t>
        </is>
      </c>
      <c r="H63" s="1" t="n">
        <v>46071</v>
      </c>
      <c r="I63" t="inlineStr">
        <is>
          <t>EEO and Diversity Program Manager (Diversity Program Manager)
**POSITION DETAILS**
The City University of New York (CUNY) is the nation's leading urban public university serving hundreds of thousands of students at 26 colleges and institutions in New York City. Central Office is the system office and administrative unit of CUNY with 10 offices throughout New York City and in Albany. The Central Office Chief Diversity Officer (CDO)/Title IX Coordinator serves as a strategist and partner to Central Office staff to provide counsel on compliance matters involving Equal Employment Opportunity (EEO), sexual harassment, recruitment and hiring, accommodation requests, affirmative action and Diversity, Equity, and Inclusion (DEI). The CDO oversees Central Office investigations in compliance with the requirements of EEO policies. The CDO is also responsible for developing and implementing plans, programs, and activities that educate and motivate the community to hold pluralism and inclusion as core values and foster a climate that respects diversity.
Central Office’s CDO office is seeking an EEO \&amp; Diversity Program Manager. Reporting to the Chief Diversity Officer, this position manages EEO policies, including investigations under Title VI, Title VII, Title IX \- Sexual Harassment Policies, Section 504, and the Americans with Disabilities Act, and initiatives to support CUNY's strong commitment to a diverse and respectful workplace.
Key Responsibilities include but not limited to:
* Oversees investigations related to EEO and Diversity policy violations.
* Manages the interview process of relevant parties to discrimination and harassment complaints including complainants, respondents, witnesses, students, and staff members.
* Analyzes complaints, develops investigative plans, ensures comprehensive fact\-finding efforts are conducted, and assesses evidence.
* Oversees the preparation of relevant correspondence, memoranda, and confidential reports encompassing critical investigative findings.
* Maintains investigative files and data and ensures that records are updated in a timely fashion.
* Ensures compliance with the non\-discrimination policy, including administrating required training and programing.
* Manages the preparation and dissemination of communication related EEO rules, regulations, procedures and guidelines.
* Liaises with Human Resources and Recruitment to ensure the employment process complies with EEO policies, regulations, procedures and guidelines, including tracking required training, analyzing data, and reviewing documents and files.
* Additional duties and responsibilities as assigned.
**QUALIFICATIONS**
Minimum:
Bachelor's degree and six years' related experience required.
Preferred:
The ideal candidate will possess the following knowledge, skills, and abilities:
* Juris Doctor (JD) degree and a minimum of four years of full\-time satisfactory professional experience in one or more of the fields of equal employment opportunity, human rights, community relations, law, social services, education, investigation, human resources or public relations preferred.
* Intermediate to advanced technical skills in managing data, including acquiring and managing data to prepare complex reports and proficiency using administrative or academic programs, systems or databases.
* Understanding of basic workflows related to full\-cycle recruitment and hiring of personnel.
* Experience working in a diversity function with an understanding of the role of Chief Diversity Officers and related challenges of managing programs.
* Detail\-oriented with strong analytical and data integrity skills, critical thinking, and problem\-solving abilities.
**CUNY TITLE OVERVIEW**
Manages diversity policies, procedures, and initiatives to support CUNY's strong commitment to a diverse and respectful workplace.
* Oversees the implementation, administration, and communication of diversity programs
* Collaborates with the college Chief Diversity Officer and campus management to develop and implement programs, prepare plans and reports, perform internal compliance audits, and resolve questions and concerns
* Prepares and trains on CUNY compliance mandates and relevant city, state, and federal statutes such as Title VII, Title IX (Sexual Harassment Policies), Section 504, and the Americans with Disabilities Act
* Collects, analyzes, and prepares reports, identifying and presenting findings, patterns and trends, and recommending college policy and procedural changes
* Performs related duties as assigned.
**CUNY TITLE**
Higher Education Associate
**FLSA**
Exempt
**COMPENSATION AND BENEFITS**
The salary range is **$102,408 to $113,982** , commensurate with credentials, education, and experience.
**CUNY is in the process of implementing salary schedule increases. Once implemented, salaries of eligible employees will be adjusted by 3\.5% effective 9/1/26, in accordance with the terms of the PSC\-CUNY collective bargaining agreement.**
CUNY's benefits contribute significantly to total compensation, supporting health and wellness, financial well\-being, and professional development. We offer a range of health plans, competitive retirement/pension benefits and savings plans, tuition waivers for CUNY graduate study and generous paid time off. Our staff also benefits from the extensive academic, arts, and athletic programs on our campuses and the opportunity to participate in a lively, diverse academic community in one of the greatest cities in the world.
**HOW TO APPLY**
For full consideration, submit a cover letter and resume online via CUNY's web\-based job system, addressing how your experience and credentials meet the responsibilities and qualifications outlined.
The direct link to the job opening from external sources is:
https://hrsa.cunyfirst.cuny.edu/psc/erecruit/EMPLOYEE/HRMSCG/c/HRS\_HRAM\_FL.HRS\_CG\_SEARCH\_FL.GBL?Page\=HRS\_APP\_JBPST\_FL\&amp;Action\=U\&amp;FOCUS\=Applicant\&amp;SiteId\=1\&amp;JobOpeningId\=31779\&amp;PostingSeq\=1
Current CUNY employees must apply through CUNYfirst Employee Self Service using their login credentials. After you login, click the Careers tile on the Employee Self Service Menu page to view job openings
**CLOSING DATE**
March 09, 2026\.
**JOB SEARCH CATEGORY**
CUNY Job Posting: Managerial/Professional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**Job ID:** 31779
**Location:** Central Office
**Job Type:** Full\-Time</t>
        </is>
      </c>
    </row>
    <row r="64">
      <c r="A64" t="inlineStr">
        <is>
          <t>in-c946c5abc8183abf</t>
        </is>
      </c>
      <c r="B64" t="inlineStr">
        <is>
          <t>HR Diversity Program Manager – Lead Investigator</t>
        </is>
      </c>
      <c r="C64" t="inlineStr">
        <is>
          <t>City University of New York</t>
        </is>
      </c>
      <c r="D64" t="inlineStr">
        <is>
          <t>indeed</t>
        </is>
      </c>
      <c r="E64" t="inlineStr"/>
      <c r="F64" t="inlineStr"/>
      <c r="G64" t="inlineStr">
        <is>
          <t>New York, NY, US</t>
        </is>
      </c>
      <c r="H64" s="1" t="n">
        <v>46071</v>
      </c>
      <c r="I64" t="inlineStr">
        <is>
          <t>HR Diversity Program Manager – Lead Investigator
**POSITION DETAILS**
**ABOUT JOHN JAY COLLEGE**
John Jay College of Criminal Justice, an internationally recognized leader in educating for justice, is a senior college of the City University of New York (CUNY) led by President Karol V. Mason. John Jay is a federally designated Hispanic\-serving and Minority\-serving institution. It is ranked third in the nation in Black student success and it is a top ten institution for promoting student social mobility. John Jay is proud to serve a diverse and dynamic student body of more than 15,000 students on our primarily commuter campus. Our student body includes nearly fifty percent students who are first in their family to attend college as well as students who are immigrants, from low\-income families, and other historically underrepresented groups.
A Carnegie designated Research Institution, the College participates in the Macaulay Honors College and doctoral programs of the Graduate Center of the City University of New York. It offers bachelor’s and master’s degrees in traditional criminal justice\-related fields of study as well as in a robust portfolio of liberal arts and sciences programs that highlight themes of justice across the arts, sciences, humanities, and social sciences. John Jay College seeks staff and faculty members who thrive in multicultural academic environments and are committed to access and excellence in higher education.
**POSITION OVERVIEW**
John Jay College of Criminal Justice is seeking a highly qualified and skilled Title IX/EEO Lead Investigator to join our team. This pivotal role will report to the Director of Compliance and Diversity/Title IX Coordinator, collaborating closely with campus partners including the offices of Public Safety, Student Affairs, Human Resources, Legal Affairs/Labor Designee and Academic Affairs. The Lead Investigator will investigate and help ensure timely resolution of assigned reports concerning sex\-based misconduct, retaliation, and discrimination within the College community. The Lead Investigator will support outreach, conduct case intakes, implement supportive measures, and conduct prompt, thorough, and impartial investigations in response to complaints filed with the Office of Legal Counsel. Additionally, the Investigator will provide detailed, unbiased reports that may inform disciplinary action or proceedings at the College. Along with the other members of the team, the lead investigator will develop, assist and participate in trainings to educate the College community on policy, laws and regulations, as well as reporting obligations.
The preferred candidate will have the following:
* Knowledge of or professional experience conducting internal investigations related to discrimination, retaliation and/or sex\-based misconduct allegations in a higher\-education setting or other related field. Proven experience in processing reports and complaints in a higher education setting, particularly related to Title IX, Title VI, Title VII, as well as Section 504, ADA and EEO matters.
* Experience in developing and presenting educational programs on topics such as sex\-based harassment, discrimination, retaliation, and diversity.
* Excellent judgment with the ability to manage highly sensitive and confidential information discreetly. Demonstrated experience in problem\-solving, planning, organizing work, and effectively communicating both orally and in writing.
* Comfortable learning new technologies and utilizing various programs and systems to perform job functions. Maintain proficiency in using legal research databases, office management software, case management, document and incident tracking software.
* Ensure that investigations are conducted in a timely, fair, and equitable manner, while maintaining confidentiality and privacy for all involved parties.
* Maintain accurate and detailed records of investigations, including interviews, evidence, findings, and the final resolution or recommendation.
* Ensure that all necessary documentation is properly archived in compliance with institutional policies and federal regulations.
* Track and monitor reports, the status of investigations, ensuring compliance with timelines and procedural requirements.
* Ability to manage and navigate conflict, including interactions with individuals experiencing high levels of stress or emotion.
* Ability to work independently and efficiently while balancing multiple responsibilities, as well as a desire to work actively and creatively as part of a team.
* Demonstrated expertise in applying relevant federal, state, and local laws, including Title IX, Title VI, Title VII, Section 504, ADA, the Clery Act, VAWA, EIE, and FERPA.
* Strong skills in conflict resolution, problem\-solving, interviewing, and conducting thorough investigations.
* Excellent analytical skills with the ability to assess and negotiate complex, highly sensitive situations, facilitating resolution while maintaining confidentiality.
* Exceptional interpersonal skills, including the ability to listen actively and demonstrate sensitivity to individual needs and diverse populations.
* Ability to maintain neutrality and professionalism while working in a fast\-paced environment and across multiple constituencies to resolve complaints sensitively.
* Demonstrated commitment to working with and for diverse, multicultural populations, promoting equity and inclusion in all initiatives.
**This position is excluded from union representation.**
**QUALIFICATIONS**
Bachelor's degree and six years' related experience required.
**PREFERRED QUALIFICATIONS**
A preferred candidate should have:
* Juris Doctor (J.D.) and two years of experience conducting investigations or interviewing clients in a legal or advocacy\-oriented capacity of any kind.
* Two years of Diversity, Equity, and Inclusion experience.
* Two years of professional experience investigating Title VI, Title VII, Title IX, or ADA complaints; may serve as a substitute for investigatory experience (i.e. litigation experience, HR investigatory experience).
**CUNY TITLE OVERVIEW**
Manages diversity policies, procedures, and initiatives to support CUNY's strong commitment to a diverse and respectful workplace.
* Oversees the implementation, administration, and communication of diversity programs
* Collaborates with the college Chief Diversity Officer and campus management to develop and implement programs, prepare plans and reports, perform internal compliance audits, and resolve questions and concerns
* Prepares and trains on CUNY compliance mandates and relevant city, state, and federal statutes such as Title VII, Title IX (Sexual Harassment Policies), Section 504, and the Americans with Disabilities Act
* Collects, analyzes, and prepares reports, identifying and presenting findings, patterns and trends, and recommending college policy and procedural changes
* Performs related duties as assigned.
**CUNY TITLE**
Higher Education Associate
**FLSA**
Exempt
**COMPENSATION AND BENEFITS**
$94,909 \- $113,982
Salary commensurate with education and experience.
CUNY's benefits contribute significantly to total compensation, supporting health and wellness, financial well\-being, and professional development. We offer a range of health plans, competitive retirement/pension benefits and savings plans, tuition waivers for CUNY graduate study and generous paid time off. Our staff also benefits from the extensive academic, arts, and athletic programs on our campuses and the opportunity to participate in a lively, diverse academic community in one of the greatest cities in the world.
**HOW TO APPLY**
If you are viewing the job posting on John Jay College website or in CUNYFirst, please select the "Apply Now" button. If you are viewing he job posting on any other website, please follow the instructions below:
* Go to www.cuny.edu and click on "Employment"
* Click "Search job listing"
* Click on "More options to search for CUNY jobs"
* Search by Job Opening ID 31707
* Click on the "Apply Now" and follow the instructions.
Once you have registered or logged in with your user name and password, upload your cover letter, resume, and the names and contact information of three professional references as one document.
**CLOSING DATE**
The posting closes on February 24, 2026\.
**JOB SEARCH CATEGORY**
CUNY Job Posting: Managerial/Professional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**Job ID:** 31707
**Location:** John Jay College
**Job Type:** Full\-Time</t>
        </is>
      </c>
    </row>
    <row r="65">
      <c r="A65" t="inlineStr">
        <is>
          <t>in-c46779b98e16b5fd</t>
        </is>
      </c>
      <c r="B65" t="inlineStr">
        <is>
          <t>Product Manager</t>
        </is>
      </c>
      <c r="C65" t="inlineStr">
        <is>
          <t>AMETEK</t>
        </is>
      </c>
      <c r="D65" t="inlineStr">
        <is>
          <t>indeed</t>
        </is>
      </c>
      <c r="E65" t="inlineStr"/>
      <c r="F65" t="inlineStr"/>
      <c r="G65" t="inlineStr">
        <is>
          <t>Horsham, PA, US</t>
        </is>
      </c>
      <c r="H65" s="1" t="n">
        <v>46071</v>
      </c>
      <c r="I65" t="inlineStr">
        <is>
          <t>**Location:**Horsham, PA, US, 19044
**Business Unit:** Sensor, Test \&amp; Calibration
**Posting Date:** Feb 19, 2026
**Job Description:**The Factory Automation Product Manager owns the strategy, growth, and lifecycle management of the GEMCO and CATRAC product lines, with opportunities to support HUNTER product line growth. This role drives revenue, profitability, and market expansion through cross‑functional collaboration, new product development, and customer engagement.  
**Key Responsibilities**
* Serve as the product expert, providing commercial guidance across the organization.
* Oversees performance of the multi‑product portfolio including budgeting, forecasting and execution.
* Owns and maintains the product strategy for the product line.
* Develops long‑range roadmaps aligned to industry trends and customer need.
* Conducts market research, competitive analysis, and identify new vertical and channel opportunities.
* Leads kickoff process for new NPD launches including VOC, roadmap definition, business cases, forecasts, and launch execution.
* Interfaces with customers, sales, and partners.
* Provides technical presentations, Marketing collateral and training.
* Partners with engineering, operations, and leadership.
* Generate new business via eCommerce, OEMs, distributors, customized solutions, and strategic partnerships
* Travel up to 35%, domestic and international
**Qualifications**
* Bachelor’s degree in business or a technical field, or equivalent experience
* 5\+ years in product management, technical sales, or account management (manufacturing preferred)
* Strong customer\-facing communication and presentation skills
* Previous experience with selling with OEMs and distributors preferred
* Ability to interpret technical drawings and BOMs
* Ability to analyze costing and margin to establish pricing
* Experience generating and presenting monthly forecasts and contributing to yearly budgeting
* Data\-driven, organized, and adaptable in a fast\-paced environment
* Proficient in MS Office; experience with ERP (Oracle) and CRM (Salesforce) preferred
* Self\-motivated with strong interpersonal and organizational skills
**\#CareForTomorrow**  
At AMETEK STC we believe in building a sustainable future for our customers, colleagues, suppliers, and the communities in which we operate. We take an active role in promoting real change, by contributing to a healthy, fair, and sustainable society in many of the countries our facilities are located. We call it \#CareForTomorrow!  
https://www.ametekSTC.com/about\-us/carefortomorrow
Compensation
**Employee Type:** Salaried
**Salary Minimum:** $80,000
**Salary Maximum:** $120,000
**Incentive:** Yes
Disclaimer: Where a specific pay range is noted, it is a good faith estimate at the time of this posting. The actual salary offered will be based on experience, skills, qualifications, market / business considerations, and geographic location.
For more information on AMETEK's competitive benefits, please click here.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t>
        </is>
      </c>
    </row>
    <row r="66">
      <c r="A66" t="inlineStr">
        <is>
          <t>in-38850b376a861716</t>
        </is>
      </c>
      <c r="B66" t="inlineStr">
        <is>
          <t>IT Program Manager</t>
        </is>
      </c>
      <c r="C66" t="inlineStr">
        <is>
          <t>SPX Technologies</t>
        </is>
      </c>
      <c r="D66" t="inlineStr">
        <is>
          <t>indeed</t>
        </is>
      </c>
      <c r="E66" t="inlineStr"/>
      <c r="F66" t="inlineStr"/>
      <c r="G66" t="inlineStr">
        <is>
          <t>Overland Park, KS, US</t>
        </is>
      </c>
      <c r="H66" s="1" t="n">
        <v>46071</v>
      </c>
      <c r="I66" t="inlineStr">
        <is>
          <t>**Building the people that build the world.**
With platforms in HVAC and Detection and Measurement, SPX Technologies builds innovative solutions that enable a safer, more efficient, sustainable world. Through our RiSE talent development framework, we Reach, Identify, Strengthen, and Engage our employees to support them in their continued development. We’re a global company of problem solvers, collaborators, and innovators, and our businesses build solutions that impact the world.
As part of HVAC Cooling, SPX Cooling Technologies is a leader in high quality industrial HVAC equipment used to cool large facilities like hospitals, data centers, and power plants. With cooling towers, fans, and refrigeration units, companies rely on brands like Marley, Recold, and SGS to provide comfort and mission critical and industrial cooling solutions.
 **How you will make an Impact (Job Summary)**
This program manager role is responsible for managing a large program/implementation initiative from scoping to completion; this program will have multiple inter\-dependent projects in the lead\-to\-cash process chain for the SPX Cooling organization. This position will report to the Program leader (Director IT, Global Eng Systems) and can be remote but is ideally based out of Overland Park, KS with ability to work from home and/or in\-office.
**What you can expect in this role (Job Responsibilities)**
While each day brings new opportunities at SPX, your core responsibilities will be:
* Manage program with multiple projects throughout various stages of the project life cycle, and collaborate with across Business functions and Vendor resources to deliver expected outcomes:
	+ Prepare overall (integrated) program and project management plan(s) in conjunction with Program/Project Leads, Sponsor/Customer and report on outputs and progress against this plan.
	+ Identify project uncertainties, alternative resource plans, scope changes, and other risks and create containment and mitigation plans.
* Manage scope and commitments:
	+ Manage project scope to ensure that requirements are analyzed, documented and agreed and the impact of any change is formally assessed, evaluated and approved.
	+ Closely follow up on project deliverables and hold leads/contributors/stakeholders accountable to their commitments.
* Manage spend and resources and schedule:
	+ Establish schedules and milestones and communicate across teams.
	+ Establish mappings (schedule, resources, deliverables) and track burn rates closely (deliverables completed vs spend to\-date)
	+ Provide leadership to diagnose and overcome barriers to team/project progress, implementing mitigation strategies and contingency plans.
* Report progress and establish governance:
	+ Institute appropriate Steering and Operational Governance, and conduct both program and project phase stage\-gate reviews with Project Management Office (PMO)
	+ Use data analysis and organization tools to both track project KPIs and discover impactful insights.
	+ Create and present reports to executive team members and stakeholders to support recommendations.
	+ Maintain program documentation and communicate project status, operations status and other work information on a periodic basis.
* Demonstrated experience and working knowledge of both Agile and Waterfall project management methodologies.
	+ Ability to adapt and apply appropriate project delivery approaches (Agile, Waterfall, or hybrid) based on project requirements and organizational needs.
**What we are looking for (Required/Ideal Experience, Skills, Education)**
We each bring something to the table, and we are looking for someone who has:
**REQUIRED EDUCATION/EXPERIENCE**
* 8\+ years’ experience with managing large programs that have multiple projects (both IT and business) with inter\-dependencies.
* 8\+ years of experience leading, managing and rolling out changes in business processes and systems.
* Experience cultivating relationships with people across functions and business units.
* Strong communication skills
* Demonstrated experience and working knowledge of both Agile and Waterfall project management methodologies.
* Ability to adapt and apply appropriate project delivery approaches (Agile, Waterfall, or hybrid) based on project requirements and organizational needs.
**PREFERRED EDUCATION/EXPERIENCE**
* Bachelor’s degree
* Experience working with industrial equipment manufacturers in a commercial, manufacturing and/or engineering business function.
**CERTIFICATION/OTHER SKILLS AND ABILITIES**
* Strong communication skills, both verbal and written.
* Strong IT program and project management skills with ability to interact with various stakeholder audiences and hold them accountable to their project schedule and deliverable commitments.
* Experience managing projects around one or more front\-end processes and related IT systems:
* Processes: Leads, Opportunities, Quotes, Estimates, Orders, Master data, Order fulfilment, Invoicing, Billing, SOX and Security compliance
* Supporting Systems: CRM, CPQ, Product sizing/selectors, Commerce portals and ERP
* Experience with projects involving cloud web apps and integration.
* Experience managing boards, deliverables in Atlassian JIRA, correlating with schedules in MS Project or similar tool.
* Project Management Certification (SAFE preferred and/or PMP) is a plus.
* Experience working with a Configure Price Quote (CPQ), Portals or Customer Relationship Management (CRM) systems and ERP SAP ECC 6\.0 or above is a plus.
**How we live our culture**
Our culture is at the center of what we do and, more importantly, who we are. Our core values set a standard for how we manage ourselves, and our Leadership Model sets the standard for how we engage with each other. Whether you are an individual contributor or you lead a large team, each of us leads at SPX.
**What benefits do we offer?**
We know that the well\-being of our employees is integral. Our benefits include:
* Generous and flexible paid time off including paid personal time off, caregiver, parental, and volunteer leave
* Competitive health insurance plans and 401(k) match, with benefits starting day one
* Competitive and performance\-based compensation packages and bonus plans
* Educational assistance, leadership development programs, and recognition programs
**Our commitment to embrace diversity to build a culture of inclusion at SPX**
We value different backgrounds, experiences, and voices at SPX, and we are committed to challenging ourselves, openly communicating, and striving to improve every day. We believe in creating an inclusive work environment where everyone has a voice and is encouraged to realize their fullest potential.
SPX is an affirmative action and equal opportunity employer committed to making selection decisions without regard to race, color, religion, sex, sexual orientation or identity, national origin, age, disability, veteran status, or any other legally protected basis.</t>
        </is>
      </c>
    </row>
    <row r="67">
      <c r="A67" t="inlineStr">
        <is>
          <t>in-5733c85c879bd99d</t>
        </is>
      </c>
      <c r="B67" t="inlineStr">
        <is>
          <t>Technical Program Manager</t>
        </is>
      </c>
      <c r="C67" t="inlineStr">
        <is>
          <t>Iron Bow Technologies</t>
        </is>
      </c>
      <c r="D67" t="inlineStr">
        <is>
          <t>indeed</t>
        </is>
      </c>
      <c r="E67" t="inlineStr"/>
      <c r="F67" t="inlineStr"/>
      <c r="G67" t="inlineStr">
        <is>
          <t>Herndon, VA, US</t>
        </is>
      </c>
      <c r="H67" s="1" t="n">
        <v>46071</v>
      </c>
      <c r="I67" t="inlineStr">
        <is>
          <t>Iron Bow Technologies is for people who believe trust is paramount, transformation is embraced, and the future is here, because **"What we do matters**!"
We are a next generation solutions provider, delivering mission success across government, healthcare, and commercial industries. Iron Bow relies on our **passionate people**, **long standing partnerships**, and **strategic thinking** to solve your most critical challenges.
Whether we team with clients, colleagues, or partners, we put each other first. It's **The** **Iron Bow Way.**
**THE HIGH LEVEL**
The Program Manager oversees a set of related projects, ensuring strategic alignment with business goals. They coordinate project managers and cross\-functional teams to deliver cohesive program outcomes, manage dependencies, and optimize resource allocation. (Portfolio or projects/customers or staff augmentation support)
**WHAT YOU'LL BE DOING**
* Review Government and Non\- Government contracts to understand project scope, objectives, and deliverables in alignment with customer business goals and outcomes.
* Responsible for understanding contract types such as:
* + Firm Fixed Price (FFP)
	+ Time and Materials (T\&amp;M)
	+ Firm Fixed Price/Level of Effort
* Understanding of CLIN structures within a Government Contract
* Strong Understanding of Government FAR Clauses
* Knowledge of Roles and Responsibilities of Government Contracting Resources
* Able to write effectively for project team members and management to include overall project tasks assignments and status reports.
* Lead strategic and high\-complexity projects with significant organizational impact, ensuring alignment with long\-term business goals.
* Oversee all phases of the project/program lifecycle, from initiation through planning, execution, monitoring, and closure, ensuring compliance with corporate governance and standards.
* Ability to manage financial budgets to determine overall burn rate of work performed versus cost incurred.
* Forecast program financials on a monthly \-basis and articulate project performance based on the program's triple constraint (Scope, schedule, budget).
* Oversee the coordination and management of multiple related projects (a program) and/ or "program" staff augmentation resources, ensuring alignment with strategic business objectives.
* Develop a clear program roadmap, outlining timelines, dependencies, and resource requirements across all underlying projects.
* Provide strategic direction and leadership to project managers within the program, ensuring standardization and consistent execution practices.
* Align program goals with executive leadership and business units, translating strategy into actionable workstreams.
* Monitor the overall health of the program through performance tracking, benefit realization, budget control, and resource utilization.
* Serve as the escalation point for project\-level risks and issues, driving resolution across cross\-functional stakeholders and ensuring minimal impact to program delivery.
* Foster collaboration between functional areas, subcontractors, to align priorities and timelines.
* Report on program progress and outcomes to senior leadership, including updates on budget utilization, deliverables, and strategic benefits.
* Conduct regular Program Management Reviews (PMRs) and risk assessments, adjusting the program plan as necessary to maintain alignment with organizational priorities.
* Lead change management efforts associated with the program, preparing teams and stakeholders for operational or structural impacts
**WHAT YOU BRING TO THE TABLE**
* PMI or PMP Certification
* How many years in people management? 3\-5 years
* Ability to manage multiple projects from initiation through execution
* Ability to interpret and understand contracts, government and non
* Ability to understand and manage contract financials and budgets
* Ability to manage timelines, prioritize requirements, meet customer deadlines
* Microsoft project skills
* Microsoft excel skills
**WHY YOU'LL LOVE IT!**
* Iron Bow is rapidly growing and with growth comes opportunity for all. There is palpable energy and momentum across the company that is easy to tap into and be inspired by
* Be a part of organizational transformation. Now's the time to join. Iron Bow is redesigning the customer and employee experience. This new approach elevates all and truly enables success
\#LI\-PD1 \#LI\-HYBRID
**OUR EQUAL OPPORTUNITY EMPLOYER COMMITMENT**
Iron Bow Technologies is an Equal Opportunity Employer and is committed to the principle of equal employment opportunity for all employees and to providing employees with a work environment free of discrimination and harassment. All employment decisions at Iron Bow are based on relevant business considerations, such as operational needs, job requirements and individual qualifications, without regard to race, color, religion, sex, sexual orientation, gender identity and/or gender expression, pregnancy, national origin, age, disability, status as a protected veteran or any other characteristic prohibited by law. Iron Bow will not tolerate discrimination or harassment based on any of these characteristics.</t>
        </is>
      </c>
    </row>
    <row r="68">
      <c r="A68" t="inlineStr">
        <is>
          <t>in-c7bdfd2b98e3c848</t>
        </is>
      </c>
      <c r="B68" t="inlineStr">
        <is>
          <t>Principal Product Manager, Creator Experience</t>
        </is>
      </c>
      <c r="C68" t="inlineStr">
        <is>
          <t>TEGNA</t>
        </is>
      </c>
      <c r="D68" t="inlineStr">
        <is>
          <t>indeed</t>
        </is>
      </c>
      <c r="E68" t="inlineStr"/>
      <c r="F68" t="inlineStr"/>
      <c r="G68" t="inlineStr">
        <is>
          <t>New York, NY, US</t>
        </is>
      </c>
      <c r="H68" s="1" t="n">
        <v>46071</v>
      </c>
      <c r="I68" t="inlineStr">
        <is>
          <t>### **About TEGNA**
TEGNA Inc. (NYSE: TGNA) helps people thrive in their local communities by providing the trusted local news and services that matter most. With 64 television stations in 51 U.S. markets, TEGNA reaches more than 100 million people monthly across the web, mobile apps, streaming, and linear television. Together, we are building a sustainable future for local news.
We're looking for a **Principal Product Manager** to define and lead the long\-term strategy for TEGNA's creator experience, the central entry point where newsroom users orient their day, understand what matters now, and move seamlessly into the tools and workflows they need.
The creator experience connects planning, creation, publishing, and performance across TEGNA's creator tools ecosystem. This role owns the multi\-quarter roadmap and long\-term vision across web and mobile apps, ensuring it delivers clarity, focus, and momentum for diverse newsroom roles, from reporters and producers to editors and leaders.
You will operate at both strategic and execution levels, shaping multi\-year platform direction while guiding cross\-functional teams to deliver high\-impact capabilities that transform how our newsrooms work.
This role extends beyond a single team. You will influence architectural decisions, investment priorities, and cross\-product alignment across the Creator Tools portfolio, ensuring the ecosystem evolves as a cohesive, scalable platform rather than a collection of features.
**Who you are**
You are a strategic product leader who operates comfortably at both executive and tactical levels. You bring clarity to complex, cross\-functional initiatives and align diverse stakeholders around a shared product vision.
You think in systems, not features. You identify leverage points across workflows, data, and platform capabilities to unlock meaningful improvements in efficiency, engagement, and performance.
You are comfortable navigating ambiguity, framing problems that lack clear answers, and making principled trade\-offs grounded in user impact, business value, and technical feasibility.
You are deeply user\-centered but equally focused on measurable outcomes. You define success clearly, hold teams accountable to impact, and continually raise the bar for product excellence.
**Scope of Responsibility**
You will define and drive the strategic direction of the Creator Experience ecosystem while directly leading a dedicated, cross\-functional scrum team responsible for delivering key capabilities within that platform. You will translate long\-term vision into clear quarterly priorities, ensuring day\-to\-day execution aligns with multi\-year platform strategy.
You will own the product roadmap for your area and partner closely with Engineering and Design to deliver high\-impact features and platform improvements. This includes maintaining a prioritized backlog, refining epics and user stories, and ensuring sprint work is clearly tied to defined outcomes and measurable impact.
You will operate at both strategic and tactical levels. You will guide discovery efforts, shape architectural and data decisions in partnership with Engineering leadership and proactively identify cross\-team dependencies and risks. At the same time, you will stay closely connected to delivery, ensuring clarity of scope, quality of execution, and timely releases.
You will also contribute to portfolio\-level planning across Creator Tools, helping align roadmap priorities across adjacent teams and ensuring the ecosystem evolves cohesively rather than as siloed initiatives.
**Top Key Activities**
* **Backlog Ownership**: Own and prioritize a clear, outcome\-oriented product backlog to ensure the team always works on the most valuable features.
* **Requirement Gathering \&amp; Refinement**: Translate business needs, customer feedback, and market trends into clear, detailed user stories and acceptance criteria.
* **Sprint Planning \&amp; Delivery**: Work closely with designers, engineers, and QA during sprint cycles to ensure smooth delivery, clarity of scope, and fast decision\-making.
* **Stakeholder Collaboration**: Act as the primary point of contact between product teams and stakeholders, ensuring clear communication of priorities, expectations, and progress.
* **Customer Focus**: Champion the voice of the customer in all product decisions, ensuring we build intuitive and valuable experiences.
* **Strategy \&amp; Roadmap Definition**: Contribute to product strategy and roadmapping in collaboration with Product Leadership.
* **Continuous Improvement**: Analyze product performance, gather user feedback, and iterate on features to continuously improve user experience and business outcomes.
* **Communications**: Leads core team and stakeholder communications. E.g., dependencies, launches, setbacks, learnings, tradeoff decisions, etc.
* **Team output**: Leverages team velocity and capacity planning to continually improve product delivery
**Cross\-Functional Collaboration**
* Work closely with Engineering, Data Science, Content Operations, Design, and Consumer Product teams
* Act as the primary point of alignment between platform capabilities and consumer\-facing experiences
* Communicate trade\-offs, dependencies, and platform constraints clearly to stakeholders
**Measurement \&amp; Impact**
* Define success metrics such as discovery efficiency, recommendation performance, content engagement, and reuse of platform services
* Track metadata quality metrics (coverage, freshness, accuracy)
* Use experimentation and analytics to validate platform improvements and downstream impact
**Key Professional Traits and Requirements**
* Thrives in fast\-paced environments
* Works collaboratively across all consumer domains, business partners
* Strong communicator (written \&amp; verbal) with active listening skills
* Supports and facilitates healthy team dynamics
* Professional and reflects TEGNA values
* Strong planning and organizational skills
* Proactive
* Ability to effectively negotiate
* Ability to say No (when appropriate)
* Ability to maintain a keen attention to detail, multitask and work well under pressure
**Deep knowledge and proficiency with the following tools:**
* Atlassian products, Jira, Jira Product Discovery, Confluence
* UX/UI tools, Figma, Miro
* MS 365 Suite (Teams, Excel, Word, PowerPoint)
**Why Join Us?**
* Be a key voice in shaping a product used by millions of users every day.
* Work in a collaborative, user\-centered, and agile environment.
* Join a company that values ownership, transparency, and impact.
* Competitive salary and great benefits. \#LI\-MS1
### **Benefits:**
TEGNA offers comprehensive benefits designed to safeguard the physical, mental and financial health of our employees and their families. TEGNA offers two medical plan options for full and part\-time employees through Blue Cross Blue Shield of Texas, as well as access to dental and eye care coverage; fertility, surrogacy and adoption assistance; disability and life insurance.
Our 401(k) program offers full, part\-time and temporary employees the opportunity to contribute 1% \- 80% of their pay on a pre\-tax basis to TEGNA's 401(k). Contributions made up to the first 4% of pay are eligible for a 100% match from the company and are 100% vested from day one.
Regardless of participation in TEGNA medical plans, ALL employees and their eligible family members receive nine free virtual doctor's appointments with a physician through Teladoc, and 12 free annual therapy sessions with a licensed clinician through Spring Health.
TEGNA offers a generous Paid Time Off (PTO) benefit as well as nine paid holidays per year.
* Some jobs are covered by a collective bargaining agreement and thus some or all of the benefits described herein may not apply. For example, some newsroom bargaining unit employees receive health and retirement benefits under plans administered by the union.
**EEO statement**:
TEGNA Inc. is a proud equal opportunity employer. We are proud to be an equal opportunity employer, hiring and developing individuals from diverse backgrounds and experiences to add to our collaborative culture. We value and consider applications from all qualified candidates without regard to actual or perceived race, color, religion, national origin, sex, gender, age, marital status, personal appearance, sexual orientation, gender identity or expression, family responsibilities, disability, medical condition, enrollment in college or vocational school, political affiliation, military or veteran status, citizenship status, genetic information, or any other basis protected by federal, state or local law. TEGNA will reasonably accommodate qualified individuals with disabilities in accordance with applicable law. If you are in need of an accommodation in order to submit your application, please email askhr@tegna.com
**Recruiting Fraud Alert:**  
To all candidates: your personal information and online safety are important to us. Only TEGNA Recruiters or Hiring Managers will reach out to you regarding consideration of your application or background. Communications with TEGNA employees will either come from a TEGNA email address with a domain of tegna.com or one of our affiliate station domains.
Recruiters or Hiring Managers will never request payments, ask for financial account information or sensitive information such as social security numbers.
Privacy Notice for California Residents
SMS Messaging Privacy Policy</t>
        </is>
      </c>
    </row>
    <row r="69">
      <c r="A69" t="inlineStr">
        <is>
          <t>in-1ecc6a6f481e881c</t>
        </is>
      </c>
      <c r="B69" t="inlineStr">
        <is>
          <t>Learning Product Manager</t>
        </is>
      </c>
      <c r="C69" t="inlineStr">
        <is>
          <t>AICPA-CIMA</t>
        </is>
      </c>
      <c r="D69" t="inlineStr">
        <is>
          <t>indeed</t>
        </is>
      </c>
      <c r="E69" t="inlineStr"/>
      <c r="F69" t="inlineStr"/>
      <c r="G69" t="inlineStr">
        <is>
          <t>Durham, NC, US</t>
        </is>
      </c>
      <c r="H69" s="1" t="n">
        <v>46071</v>
      </c>
      <c r="I69" t="inlineStr">
        <is>
          <t>**About the Role:**
You will oversee the end\-to\-end lifecycle management and commercial performance of an assigned learning product portfolio across all modes of delivery. You will set and manage the strategic direction of learning products ensuring that all products within assigned portfolio meet commercial targets and other performance expectations. You will collaborate with partners to ensure products meet B2C and B2B market demands while also aligning with organizational, proposition and learning strategies. You will report to the Director \- Learning Products as an individual contributor. You will use a hybrid work schedule.
 **You Will:**
* Participate in annual planning and quarterly review process, leading the analysis for assigned learning product portfolio.
* Make data\-driven recommendations for new product introduction, product enhancement or discontinuation.
* Oversee development of new and updated products
* Review in\-year learning and ad hoc learning product requests to ensure changes meet learning strategy, need, market/business feasibility and viability; and work with the Experience Business Partner and Commercial team to ensure market and business viability and prioritization.
* Maintain knowledge of portfolio and audiences/segments served. Collaborate with the Experience Business Partner, Department Leaders, B2B Learning Solutions and B2B Sales teams and other SMEs to maintain knowledge of audience needs, awareness of competitive landscape and our goals.
* Work with Experience Commercial and Experience Planning \&amp; Performance teams to provide ongoing product portfolio performance reporting and insights
* Work with Experience Service Design team to ensure learning product opportunities are optimized in service design and journeys.
**You Have:**
* 5\+ years' experience in a related role
* A Bachelors' degree in accounting, business, education or a related field
* Experience of multi format learning development products in a commercial learning organization.
 **How We Support You:**
We provide flexibility to help you achieve a good work\-life balance. You'll be part of a global, diverse team who foster an environment of inclusion and belonging where you are valued for who you are and where you come from.
We offer benefit options in and out of the workplace, including healthcare, retirement, paid time\-off, parental leave, an employee assistance program. We provide resources that support your mental health, and evolve our offerings to meet your needs. We care about our employees' welfare and focus our benefits package on the benefits which support your wellbeing. We also recognize that everyone has different priorities, so in addition to our core benefits to support your health we offer flexible options for you to choose benefits that are right for you, your family and your lifestyle.
We believe in non\-stop learning and are committed to investing in learning opportunities that help you reach your full potential and support your continued development.
 **About Us:**
At The Association, a Great Place to Work\-Certified company, we are transforming the accounting and finance profession. We are future\-focused, empowering the world's most accomplished accountants to stay relevant, meet today's demands, and prepare for tomorrow's challenges through quality education, resources, and training.
Learn more about The Association on LinkedIn and our Career Site.
\#LI\-Hybrid
\#GreatPlacetoWork
We are committed to equal employment opportunity regardless of race, color, ancestry, religion, sex, national origin, sexual orientation, age, citizenship, marital status, disability, gender, gender identity or expression, or veteran status. We are proud to be an equal opportunity workplace.
The Annual Salary Range for this role is: $115,000\- $140,000
Please note, this is a standard range and exact compensation may vary based on experience and location. If you'd like to understand more on the salary range, please contact the recruiter listed on this posting.
If you're interested in this role, please apply before **Friday, April 3rd.**
While this role can work remotely in the US, please note that we are unable to employ individuals in the state of California.
#### **Equal Employment Opportunity**
The Association of International Certified Professional Accountants is dedicated to fostering a diverse environment and is committed to being an equal opportunity employer. All employment decisions are based on business needs without regard to race, color, ethnicity, religion, gender, gender identity or expression, sexual orientation, national origin, genetics, disability, age, veteran status or any other applicable legally protected status. All qualified candidates are encouraged to apply.
#### **Assistance**
If you are an applicant with a disability who is unable to use our online tools to search and apply for jobs, please send an email to HumanResources@aicpa\-cima.com</t>
        </is>
      </c>
    </row>
    <row r="70">
      <c r="A70" t="inlineStr">
        <is>
          <t>in-227f927b2635de92</t>
        </is>
      </c>
      <c r="B70" t="inlineStr">
        <is>
          <t>Program Manager, Consortium Operations, Risk Management</t>
        </is>
      </c>
      <c r="C70" t="inlineStr">
        <is>
          <t>EPIC Insurance Brokers &amp; Consultants</t>
        </is>
      </c>
      <c r="D70" t="inlineStr">
        <is>
          <t>indeed</t>
        </is>
      </c>
      <c r="E70" t="inlineStr"/>
      <c r="F70" t="inlineStr"/>
      <c r="G70" t="inlineStr">
        <is>
          <t>New York, NY, US</t>
        </is>
      </c>
      <c r="H70" s="1" t="n">
        <v>46071</v>
      </c>
      <c r="I70" t="inlineStr">
        <is>
          <t>**Location:** Hybrid, New York, NY
**Come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***Oversight of Full Consortium Operating Model and Captive Management***
The Program Manager, Consortium Operations is the enterprise leader responsible for the full operational execution, performance, and integrity of group insurance programs. This role oversees the complete operating platform—exposure gathering, modeling, underwriting workflow, market submission, service delivery, captive governance support, financial operations, loss control, claims, analytics, and transactional processes. Ultimately, the Program Manager is responsible for the day\-to\-day delivery of service to the Consortium Members – supervising an interdisciplinary team of X risk management professionals.
This position also provides oversight of EPIC's captive management team. The Program Manager also ensures EPIC Captive Management is aligned, resourced, and operating under the appropriate governance standards while operational and governance actions occur within the designated committees, captives, and counsel.
The role is also responsible for the successful installation and scaling of additional consortium programs, ensuring all operating components are standardized, repeatable, and consistent across the enterprise.
**Primary Responsibilities**
* **Exposure Gathering \&amp; Intake Operations**
**(Prospect**  **Market Submission**  **Business Case)**
* Oversee exposure intake workflows for prospects and existing members, ensuring timely and accurate SOV and COPE data.
* Ensure standardized templates, documentation, and validation processes are applied consistently across all consortiums.
* Direct continuous refinement of intake standards to support modeling, underwriting, and analytics.
* **Modeling \&amp; Analytics Execution**
**(SOV modeling, premium allocations, rate matrix updates)**
* Oversee all modeling activities including catastrophe exposure modeling, expected loss modeling, allocation methodology, and actuarial framework.
* Govern annual updates of the rate matrix, cost models, allocation logic, and modeling inputs for new and existing assets.
* Ensure third‑party actuarial partners are integrated into annual reviews, premium allocation validation, and methodology audits.
* Oversee development and refinement of analytics dashboards and member‑level performance insights.
* Integrate claim trend analytics—especially for seasonal or cyclical environmental exposures—into modeling frameworks and annual rate/actuarial updates.
* Ensure catastrophe modeling inputs reflect historical and forecasted claim drivers tied to climate patterns, geography, and asset\-type vulnerability.
* **Market Submission, Quoting \&amp; Binding**
**(End‑to‑end renewal workflow)**
* Govern the full annual renewal process—data preparation, submission assembly, marketing strategy, negotiations, and quote evaluation.
* Ensure underwriting governance, alignment with market expectations, and adherence to service standards.
* Oversee binding processes, documentation accuracy, and integration into internal systems and captives.
* Coordinate with Pegasus on governance checkpoints (Board approvals, voting documentation) without performing governance actions.
* **Service Platform Oversight**
**(COIs, Meetings, Deliverables, Member Communications)**
* Ensure timely issuance of Certificates of Insurance and adherence to defined SLA requirements.
* Oversee monthly and quarterly member meetings, stewardship cycles, and ongoing service deliverables.
* Ensure Pegasus manages governance documentation and meeting structures, while operational teams deliver reporting, analytics, and materials.
* Maintain consistent member experience across all consortium programs.
* **Captive Governance Support \&amp; Oversight**
**(Board, Subcommittees, Annual Meeting)**
* Provide oversight of EPIC Captive Management, ensuring it fulfills ownership of consortium governance infrastructure, documentation, and governance calendar management.
* Ensure captive governance activities are executed by the appropriate parties (captive manager, legal counsel, committees) in alignment with standards.
* Oversee alignment between operational execution and governance decisions (e.g., underwriting recommendations, capital decisions, audit outputs).
* Participate in or support Board, finance committee, underwriting committee, and claims committee work as required.
* Oversee EPIC Captive Management's role in maintaining governance\-aligned templates and documentation, though operational validation remains with consortium operations.
* **Loss Control \&amp; Engineering Oversight**
**(Engineering process, inspections, recommendations)**
* Oversee engineering inspection strategy, frequency, prioritization, and output quality.
* Ensure loss control recommendations feed into underwriting, modeling, and member performance scorecards.
* Oversee CAT preparedness workflows, post‑loss evaluations, and coordination with engineering vendors.
* Govern vendor performance and escalate deficiencies through defined remediation channels.
* **Claims Oversight**
**(RMIS, claim handling, loss runs, reporting)**
* Govern claims handling workflow including intake, triage, communication standards, reserve management, and resolution quality.
* Oversee RMIS reporting, ensure data accuracy, and integrate claims intelligence into stewardship, analytics, and underwriting cycles.
* Oversee claim run reporting, quarterly claim reviews, and member‑level claim performance evaluation.
* Coordinate with EPIC Captive Management on governance reporting and committee‑level updates related to claims (without performing governance duties).
* Oversea claim trend analytics, including identification and forecasting of patterns related to cyclical environmental perils, severe weather seasons, regional CAT exposures, and emerging loss drivers.
* Govern audit trails, documentation standards, and version control for all claims\-related datasets to support downstream analytics, modeling, and governance reporting.
* **Finance \&amp; Accounting (Revenue Cycle)**
**(Invoicing, Collections, Reconciliation, Systems, Taxes)**
* Oversee premium invoicing, cash application, collections, and reconciliation.
* Ensure accurate monthly, quarterly, and annual financial reporting.
* Oversee E\&amp;S tax filings, surplus lines requirements, and any applicable FET obligations.
* Direct integration and oversight of financial systems (e.g., Sagitta, accounting platforms) to ensure accuracy and audit readiness.
* Ensure operational alignment with captive financial requirements, capital contributions, and reporting.
* **Transactional Workflow Oversight**
**(Acquisitions \&amp; Dispositions)**
* Oversee underwriting, modeling, pricing, and carrier engagement for mid‑term acquisitions and dispositions.
* Ensure SLA adherence—quote turnaround, endorsements, mid‑term adjustments, and pro rata allocations.
* Maintain audit trails, pricing logic documentation, and integration into member\-level reporting.
* **Program Tracking \&amp; Dashboard Governance**
**(Revenue, carriers, captive, invoicing trackers)**
* Oversee all enterprise trackers, ensuring accuracy for:
* + Premiums \&amp; invoicing
	+ Carrier participation
	+ Captive financials
	+ Engineering and claims progress
* Ensure trackers integrate into BI dashboards and stewardship reporting.
* Maintain robust oversight processes for data accuracy and audit integrity.
* Establish and maintain enterprise\-wide quality controls for all operational, financial, underwriting, engineering, and claims datasets to ensure downstream processes operate with accurate, validated information.
* Act as the final data quality checkpoint for consortium\-wide program trackers, stewarding documentation accuracy before integration into BI dashboards, stewardship reports, and governance submissions.
* **Stewardship Management**
**(Annual stewardship meeting, reporting, analytics)**
* Oversee the annual stewardship process including claims, loss control, underwriting, benchmarks, financial results, and strategic program updates.
* Govern the preparation, quality, and accuracy of meeting content and reporting.
* Partner with Pegasus to ensure governance materials meet governance documentation standards.
**Qualifications**
**Required**
* 10\+ years leading insurance program operations, risk financing, captive operations, consortium programs, or complex risk structures.
* Deep technical expertise across underwriting, modeling, claims, loss control, finance/accounting, or captive governance.
* Proven experience leading multi\-vendor ecosystems and cross\-functional operational models.
* Strong executive communication skills with experience presenting to Boards, committees, and senior stakeholders.
* Demonstrated ability to build scalable operating platforms and replicate them across programs.
**Preferred**
* Experience working with or overseeing internal governance\-support units (e.g., Captive Managements equivalents).
* Familiarity with Origami, Archipelago, PowerBI, and insurance accounting systems (e.g., Sagitta).
* Commercial real estate insurance experience.
* Relevant designations (ARM, CPCU, ARe, CRM).
**Core Competencies**
* Enterprise Governance Oversight
* Operational Discipline \&amp; Excellence
* Analytical \&amp; Financial Acumen
* Underwriting \&amp; Risk Intelligence
* Vendor Management \&amp; Performance Governance
* Member Experience Leadership
* Strategic Execution \&amp; Scalability
* High‑Level Communication \&amp; Influence
**COMPENSATION:**
The national average salary for this role is $150 000\.00 \- $180 000\.00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 Generous Paid Time off
	+ Managed PTO for salaried/exempt employees (personal time off without accruals or caps); 22 PTO days starting out for hourly/non\-exempt employees; 12 company\-observed paid holidays; 4 early\-close days
* Generous leave time options: Paid parental leave, pregnancy disability and bonding leave, and organ donor/bone marrow donor leave
* Generous employee referral bonus program of $1,500 per hired referral
* Employee recognition programs for demonstrating EPIC's values plus additional employee recognition awards and programs (and trips!)
* Employee Resource Groups: Women's Coalition, EPIC Veterans Group
* Professional growth \&amp; development: Mentorship Program, Tuition Reimbursement Program, Leadership Development
* Unique benefits such as Pet Insurance, Identity Theft \&amp; Fraud Protection Coverage, Legal Planning, Family Planning, and Menopause \&amp; Midlife Support
* Additional benefits include (but are not limited to): 401(k) matching, medical insurance, dental insurance, vision insurance, and wellness \&amp; employee assistance programs
* 50/50 Work Culture: EPIC fosters a 50/50 culture between producers and the rest of the business, supporting collaboration, teamwork, and an inclusive work environment. It takes both production and service to be EPIC!
* EPIC Gives Back – Some of our charitable efforts include Donation Connection, Employee Assistance Fund, and People First Foundation
* We're in the top 10 of property/casualty agencies according to "Insurance Journal"
To learn more about EPIC, visit our Careers Page: https://www.epicbrokers.com/about/epic\-careers/.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\#LI\-TM1
\#LI\-Hybrid</t>
        </is>
      </c>
    </row>
    <row r="71">
      <c r="A71" t="inlineStr">
        <is>
          <t>in-9f23efad9e84f0e6</t>
        </is>
      </c>
      <c r="B71" t="inlineStr">
        <is>
          <t>Senior Product Manager</t>
        </is>
      </c>
      <c r="C71" t="inlineStr">
        <is>
          <t>Relay</t>
        </is>
      </c>
      <c r="D71" t="inlineStr">
        <is>
          <t>indeed</t>
        </is>
      </c>
      <c r="E71" t="inlineStr"/>
      <c r="F71" t="inlineStr"/>
      <c r="G71" t="inlineStr">
        <is>
          <t>New York, NY, US</t>
        </is>
      </c>
      <c r="H71" s="1" t="n">
        <v>46071</v>
      </c>
      <c r="I71" t="inlineStr">
        <is>
          <t>Relay is a digital banking platform that gives self\-made business owners the tools and know\-how to be great with money—bringing clarity, confidence, and control to every dollar earned, so they can turn hard work into lasting success. We do this by replacing financial guesswork with real visibility, transforming cash flow from a constant source of stress into a clear signal owners can use to run stronger, more resilient businesses.
At Relay, product management is about outcomes, not outputs. We start with real customer problems and build solutions that move the needle for SMBs, and for our business. Our team pairs long\-term vision with rapid iteration. We believe that trust is a product feature, and that usability, reliability, and polish aren’t afterthoughts, they’re core to how we earn the confidence of business owners.
Every launch is measured, every release is a chance to learn, and we prioritize relentlessly so we can focus on what matters most. Above all, we never compromise on customer empathy or product craft.
**Why this role matters**
Many small businesses walk a constant cashflow tightrope, and the average SMB has just 27 days of cash on hand. They’re juggling payroll, inventory, contractor payments, and everyday expenses, all while trying to carve out resources to invest in growth. Product Managers at Relay play a central role in solving these problems by building financial products that are simple, intuitive, and impactful.
As Senior Product Manager, you’ll lead a major product area from end\-to\-end (e.g. core banking, risk, AI Insights, payroll etc). You’ll take new products and features from zero to one, scale existing ones, and directly impact how thousands of entrepreneurs run their businesses.
**In your first year, you might:**
* Launch and iterate on high priority products ensuring the experiences are simple, intuitive, and trustworthy.
* Improve customer outcomes by driving integrations with banking, accounting, or payment platforms.
* Collaborate with Risk, Data, and Operations to ensure Relay’s products are reliable, secure, and insight\-driven.
* Build narratives and roadmaps that align stakeholders, clarify priorities, and inspire confidence, even in the face of ambiguity.
* Partner with Sales, Marketing, and CX to deliver successful launches and drive adoption among SMB customers.
**What You’ll Be Doing:**
* **Own impactful products end\-to\-end**: define the vision, set the roadmap, and deliver high\-impact outcomes shaping how SMBs understand, manage, and spend their money.
* **Treat your product like a business**: define and track KPIs, monitor performance, and make decisions rooted in data, customer insights, and company goals.
* **Ship high\-quality products from ideation to launch**: partner closely with design and engineering as part of a leadership trifecta, raising the bar for usability, craft, and polish.
* **Build and tell the story for your product**: create clear narratives that inspire leadership, cross\-functional partners, and customers; even in ambiguous situations.
* **Stay deeply connected to SMB customers**: immerse yourself in their workflows and pain points, ensuring we’re solving meaningful problems and delivering products that feel both intuitive and delightful.
* **Collaborate cross\-functionally**: work with Sales, Marketing, and Customer Experience teams to ensure smooth go\-to\-market launches and strong adoption.
* **Partner externally and internally**: navigate and evaluate strategic partners while working across Relay as we grow our product offerings and build new capabilities.
* **Champion product culture at Relay**: bring curiosity, ownership, and a high bar for quality that elevates both the product team as a whole.
**Who You Are**
===============
* At least five years of product management experience, with a track record of shipping and owning products at scale
* Proven ability to take ownership of a product area and influence broader strategy.
* Strong data competency with the ability to self\-serve metrics and write basic SQL queries to support decision making
* Excellent storytelling and communication skills: you bring clarity and inspire conviction across engineering, design, and business stakeholders.
* Experience working closely with engineering and design as part of a leadership trifecta to deliver polished, high\-quality experiences
* Demonstrated success working cross\-functionally with Sales, Marketing, and Customer Experience teams to ensure effective launches and adoption
* Comfort working in ambiguous environments while bringing structure and clarity where needed
* Experimental \&amp; curious in your approach to product management (i.e. tooling, processes etc)
**Bonus Points**
================
* Have experience in fintech products.
* You’ve joined a company at its early stages and have seen it through scale
* You have experience working in a fintech startup
* Are familiar with risk/fraud tools or credit underwriting frameworks.
**The Interview Process**
=========================
* **Stage 1:** A 45\-minute Google Meets video call with a member of our Talent team
* **Stage 2:** A 60\-minute Product Deep Dive interview with the hiring manager
* **Stage 3:** A 45\-minute in\-person interview with a member of our leadership team
* **Stage 4:** A 1\-hour case study panel interview \- a take home case study assignment will form the basis of this discussion
At Relay, we believe Relayers should feel valued for the impact they have on our mission and growth. So we pay fairly and transparently. The annual salary range for this role is $189,000 USD to $231,000 USD.
We pay for impact and aren’t tied to yearly reviews. As your contributions to Relay’s mission scale, so do your rewards. Most new Relayers will join at the impactful level, which for this role is $210,000 USD per year. The range represents the potential for impact within the role, from developing to having an outsized impact.
We encourage you to have a conversation with your recruiter and ask questions about compensation throughout the hiring process. For more information on our compensation philosophy and perks and benefits, visit our Candidate Hub.
**Our Commitment to You**
=========================
* **Competitive salary and meaningful equity:** Relay employees are Relay owners, complete with equity and a competitive salary.
* **Comprehensive health benefits:** enjoy full health benefits from day one. We offer flexible Health or Wellness Spending Accounts and medical, dental, and vision coverage for you and your dependents.
* **Flexible vacation and time off:** every team member starts with 15 vacation days and 5 flex days to use as needed, plus an extra week of office closure during the end\-of\-year holidays so you can take time off to recharge and come back better for our customers.
* **Parental leave with top\-up:** we offer 12 weeks off with a 100% salary top\-up for all full\-time employees, regardless of location, and accessible for all parents: birthing, non\-birthing, and adoptive.
* **Hybrid work environment:** we value meaningful collaboration and connection at our Toronto office 3 days a week, with lunch, snacks, and beverages on us.
* **Dog\-friendly space:** can dogs really make you happy and healthy? We don’t know for sure, but since we don’t want to chance it, our office is 100% floof\-friendly.
* **Personal and professional growth:** through ongoing feedback, mentorship, and coaching, work with peers and leaders who are invested in your growth and success.
* **Top\-tier equipment:** as a Mac\-first company, our Toronto offices have everything you need to produce your best work comfortably, from multiple screens to ergonomic seating.
* **Social connection:** we believe in celebrating our wins with two annual company\-wide get\-togethers, quarterly team events, happy hours, and special events and networking opportunities with industry leaders.
**Why Relay Might Be the Perfect Fit For You**
* **You push relentlessly for reinvention:** You’re built to constantly ask, “How can this be better?” Change excites you and you drive it.
* **You crave autonomy:** We trust our team with big challenges and the freedom to solve them. If you’re someone who takes initiative, is comfortable taking risks, and seeks input when needed, you’ll find the freedom here empowering.
* **You own your work:** You take pride in your work, follow through on commitments, and feel a deep sense of responsibility for outcomes, not just tasks.
* **You treat comfort as a red flag:** You seek growth. When things feel too comfortable, you lean into change. You’re excited about stepping into the unknown and navigating new terrain to create something better alongside your team.
* **You care about impact, not noise:** You care deeply about the substance of your work. You measure success by results, not recognition and you let your work speak for itself.
* **You’re energized by complexity and ambiguity:** You enjoy tackling problems that don’t come with a playbook. You’re comfortable building from scratch, iterating as you go, and collaborating to shape the best path forward.
* **You seek out feedback:** We value directness, clarity, and respect. We believe honesty fuels great work and career growth. You see feedback as a tool for learning and improvement, and you know that open, honest dialogue is key to achieving the best results — together.
* **You’re here for more than a job:** At Relay, everything we do is in service of our mission to help small businesses thrive. To drive impact and have purpose here, that mission must matter to you too.
**What’s Important to Us:**
Research shows that women\-identifying and other marginalized individuals often apply only if they meet 100% of the qualifications. But no one is a perfect match on paper. If this role excites you, we’d love to hear from you and figure out together if it’s a great fit.
At Relay, we believe that diversity is key to building high\-performing teams, and creating an inclusive work environment is our priority. We are an equal opportunity employer and welcome people of diverse backgrounds, perspectives, and skills.
We will work with applicants to provide accommodations at any stage of the hiring process. If you require accommodations during the interview process, please email your Talent Partner, and we will work with you to meet your needs.
 *Disclaimer: For compliance reasons, all offers of employment at Relay are conditional upon a successful background check \&amp; employment verification through Certn.*
Compensation Range: $189K \- $231K</t>
        </is>
      </c>
    </row>
    <row r="72">
      <c r="A72" t="inlineStr">
        <is>
          <t>in-9d7cbb802ab5c0ed</t>
        </is>
      </c>
      <c r="B72" t="inlineStr">
        <is>
          <t>Senior Product Manager</t>
        </is>
      </c>
      <c r="C72" t="inlineStr">
        <is>
          <t>Relay</t>
        </is>
      </c>
      <c r="D72" t="inlineStr">
        <is>
          <t>indeed</t>
        </is>
      </c>
      <c r="E72" t="inlineStr"/>
      <c r="F72" t="inlineStr"/>
      <c r="G72" t="inlineStr">
        <is>
          <t>Boston, MA, US</t>
        </is>
      </c>
      <c r="H72" s="1" t="n">
        <v>46071</v>
      </c>
      <c r="I72" t="inlineStr">
        <is>
          <t>Relay is a digital banking platform that gives self\-made business owners the tools and know\-how to be great with money—bringing clarity, confidence, and control to every dollar earned, so they can turn hard work into lasting success. We do this by replacing financial guesswork with real visibility, transforming cash flow from a constant source of stress into a clear signal owners can use to run stronger, more resilient businesses.
At Relay, product management is about outcomes, not outputs. We start with real customer problems and build solutions that move the needle for SMBs, and for our business. Our team pairs long\-term vision with rapid iteration. We believe that trust is a product feature, and that usability, reliability, and polish aren’t afterthoughts, they’re core to how we earn the confidence of business owners.
Every launch is measured, every release is a chance to learn, and we prioritize relentlessly so we can focus on what matters most. Above all, we never compromise on customer empathy or product craft.
**Why this role matters**
Many small businesses walk a constant cashflow tightrope, and the average SMB has just 27 days of cash on hand. They’re juggling payroll, inventory, contractor payments, and everyday expenses, all while trying to carve out resources to invest in growth. Product Managers at Relay play a central role in solving these problems by building financial products that are simple, intuitive, and impactful.
As Senior Product Manager, you’ll lead a major product area from end\-to\-end (e.g. core banking, risk, AI Insights, payroll etc). You’ll take new products and features from zero to one, scale existing ones, and directly impact how thousands of entrepreneurs run their businesses.
**In your first year, you might:**
* Launch and iterate on high priority products ensuring the experiences are simple, intuitive, and trustworthy.
* Improve customer outcomes by driving integrations with banking, accounting, or payment platforms.
* Collaborate with Risk, Data, and Operations to ensure Relay’s products are reliable, secure, and insight\-driven.
* Build narratives and roadmaps that align stakeholders, clarify priorities, and inspire confidence, even in the face of ambiguity.
* Partner with Sales, Marketing, and CX to deliver successful launches and drive adoption among SMB customers.
**What You’ll Be Doing:**
* **Own impactful products end\-to\-end**: define the vision, set the roadmap, and deliver high\-impact outcomes shaping how SMBs understand, manage, and spend their money.
* **Treat your product like a business**: define and track KPIs, monitor performance, and make decisions rooted in data, customer insights, and company goals.
* **Ship high\-quality products from ideation to launch**: partner closely with design and engineering as part of a leadership trifecta, raising the bar for usability, craft, and polish.
* **Build and tell the story for your product**: create clear narratives that inspire leadership, cross\-functional partners, and customers; even in ambiguous situations.
* **Stay deeply connected to SMB customers**: immerse yourself in their workflows and pain points, ensuring we’re solving meaningful problems and delivering products that feel both intuitive and delightful.
* **Collaborate cross\-functionally**: work with Sales, Marketing, and Customer Experience teams to ensure smooth go\-to\-market launches and strong adoption.
* **Partner externally and internally**: navigate and evaluate strategic partners while working across Relay as we grow our product offerings and build new capabilities.
* **Champion product culture at Relay**: bring curiosity, ownership, and a high bar for quality that elevates both the product team as a whole.
**Who You Are**
===============
* At least five years of product management experience, with a track record of shipping and owning products at scale
* Proven ability to take ownership of a product area and influence broader strategy.
* Strong data competency with the ability to self\-serve metrics and write basic SQL queries to support decision making
* Excellent storytelling and communication skills: you bring clarity and inspire conviction across engineering, design, and business stakeholders.
* Experience working closely with engineering and design as part of a leadership trifecta to deliver polished, high\-quality experiences
* Demonstrated success working cross\-functionally with Sales, Marketing, and Customer Experience teams to ensure effective launches and adoption
* Comfort working in ambiguous environments while bringing structure and clarity where needed
* Experimental \&amp; curious in your approach to product management (i.e. tooling, processes etc)
**Bonus Points**
================
* Have experience in fintech products.
* You’ve joined a company at its early stages and have seen it through scale
* You have experience working in a fintech startup
* Are familiar with risk/fraud tools or credit underwriting frameworks.
**The Interview Process**
=========================
* **Stage 1:** A 45\-minute Google Meets video call with a member of our Talent team
* **Stage 2:** A 60\-minute Product Deep Dive interview with the hiring manager
* **Stage 3:** A 45\-minute in\-person interview with a member of our leadership team
* **Stage 4:** A 1\-hour case study panel interview \- a take home case study assignment will form the basis of this discussion
At Relay, we believe Relayers should feel valued for the impact they have on our mission and growth. So we pay fairly and transparently. The annual salary range for this role is $189,000 USD to $231,000 USD.
We pay for impact and aren’t tied to yearly reviews. As your contributions to Relay’s mission scale, so do your rewards. Most new Relayers will join at the impactful level, which for this role is $210,000 USD per year. The range represents the potential for impact within the role, from developing to having an outsized impact.
We encourage you to have a conversation with your recruiter and ask questions about compensation throughout the hiring process. For more information on our compensation philosophy and perks and benefits, visit our Candidate Hub.
**Our Commitment to You**
=========================
* **Competitive salary and meaningful equity:** Relay employees are Relay owners, complete with equity and a competitive salary.
* **Comprehensive health benefits:** enjoy full health benefits from day one. We offer flexible Health or Wellness Spending Accounts and medical, dental, and vision coverage for you and your dependents.
* **Flexible vacation and time off:** every team member starts with 15 vacation days and 5 flex days to use as needed, plus an extra week of office closure during the end\-of\-year holidays so you can take time off to recharge and come back better for our customers.
* **Parental leave with top\-up:** we offer 12 weeks off with a 100% salary top\-up for all full\-time employees, regardless of location, and accessible for all parents: birthing, non\-birthing, and adoptive.
* **Hybrid work environment:** we value meaningful collaboration and connection at our Toronto office 3 days a week, with lunch, snacks, and beverages on us.
* **Dog\-friendly space:** can dogs really make you happy and healthy? We don’t know for sure, but since we don’t want to chance it, our office is 100% floof\-friendly.
* **Personal and professional growth:** through ongoing feedback, mentorship, and coaching, work with peers and leaders who are invested in your growth and success.
* **Top\-tier equipment:** as a Mac\-first company, our Toronto offices have everything you need to produce your best work comfortably, from multiple screens to ergonomic seating.
* **Social connection:** we believe in celebrating our wins with two annual company\-wide get\-togethers, quarterly team events, happy hours, and special events and networking opportunities with industry leaders.
**Why Relay Might Be the Perfect Fit For You**
* **You push relentlessly for reinvention:** You’re built to constantly ask, “How can this be better?” Change excites you and you drive it.
* **You crave autonomy:** We trust our team with big challenges and the freedom to solve them. If you’re someone who takes initiative, is comfortable taking risks, and seeks input when needed, you’ll find the freedom here empowering.
* **You own your work:** You take pride in your work, follow through on commitments, and feel a deep sense of responsibility for outcomes, not just tasks.
* **You treat comfort as a red flag:** You seek growth. When things feel too comfortable, you lean into change. You’re excited about stepping into the unknown and navigating new terrain to create something better alongside your team.
* **You care about impact, not noise:** You care deeply about the substance of your work. You measure success by results, not recognition and you let your work speak for itself.
* **You’re energized by complexity and ambiguity:** You enjoy tackling problems that don’t come with a playbook. You’re comfortable building from scratch, iterating as you go, and collaborating to shape the best path forward.
* **You seek out feedback:** We value directness, clarity, and respect. We believe honesty fuels great work and career growth. You see feedback as a tool for learning and improvement, and you know that open, honest dialogue is key to achieving the best results — together.
* **You’re here for more than a job:** At Relay, everything we do is in service of our mission to help small businesses thrive. To drive impact and have purpose here, that mission must matter to you too.
**What’s Important to Us:**
Research shows that women\-identifying and other marginalized individuals often apply only if they meet 100% of the qualifications. But no one is a perfect match on paper. If this role excites you, we’d love to hear from you and figure out together if it’s a great fit.
At Relay, we believe that diversity is key to building high\-performing teams, and creating an inclusive work environment is our priority. We are an equal opportunity employer and welcome people of diverse backgrounds, perspectives, and skills.
We will work with applicants to provide accommodations at any stage of the hiring process. If you require accommodations during the interview process, please email your Talent Partner, and we will work with you to meet your needs.
 *Disclaimer: For compliance reasons, all offers of employment at Relay are conditional upon a successful background check \&amp; employment verification through Certn.*
Compensation Range: $189K \- $231K</t>
        </is>
      </c>
    </row>
    <row r="73">
      <c r="A73" t="inlineStr">
        <is>
          <t>in-a7df1fd136359840</t>
        </is>
      </c>
      <c r="B73" t="inlineStr">
        <is>
          <t>Senior IT Program Manager</t>
        </is>
      </c>
      <c r="C73" t="inlineStr">
        <is>
          <t>CACI International</t>
        </is>
      </c>
      <c r="D73" t="inlineStr">
        <is>
          <t>indeed</t>
        </is>
      </c>
      <c r="E73" t="inlineStr"/>
      <c r="F73" t="inlineStr"/>
      <c r="G73" t="inlineStr">
        <is>
          <t>Arlington, VA, US</t>
        </is>
      </c>
      <c r="H73" s="1" t="n">
        <v>46071</v>
      </c>
      <c r="I73" t="inlineStr">
        <is>
          <t>Job Title: Senior IT Program Manager
Job Category: Project and Program Management
Time Type: Full time
Minimum Clearance Required to Start: None
Employee Type: Regular
Percentage of Travel Required: None
Type of Travel: None
\* \* \***The Opportunity:**  
CACI is seeking an IT Program Manager to join our Team. The Senior IT Program Manager is fully on site is responsible in the delivery of performance\-based IT services (primarily end user and IT infrastructure engineering support and services) to DHS. The Sr IT PM is responsible for formulating and enforcing work standards, supervising staff and communicating policies, procedures, and goals to team members while interfacing with senior customer personnel. The role provides management oversight of technical execution and program personnel ensuring the highest quality of task completion and deliverables in accordance with the contract. The Senior IT Program Manager will manage a staff of 100 – 200 and \~$30 million in revenue.  
Location: Arlington, VA.  
**Responsibilities:**
* Will serve as Program Manager on a large team (over 100 FTE's) responsible for the task order
* Support in the day\-to\-day management of the task order, and develop long\-term and strategic objectives to help ensure that customer requirements will be satisfied in future years of the contract
* Interface frequently with functional areas such as contracts, subcontracts, project control, and security
* Ensure program/task order deliverables and schedules are implemented in a timely manner
* Provide supervision, training, and direction to staff; and serves as a point of contact for customer issues or concerns and address in a timely manner.
* Develop and maintain strong, strategic relationships with key government stakeholders, including contracting officer representatives, program managers, and other relevant officials.
* Facilitate regular communication and engagement with government stakeholders to foster trust and collaboration.
* Accountable for meeting contractual performance criteria and due dates during service delivery as well as successful overall project completion
* Perform research and data collection in support of associated strategic tasks
* Identify new business opportunities within the scope of the contract
* Support the development of ROMs, pricing, and technical proposals
* Ability to handle multiple tasks in a fast paced, dynamic environment
* Flexible schedule and ability to be on call
* Supervise, motivate, develop and direct staff in successful execution of their assigned task areas
* Devise policies, standard operating procedures, and approval workflows for the team
* Conduct performance evaluations of program staff
* Develop briefings, position papers and other supporting artifacts
* Employ strong communication skills to direct skilled technical / programmatic resources and report on the technical progress, issues, and problem areas, as well as write and review program documents
* Ensure the timely recruitment and training of task order staff
 **Qualifications:**
*Required:*
* Ability to obtain/maintain a DHS EOD Suitability Clearance (Active EOD preferred)
* BA/BS or equivalent and 15 years in a related field with supervisory or management experience in federal contract program management with enterprise IT, infrastructure engineering and operations, to include at least 2 years managing a contract with more than 75 FTE's
* Proven track record in maintaining strong government relationships
* Demonstrated expertise and experience in overseeing/managing multi\-million\-dollar federal IT contracts including cost control and forecasting
* Project Management Professional (PMP) certification
* ITIL Foundation certification (or must obtain within first 6 months)
* Proven communicator and leader
* Working technical knowledge of infrastructure engineering and operations in an enterprise environment
 *Desired:*
* Previous DHS or DoD experience
* The following certifications is highly desired:
* Any technical certifications
* ITIL Foundation
* SAFe Agile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$109,800 \- $241,600*CACI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74">
      <c r="A74" t="inlineStr">
        <is>
          <t>in-6d645aee4c851e2f</t>
        </is>
      </c>
      <c r="B74" t="inlineStr">
        <is>
          <t>AVP, Loyalty IT SRS Program Manager</t>
        </is>
      </c>
      <c r="C74" t="inlineStr">
        <is>
          <t>Synchrony</t>
        </is>
      </c>
      <c r="D74" t="inlineStr">
        <is>
          <t>indeed</t>
        </is>
      </c>
      <c r="E74" t="inlineStr"/>
      <c r="F74" t="inlineStr"/>
      <c r="G74" t="inlineStr">
        <is>
          <t>Charlotte, NC, US</t>
        </is>
      </c>
      <c r="H74" s="1" t="n">
        <v>46071</v>
      </c>
      <c r="I74" t="inlineStr">
        <is>
          <t>Job Description:
**Role Summary/Purpose:**
Synchrony is continuing to build world class loyalty solutions – those that drive engagement with our cardholders. Our Synchrony Rewards System (SRS) Team brings these products to life through all stages and touchpoints of the customer lifecycle. Within SRS, our Loyalty Product Owner will be responsible to lead the implementation of new features \&amp; enhancements across SRS and integration points with our digital, workstation, data warehouse and client teams. In addition, this role will have some project management responsibilities within the broader Loyalty IT team.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Identify business needs and translate to business rules/stories
* Influence decisions by providing technical consultation and direction to stakeholders
* Work closely with SRS leader and Scrum Master to ensure technical implementation meets the business requirements and business rules
* Become an SME in some of our backend systems we connect to \&amp; build services for – Vista, Fiserv Loyalty Platforms (PLP \&amp; TLR)
* Ensure strong communication and coordination across Synchrony systems and platforms that integrate loyalty solutions
* Oversight and leadership of the wing\-to\-wing product development lifecycle including build, test, launch, and adoption
* Work with the SRS Agile Development Team \&amp; Scrum Master, lead backlog planning and grooming, and support Release planning
* Coordinate and lead user acceptance testing (UAT) and end\-to\-end testing for releases
* Partner with key stakeholders such as Marketing, IT, Compliance, Credit/Risk and Operations to identify and prioritize future features to deliver to market and to ultimately manage the product backlog
* Responsible for all “run the engine” functions for the site, such as triaging and managing defects, employee education, user inquiries, SLA issues, etc.
* Partner with Production Ops team to closely monitor and understand usage patterns online and utilize tools such as Omniture, GA, and Splunk
* Keep all product documentation up to date
* Manage Loyalty IT projects, coordinating with Rewards IT, other IT systems teams within Synchrony, as well as client IT and business resources
* Perform other duties and/or special projects as assigned.
**Qualifications/Requirements:**
* Bachelor's Degree and 4\+ years of IT experience or equivalent leadership program experience, or in lieu of degree High School Diploma/GED and 8\+ years of IT experience, experience in developing and implementing information systems and project management experience
**Desired Characteristics:**
* Experience with Agile (work or preferably, trained) and/or SAFe (Scaled Agile Framework) in a Product Owner role
* Track record of creative \&amp; strong problem solving and ability to thrive in a cross\-functional and virtual environment
* High energy, self\-motivated, with strong communication skills (verbal and written)
* Passion for learning about new technologies and identifying ways to drive innovation
* Excellent analytical and presentation skills within all levels of the organization. Effectively communicate and influence all leadership levels of Synchrony and its partners
* Strategic thinker with ability to develop and implement actionable plans to drive business results
* Strong project management experience with a record of delivering on time and across functions
* Strong digital proficiency, including launching new products and capabilities and understanding of mobile \&amp; web applications
* Experience in leading large cross\-functional virtual project teams
* Experience with API teams, Astra and Apigee
* Technical acumen \&amp; experience to lead our team through simple solutions
* Experience with loyalty technology and solutions
**Grade/Level: 11**
The salary range for this position is **115,000\.00 \- 200,000\.00**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75">
      <c r="A75" t="inlineStr">
        <is>
          <t>in-050b3e911438b91b</t>
        </is>
      </c>
      <c r="B75" t="inlineStr">
        <is>
          <t>Program Manager SR-Aftermarket,BFE</t>
        </is>
      </c>
      <c r="C75" t="inlineStr">
        <is>
          <t>Jamco America, Inc.</t>
        </is>
      </c>
      <c r="D75" t="inlineStr">
        <is>
          <t>indeed</t>
        </is>
      </c>
      <c r="E75" t="inlineStr"/>
      <c r="F75" t="inlineStr"/>
      <c r="G75" t="inlineStr">
        <is>
          <t>Everett, WA, US</t>
        </is>
      </c>
      <c r="H75" s="1" t="n">
        <v>46070</v>
      </c>
      <c r="I75" t="inlineStr">
        <is>
          <t>**JAMCO AMERICA, INC.**
**Job Title:** Program Manager, Senior\-Aftermarket,BFE
**FLSA Status:** Exempt
**Sign\-on Bonus: $2,500\.00**
 **Summary**
Manages contracted programs to ensure activities are carried out in accordance with established procedures; coordinates interdepartmental functions in order to minimize delays; meets with team members on a regular basis to review status and plan future actions. Expected to guide and execute programs and coordinate all required tasks and actions to support a globally collaborated environment by performing the following duties.
 **Essential Duties and Responsibilities** *include the following with other duties as assigned:*
* Define program schedule including milestone dates and manage progress
* Develop program strategy. Plans and coordinates activities of designated project to ensure that goals or objectives of project are accomplished within required time frame and budget
* Provide input at Sales and Marketing’s request to support the proposal process.
* Coordinate and verify the quoted work scope, company sales budget for final technical and scope definition
* Create the Program Plan and the final master phasing schedule based on the Work Breakdown Structure (WBS) from engineering and all related departments
* Develop risk assessments and coordinate and oversee recovery plans. (Risk Management Strategy)
* Utilizes program and project management best practices, including project plans resources and constraints, to ensure timely and high\-quality completion of initiatives
* Coordinate internal program kickoff and launch "work center" budget allocations to program team. Manage budget and schedule plan from each department. Prepare monthly project forecast and support company budgetary commitments
* Monitor and measure budget and schedule performance of each department and report to executive management
* Ensure development of and oversee each department resource and manpower plan to effectively support and execute the program plan
* Coordinate with the customer and internal departments on technical and contractual issues utilizing project management industry tools
* Support each department as necessary to obtain required technical and certification data from customer and other suppliers
* Collect and evaluate all internal and external scope change management / original contract deviation impacts. Review departments’ cost impact proposals, prepare and quantify recommendations to Sales and Marketing for financial negotiations.
* Oversee and manage inputs and outputs of the Design Build Team.
* Plan and conduct milestone meetings such as ITCM, PDR, CDR.
 **Supervisory Responsibilities**
This job has no supervisory responsibilities.
 **Requirements**
Education and/or Experience/Knowledge
Position requires completion of a Bachelor's degree in business management or equivalent related work experience, engineering degree preferred. Typically requires a minimum 10 years program management experience in the aircraft industry. Strong interpersonal and communication skills are required in order to effectively interact with employees and customers.
 **Responsibilities**
This job is expected to demonstrate proficiency in implementing a variety of involved work processes, functions and procedures. The employee has specific authority to select appropriate work methods and techniques to complete assigned activities. Emphasis is placed upon the accurate recall and prioritization of assigned tasks. The scope of work performed requires coordinating and integration of tasks among departmental employees and may involve responsibility for ongoing contacts with customers, employees, vendors and contractors.
 **Qualifications**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All external hiring is contingent upon the successful completion of a pre\-employment drug screen and a criminal background check.
Moderate travel within the U.S. and abroad may be required to support JAMCO America programs.
 **Language Skill**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**Customer Orientation**
Must demonstrate concern and take actions to meet requirements and high standards of quality of both internal and external customers. Must display courtesy and sensitivity. Manage difficult situations. Meet commitments. Respond promptly to customer needs. Solicit customer feedback to improve service.
 **Physical Demands**
While performing the duties of this job, the employee is frequently required to stand, walk, sit, talk and hear.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Jamco is passionate about providing a competitive and comprehensive benefits package and pleased to offer the following to eligible employees\-
* Medical Coverage
* Dental and Vision Reimbursement
* 401(k) Retirement Savings Plan
* Benefit Conversion at Termination
* Bereavement Leave
* Educational Assistance
* Family and Medical Leave
* Paid Parental Leave (40 hours) \*Qualifying event after June 15th, 2022
* Flexible Benefit Plan (Flex Spending)
* Holidays
* Jury Duty/Witness Service Leave
* Life Insurance
* Long\-Term Disability
* Short\-Term Disability
* Pregnancy Leave
* Paid Time Off (PTO)
* Personal Leave
* Wedding Leave
* Wellness Program/Gym Reimbursement
* Pet Insurance</t>
        </is>
      </c>
    </row>
    <row r="76">
      <c r="A76" t="inlineStr">
        <is>
          <t>in-e0cf9246688f9060</t>
        </is>
      </c>
      <c r="B76" t="inlineStr">
        <is>
          <t>Program Manager-Aftermarket,BFE</t>
        </is>
      </c>
      <c r="C76" t="inlineStr">
        <is>
          <t>Jamco America, Inc.</t>
        </is>
      </c>
      <c r="D76" t="inlineStr">
        <is>
          <t>indeed</t>
        </is>
      </c>
      <c r="E76" t="inlineStr"/>
      <c r="F76" t="inlineStr"/>
      <c r="G76" t="inlineStr">
        <is>
          <t>Everett, WA, US</t>
        </is>
      </c>
      <c r="H76" s="1" t="n">
        <v>46070</v>
      </c>
      <c r="I76" t="inlineStr">
        <is>
          <t>**JAMCO AMERICA, INC.**
**Job Title:** Program Manager\-Aftermarket,BFE
**FLSA Status:** Exempt
**Sign\-on Bonus:** $2,500\.00
 **Summary**
Manages contracted programs to ensure activities are carried out in accordance with established procedures; coordinates interdepartmental functions in order to minimize delays; meets with team members on a regular basis to review status and plan future actions. Expected to guide and execute programs and coordinate all required tasks and actions to support a globally collaborated environment by performing the following duties.
 **Essential Duties and Responsibilities** *include the following with other duties as assigned:*
* Define program schedule including milestone dates and manage progress schedule.
* Develop program strategy. Plans and coordinates activities of designated project to ensure that goals or objectives of project are accomplished within required time frame and budget
* Provide input to the Marketing request for quote process
* Coordinate and verify the quoted work scope and Marketing, company sales budget for final technical and scope definition
* Create the Program Plan and the final master phasing schedule based on the Work Breakdown Structure (WBS) from engineering and all related departments
* Develop risk assessments and coordinate and oversee recovery plans. (Risk Management Strategy)
* Utilizes program and project management best practices, including project plans, resources and constraints, to ensure timely and high\-quality completion of initiatives
* Coordinate internal program kickoff and launch "work center" budget allocations to program team. Manage budget and schedule plan from each department. Prepare monthly project forecast and support company budgetary commitments
* Monitor and measure weekly budget and schedule performance of each department and report to executive management
* Ensure development of and oversee each department resource and manpower plan to effectively support and execute the program plan
* Coordinate with the customer and internal departments on technical and contractual issues utilizing project management industry tools
* Support each department as necessary to obtain required technical and certification data from customer and other suppliers
* Collect and evaluate all internal and external scope change management / original contract deviation impacts. Review departments cost impact proposals, prepare and quantify recommendations to Sales and Marketing for financial negotiations.
* Plan and conduct milestone meetings such as ITCM, PDR, CDE.
 **Supervisory Responsibilities**
This job has no supervisory responsibilities.
 **Requirements**
Education and/or Experience/Knowledge
Position requires completion of a Bachelor's degree (B. A.) in business management or equivalent related work experience, engineering degree preferred. Typically requires a minimum 5 years program management experience in the aircraft industry. Strong interpersonal and communication skills are required in order to effectively interact with employees and customers.
 **Responsibilities**
This job is expected to demonstrate proficiency in implementing a variety of involved work processes, functions and procedures. The employee has specific authority to select appropriate work methods and techniques to complete assigned activities. Emphasis is placed upon the accurate recall and prioritization of assigned tasks. The scope of work performed requires coordinating and integration of tasks among departmental employees and may involve responsibility for ongoing contacts with customers, employees, vendors and contractors.
 **Qualifications**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All external hiring is contingent upon the successful completion of a pre\-employment drug screen and a criminal background check.
Moderate travel within the U.S. and abroad may be required to support JAMCO America programs.
 **Language Skill**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**Customer Orientation**
Must demonstrate concern and take actions to meet requirements and high standards of quality of both internal and external customers. Must display courtesy and sensitivity. Manage difficult situations. Meet commitments. Respond promptly to customer needs. Solicit customer feedback to improve service.
 **Physical Demands**
While performing the duties of this job, the employee is frequently required to stand, walk, sit, talk and hear.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Jamco is passionate about providing a competitive and comprehensive benefits package and pleased to offer the following to eligible employees\-
* Medical Coverage
* Dental and Vision Reimbursement
* 401(k) Retirement Savings Plan
* Benefit Conversion at Termination
* Bereavement Leave
* Educational Assistance
* Family and Medical Leave
* Paid Parental Leave (40 hours) \*Qualifying event after June 15th, 2022
* Flexible Benefit Plan (Flex Spending)
* Holidays
* Jury Duty/Witness Service Leave
* Life Insurance
* Long\-Term Disability
* Short\-Term Disability
* Pregnancy Leave
* Paid Time Off (PTO)
* Personal Leave
* Wedding Leave
* Wellness Program/Gym Reimbursement
* Pet Insurance</t>
        </is>
      </c>
    </row>
    <row r="77">
      <c r="A77" t="inlineStr">
        <is>
          <t>in-7c8524d9ba2939d2</t>
        </is>
      </c>
      <c r="B77" t="inlineStr">
        <is>
          <t>Program Manager 3</t>
        </is>
      </c>
      <c r="C77" t="inlineStr">
        <is>
          <t>Northrop Grumman</t>
        </is>
      </c>
      <c r="D77" t="inlineStr">
        <is>
          <t>indeed</t>
        </is>
      </c>
      <c r="E77" t="inlineStr"/>
      <c r="F77" t="inlineStr"/>
      <c r="G77" t="inlineStr">
        <is>
          <t>Palmdale, CA, US</t>
        </is>
      </c>
      <c r="H77" s="1" t="n">
        <v>46069</v>
      </c>
      <c r="I77"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Program Manager 3 to join our team of qualified, diverse individuals. This position will be located in **Palmdale, CA**.
The Manager of Programs will be responsible for providing strategic and tactical leadership to the execute all aspects of the Product build inclusive of fabrication and assembly. Inclusive is leading initiatives related to process optimization, cost reduction, quality control, and the introduction of new manufacturing technologies to achieve our execution commitments. The ideal candidate will possess a strong background in aerospace manufacturing, a proven track record of successful leadership, and a deep understanding and experience with high\-rate production of aircraft fabrication and assembly. This is a highly visible role that requires excellent communication, collaboration, and problem\-solving skills, which will include the following responsibilities:
* You will be responsible for all aspects of product, build and program execution on this restricted program to include having responsibility for the cost, schedule, and technical performance.
* Responsibilities may also include contract negotiations, change management, preparing proposals, business plans, proposal work statements, specifications, operating budgets and financial terms/conditions for this contract.
* You will act as the primary internal contact for program activities, leading program review sessions with the customer to discuss cost, schedule, and technical performance.
* You will also interface with the program customer on a regular basis. Establish milestones and monitors adherence to master plans and schedules, identifies program problems and obtains solutions, such as allocation of resources or changing contractual specifications.
* You will direct the work of employees assigned to the program in the areas of technical, manufacturing, and administrative across a multitude of disciplines.
Basic Qualifications:
* Bachelor’s Degree with 10 years of aerospace, military, or other relevant industry experience OR a Master’s Degree with 8 years of aerospace, military, or other relevant industry experience
* Minimum of 3 years leadership experience in a Manufacturing environment
* Must have an active DoD Secret or Top Secret Clearance with the ability to obtain Special Program Access (SAP)
* Must be willing to work all shifts, including 2nd shift and 3/10’s shift
Preferred Qualifications:
* Demonstrated ability to lead and manage cross\-functional teams
* 5 or more years of leadership experience in a Manufacturing team environment \- Active Special Program Access (SAP)
* Program management experience in a defense or production industry \- Experience in Manufacturing, Operations, Manufacturing Engineering, Industrial Engineering, Global Supply Chain, or Project Management
* Financial experience in EVMS or similar cost and schedule management systems
* Excellent communication, interpersonal, and leadership skills.
* Strong problem\-solving and analytical skills.
* Experience with AS9100 quality management system.
* STEM degree
Primary Level Salary Range: $193,000\.00 \- $289,600\.00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8">
      <c r="A78" t="inlineStr">
        <is>
          <t>in-eaa4a1bbd470eeb7</t>
        </is>
      </c>
      <c r="B78" t="inlineStr">
        <is>
          <t>Engineer Operations Program Manager 3</t>
        </is>
      </c>
      <c r="C78" t="inlineStr">
        <is>
          <t>Northrop Grumman</t>
        </is>
      </c>
      <c r="D78" t="inlineStr">
        <is>
          <t>indeed</t>
        </is>
      </c>
      <c r="E78" t="inlineStr"/>
      <c r="F78" t="inlineStr"/>
      <c r="G78" t="inlineStr">
        <is>
          <t>Los Angeles, CA, US</t>
        </is>
      </c>
      <c r="H78" s="1" t="n">
        <v>46069</v>
      </c>
      <c r="I78"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Defense System has an opening for an Operations Program Manager (OPM) to join our team of qualified, diverse individuals within our Advanced Weapons (AW) business unit. This leadership role located in Northridge, CA.
The OPM must be a self\-starter, self\-motivated individual who can work in a fast\-paced environment.
**The responsibilities of an OPM include:**
* Managing and maintaining the day\-to\-day interfaces and communications between the assigned Program Management Office (PMO), Manufacturing, Test, Manufacturing Resource Planning (MRP), Mission Assurance (MA), Supply Chain (SCM), Engineering, and Shipping.
* Achieving targeted cost and schedule requirements.
* Facilitating internal meetings in a way to support design, production, and problem resolutions.
* Reporting Earned Value Management System (EVMS) and serving as the Cost Account Management (CAM) for manufacturing projects.
* Leading or participating on a product team, responsible for product\-level requirements analysis, engineering and manufacturing of the products assigned, product tracking, and product visibility.
* Representing manufacturing at the program Risk Review Board (RRB) meetings and creating / managing any applicable manufacturing risks and/or opportunities from the program risk register.
* Supporting and generating proposal documentation as needed to foster new work.
This is not a Manager job. This is an individual contributor role.
**Basic Qualifications for a Level 3 OPM:**
* Bachelor's degree with 5 years of relevant work experience, a Masters degree with 3 years of experience or 9 years of experience in lieu of a degree
* Ability to obtain and maintain a Secret Security Clearance per business requirements (US citizenship required)
* Experience with Cost Point or other Enterprise Resource Planning (ERP) system and MS Office applications including Excel, Word, Project, and Power Point
**Preferred Qualifications:**
* Bachelor’s degree in Engineering or Business Management
* Experience with cost, schedule, project leadership, and/or process improvement
* Manufacturing or Engineering experience
* Experience with bases of estimates, shop order creation, and Earned Value Management Systems (EVMS)
* Active Secret clearance.
* 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With Cal State Northridge right in the heart of town, the area has an active college\-town energy combined with family\-friendly suburban charm. The stunning southern California climate makes for year\-round easy living. With an average of 284 sunny days during the year, it is safe to say you’ll have plenty of time to enjoy your outdoor activities to the fullest.
For more information, please click on this link below:
Northrop Grumman in Northridge\-California \- Northrop Grumman
\#LI\-MA1
Primary Level Salary Range: $83,400\.00 \- $125,200\.00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9">
      <c r="A79" t="inlineStr">
        <is>
          <t>in-2c217e517168295b</t>
        </is>
      </c>
      <c r="B79" t="inlineStr">
        <is>
          <t>Software Engineer - Product Owner Level 5</t>
        </is>
      </c>
      <c r="C79" t="inlineStr">
        <is>
          <t>Northrop Grumman</t>
        </is>
      </c>
      <c r="D79" t="inlineStr">
        <is>
          <t>indeed</t>
        </is>
      </c>
      <c r="E79" t="inlineStr"/>
      <c r="F79" t="inlineStr"/>
      <c r="G79" t="inlineStr">
        <is>
          <t>Aurora, CO, US</t>
        </is>
      </c>
      <c r="H79" s="1" t="n">
        <v>46062</v>
      </c>
      <c r="I79"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**Staff Engineer (Level 5\):** Bachelor's degree in a STEM discipline with 12\+ years of relative experience; master’s degree in a STEM discipline with 10\+ years of relative experience. An additional 4 years of experience may be considered in lieu of degree.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0">
      <c r="A80" t="inlineStr">
        <is>
          <t>in-99e9f674b73836ff</t>
        </is>
      </c>
      <c r="B80" t="inlineStr">
        <is>
          <t>Software Engineer - Product Owner Level 3 or 4</t>
        </is>
      </c>
      <c r="C80" t="inlineStr">
        <is>
          <t>Northrop Grumman</t>
        </is>
      </c>
      <c r="D80" t="inlineStr">
        <is>
          <t>indeed</t>
        </is>
      </c>
      <c r="E80" t="inlineStr"/>
      <c r="F80" t="inlineStr"/>
      <c r="G80" t="inlineStr">
        <is>
          <t>Aurora, CO, US</t>
        </is>
      </c>
      <c r="H80" s="1" t="n">
        <v>46062</v>
      </c>
      <c r="I80"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Engineer Software (Level 3\):** Bachelor's degree in a STEM discipline with 5\+ years of relative experience; master’s degree in a STEM discipline with 3\+ years of relative experience.
* **Sr. Principal Engineer Software (Level 4\):** Bachelor's degree in a STEM discipline with 8\+ years of relative experience; master’s degree in a STEM discipline with 6\+ years of relative experience.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1">
      <c r="A81" t="inlineStr">
        <is>
          <t>in-a59a59b1de4076ef</t>
        </is>
      </c>
      <c r="B81" t="inlineStr">
        <is>
          <t>Senior Product Manager</t>
        </is>
      </c>
      <c r="C81" t="inlineStr">
        <is>
          <t>Boeing</t>
        </is>
      </c>
      <c r="D81" t="inlineStr">
        <is>
          <t>indeed</t>
        </is>
      </c>
      <c r="E81" t="inlineStr"/>
      <c r="F81" t="inlineStr"/>
      <c r="G81" t="inlineStr">
        <is>
          <t>Dallas, TX, US</t>
        </is>
      </c>
      <c r="H81" s="1" t="n">
        <v>46071</v>
      </c>
      <c r="I81"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**Senior Product Manager** to join the team in Dallas, TX; North Charleston, SC; Hazelwood, MO; Plano, TX; Renton, WA; Seattle, WA; Kent, WA or Ridley Park, PA.
You will build and lead technological products and data solutions that enable efficient, secure, and sustainable management of Boeing’s global real estate and facilities portfolio. This role owns product strategy, delivery, and lifecycle across a broad scope of systems such as space and occupancy, Computerized Maintenance Management Systems (CMMS), Building Automation Systems and Operational Technology (BAS and OT) integrations, inventory/parts management, drawing/Computer\-Aided Design (CAD), capital planning, and analytics.
The Product Manager partners with Enterprise Services Transformation, real estate, facilities operations, finance, Information Technology (IT), external vendors, and service providers to deliver data\-driven tools that optimize space, reduce cost, improve employee experience, and support enterprise objectives.
**Position Responsibilities:**
* Define, own, and continuously refine the product vision, strategy, and multi\-year roadmap aligned to Global Real Estate and Facilities (GREF) and Boeing Enterprise objectives (space optimization, service efficiency, sustainability, cost reduction, and employee experience)
* Develop product Objectives and Key Results (OKRs) and business cases to prioritize investments across initiatives and external partners
* Lead product lifecycle from discovery Press Release and Frequently Asked Questions (PRFAQ) business case through design, development, release, and ongoing optimization
* Manage product backlog, translate stakeholder needs into prioritized user stories and acceptance criteria, and partner with engineering, Information Technology (IT), User Experience (UX), Development Operations (DevOps), and vendor teams to deliver iteratively
* Architect and prioritize integrations across systems (e.g., Corrigo Zeus, Procore Ariba, Serraview data lake, CoStar lease ledgers
* Work with enterprise architecture, security, and data engineering to ensure scalable, secure, and maintainable solutions, including Single Sign On (SSO), data residency, and compliance across geographies
* Drive master data strategy and design of a GREF data warehouse to unify assets, locations, leases, work order history, inventory, drawing metadata, and financials
* Partner with data engineers and data scientists to deliver occupancy analytics, forecasting, predictive maintenance, root\-cause analysis, and sustainability metrics
* Collaborate with internal stakeholders, real estate planners, Project Management and Change Management (PMCM), Integrated Facility Management (IFM), finance, Human Resources (HR), Information Technology (IT) and external vendors Jones Lang LaSalle (JLL), CBRE, Service Delivery Integration (SDI), Compass Group, software vendors to gather requirements, align priorities, and manage vendor scope and delivery
* Represent product status and trade\-offs to senior leadership and global regions; ensure global rollout plans meet regional contractual and operational requirements
* Incorporate lease accounting, Total Cost of Ownership (TCO), and capital/operational budgeting into prioritization and business cases
* Define and track Key Performance Indicators (KPIs): space utilization, Moves, Adds, Changes (MAC) cycle time, asset uptime, Mean Time To Repair (MTTR), cost per sq ft, CMMS adoption, parts fulfillment Service Level Agreement (SLA), project delivery metrics, and sustainability outcomes
* Drive adoption through stakeholder enablement, training plans, launch communications, and feedback mechanisms
* Measure and iterate based on operational outcomes
**Basic Qualifications (Required Skills/Experience):**
* Bachelor’s degree or higher
* 10\+ years of experience in Product Leadership, Product Operations, Product Management or Agile Project Management role
* 5\+ years of experience leading and partnering with cross\-functional teams, involving key stakeholder relationship management
* 5\+ years of experience in global real estate or facilities
**Preferred Qualifications (Desired Skills/Experience):**
* Master’s degree in Business, Engineering, Technology or technical certifications (cloud, data engineering, facilities management)
* Experience with corporate real estate, workplace technology, facilities management, IFM, or enterprise CMMS deployment
* Experience with integrations across CMMS, BAS/OT, ERP/Procurement systems (Ariba), project systems (Procore), and IoT/sensor platforms
* Experience building data warehouses, master data management, and analytics products; proficiency with SQL and BI tools
* Experience with lease accounting (ASC 842 / IFRS 16\), capital planning, and portfolio\-level financial modeling
* Experience managing SaaS vendor relationships and global rollouts; familiarity with SSO, data residency, and privacy/regulatory constraints
* Experience working in ambiguous, fast\-paced environments; adept at prioritizing across many high\-value initiatives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$151,300 – $218,500
Applications for this position will be accepted until **Feb. 25,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82">
      <c r="A82" t="inlineStr">
        <is>
          <t>in-746cbfac04f5c65e</t>
        </is>
      </c>
      <c r="B82" t="inlineStr">
        <is>
          <t>Sr. Product Manager Technical, Deal Tooling &amp; Insights, Strategic Customer Engagements</t>
        </is>
      </c>
      <c r="C82" t="inlineStr">
        <is>
          <t>Amazon Web Services</t>
        </is>
      </c>
      <c r="D82" t="inlineStr">
        <is>
          <t>indeed</t>
        </is>
      </c>
      <c r="E82" t="inlineStr"/>
      <c r="F82" t="inlineStr"/>
      <c r="G82" t="inlineStr">
        <is>
          <t>New York, NY, US</t>
        </is>
      </c>
      <c r="H82" s="1"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3">
      <c r="A83" t="inlineStr">
        <is>
          <t>in-6e155b25cdb87941</t>
        </is>
      </c>
      <c r="B83" t="inlineStr">
        <is>
          <t>Sr. Product Manager Technical, Deal Tooling &amp; Insights, Strategic Customer Engagements</t>
        </is>
      </c>
      <c r="C83" t="inlineStr">
        <is>
          <t>Amazon Web Services</t>
        </is>
      </c>
      <c r="D83" t="inlineStr">
        <is>
          <t>indeed</t>
        </is>
      </c>
      <c r="E83" t="inlineStr"/>
      <c r="F83" t="inlineStr"/>
      <c r="G83" t="inlineStr">
        <is>
          <t>Seattle, WA, US</t>
        </is>
      </c>
      <c r="H83" s="1" t="n">
        <v>45994</v>
      </c>
      <c r="I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4">
      <c r="A84" t="inlineStr">
        <is>
          <t>in-4ba49bb2fc8dcfdd</t>
        </is>
      </c>
      <c r="B84" t="inlineStr">
        <is>
          <t>Sr. Product Manager Technical, Deal Tooling &amp; Insights, Strategic Customer Engagements</t>
        </is>
      </c>
      <c r="C84" t="inlineStr">
        <is>
          <t>Amazon Web Services</t>
        </is>
      </c>
      <c r="D84" t="inlineStr">
        <is>
          <t>indeed</t>
        </is>
      </c>
      <c r="E84" t="inlineStr"/>
      <c r="F84" t="inlineStr"/>
      <c r="G84" t="inlineStr">
        <is>
          <t>Austin, TX, US</t>
        </is>
      </c>
      <c r="H84" s="1"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5">
      <c r="A85" t="inlineStr">
        <is>
          <t>in-124c018c3b783efb</t>
        </is>
      </c>
      <c r="B85" t="inlineStr">
        <is>
          <t>Sr. Product Manager Technical, Deal Tooling &amp; Insights, Strategic Customer Engagements</t>
        </is>
      </c>
      <c r="C85" t="inlineStr">
        <is>
          <t>Amazon Web Services</t>
        </is>
      </c>
      <c r="D85" t="inlineStr">
        <is>
          <t>indeed</t>
        </is>
      </c>
      <c r="E85" t="inlineStr"/>
      <c r="F85" t="inlineStr"/>
      <c r="G85" t="inlineStr">
        <is>
          <t>Arlington, VA, US</t>
        </is>
      </c>
      <c r="H85" s="1"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6">
      <c r="A86" t="inlineStr">
        <is>
          <t>in-df4e916b43f8daa2</t>
        </is>
      </c>
      <c r="B86" t="inlineStr">
        <is>
          <t>Sr. Product Manager Technical, Deal Tooling &amp; Insights, Strategic Customer Engagements</t>
        </is>
      </c>
      <c r="C86" t="inlineStr">
        <is>
          <t>Amazon Web Services</t>
        </is>
      </c>
      <c r="D86" t="inlineStr">
        <is>
          <t>indeed</t>
        </is>
      </c>
      <c r="E86" t="inlineStr"/>
      <c r="F86" t="inlineStr"/>
      <c r="G86" t="inlineStr">
        <is>
          <t>Herndon, VA, US</t>
        </is>
      </c>
      <c r="H86" s="1" t="n">
        <v>45994</v>
      </c>
      <c r="I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7">
      <c r="A87" t="inlineStr">
        <is>
          <t>in-453c82779139e9a5</t>
        </is>
      </c>
      <c r="B87" t="inlineStr">
        <is>
          <t>Sr. Product Manager Technical, Deal Tooling &amp; Insights, Strategic Customer Engagements</t>
        </is>
      </c>
      <c r="C87" t="inlineStr">
        <is>
          <t>Amazon Web Services</t>
        </is>
      </c>
      <c r="D87" t="inlineStr">
        <is>
          <t>indeed</t>
        </is>
      </c>
      <c r="E87" t="inlineStr"/>
      <c r="F87" t="inlineStr"/>
      <c r="G87" t="inlineStr">
        <is>
          <t>Dallas, TX, US</t>
        </is>
      </c>
      <c r="H87" s="1" t="n">
        <v>45994</v>
      </c>
      <c r="I8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8">
      <c r="A88" t="inlineStr">
        <is>
          <t>in-2b145db754c132a9</t>
        </is>
      </c>
      <c r="B88" t="inlineStr">
        <is>
          <t>Sr Lead Product Manager</t>
        </is>
      </c>
      <c r="C88" t="inlineStr">
        <is>
          <t>PayPal</t>
        </is>
      </c>
      <c r="D88" t="inlineStr">
        <is>
          <t>indeed</t>
        </is>
      </c>
      <c r="E88" t="inlineStr"/>
      <c r="F88" t="inlineStr"/>
      <c r="G88" t="inlineStr">
        <is>
          <t>San Jose, CA, US</t>
        </is>
      </c>
      <c r="H88" s="1" t="n">
        <v>46071</v>
      </c>
      <c r="I8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drives product strategy in alignment with a shared vision, collaborating with cross\-functional stakeholders. It includes planning and implementing an architectural roadmap that balances innovative design with regulatory requirements and customer needs. The position assesses customer experience and establishes data\-gathering mechanisms to measure product success through usability studies and market analysis. Responsibilities also encompass overseeing product profitability, leading operational reviews, and partnering with various experts to maximize efficiency in a dynamic environment. This job is an individual contributor.**Job Description:**
**Essential Responsibilities:**
* Drives product strategy with cross\-functional stakeholders consistent with the shared vision for the product or enabling platform.
* Plans and implements the architectural roadmap that balances innovative design and technical implementation, while balancing regulatory requirements, time\-to\-market, meeting customer needs and product profitability.
* Assesses the customer experience and customer needs in product requirements and decision making.
* Sets up data gathering mechanisms relative to the metrics that inform the success of products including usability studies, research and market analysis.
* Leads workstreams to include analytics, customer discovery, market research and competitive analysis to drive data\-driven decision\-making.
* Oversees product profitability measures, including budget.
* Plans operational mechanisms that drive execution and accountability including Product Reviews, Operating Reviews, and Business Reviews. Interfaces with product and technology leadership as needed.
* Partners with content strategists, data scientists, product designers and user experience researchers.
* Maximizes efficiency in a constantly evolving environment where the process is fluid and creative solutions are the standard.
**Expected Qualifications:**
* 8\+ years relevant experience and a Bachelor’s degree OR Any equivalent combination of education and experience.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San Jose, California \| ($196,500\.00 \- $291,500\.00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89">
      <c r="A89" t="inlineStr">
        <is>
          <t>in-78e857d5cd9f5c6e</t>
        </is>
      </c>
      <c r="B89" t="inlineStr">
        <is>
          <t>Principal Product Manager - Tech, Recommender Systems, Prime Video Personalization &amp; Discovery</t>
        </is>
      </c>
      <c r="C89" t="inlineStr">
        <is>
          <t>Amazon.com</t>
        </is>
      </c>
      <c r="D89" t="inlineStr">
        <is>
          <t>indeed</t>
        </is>
      </c>
      <c r="E89" t="inlineStr"/>
      <c r="F89" t="inlineStr"/>
      <c r="G89" t="inlineStr">
        <is>
          <t>Seattle, WA, US</t>
        </is>
      </c>
      <c r="H89" s="1" t="n">
        <v>45753</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in-2fc225e17ba08c0f</t>
        </is>
      </c>
      <c r="B90" t="inlineStr">
        <is>
          <t>Principal Product Manager - Tech, Recommender Systems, Prime Video Personalization &amp; Discovery</t>
        </is>
      </c>
      <c r="C90" t="inlineStr">
        <is>
          <t>Amazon.com</t>
        </is>
      </c>
      <c r="D90" t="inlineStr">
        <is>
          <t>indeed</t>
        </is>
      </c>
      <c r="E90" t="inlineStr"/>
      <c r="F90" t="inlineStr"/>
      <c r="G90" t="inlineStr">
        <is>
          <t>Washington, DC, US</t>
        </is>
      </c>
      <c r="H90" s="1" t="n">
        <v>45753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in-d17f378380091eb0</t>
        </is>
      </c>
      <c r="B91" t="inlineStr">
        <is>
          <t>Digital Product Owner - Agency Solutions</t>
        </is>
      </c>
      <c r="C91" t="inlineStr">
        <is>
          <t>Quility</t>
        </is>
      </c>
      <c r="D91" t="inlineStr">
        <is>
          <t>indeed</t>
        </is>
      </c>
      <c r="E91">
        <f>HYPERLINK("https://www.indeed.com/viewjob?jk=d17f378380091eb0", "https://www.indeed.com/viewjob?jk=d17f378380091eb0")</f>
        <v/>
      </c>
      <c r="F91">
        <f>HYPERLINK("https://ats.rippling.com/quility-insurance-llc/jobs/bca5758c-40e8-41ff-ae6f-f4d3b8274be1?jobSite=Indeed", "https://ats.rippling.com/quility-insurance-llc/jobs/bca5758c-40e8-41ff-ae6f-f4d3b8274be1?jobSite=Indeed")</f>
        <v/>
      </c>
      <c r="G91" t="inlineStr">
        <is>
          <t>Remote, US</t>
        </is>
      </c>
      <c r="H91" s="2" t="n">
        <v>46072</v>
      </c>
      <c r="I91" t="inlineStr">
        <is>
          <t>Quility is a modern Insurtech company transforming how life insurance and financial wellness solutions are designed, delivered, and experienced. By blending advanced technology, data\-driven insights, and a human\-first approach, we empower agents and partners to offer streamlined, fully digital insurance experiences at scale. With thousands of independent agents nationwide and a growing suite of proprietary platforms and products, we are redefining the future of insurance distribution. Our corporate team drives innovation across every touchpoint, enabling families across America to access the protection and peace of mind they deserve. At Quility, we’re not just keeping up with industry change, we’re leading it.
 **Job Summary**
As the **Digital Product Owner \- Agency Solutions**, you will own the definition, prioritization, and delivery of digital solutions supporting life insurance and annuity distribution. You will serve as the primary bridge between business stakeholders and technology teams, ensuring that complex life and annuity workflows, regulatory requirements, and carrier rules are translated into scalable, high\-quality product capabilities.
You will play a critical role within Agile teams, owning the product backlog, refining user stories, guiding solution design, and ensuring successful delivery across the full policy lifecycle—from illustration and application through underwriting, issuance, post\-issue servicing, and commissions. This role requires deep domain expertise in life and annuity distribution, strong execution discipline, and close collaboration with engineering, operations, compliance, and sales teams.
**Responsibilities**
* Own and prioritize the product backlog for life insurance and annuity agency management solutions, ensuring alignment with business objectives and regulatory requirements.
* Collaborate with Sales/Distribution, Operations, Compliance, Finance, BI, UX and IT teams to define and refine product requirements supporting life and annuity sales, servicing and agency management workflows.
* Facilitate backlog grooming, user story development, and acceptance criteria definition in an Agile environment.
* Translate complex life and annuity business needs into well\-defined user journeys, functional requirements, user stories, and workflow designs.
* Drive product capabilities across key areas including:
* + Agent recruiting, onboarding, contracting, and licensing
	+ Illustrations and product comparison
	+ Application intake (eApp and hybrid)
	+ Underwriting and requirements management
	+ Suitability and best interest workflows
	+ Policy issuance, delivery, and funding
	+ Post\-issue servicing and in\-force management
	+ Agency practice and performance management
	+ Commissions, advances, chargebacks, and reporting
* Participate in Agile ceremonies including sprint planning, backlog refinement, reviews, retrospectives, and demos.
* Partner closely with engineering and UX teams to ensure solutions are intuitive, scalable, and aligned with real\-world agent and operations workflows.
* Work with QA teams to ensure testing strategies adequately cover critical life and annuity business scenarios, compliance rules, and edge cases.
* Support user acceptance testing (UAT), partnering with sales, underwriting, and operations teams to validate new capabilities prior to release.
* Monitor product performance, adoption, and operational metrics to identify opportunities for continuous improvement.
* Stay current on life insurance and annuity industry trends, carrier practices, and regulatory changes impacting product design and distribution.
* Lead Voice of the Customer initiatives with our sales/distribution partners to ensure we continually received feedback and insights from our core cohorts.
**Qualifications**
* Bachelor’s degree in Business Administration, Information Systems, Computer Science, or a related field.
* 5\-7 years of experience in Product Management or Product Ownership, with significant experience in life insurance and/or annuity distribution.
* Strong understanding of life and annuity products, including term, permanent, and universal life, annuities, and related sales and servicing workflows.
* Demonstrated experience owning backlogs and delivering workflow\-heavy, compliance\-driven platforms in an Agile environment (Scrum, Kanban, SAFe, etc.).
* Proficiency in writing clear user stories, defining acceptance criteria, and managing complex product backlogs.
* Experience working with Agile tools such as Jira, Confluence, or Azure DevOps.
* Strong analytical and problem\-solving skills with the ability to balance business needs, regulatory requirements, and technical constraints.
* Excellent communication and stakeholder management skills, with the ability to work effectively across technical and non\-technical teams.
* Experience with life insurance CRM, illustration systems, policy administration platforms, underwriting systems, or commission engines is a plus.
* Experience with such digital insurance solution providers as Ethos, iPipeline, Zinnia, hexure/firelight, covr, SelectQuote, Policygenius, etc.
* Knowledge of life insurance and annuity regulatory requirements (including suitability and best interest standards) is a plus.
**Supervisory Responsibility**  
This position has no supervisory responsibilities**.**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This is largely a sedentary role; however, building access is limited to two sets of stairs and may require lifting or moving objects up to 30 lbs. The employee is frequently required to sit for long periods of time.
Reasonable accommodation may be made to enable individuals with disabilities to perform the essential functions.
 **Position Type and Expected Hours of Work**  
This is a full\-time position. Days and hours of work are Monday through Friday, 9 a.m. to 5 p.m. Occasional evening and weekend work may be required as job duties demand.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**The pay range for this role is:**  
150,000 \- 175,000 USD per year(Remote (United States))</t>
        </is>
      </c>
    </row>
    <row r="92">
      <c r="A92" t="inlineStr">
        <is>
          <t>in-813e65f5bd4e5ffc</t>
        </is>
      </c>
      <c r="B92" t="inlineStr">
        <is>
          <t>Safety, Security &amp; Training Program Manager</t>
        </is>
      </c>
      <c r="C92" t="inlineStr">
        <is>
          <t>Skyway 36 LLC</t>
        </is>
      </c>
      <c r="D92" t="inlineStr">
        <is>
          <t>indeed</t>
        </is>
      </c>
      <c r="E92">
        <f>HYPERLINK("https://www.indeed.com/viewjob?jk=813e65f5bd4e5ffc", "https://www.indeed.com/viewjob?jk=813e65f5bd4e5ffc")</f>
        <v/>
      </c>
      <c r="F92">
        <f>HYPERLINK("http://www.indeed.com/job/safety-security-training-program-manager-813e65f5bd4e5ffc", "http://www.indeed.com/job/safety-security-training-program-manager-813e65f5bd4e5ffc")</f>
        <v/>
      </c>
      <c r="G92" t="inlineStr">
        <is>
          <t>Tulsa, OK, US</t>
        </is>
      </c>
      <c r="H92" s="2" t="n">
        <v>46072</v>
      </c>
      <c r="I92" t="inlineStr">
        <is>
          <t>**Job Overview**
Osage LLC is seeking a Range Safety, Security, and Training Program Manager to lead safety, security, and training operations at Skyway Range in Tulsa, OK. The range supports a mix of defense testing, energy sector work, and commercial UAS (drone) activities, so this role is hands\-on, customer\-facing, and highly operational.
You will serve as the primary customer safety point of contact, oversee drone and range operations, manage facility security, and maintain Osage LLC training programs for employees.
Osage members and U.S. military veterans are strongly encouraged to apply. Preference will be applied in accordance with Osage LLC policy.
**Responsibilities**
**Range \&amp; Drone Operations** 
* Manage day\-to\-day range safety for ground and air operations, with an emphasis on drone flights.
* Coordinate and approve flight activities, ensure safe use of airspace, and lead safety briefings and debriefs.
* Develop and maintain range safety procedures, SOPs, and emergency response plans across defense, energy, and commercial UAS missions.
**Customer Safety Point of Contact** 
* Act as the primary safety liaison for all customers using Skyway Range.
* Support customer test planning, risk assessments, and mitigations.
* Provide clear guidance before, during, and after missions to ensure safe, compliant operations.
**Facility Security**
* Oversee physical security for all Skyway Range facilities and test areas.
* Manage access control, badging, visitor management, and incident reporting.
* Coordinate with internal stakeholders and external partners on security requirements that may include sensitive or controlled work.
**Osage LLC Training Programs**
* Develop, deliver, and manage Osage LLC training related to range safety, security, drone/UAS operations, and site\-specific procedures.
* Maintain training records, track compliance, and ensure personnel and customers complete required training prior to range access or operations.
**Experience**
* Experience in range operations, aviation/UAS, defense testing, energy operations, industrial safety, or a closely related field.
* Hands\-on experience with drone/UAS operations, aviation safety, or test range activities.
* Knowledge of safety and security practices, regulations, and risk management principles.
* Strong communication skills, especially under pressure during live operations or incidents.
* Ability to lead, train, and influence a safety\-first culture with employees, contractors, and customers.
* Preferred: prior military experience, work with defense/DoD or critical infrastructure, prior facility security or industrial security background, and experience building or delivering training programs.
**Required Qualifications**
* Bachelor’s degree in safety management, aviation, engineering, security, emergency management, or a related field is preferred; equivalent combination of education and experience will be accepted.
* Progressive experience in range operations, test operations, aviation/UAS operations, industrial/energy operations, or defense testing environments.
* Demonstrated experience managing or supporting UAS/drone operations, including safety and regulatory considerations.
* Experience with facility security programs such as access control, visitor management, physical security measures, and incident response.
* Experience planning, delivering, or managing training programs in technical, safety, or security contexts.
* Strong written and verbal communication skills, including the ability to brief leadership, customers, and regulators.
* Proven ability to lead cross\-functional teams and coordinate with multiple stakeholders under time\-sensitive conditions.
* Proficiency with standard office software (e.g., word processing, spreadsheets, presentations) and basic familiarity with range or aviation planning tools.
**Preferred Qualifications**
* Prior experience working in defense test ranges, military training environments, energy infrastructure sites, or commercial UAS test corridors.
* Familiarity with FAA regulations related to UAS and manned aviation, and/or range safety doctrine.
* Experience with safety management systems (SMS), risk management frameworks, or similar structured safety programs.
* Experience with government or defense\-related security requirements (e.g., NISPOM, CUI, export controls) is a plus.
* Formal certifications in safety, security, or UAS (e.g., CSP, ASP, PSP, UAS pilot certifications, Part 107 Remote Pilot) are desirable.
* Prior service in the U.S. Armed Forces or experience supporting military customers.
* Prior experience working with or on behalf of Osage Nation or other tribal enterprises.
**Osage and Veteran Preference** 
In accordance with Osage LLC policy, preference in hiring will be given to qualified Osage applicants and qualified U.S. military veterans. Applicants are encouraged to self\-identify during the application process.
**Equal Employment Opportunity** 
Osage LLC is an Equal Employment Opportunity employer. All qualified applicants will receive consideration for employment without regard to race, color, religion, gender, sexual orientation, gender identity or expression, national origin, age, disability, protected veteran status, or any other status protected by applicable law.
Benefits:
* 401(k)
* Dental insurance
* Health insurance
* Life insurance
* Paid time off
* Vision insurance
Application Question(s):
* Are you or a family Osage members?
Work Location: In person</t>
        </is>
      </c>
    </row>
    <row r="93">
      <c r="A93" t="inlineStr">
        <is>
          <t>in-038fcad513d7c247</t>
        </is>
      </c>
      <c r="B93" t="inlineStr">
        <is>
          <t>Residential Program Manager</t>
        </is>
      </c>
      <c r="C93" t="inlineStr">
        <is>
          <t>Irvine Head Injury</t>
        </is>
      </c>
      <c r="D93" t="inlineStr">
        <is>
          <t>indeed</t>
        </is>
      </c>
      <c r="E93">
        <f>HYPERLINK("https://www.indeed.com/viewjob?jk=038fcad513d7c247", "https://www.indeed.com/viewjob?jk=038fcad513d7c247")</f>
        <v/>
      </c>
      <c r="F93">
        <f>HYPERLINK("http://www.indeed.com/job/residential-program-manager-038fcad513d7c247", "http://www.indeed.com/job/residential-program-manager-038fcad513d7c247")</f>
        <v/>
      </c>
      <c r="G93" t="inlineStr">
        <is>
          <t>Southfield, MI, US</t>
        </is>
      </c>
      <c r="H93" s="2" t="n">
        <v>46072</v>
      </c>
      <c r="I93" t="inlineStr">
        <is>
          <t>**Company Overview**
Irvine Head Injury is a leading provider of inpatient and outpatient rehabilitation services, specializing in care for individuals with traumatic brain and spinal cord injuries. With 30\+ years of dedicated service, we are committed to delivering high\-quality therapy services, including physical, occupational, speech, and aquatic therapy.
**Facility Manager**
Irvine Neuro Rehabilitation is seeking an energetic and passionate leader of an 18\-bed post\-acute rehabilitation facility. We are looking for a dynamic person with a “can\-do” outlook and motivated to make a positive impact with both residents we serve and direct caregiving team members!
Oversee the daily operations of a residential facility for individuals with brain injuries, stroke recovery, spinal cord injuries, or other orthopedic challenges. Supervise and provide guidance to a team of caregivers and support staff.
* Adhere to MI AFC licensing requirements, CARF standards and company policy/practices. Ensure regulatory compliance.
* Lead Direct Care Team in providing high\-quality, compassionate care and support to adult residents.
* Assign and maintain cleaning and facility up\-keep duties.
* Take ownership of implementing QuickMar ADL tasks and narrative charting for each shift that aligns with resident goals. This includes physical, emotional, behavioral, and cognitive needs of each resident.
* Train direct care team to company expectations of duties and to individualized Plans of Care for each resident in assigned facility. Ensure physical, emotional and social well\-being.
* Develop and foster regular and productive communication amongst team members and shift changes.
* Plan monthly staff meetings to encourage a sense of input, accountability and professional growth amongst team members.
* Collaborate with HR for disciplinary action discussions within 24 hours of occurrence. Offer immediate feedback, remediation and action plans to involved party(ies).
* Maintain integrity of emergency and maintenance binders. Conduct monthly inspections of documents for completion.
* Direct supervisor of facility team members. Structured 30\- and 90\-day check\-ins, regular and ongoing mentorship/guidance and annual performance review completion.
* Partners with therapy team and nurse for any training needs identified.
* Work with internal case managers to re\-assess residents’ needs and update care plans as necessary.
* Reviews daily documentation to ensure notes are clear, complete and concise. Re\-educate and meet with team members 1:1 for additional training.
* Create shift schedules for assigned staff – using both printed at\-a glance monthly calendar and electronic software tools.
* Triage and find staffing solutions for call\-offs and any instance of coverage needs.
* Flexibility to interface with all shifts throughout the course of a month.
* Coordinate and monitor medication management, supplies and training, in accordance with state regulations and facility policies. Partner with nurse for any noted medication issues or support.
* Pass medications in the event of staffing support need.
* Identify any Incident Reporting (IR) events to ensure accurate reporting, action and reducing future risk.
* Evaluate usage of supplies and ensure stock is available.
* Document assigned facility walk\-throughs for any findings, maintenance needs or concerns/suggestions.
* Participate in educational opportunities and in\-services.
* Engage with residents, their families and stakeholders to promote high level of customer services.
* Other duties as assigned
* Associates or Bachelors’ Degree in related field
* 3\-5 years’ experience in a supervisory role
* Knowledge of rehabilitative healthcare, nursing or therapy background a plus!
* Valid Drivers License with no more than three (3\) points
* Strong organizational and communication skills, both written and verbal.
* Available primarily for Day shift but provides support, coverage, and training as needed to all shifts (first, second, third shifts).
* Frequent standing, walking, lifting, sitting, transferring carrying, reaching, pushing and pulling
* Sufficient mobility to navigate all locations, including stairs
* Ability to respond quickly to routine and emergent patient care needs
Job Type: Full\-time
Pay: From $20\.00 per hour
Benefits:
* Dental insurance
* Health insurance
* Paid time off
* Vision insurance
Experience:
* Managing Caregivers: 2 years (Required)
* Patient care: 4 years (Required)
License/Certification:
* Driver's License (Required)
Shift availability:
* Day Shift (Required)
* Night Shift (Required)
Work Location: In person</t>
        </is>
      </c>
    </row>
    <row r="94">
      <c r="A94" t="inlineStr">
        <is>
          <t>in-00a3f74a077c6261</t>
        </is>
      </c>
      <c r="B94" t="inlineStr">
        <is>
          <t>Sr. Retail Learning &amp; Development Program Manager</t>
        </is>
      </c>
      <c r="C94" t="inlineStr">
        <is>
          <t>Vuori</t>
        </is>
      </c>
      <c r="D94" t="inlineStr">
        <is>
          <t>indeed</t>
        </is>
      </c>
      <c r="E94">
        <f>HYPERLINK("https://www.indeed.com/viewjob?jk=00a3f74a077c6261", "https://www.indeed.com/viewjob?jk=00a3f74a077c6261")</f>
        <v/>
      </c>
      <c r="F94">
        <f>HYPERLINK("https://jobs.smartrecruiters.com/VuoriInc/744000110236655-sr-retail-learning-development-program-manager-", "https://jobs.smartrecruiters.com/VuoriInc/744000110236655-sr-retail-learning-development-program-manager-")</f>
        <v/>
      </c>
      <c r="G94" t="inlineStr">
        <is>
          <t>Carlsbad, CA, US</t>
        </is>
      </c>
      <c r="H94" s="2" t="n">
        <v>46072</v>
      </c>
      <c r="I94" t="inlineStr">
        <is>
          <t>**Company Description**  
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You’ll play a pivotal role in evolving Vuori’s retail leader learning journey. You’ll own our onboarding experience end\-to\-end while being a key player in building the ongoing, always on development ecosystem that keeps General Managers and Assistant Managers growing as the business scales. You bring deep retail experience, a builder’s mindset, and a modern perspective on how leaders learn in fast\-paced store environments. You’ll test, iterate, and scale high\-impact learning experiences that are practical for the sales floor, reinforced by leaders, and measurable in readiness and performance. You’ll report to the Director, Retail Learning \&amp; Development and partner closely with the Senior Manager of Retail Learning, cross\-functional program managers, People \&amp; Culture, and Retail leadership.
**What you'll get to do:**
* Own and program\-manage retail leader onboarding and ongoing learning, including San Diego onboarding week execution and learner progress tracking with District Managers and People and Culture Business Partners.
* Continuously improve the onboarding and learning framework, recommending the right modalities, activities, and resources to support effective learning.
* Partner with HQ L\&amp;D and the Retail Admin team to capture learning initiatives and translate them into scalable enablement within the retail learning journey.
* Assess and gather feedback from learners and stakeholders to refine and ensure retail onboarding programs and experiences remain impactful, meet objectives and communicate these findings as appropriate.
* Partner with Retail leadership and training teams to ensure effective adaptation and adoption of programs across a growing community of store leadership teams.
* Facilitate virtual and in\-person training sessions as necessary for onboarding programs and other retail L\&amp;D programs as needed.
* Experiment with innovative approaches to learning that drive engagement and align with our shared traditions and brand.
* Support the growth and development of the Retail Learning team as it continues to scale.
**Qualifications** **Who you are:**
* Proven ability to build, launch, and scale retail onboarding or ongoing learning programs across a distributed store network.
* Proven ability to drive change and adoption across distributed retail teams in a fast\-changing environment.
* Skilled in creating blended learning experiences (workshops, peer learning, self\-directed learning, and on\-the\-job practice) that work in a fast\-paced retail environment.
* Demonstrated ability to design end\-to\-end learning journeys (not just single events), including reinforcement and manager activation.
* Acts as a strategic leader within the team; connects learning strategy and approach across programs and the business.
* Strong stakeholder management and collaboration skills; able to build and maintain relationships across all levels.
* Highly organized with strong time management skills; able to set and manage expectations and competing priorities.
* Exceptional facilitation and written communication skills with strong attention to detail.
* Exceptional project management skills, from concept, to planning, to implementation, to results measurement.
* 7\+ years of relevant professional experience, with experience in a store environment; store leadership preferred.
**Additional Information** **Our investment in you:**
At Vuori, we’re proud to offer the following to our employees:
* Health Insurance
* Savings and Retirement Plan
* Employee Assistance Program
* Generous Vuori Discount \&amp; Industry Perks
* Paid Time Off
* Wellness \&amp; Fitness benefits
The salary range for this role is $109,000 per year \- $140,175 per year. This role is bonus eligible.
Vuori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All your information will be kept confidential according to EEO guidelines.</t>
        </is>
      </c>
    </row>
    <row r="95">
      <c r="A95" t="inlineStr">
        <is>
          <t>in-54e16c17c59d50ee</t>
        </is>
      </c>
      <c r="B95" t="inlineStr">
        <is>
          <t>Program Manager - Secret Cleared</t>
        </is>
      </c>
      <c r="C95" t="inlineStr">
        <is>
          <t>Gridiron IT</t>
        </is>
      </c>
      <c r="D95" t="inlineStr">
        <is>
          <t>indeed</t>
        </is>
      </c>
      <c r="E95">
        <f>HYPERLINK("https://www.indeed.com/viewjob?jk=54e16c17c59d50ee", "https://www.indeed.com/viewjob?jk=54e16c17c59d50ee")</f>
        <v/>
      </c>
      <c r="F95">
        <f>HYPERLINK("http://www.indeed.com/job/program-manager-secret-cleared-54e16c17c59d50ee", "http://www.indeed.com/job/program-manager-secret-cleared-54e16c17c59d50ee")</f>
        <v/>
      </c>
      <c r="G95" t="inlineStr">
        <is>
          <t>Dahlgren, VA, US</t>
        </is>
      </c>
      <c r="H95" s="2" t="n">
        <v>46072</v>
      </c>
      <c r="I95" t="inlineStr">
        <is>
          <t>We are seeking a **Senior Program Manager** to provide strategic leadership, technical oversight, and operational guidance across multiple domains carrying out the technical, engineering, operations, maintenance, and management functions that support network operations and defense.
**Program Oversight:** 
* Support the planning and tracking of FMS program activities in accordance with DSCA policies, the Security Assistance Management Manual (SAMM), and DoD acquisition regulations.
* Monitor cost, schedule, and performance metrics throughout project execution.
**Stakeholder Coordination:** 
* Liaise with U.S. Government, foreign partners, and industry to ensure effective communication and coordination.
* Collaborate with DSCA, implementing agency, SCOs, and DCMA to support program objectives.
**Financial and Contract Support:** 
* Assist in monitoring program funding, expenditures, and case financial status.
* Support acquisition planning, contract tracking, and documentation to ensure deliverables meet FMS and DoD requirements.
**Risk Management and Reporting:** 
* Identify and communicate program risks, track mitigation actions, and support the preparation of reports and briefings such as PMRs and FSRs.
**Compliance and Documentation:** 
* Ensure adherence to AECA, ITAR, and applicable DoD/DSCA policies, maintaining accurate and audit\-ready program records.
**Required** **Qualifications:**
* Bachelor’s degree in information technology, Computer Science, Engineering, or related field (or 4\+ years additional experience).
* 10\+ years of program/project management experience with emphasis on networks and FMS programs.
* Exceptional leadership, communication, and stakeholder engagement skills.
* Active Secret clearance
* Effective written and verbal communications skills for collaboration with both customers and fellow team members.
* Ability to sit for extended periods of time.
* Ability to regularly lift at least 25 pounds.
* Ability to commute to the designated onsite work location as required.
* Ability and willingness to TDY up to 25%
**Preferred Certifications:**
* PgMP or PMP
* ITIL v4 Foundation
* IA 8570 \- IAT III
**Clearance**  
Applicants selected will be subject to a security investigation and may need to meet eligibility requirements for access to classified information; Secret clearance is required.
**Compensation and Benefits**  
Salary Range: $150,000 \- $200,000 (Compensation is determined by various factors, including but not limited to location, work experience, skills, education, certifications, seniority, and business needs. This range may be modified in the future.)
Benefits: Gridiron offers a comprehensive benefits package including medical, dental, vision insurance, HSA, FSA, 401(k), disability \&amp; ADD insurance, life and pet insurance to eligible employees. Full\-time and part\-time employees working at least 30 hours per week on a regular basis are eligible to participate in Gridiron’s benefits programs.
Gridiron IT Solutions is an Equal Opportunity Employer. All qualified applicants will receive consideration for employment without regard to race, color, religion, sex, pregnancy, sexual orientation, gender identity, national origin, age, protected veteran status or disability status.
Gridiron IT is a Women Owned Small Business (WOSB) headquartered in the Washington, D.C. area that supports our clients' missions throughout the United States. Gridiron IT specializes in providing comprehensive IT services tailored to meet the needs of federal agencies. Our capabilities include IT Infrastructure \&amp; Cloud Services, Cyber Security, Software Integration \&amp; Development, Data Solution \&amp; AI, and Enterprise Applications. These capabilities are backed by Gridiron IT's experienced workforce and our commitment to ensuring we meet and exceed our clients' expectations.
Pay: $150,000\.00 \- $200,000\.00 per year
Benefits:
* Dental insurance
* Health insurance
* Vision insurance
Experience:
* Program management: 10 years (Required)
Security clearance:
* Secret (Required)
Work Location: In person</t>
        </is>
      </c>
    </row>
    <row r="96">
      <c r="A96" t="inlineStr">
        <is>
          <t>in-11261196b4ac13b1</t>
        </is>
      </c>
      <c r="B96" t="inlineStr">
        <is>
          <t>Sr. Product Manager</t>
        </is>
      </c>
      <c r="C96" t="inlineStr">
        <is>
          <t>Super Micro Computer, Inc.</t>
        </is>
      </c>
      <c r="D96" t="inlineStr">
        <is>
          <t>indeed</t>
        </is>
      </c>
      <c r="E96">
        <f>HYPERLINK("https://www.indeed.com/viewjob?jk=11261196b4ac13b1", "https://www.indeed.com/viewjob?jk=11261196b4ac13b1")</f>
        <v/>
      </c>
      <c r="F96">
        <f>HYPERLINK("https://jobs.supermicro.com/job/San-Jose-Sr_-Product-Manager-Cali/1366334400/", "https://jobs.supermicro.com/job/San-Jose-Sr_-Product-Manager-Cali/1366334400/")</f>
        <v/>
      </c>
      <c r="G96" t="inlineStr">
        <is>
          <t>San Jose, CA, US</t>
        </is>
      </c>
      <c r="H96" s="2" t="n">
        <v>46071</v>
      </c>
      <c r="I96" t="inlineStr">
        <is>
          <t>Sr. Product Manager
**Date:** Feb 19, 2026
**Location:** San Jose, California, United States
**Company:** Super Micro Computer
**Job Req ID: 28449**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97">
      <c r="A97" t="inlineStr">
        <is>
          <t>in-a269e0fed5aa1b5f</t>
        </is>
      </c>
      <c r="B97" t="inlineStr">
        <is>
          <t>Product Manager</t>
        </is>
      </c>
      <c r="C97" t="inlineStr">
        <is>
          <t>Super Micro Computer, Inc.</t>
        </is>
      </c>
      <c r="D97" t="inlineStr">
        <is>
          <t>indeed</t>
        </is>
      </c>
      <c r="E97">
        <f>HYPERLINK("https://www.indeed.com/viewjob?jk=a269e0fed5aa1b5f", "https://www.indeed.com/viewjob?jk=a269e0fed5aa1b5f")</f>
        <v/>
      </c>
      <c r="F97">
        <f>HYPERLINK("https://jobs.supermicro.com/job/San-Jose-Product-Manager-Cali/1366328900/", "https://jobs.supermicro.com/job/San-Jose-Product-Manager-Cali/1366328900/")</f>
        <v/>
      </c>
      <c r="G97" t="inlineStr">
        <is>
          <t>San Jose, CA, US</t>
        </is>
      </c>
      <c r="H97" s="2" t="n">
        <v>46071</v>
      </c>
      <c r="I97" t="inlineStr">
        <is>
          <t>Product Manager
**Date:** Feb 19, 2026
**Location:** San Jose, California, United States
**Company:** Super Micro Computer
**Job Req ID: 28447**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Supermicro is seeking a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5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$130,000 \- $150,000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98">
      <c r="A98" t="inlineStr">
        <is>
          <t>in-9d34ed4561b19726</t>
        </is>
      </c>
      <c r="B98" t="inlineStr">
        <is>
          <t>Product Manager</t>
        </is>
      </c>
      <c r="C98" t="inlineStr">
        <is>
          <t>Super Micro Computer, Inc.</t>
        </is>
      </c>
      <c r="D98" t="inlineStr">
        <is>
          <t>indeed</t>
        </is>
      </c>
      <c r="E98">
        <f>HYPERLINK("https://www.indeed.com/viewjob?jk=9d34ed4561b19726", "https://www.indeed.com/viewjob?jk=9d34ed4561b19726")</f>
        <v/>
      </c>
      <c r="F98">
        <f>HYPERLINK("https://jobs.supermicro.com/job/San-Jose-Product-Manager-Cali/1366334200/", "https://jobs.supermicro.com/job/San-Jose-Product-Manager-Cali/1366334200/")</f>
        <v/>
      </c>
      <c r="G98" t="inlineStr">
        <is>
          <t>San Jose, CA, US</t>
        </is>
      </c>
      <c r="H98" s="2" t="n">
        <v>46071</v>
      </c>
      <c r="I98" t="inlineStr">
        <is>
          <t>Product Manager
**Date:** Feb 19, 2026
**Location:** San Jose, California, United States
**Company:** Super Micro Computer
**Job Req ID: 28448**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Supermicro is seeking a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5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$130,000 \- $150,000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99">
      <c r="A99" t="inlineStr">
        <is>
          <t>in-dea2ff09fe5f6949</t>
        </is>
      </c>
      <c r="B99" t="inlineStr">
        <is>
          <t>Senior Product Manager, Audio/Video Solutions</t>
        </is>
      </c>
      <c r="C99" t="inlineStr">
        <is>
          <t>HP</t>
        </is>
      </c>
      <c r="D99" t="inlineStr">
        <is>
          <t>indeed</t>
        </is>
      </c>
      <c r="E99">
        <f>HYPERLINK("https://www.indeed.com/viewjob?jk=dea2ff09fe5f6949", "https://www.indeed.com/viewjob?jk=dea2ff09fe5f6949")</f>
        <v/>
      </c>
      <c r="F99">
        <f>HYPERLINK("https://hp.wd5.myworkdayjobs.com/en-US/ExternalCareerSite/job/Austin-Texas-United-States-of-America/Senior-Product-Manager--Audio-Video-Solutions_3159664", "https://hp.wd5.myworkdayjobs.com/en-US/ExternalCareerSite/job/Austin-Texas-United-States-of-America/Senior-Product-Manager--Audio-Video-Solutions_3159664")</f>
        <v/>
      </c>
      <c r="G99" t="inlineStr">
        <is>
          <t>Austin, TX, US</t>
        </is>
      </c>
      <c r="H99" s="2" t="n">
        <v>46071</v>
      </c>
      <c r="I99" t="inlineStr">
        <is>
          <t>**Description \-**
**Job Summary**
This role is open to Houston, TX and Palo Alto, California in addition to Austin, Texas.  
As a Product Manager, within the voice communications products team, you will manage the delivery and sustaining efforts of HP/Poly's award\-winning SW product offerings, that integrate hardware and software for real\-time voice communications used in business environments. This role is responsible for executing the SW product roadmap and maintenance of that roadmap throughout the product lifecycle of our desktop voice products. Candidate will work closely with and align with the overall product management team to understand future roadmaps, delivery needs and sustaining efforts at both the HW and SW levels to successfully execute in their role. You will apply your unique mastery of product management skills, and relevant subject matter knowledge to a portfolio of highly technical products and ensure a successful life cycle, from definition to end of sale. You will work closely with multi\-disciplined teams to deliver software solutions that delight customers and meet business goals. This role plans and manages all delivery aspects of SW enabled experiences and effectively steering the teams to meet specific roadmaps, product objectives and ultimately sales targets.
**Responsibilities**
* Leads the desktop SW Delivery roadmap through the product development cycle, ensuring quality, delivery and optimization at every step.
* Adept at collecting and analyzing input from multiple sources (customers, sales, engineering, marketing, competitor, and management) and can prioritize those for decision making/roadmap planning.
* Collaborates closely with engineering, alliances, product management, and other relevant teams to ensure the successful development and delivery of high\-quality software solutions on time, within scope and hitting delivery quality standards.
* Strategically partners with key stakeholders to understand needs and priorities.
* Translates complex market and stakeholder needs into product requirements and definitions.
* Translates customer feedback and assesses the external environment to identify potential changes that could enhance a differentiated product roadmap.
* Provides thought leadership to stakeholders to guide feature development and prioritization.
* Translates user requirements into executable and workable feature items for planning product management to scope with software engineering team/s.
* Provides guidance for junior team members on product management strategies.
* Tracks and reports key metrics and quality trends to drive future product developments.
* Advises key stakeholders on the portfolio strategy across all phases of the lifecycle.
**Education \&amp; Experience** Recommended
* Four\-year or Graduate Degree in Computer Science, Software Engineering, Information Systems, or any other related discipline or commensurate work experience or demonstrated competence.
* Typically has 5\-7 years of work experience, preferably in product management, digital or software product development, or a related field.
**Preferred Certifications:**
* Advanced Certified Scrum Product Owner Certification, or any other related certifications.
* Project Management Professional (PMP) Certification.
**Knowledge \&amp; Skills:**
* Agile Methodology
* Automation
* Change Management
* Computer Science
* Continuous Improvement Process
* Cost Optimization
* Category Management
* Contract Mgmt
* DCR Mgmt
* Go to Market Planning
* JIRA
* Kanban Principles
* New Product Development
* New Product Launch Readiness
* Pricing
* Process Improvement
* Product Management
* Product Lifecycle Mgmt
* Project Engineering
* Project Management
* Project Planning
* Project Schedules
* Risk Management
* Schedule Management
* Supply Chain
* Supply Chain Optimization
* Scrum (Software Development)
* Software Development
* Sprint Planning
* Tactical Project Planning
**Cross Org Skills:**
* Results Orientation
* Learning Agility
* Customer Focus
* Strong Financial Acumen
* Strong Communication Skills with cross functional teams
* Self Starter/Motivation
* Strong delivery background to ramp cross functional teams
**Impact \&amp; Scope**  
* Impacts function and leads and/or provides expertise to functional project teams and may participate in cross\-functional initiatives.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25%
**Relocation \-**
No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00">
      <c r="A100" t="inlineStr">
        <is>
          <t>in-db9d5c589669b178</t>
        </is>
      </c>
      <c r="B100" t="inlineStr">
        <is>
          <t>Product Manager</t>
        </is>
      </c>
      <c r="C100" t="inlineStr">
        <is>
          <t>Medline Industries</t>
        </is>
      </c>
      <c r="D100" t="inlineStr">
        <is>
          <t>indeed</t>
        </is>
      </c>
      <c r="E100">
        <f>HYPERLINK("https://www.indeed.com/viewjob?jk=db9d5c589669b178", "https://www.indeed.com/viewjob?jk=db9d5c589669b178")</f>
        <v/>
      </c>
      <c r="F100">
        <f>HYPERLINK("https://medline.wd5.myworkdayjobs.com/en-US/Medline/job/Chicago-Illinois/Product-Manager_R2603155", "https://medline.wd5.myworkdayjobs.com/en-US/Medline/job/Chicago-Illinois/Product-Manager_R2603155")</f>
        <v/>
      </c>
      <c r="G100" t="inlineStr">
        <is>
          <t>Chicago, IL, US</t>
        </is>
      </c>
      <c r="H100" s="2" t="n">
        <v>46071</v>
      </c>
      <c r="I100" t="inlineStr">
        <is>
          <t>**Job Summary**
Medline Industries has an immediate opening for a Product Manager with our Namic division. This role will be based out of our Chicago Merchandise Mart location and will work a hybrid model. Under general supervision, manage the full product lifecycle including the sourcing, marketing, new product development, sales support and financial growth of assigned products. Work with and train sales force to be able to confidently sell product to customers.
**Job Description**
**Responsibilities:**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$79,000\.00 \- $119,000\.00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101">
      <c r="A101" t="inlineStr">
        <is>
          <t>in-994a2a2c54cfaf3e</t>
        </is>
      </c>
      <c r="B101" t="inlineStr">
        <is>
          <t>Sr. Product Manager</t>
        </is>
      </c>
      <c r="C101" t="inlineStr">
        <is>
          <t>Super Micro Computer, Inc.</t>
        </is>
      </c>
      <c r="D101" t="inlineStr">
        <is>
          <t>indeed</t>
        </is>
      </c>
      <c r="E101">
        <f>HYPERLINK("https://www.indeed.com/viewjob?jk=994a2a2c54cfaf3e", "https://www.indeed.com/viewjob?jk=994a2a2c54cfaf3e")</f>
        <v/>
      </c>
      <c r="F101">
        <f>HYPERLINK("https://jobs.supermicro.com/job/San-Jose-Sr_-Product-Manager-Cali/1366333900/", "https://jobs.supermicro.com/job/San-Jose-Sr_-Product-Manager-Cali/1366333900/")</f>
        <v/>
      </c>
      <c r="G101" t="inlineStr">
        <is>
          <t>San Jose, CA, US</t>
        </is>
      </c>
      <c r="H101" s="2" t="n">
        <v>46071</v>
      </c>
      <c r="I101" t="inlineStr">
        <is>
          <t>Sr. Product Manager
**Date:** Feb 19, 2026
**Location:** San Jose, California, United States
**Company:** Super Micro Computer
**Job Req ID: 28450**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02">
      <c r="A102" t="inlineStr">
        <is>
          <t>in-292c33ad282b39e7</t>
        </is>
      </c>
      <c r="B102" t="inlineStr">
        <is>
          <t>Associate Product Manager - Grower Software</t>
        </is>
      </c>
      <c r="C102" t="inlineStr">
        <is>
          <t>Valmont Industries</t>
        </is>
      </c>
      <c r="D102" t="inlineStr">
        <is>
          <t>indeed</t>
        </is>
      </c>
      <c r="E102">
        <f>HYPERLINK("https://www.indeed.com/viewjob?jk=292c33ad282b39e7", "https://www.indeed.com/viewjob?jk=292c33ad282b39e7")</f>
        <v/>
      </c>
      <c r="F102">
        <f>HYPERLINK("https://valmont.wd1.myworkdayjobs.com/en-US/ValmontCareers/job/Omaha-NE/Associate-Product-Manager---Grower-Software_R26614", "https://valmont.wd1.myworkdayjobs.com/en-US/ValmontCareers/job/Omaha-NE/Associate-Product-Manager---Grower-Software_R26614")</f>
        <v/>
      </c>
      <c r="G102" t="inlineStr">
        <is>
          <t>Omaha, NE, US</t>
        </is>
      </c>
      <c r="H102" s="2" t="n">
        <v>46071</v>
      </c>
      <c r="I102" t="inlineStr">
        <is>
          <t>15000 Valmont Plaza Omaha Nebraska 68154*Why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Are you ready to move the world forward? Apply now.
A Brief Summary of This Position:  
The Associate Product Manager – Grower Software will play a pivotal leadership role within the Digital Product Organization, managing a team of direct reports and guiding cross\-functional contributors to deliver impactful grower\-facing digital solutions. Reporting to the Senior Director, Digital Products, this role is ideal for a technically proficient leader with a passion for grower enablement platforms and delivering seamless digital experiences. The Associate Product Manager will oversee the execution of Grower Software initiatives, including applications such as AgSense 365, Scheduling and others, ensuring alignment with business objectives and user needs while fostering collaboration across Sales, Engineering, IT, and Grower Support.
Essential Functions:* Lead cross\-functional team members, fostering a collaborative and high\-performance environment.
* Report to the Senior Director, Digital Products within the Digital Product Organization.
* Translate business requirements into scalable Grower Software product features and enhancements, prioritizing based on impact and feasibility.
* Drive the execution of the Grower Software product roadmap, including technical integrations, automation, and user experience improvements.
* Oversee the planning and delivery of digital product initiatives that enhance grower engagement and deliver measurable business value.
* Conduct competitive analysis and market research to inform digital product strategy and positioning.
* Monitor product performance, user adoption, and feedback to drive continuous improvement.
* Collaborate closely with developers, UX designers, and grower support teams to deliver robust, user\-friendly, and compliant solutions.
* Maintain comprehensive product documentation, including user stories, technical specifications, and release notes.
* Ensure adherence to internal controls, data governance standards, and platform best practices.
* Travel up to 20% domestically and internationally for stakeholder engagement, team leadership, and user research.
Required Qualifications of Every Candidate (Education, Experience, Knowledge, Skills and Abilities):* Bachelor’s degree preferred with 3\+ years experience or Associate's Degree with 5\+ years of experience or 7\+ years experience
* Minimum 2 years of experience in product management, dealer systems administration, or business analysis, preferably within a digital product environment.
* Proficiency in Microsoft Office Suite and familiarity with digital project management tools (e.g., Jira, Confluence, Asana).
* Experience with Agile methodologies and sprint planning.
* Strong communication and collaboration skills with the ability to influence across departments.
* Analytical mindset with the ability to interpret data and make informed decisions.
* Ability to manage multiple priorities in a fast\-paced digital environment.
Highly Qualified Candidates Will Also Possess These Qualifications:* Bachelor’s degree in Business, Information Systems, Computer Science, or related field.
* Understanding of user experience (UX) principles and dealer journey mapping in digital products.
* Familiarity with third\-party integrations and dealer portal technologies.
* Experience transforming dealer feedback into actionable digital product requirements.
Benefits
Valmont offers employees and their families a comprehensive Total Wellbeing benefit package to ensure their individual and family’s overall wellness needs are met. Some offerings are dependent upon the role, work schedule, or location and can include the following:* Healthcare (medical, prescription drugs, dental and vision)
* 401k retirement plan with company match
* Paid time off
* Employer paid life insurance
* Employer paid short\-term and long\-term disability including maternity leave
* Work Life Support
* Tuition Reimbursement up to $5,250 per year
* Voluntary programs like tobacco cessation, Type 2 diabetes reversal, one\-on\-one health coaching, mortgage services and more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t>
        </is>
      </c>
    </row>
    <row r="103">
      <c r="A103" t="inlineStr">
        <is>
          <t>in-f5890f80a4d8d7c6</t>
        </is>
      </c>
      <c r="B103" t="inlineStr">
        <is>
          <t>Part Time Program Manager- Logan Township School District</t>
        </is>
      </c>
      <c r="C103" t="inlineStr">
        <is>
          <t>Right at School</t>
        </is>
      </c>
      <c r="D103" t="inlineStr">
        <is>
          <t>indeed</t>
        </is>
      </c>
      <c r="E103">
        <f>HYPERLINK("https://www.indeed.com/viewjob?jk=f5890f80a4d8d7c6", "https://www.indeed.com/viewjob?jk=f5890f80a4d8d7c6")</f>
        <v/>
      </c>
      <c r="F103">
        <f>HYPERLINK("https://rightatschool.sensehq.cloud/careers/jobs?jobId=5842&amp;utm_source=Indeed&amp;utm_medium=JOB_PORTAL", "https://rightatschool.sensehq.cloud/careers/jobs?jobId=5842&amp;utm_source=Indeed&amp;utm_medium=JOB_PORTAL")</f>
        <v/>
      </c>
      <c r="G103" t="inlineStr">
        <is>
          <t>Logan Township, NJ, US</t>
        </is>
      </c>
      <c r="H103" s="2" t="n">
        <v>46071</v>
      </c>
      <c r="I103" t="inlineStr">
        <is>
          <t>**PROGRAM MANAGER**  
**Job Description**
###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 **(based on education and experience)**
 **Program Hours: Monday\- Friday 7:00am\-9:15am and 3:15pm\-6:00pm. Schedule will be based off of school location.**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**New Jersey State Requirements:**
* Ability to meet state\-specific requirements;
* First Aid and CPR\-in\-person
* Cleared tuberculosis test
* Short \&amp; Long Term Disability
**Requirements based on capacity:**
**6\-15 children**
* High School Diploma
* OR
* General Education Development (GED) Diploma
* AND
* 6 hours training (in child care)
* AND
* 2 years experience
**16\-30 children**
* High School Diploma OR General Education Development (GED) Diploma
* **AND**
* 6 hours training (in child care) **AND** 3 years experience
* OR
* Certificate as a Recreation Technician from the National Recreation and Park Association (NRPA) **AND** 6 hours training (in child care) **AND** 1 year experience
* OR
* Child Development Associate (CDA) Certificate; Group Teacher Approval; or 15 college credits in child development, education, recreation, psychology, health care, nursing or any other field related to child growth and development **AND** 6 hours training (in child care) **AND** 1 year experience
* OR
* 15 college credits in areas not related to children **AND** 6 hours training (in child care) **AND** 2 years experience
**31 or more children**
* High School Diploma or General Education Development (GED) Diploma
* AND
* 6 hours training (in child care) and 3 hours (in child program management)
* OR
* Certificate as a Recreation Technician from the National Recreation and Park Association (NRPA) **AND** 6 hours training (in child care) **AND** 3 hours (in child program management) **AND** 2 years experience
* OR
* Child Development Associate (CDA) Certificate; Group Teacher Approval; or 15 college credits in child development, education, recreation, psychology, health care, nursing or any other field related to child growth and development **AND** 6 hours training (in child care) **AND** 3 hours (in child program management) **AND** 2 years experience
* OR
* 15 college credits in areas not related to children **AND** 6 hours (in child care) **AND** 3 hours (in child program management) **AND** 3 years experience
* OR
* Associate's Degree in any field **AND** 6 hours (in child care) **AND** 3 hours (in child program management) **AND** 2 years experience
* OR
* Bachelor's Degree in a child related field; or Office of Licensing Head Teacher Approval **AND** 3 hours training (in child program management)
* **AND** 1 year experience
* OR
* Certificate as a Recreation Administrator, Recreation Supervisor or Recreation Professional **AND** 3 hours training (in child program management) **AND** 1 year experience
* OR
* Bachelor's Degree in an unrelated field **AND** 6 hours training (in child care) **AND** 3 hours (in child program management) **AND** 1 year experience
* OR
* School Age Program Supervisor endorsement from the New Jersey Registry for Childhood Professionals, Professional Impact New Jersey
* + **Training requirement must be completed within 9 months of being approved as Program Supervisor by the OOL**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4">
      <c r="A104" t="inlineStr">
        <is>
          <t>in-119b7566780a4115</t>
        </is>
      </c>
      <c r="B104" t="inlineStr">
        <is>
          <t>Partnership Program Manager (Remote)</t>
        </is>
      </c>
      <c r="C104" t="inlineStr">
        <is>
          <t>IQVIA</t>
        </is>
      </c>
      <c r="D104" t="inlineStr">
        <is>
          <t>indeed</t>
        </is>
      </c>
      <c r="E104">
        <f>HYPERLINK("https://www.indeed.com/viewjob?jk=119b7566780a4115", "https://www.indeed.com/viewjob?jk=119b7566780a4115")</f>
        <v/>
      </c>
      <c r="F104">
        <f>HYPERLINK("https://jobs.iqvia.com/en/jobs/R1528659-3", "https://jobs.iqvia.com/en/jobs/R1528659-3")</f>
        <v/>
      </c>
      <c r="G104" t="inlineStr">
        <is>
          <t>Orlando, FL, US</t>
        </is>
      </c>
      <c r="H104" s="2" t="n">
        <v>46071</v>
      </c>
      <c r="I104" t="inlineStr">
        <is>
          <t>Orlando, United States of America \| Full time \| Home\-based \| R1528659**Job available in additional locations**  
As the only global provider of commercial solutions, IQVIA understands what it takes to deliver nationally and internationally. Our teams help biopharma, medical device and diagnostic companies deliver meaningful product information to clinicians to improve patient care.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IQVIA has the world’s largest Commercial Sales \&amp; Medical Solutions (CSMS) organization dedicated to the launch and marketing of pharmaceutical and medical products. With a focus on providing talent for field/inside sales, medical device support, clinical support, and medical affairs our CSMS division has 10,000\+ field professionals in more than 30 countries addressing physician and patient needs.
IQVIA, in partnership with a top diagnostics company, is looking for a Partnership Program Manager with a track record of success to join our team!
**Position Summary**
--------------------
The Partnership Program Manager will be a pivotal contributor in advancing strategic initiatives within the services business segment. This role will focus on Companion Diagnostics (CDx) Projects and will also make meaningful contributions to setting strategic direction for business development and will partner with all Departments in ensuring that the organization achieves its goals. To be successful, this high\-visibility position demands effective leadership over multiple tasks and teams, requiring a candidate with a collaborative mindset, a focus on deliverables, and possesses excellent communication skills. Moreover, this role requires a blend of proficiency in medical diagnostics, program management acumen, and the ability to foster strong industry relationships.**Key Responsibilities:**
-------------------------
* Lead core teams and conduct regular project meetings (including taking and sharing minutes), supervise assigned deliverables, develop timelines, provide project updates and reports, and facilitate reviews for critical phase gates.
* Provide support towards clinical planning and testing site management.
* Work closely with the clinical laboratory, R\&amp;D, sales, marketing, regulatory affairs, contractors/vendors, and external partners to define project deliverables, as well as identify dependencies and risks.
* Implement and maintain high standards for project management processes, ensuring quality and compliance to design controls and applicable standards.
* Maintain clear communication lines with all team members, providing regular updates on project status and achievements, as well as escalate barriers to execution to ensure projects are met with quality and within the applicable scope and budget.
* Drive accountability with cross\-functional roles across a matrixed organization.
* Organize and provide visibility to project status through dashboards, meeting minutes, presentations, visual aids, and reports.
* Uncover and resolve bottlenecks in processes impacting efficiency and internal and external customer experience.
**Education and Experience**
----------------------------
* Bachelor’s degree, required. Bachelor’s degree in scientific/technical field, preferred.
* 4 years in the life sciences, biotechnology, clinical diagnostics field, required
* Minimum 4 years proven experience in project management with an emphasis on companion diagnostics, required.
* PMP certification, preferred.
**Knowledge, Skills and Abilities**
-----------------------------------
* Proven ability to influence across matrixed organization.
* Strong interpersonal and influencing skills.
* Outstanding written and verbal communication skills: Assertively and effectively articulates sophisticated concepts and ideas to broad audiences.
* IVD Medical Device knowledge including creating and controlling Design History File documents and Clinical Trial Management.
* Excellent problem\-solving and scientific skills.
* Self\-managing and self\-motivating, capable of prioritizing tasks effectively to meet deadlines and expectation.
* Is curious, inquisitive, innovative, and never satisfied with the status quo.
* Proactive, helpful, ‘can\-do’ attitude.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The potential base pay range for this role is $75\-100,000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05">
      <c r="A105" t="inlineStr">
        <is>
          <t>in-624e50cc4e94331e</t>
        </is>
      </c>
      <c r="B105" t="inlineStr">
        <is>
          <t>Partnership Program Manager (Remote)</t>
        </is>
      </c>
      <c r="C105" t="inlineStr">
        <is>
          <t>IQVIA</t>
        </is>
      </c>
      <c r="D105" t="inlineStr">
        <is>
          <t>indeed</t>
        </is>
      </c>
      <c r="E105">
        <f>HYPERLINK("https://www.indeed.com/viewjob?jk=624e50cc4e94331e", "https://www.indeed.com/viewjob?jk=624e50cc4e94331e")</f>
        <v/>
      </c>
      <c r="F105">
        <f>HYPERLINK("https://jobs.iqvia.com/en/jobs/R1528659-4", "https://jobs.iqvia.com/en/jobs/R1528659-4")</f>
        <v/>
      </c>
      <c r="G105" t="inlineStr">
        <is>
          <t>St. Louis, MO, US</t>
        </is>
      </c>
      <c r="H105" s="2" t="n">
        <v>46071</v>
      </c>
      <c r="I105" t="inlineStr">
        <is>
          <t>St. Louis, United States of America \| Full time \| Home\-based \| R1528659**Job available in additional locations**  
As the only global provider of commercial solutions, IQVIA understands what it takes to deliver nationally and internationally. Our teams help biopharma, medical device and diagnostic companies deliver meaningful product information to clinicians to improve patient care.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IQVIA has the world’s largest Commercial Sales \&amp; Medical Solutions (CSMS) organization dedicated to the launch and marketing of pharmaceutical and medical products. With a focus on providing talent for field/inside sales, medical device support, clinical support, and medical affairs our CSMS division has 10,000\+ field professionals in more than 30 countries addressing physician and patient needs.
IQVIA, in partnership with a top diagnostics company, is looking for a Partnership Program Manager with a track record of success to join our team!
**Position Summary**
--------------------
The Partnership Program Manager will be a pivotal contributor in advancing strategic initiatives within the services business segment. This role will focus on Companion Diagnostics (CDx) Projects and will also make meaningful contributions to setting strategic direction for business development and will partner with all Departments in ensuring that the organization achieves its goals. To be successful, this high\-visibility position demands effective leadership over multiple tasks and teams, requiring a candidate with a collaborative mindset, a focus on deliverables, and possesses excellent communication skills. Moreover, this role requires a blend of proficiency in medical diagnostics, program management acumen, and the ability to foster strong industry relationships.**Key Responsibilities:**
-------------------------
* Lead core teams and conduct regular project meetings (including taking and sharing minutes), supervise assigned deliverables, develop timelines, provide project updates and reports, and facilitate reviews for critical phase gates.
* Provide support towards clinical planning and testing site management.
* Work closely with the clinical laboratory, R\&amp;D, sales, marketing, regulatory affairs, contractors/vendors, and external partners to define project deliverables, as well as identify dependencies and risks.
* Implement and maintain high standards for project management processes, ensuring quality and compliance to design controls and applicable standards.
* Maintain clear communication lines with all team members, providing regular updates on project status and achievements, as well as escalate barriers to execution to ensure projects are met with quality and within the applicable scope and budget.
* Drive accountability with cross\-functional roles across a matrixed organization.
* Organize and provide visibility to project status through dashboards, meeting minutes, presentations, visual aids, and reports.
* Uncover and resolve bottlenecks in processes impacting efficiency and internal and external customer experience.
**Education and Experience**
----------------------------
* Bachelor’s degree, required. Bachelor’s degree in scientific/technical field, preferred.
* 4 years in the life sciences, biotechnology, clinical diagnostics field, required
* Minimum 4 years proven experience in project management with an emphasis on companion diagnostics, required.
* PMP certification, preferred.
**Knowledge, Skills and Abilities**
-----------------------------------
* Proven ability to influence across matrixed organization.
* Strong interpersonal and influencing skills.
* Outstanding written and verbal communication skills: Assertively and effectively articulates sophisticated concepts and ideas to broad audiences.
* IVD Medical Device knowledge including creating and controlling Design History File documents and Clinical Trial Management.
* Excellent problem\-solving and scientific skills.
* Self\-managing and self\-motivating, capable of prioritizing tasks effectively to meet deadlines and expectation.
* Is curious, inquisitive, innovative, and never satisfied with the status quo.
* Proactive, helpful, ‘can\-do’ attitude.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The potential base pay range for this role is $75\-100,000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06">
      <c r="A106" t="inlineStr">
        <is>
          <t>in-7e86d2e0de46aafa</t>
        </is>
      </c>
      <c r="B106" t="inlineStr">
        <is>
          <t>Partnership Program Manager (Remote)</t>
        </is>
      </c>
      <c r="C106" t="inlineStr">
        <is>
          <t>IQVIA</t>
        </is>
      </c>
      <c r="D106" t="inlineStr">
        <is>
          <t>indeed</t>
        </is>
      </c>
      <c r="E106">
        <f>HYPERLINK("https://www.indeed.com/viewjob?jk=7e86d2e0de46aafa", "https://www.indeed.com/viewjob?jk=7e86d2e0de46aafa")</f>
        <v/>
      </c>
      <c r="F106">
        <f>HYPERLINK("https://jobs.iqvia.com/en/jobs/R1528659-1", "https://jobs.iqvia.com/en/jobs/R1528659-1")</f>
        <v/>
      </c>
      <c r="G106" t="inlineStr">
        <is>
          <t>Atlanta, GA, US</t>
        </is>
      </c>
      <c r="H106" s="2" t="n">
        <v>46071</v>
      </c>
      <c r="I106" t="inlineStr">
        <is>
          <t>Atlanta, United States of America \| Full time \| Home\-based \| R1528659**Job available in additional locations**  
As the only global provider of commercial solutions, IQVIA understands what it takes to deliver nationally and internationally. Our teams help biopharma, medical device and diagnostic companies deliver meaningful product information to clinicians to improve patient care.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IQVIA has the world’s largest Commercial Sales \&amp; Medical Solutions (CSMS) organization dedicated to the launch and marketing of pharmaceutical and medical products. With a focus on providing talent for field/inside sales, medical device support, clinical support, and medical affairs our CSMS division has 10,000\+ field professionals in more than 30 countries addressing physician and patient needs.
IQVIA, in partnership with a top diagnostics company, is looking for a Partnership Program Manager with a track record of success to join our team!
**Position Summary**
--------------------
The Partnership Program Manager will be a pivotal contributor in advancing strategic initiatives within the services business segment. This role will focus on Companion Diagnostics (CDx) Projects and will also make meaningful contributions to setting strategic direction for business development and will partner with all Departments in ensuring that the organization achieves its goals. To be successful, this high\-visibility position demands effective leadership over multiple tasks and teams, requiring a candidate with a collaborative mindset, a focus on deliverables, and possesses excellent communication skills. Moreover, this role requires a blend of proficiency in medical diagnostics, program management acumen, and the ability to foster strong industry relationships.**Key Responsibilities:**
-------------------------
* Lead core teams and conduct regular project meetings (including taking and sharing minutes), supervise assigned deliverables, develop timelines, provide project updates and reports, and facilitate reviews for critical phase gates.
* Provide support towards clinical planning and testing site management.
* Work closely with the clinical laboratory, R\&amp;D, sales, marketing, regulatory affairs, contractors/vendors, and external partners to define project deliverables, as well as identify dependencies and risks.
* Implement and maintain high standards for project management processes, ensuring quality and compliance to design controls and applicable standards.
* Maintain clear communication lines with all team members, providing regular updates on project status and achievements, as well as escalate barriers to execution to ensure projects are met with quality and within the applicable scope and budget.
* Drive accountability with cross\-functional roles across a matrixed organization.
* Organize and provide visibility to project status through dashboards, meeting minutes, presentations, visual aids, and reports.
* Uncover and resolve bottlenecks in processes impacting efficiency and internal and external customer experience.
**Education and Experience**
----------------------------
* Bachelor’s degree, required. Bachelor’s degree in scientific/technical field, preferred.
* 4 years in the life sciences, biotechnology, clinical diagnostics field, required
* Minimum 4 years proven experience in project management with an emphasis on companion diagnostics, required.
* PMP certification, preferred.
**Knowledge, Skills and Abilities**
-----------------------------------
* Proven ability to influence across matrixed organization.
* Strong interpersonal and influencing skills.
* Outstanding written and verbal communication skills: Assertively and effectively articulates sophisticated concepts and ideas to broad audiences.
* IVD Medical Device knowledge including creating and controlling Design History File documents and Clinical Trial Management.
* Excellent problem\-solving and scientific skills.
* Self\-managing and self\-motivating, capable of prioritizing tasks effectively to meet deadlines and expectation.
* Is curious, inquisitive, innovative, and never satisfied with the status quo.
* Proactive, helpful, ‘can\-do’ attitude.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The potential base pay range for this role is $75\-100,000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07">
      <c r="A107" t="inlineStr">
        <is>
          <t>in-25fe438bae5780d2</t>
        </is>
      </c>
      <c r="B107" t="inlineStr">
        <is>
          <t>Partnership Program Manager (Remote)</t>
        </is>
      </c>
      <c r="C107" t="inlineStr">
        <is>
          <t>IQVIA</t>
        </is>
      </c>
      <c r="D107" t="inlineStr">
        <is>
          <t>indeed</t>
        </is>
      </c>
      <c r="E107">
        <f>HYPERLINK("https://www.indeed.com/viewjob?jk=25fe438bae5780d2", "https://www.indeed.com/viewjob?jk=25fe438bae5780d2")</f>
        <v/>
      </c>
      <c r="F107">
        <f>HYPERLINK("https://jobs.iqvia.com/en/jobs/R1528659-2", "https://jobs.iqvia.com/en/jobs/R1528659-2")</f>
        <v/>
      </c>
      <c r="G107" t="inlineStr">
        <is>
          <t>Detroit, MI, US</t>
        </is>
      </c>
      <c r="H107" s="2" t="n">
        <v>46071</v>
      </c>
      <c r="I107" t="inlineStr">
        <is>
          <t>Detroit, United States of America \| Full time \| Home\-based \| R1528659**Job available in additional locations**  
As the only global provider of commercial solutions, IQVIA understands what it takes to deliver nationally and internationally. Our teams help biopharma, medical device and diagnostic companies deliver meaningful product information to clinicians to improve patient care.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IQVIA has the world’s largest Commercial Sales \&amp; Medical Solutions (CSMS) organization dedicated to the launch and marketing of pharmaceutical and medical products. With a focus on providing talent for field/inside sales, medical device support, clinical support, and medical affairs our CSMS division has 10,000\+ field professionals in more than 30 countries addressing physician and patient needs.
IQVIA, in partnership with a top diagnostics company, is looking for a Partnership Program Manager with a track record of success to join our team!
**Position Summary**
--------------------
The Partnership Program Manager will be a pivotal contributor in advancing strategic initiatives within the services business segment. This role will focus on Companion Diagnostics (CDx) Projects and will also make meaningful contributions to setting strategic direction for business development and will partner with all Departments in ensuring that the organization achieves its goals. To be successful, this high\-visibility position demands effective leadership over multiple tasks and teams, requiring a candidate with a collaborative mindset, a focus on deliverables, and possesses excellent communication skills. Moreover, this role requires a blend of proficiency in medical diagnostics, program management acumen, and the ability to foster strong industry relationships.**Key Responsibilities:**
-------------------------
* Lead core teams and conduct regular project meetings (including taking and sharing minutes), supervise assigned deliverables, develop timelines, provide project updates and reports, and facilitate reviews for critical phase gates.
* Provide support towards clinical planning and testing site management.
* Work closely with the clinical laboratory, R\&amp;D, sales, marketing, regulatory affairs, contractors/vendors, and external partners to define project deliverables, as well as identify dependencies and risks.
* Implement and maintain high standards for project management processes, ensuring quality and compliance to design controls and applicable standards.
* Maintain clear communication lines with all team members, providing regular updates on project status and achievements, as well as escalate barriers to execution to ensure projects are met with quality and within the applicable scope and budget.
* Drive accountability with cross\-functional roles across a matrixed organization.
* Organize and provide visibility to project status through dashboards, meeting minutes, presentations, visual aids, and reports.
* Uncover and resolve bottlenecks in processes impacting efficiency and internal and external customer experience.
**Education and Experience**
----------------------------
* Bachelor’s degree, required. Bachelor’s degree in scientific/technical field, preferred.
* 4 years in the life sciences, biotechnology, clinical diagnostics field, required
* Minimum 4 years proven experience in project management with an emphasis on companion diagnostics, required.
* PMP certification, preferred.
**Knowledge, Skills and Abilities**
-----------------------------------
* Proven ability to influence across matrixed organization.
* Strong interpersonal and influencing skills.
* Outstanding written and verbal communication skills: Assertively and effectively articulates sophisticated concepts and ideas to broad audiences.
* IVD Medical Device knowledge including creating and controlling Design History File documents and Clinical Trial Management.
* Excellent problem\-solving and scientific skills.
* Self\-managing and self\-motivating, capable of prioritizing tasks effectively to meet deadlines and expectation.
* Is curious, inquisitive, innovative, and never satisfied with the status quo.
* Proactive, helpful, ‘can\-do’ attitude.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The potential base pay range for this role is $75\-100,000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08">
      <c r="A108" t="inlineStr">
        <is>
          <t>in-1f68613aa7821c55</t>
        </is>
      </c>
      <c r="B108" t="inlineStr">
        <is>
          <t>Partnership Program Manager (Remote)</t>
        </is>
      </c>
      <c r="C108" t="inlineStr">
        <is>
          <t>IQVIA</t>
        </is>
      </c>
      <c r="D108" t="inlineStr">
        <is>
          <t>indeed</t>
        </is>
      </c>
      <c r="E108">
        <f>HYPERLINK("https://www.indeed.com/viewjob?jk=1f68613aa7821c55", "https://www.indeed.com/viewjob?jk=1f68613aa7821c55")</f>
        <v/>
      </c>
      <c r="F108">
        <f>HYPERLINK("https://jobs.iqvia.com/en/jobs/R1528659-0", "https://jobs.iqvia.com/en/jobs/R1528659-0")</f>
        <v/>
      </c>
      <c r="G108" t="inlineStr">
        <is>
          <t>Chicago, IL, US</t>
        </is>
      </c>
      <c r="H108" s="2" t="n">
        <v>46071</v>
      </c>
      <c r="I108" t="inlineStr">
        <is>
          <t>Chicago, United States of America \| Full time \| Home\-based \| R1528659**Job available in additional locations**  
As the only global provider of commercial solutions, IQVIA understands what it takes to deliver nationally and internationally. Our teams help biopharma, medical device and diagnostic companies deliver meaningful product information to clinicians to improve patient care.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IQVIA has the world’s largest Commercial Sales \&amp; Medical Solutions (CSMS) organization dedicated to the launch and marketing of pharmaceutical and medical products. With a focus on providing talent for field/inside sales, medical device support, clinical support, and medical affairs our CSMS division has 10,000\+ field professionals in more than 30 countries addressing physician and patient needs.
IQVIA, in partnership with a top diagnostics company, is looking for a Partnership Program Manager with a track record of success to join our team!
**Position Summary**
--------------------
The Partnership Program Manager will be a pivotal contributor in advancing strategic initiatives within the services business segment. This role will focus on Companion Diagnostics (CDx) Projects and will also make meaningful contributions to setting strategic direction for business development and will partner with all Departments in ensuring that the organization achieves its goals. To be successful, this high\-visibility position demands effective leadership over multiple tasks and teams, requiring a candidate with a collaborative mindset, a focus on deliverables, and possesses excellent communication skills. Moreover, this role requires a blend of proficiency in medical diagnostics, program management acumen, and the ability to foster strong industry relationships.**Key Responsibilities:**
-------------------------
* Lead core teams and conduct regular project meetings (including taking and sharing minutes), supervise assigned deliverables, develop timelines, provide project updates and reports, and facilitate reviews for critical phase gates.
* Provide support towards clinical planning and testing site management.
* Work closely with the clinical laboratory, R\&amp;D, sales, marketing, regulatory affairs, contractors/vendors, and external partners to define project deliverables, as well as identify dependencies and risks.
* Implement and maintain high standards for project management processes, ensuring quality and compliance to design controls and applicable standards.
* Maintain clear communication lines with all team members, providing regular updates on project status and achievements, as well as escalate barriers to execution to ensure projects are met with quality and within the applicable scope and budget.
* Drive accountability with cross\-functional roles across a matrixed organization.
* Organize and provide visibility to project status through dashboards, meeting minutes, presentations, visual aids, and reports.
* Uncover and resolve bottlenecks in processes impacting efficiency and internal and external customer experience.
**Education and Experience**
----------------------------
* Bachelor’s degree, required. Bachelor’s degree in scientific/technical field, preferred.
* 4 years in the life sciences, biotechnology, clinical diagnostics field, required
* Minimum 4 years proven experience in project management with an emphasis on companion diagnostics, required.
* PMP certification, preferred.
**Knowledge, Skills and Abilities**
-----------------------------------
* Proven ability to influence across matrixed organization.
* Strong interpersonal and influencing skills.
* Outstanding written and verbal communication skills: Assertively and effectively articulates sophisticated concepts and ideas to broad audiences.
* IVD Medical Device knowledge including creating and controlling Design History File documents and Clinical Trial Management.
* Excellent problem\-solving and scientific skills.
* Self\-managing and self\-motivating, capable of prioritizing tasks effectively to meet deadlines and expectation.
* Is curious, inquisitive, innovative, and never satisfied with the status quo.
* Proactive, helpful, ‘can\-do’ attitude.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The potential base pay range for this role is $75\-100,000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09">
      <c r="A109" t="inlineStr">
        <is>
          <t>in-34b168d129f7cf0b</t>
        </is>
      </c>
      <c r="B109" t="inlineStr">
        <is>
          <t>Program Manager - Riverwind IRTS (Coon Rapids, MN)</t>
        </is>
      </c>
      <c r="C109" t="inlineStr">
        <is>
          <t>People Incorporated Mental Health Services</t>
        </is>
      </c>
      <c r="D109" t="inlineStr">
        <is>
          <t>indeed</t>
        </is>
      </c>
      <c r="E109">
        <f>HYPERLINK("https://www.indeed.com/viewjob?jk=34b168d129f7cf0b", "https://www.indeed.com/viewjob?jk=34b168d129f7cf0b")</f>
        <v/>
      </c>
      <c r="F109">
        <f>HYPERLINK("https://www.paycomonline.net/v4/ats/web.php/jobs/ViewJobDetails?job=26920&amp;clientkey=82A9C1AD23B44229DD76B6C246C881C7&amp;source=Indeed", "https://www.paycomonline.net/v4/ats/web.php/jobs/ViewJobDetails?job=26920&amp;clientkey=82A9C1AD23B44229DD76B6C246C881C7&amp;source=Indeed")</f>
        <v/>
      </c>
      <c r="G109" t="inlineStr">
        <is>
          <t>Coon Rapids, MN, US</t>
        </is>
      </c>
      <c r="H109" s="2" t="n">
        <v>46071</v>
      </c>
      <c r="I109" t="inlineStr">
        <is>
          <t>**People Incorporated Mental Health Services** is seeking a Program Manager to help lead our team at **Riverwind IRTS** (Intensive Residential Treatment Services) located in the quiet, residential **Thompson Heights** neighborhood of Coon Rapids. Nestled within the north metro suburbs of Minneapolis, our community\-based programs provide critical mental health support to individuals in need. This program integrates mental health, medical, and substance use care in an inpatient, 24\-hour, supervised setting. These services help individuals who are experiencing a mental health crisis or have acute mental health symptoms.
This position is responsible for providing leadership to the program ensuring that services are delivered per organizational and licensing requirements. This role may also provide clinical direction, education, decision\-making, oversight, and consultative guidance to staff regarding services, client billing, and documentation requirements
**Schedule:** Full\-Time Monday\-Friday, 8:00am\-4:00pm, Flexibility with start and end times.
**Locations: Riverwind IRTS:** 2708 119th Ave NW, Coon Rapids, MN 55433
**Hiring Range:**
* Unlicensed Program Manager: $72,758 \- $86,000, **plus $1,000 hiring bonus for external candidates.**
* Licensed Program Manager: $83,665 \- $89,122, **plus $2,000 hiring bonus for external candidates.**
**People Incorporated Mental Health Services** is the largest nonprofit mental health provider in Minnesota. For over 50 years, we have been a leading community partner, transforming the health of our communities through innovative solutions.
**Main Duties:**
* Support organization’s Mission, Vision and Values as well as program and organizational policies, procedures and service standards, ensuring staff understand and integrate accordingly.
* Responsible for overseeing a program’s staff, budget, licensing, and compliance requirements.
* Manage program time and work schedules, ensuring proper staffing occurs to meet the needs of the clients.
* Attract, hire, orient and retain high\-quality staff providing training, assessing strengths and development needs and providing timely and specific feedback.
* Manage the work of assigned program staff to ensure adherence to quality standards and proper procedures, providing coaching when errors or problems are discovered.
* Provide guidance and evaluation of client development plans and progress toward identified goals.
* Responsible for the review of all documentation of case and progress notes of licensed and unlicensed staff ensuring that they are accurate and timely entered into the Electronic Health Record (EHR).
* Responsible for reviewing and signing billing related inquiries and that it is done in a timely manner.
**Required Qualifications**: **Unlicensed Program Manager**
* Bachelor’s degree in behavioral science, human services, or business administration.
* One year of leadership experience.
* Demonstrated proficiency in gathering, analyzing, and using data to establish goals, monitor implementation, and establish program initiatives.
**Required Qualifications**: **Licensed Program Manager**
* Master’s Degree in the behavioral sciences or related field (i.e. social work, psychology, marriage and family therapy from an accredited college or university)
* Current clinical license as a mental health professional in the State of Minnesota (LP, LPCC, LICSW, or LMFT) with no restrictions,
* One year of leadership experience.
* Demonstrated proficiency in gathering, analyzing, and using data to establish goals, monitor implementation, and establish program initiatives.
**Preferred Qualifications:**
* Master’s Degree in the behavioral sciences or related field (i.e. social work, psychology, marriage, and family therapy from an accredited college or university)
* Current clinical license as a mental health professional in the State of Minnesota (LP, LPCC, LICSW, or LMFT) with no restrictions
* Eligibility as a State of Minnesota Board\-approved supervisor.
* Three years or 6,000 hours of prior experience in the human services field with a preference toward servicing those with mental health symptoms.
* Two years or 4,000 hours of prior supervisory experience, or completion of People Incorporated’s Link to Leadership Program.
* Three years of prior supervisory experience.
**Benefits:**
* Accrue up to 4 weeks of PTO/ESST, plus company\-designated holidays and floating holidays
* 403(b) Retirement Savings Plan with a 3% employer\-match
* Multiple health and dental insurance plan choices available
* Lifestyle Benefit – choice between company contribution to health savings account, student loan repayment assistance, or flex time
* Employer\-paid Short \&amp; Long\-Term Disability Insurance \&amp; Life Insurance
* Free access to People Incorporated's Training Institute, offering free CEUs and a wide array of learning and education opportunities
* Eligibility for state and federal loan forgiveness programs
We are committed to providing salary ranges for all open positions. Please note that the specific compensation for this role will be determined based on your experience, qualifications, location, and internal equity considerations.
People Incorporated is committed to improving the wellness of our clients, staff, and the communities that we serve by providing a tobacco\-free environment.
People Incorporated is proud to be an Equal Employment Opportunity and Affirmative Action Employer. We do not discriminate based upon race, religion, color, national origin, gender, sexual orientation, gender identity, gender expression, age, status as a protected veteran, status as an individual with a disability, or other applicable legally protected characteristics.
People Incorporated values a diverse workplace and strongly encourages women, people of color, LGBTQIA individuals, people with disabilities, members of ethnic minorities, foreign\-born residents, and veterans to apply.</t>
        </is>
      </c>
    </row>
    <row r="110">
      <c r="A110" t="inlineStr">
        <is>
          <t>in-78af563c3fe309c7</t>
        </is>
      </c>
      <c r="B110" t="inlineStr">
        <is>
          <t>Sr. Product Manager</t>
        </is>
      </c>
      <c r="C110" t="inlineStr">
        <is>
          <t>Super Micro Computer, Inc.</t>
        </is>
      </c>
      <c r="D110" t="inlineStr">
        <is>
          <t>indeed</t>
        </is>
      </c>
      <c r="E110">
        <f>HYPERLINK("https://www.indeed.com/viewjob?jk=78af563c3fe309c7", "https://www.indeed.com/viewjob?jk=78af563c3fe309c7")</f>
        <v/>
      </c>
      <c r="F110">
        <f>HYPERLINK("https://jobs.supermicro.com/job/San-Jose-Sr_-Product-Manager-Cali/1366302600/", "https://jobs.supermicro.com/job/San-Jose-Sr_-Product-Manager-Cali/1366302600/")</f>
        <v/>
      </c>
      <c r="G110" t="inlineStr">
        <is>
          <t>San Jose, CA, US</t>
        </is>
      </c>
      <c r="H110" s="2" t="n">
        <v>46071</v>
      </c>
      <c r="I110" t="inlineStr">
        <is>
          <t>Sr. Product Manager
**Date:** Feb 19, 2026
**Location:** San Jose, California, United States
**Company:** Super Micro Computer
**Job Req ID: 28389**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$160,000 \- $185,00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11">
      <c r="A111" t="inlineStr">
        <is>
          <t>in-dfc970a7092832d9</t>
        </is>
      </c>
      <c r="B111" t="inlineStr">
        <is>
          <t>Sr. Product Manager</t>
        </is>
      </c>
      <c r="C111" t="inlineStr">
        <is>
          <t>Super Micro Computer, Inc.</t>
        </is>
      </c>
      <c r="D111" t="inlineStr">
        <is>
          <t>indeed</t>
        </is>
      </c>
      <c r="E111">
        <f>HYPERLINK("https://www.indeed.com/viewjob?jk=dfc970a7092832d9", "https://www.indeed.com/viewjob?jk=dfc970a7092832d9")</f>
        <v/>
      </c>
      <c r="F111">
        <f>HYPERLINK("https://jobs.supermicro.com/job/San-Jose-Sr_-Product-Manager-Cali/1366306000/", "https://jobs.supermicro.com/job/San-Jose-Sr_-Product-Manager-Cali/1366306000/")</f>
        <v/>
      </c>
      <c r="G111" t="inlineStr">
        <is>
          <t>San Jose, CA, US</t>
        </is>
      </c>
      <c r="H111" s="2" t="n">
        <v>46071</v>
      </c>
      <c r="I111" t="inlineStr">
        <is>
          <t>Sr. Product Manager
**Date:** Feb 19, 2026
**Location:** San Jose, California, United States
**Company:** Super Micro Computer
**Job Req ID: 28350**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$160,000 \- $185,00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12">
      <c r="A112" t="inlineStr">
        <is>
          <t>in-768f0a6e978f5394</t>
        </is>
      </c>
      <c r="B112" t="inlineStr">
        <is>
          <t>Program Manager - On Ramp</t>
        </is>
      </c>
      <c r="C112" t="inlineStr">
        <is>
          <t>Alexander Youth Network</t>
        </is>
      </c>
      <c r="D112" t="inlineStr">
        <is>
          <t>indeed</t>
        </is>
      </c>
      <c r="E112">
        <f>HYPERLINK("https://www.indeed.com/viewjob?jk=768f0a6e978f5394", "https://www.indeed.com/viewjob?jk=768f0a6e978f5394")</f>
        <v/>
      </c>
      <c r="F112">
        <f>HYPERLINK("https://www.paycomonline.net/v4/ats/web.php/jobs/ViewJobDetails?job=258572&amp;clientkey=8B83CD323386DA9CBC7F2B55E2425C29&amp;source=Indeed", "https://www.paycomonline.net/v4/ats/web.php/jobs/ViewJobDetails?job=258572&amp;clientkey=8B83CD323386DA9CBC7F2B55E2425C29&amp;source=Indeed")</f>
        <v/>
      </c>
      <c r="G112" t="inlineStr">
        <is>
          <t>Charlotte, NC, US</t>
        </is>
      </c>
      <c r="H112" s="2" t="n">
        <v>46071</v>
      </c>
      <c r="I112" t="inlineStr">
        <is>
          <t>**Join Our Team as a Program Manager for our On Ramp Program**  
Are you passionate about making a positive impact on the lives of children? Do you thrive in a supportive and inclusive work environment? If so, we want you to be part of our team.  
**Get to know Alexander and The Relatives**  
Alexander Youth Network is passionate about helping children overcome their mental health challenges. Our teams are committed to creating an environment that empowers every individual to thrive and make a difference.
We offer career development opportunities, mentorship and coaching, and pathways for advancement. Our teammates enjoy amazing benefits including tuition reimbursement, tuition assistance, 401K, paid time off, and a comprehensive health plan that prioritizes your well\-being.
**What You’ll Do:**
The On\-Ramp Program Manager is a senior leader responsible for expanding the program to meet the needs of all young adults seeking services. This role involves setting strategy, equipping supervisors, forming partnerships, and developing pathways for youth engagement. The Program Manager oversees both the Housing and On\-Ramp programs, providing strategic direction and operational oversight, while supervisors handle daily operations. Key duties include ensuring objectives are met, maintaining high\-quality services, implementing the TIP Mode of Care, and fostering a collaborative work environment. The manager also builds community partnerships to increase program impact and is part of The Relatives Senior Leadership Team, advancing the organization's mission.
The Housing Case Management Supervisor, and Resource Center Supervisor report directly to the On Ramp Program Manager.
Full job description can be sent upon request.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in a human services field from an accredited college or university and one year directly related experience or Bachelor's degree from an accredited college or university and two years directly related experience. Supervisory Experience preferred. In lieu of educational requirements, a long history of supervisory experience in a human services agency may be acceptable.
**REQUIRED COMPETENCIES**
Competency is defined as the techniques, procedures, technology, skills or equipment needed to do one’s job. The following competencies are required of this position: age specific competency for children and adolescents, competency in the Administration of Medications, Therapeutic Crisis Intervention, Life Saving/Safety to include First Aid and CPR; Working with Mental Health Population through utilization of TCI and NMT, Blood Borne Pathogens and Infection Control.
**CERTIFICATES, LICENSES, REGISTRATIONS**
Valid NC or SC Driver's license.</t>
        </is>
      </c>
    </row>
    <row r="113">
      <c r="A113" t="inlineStr">
        <is>
          <t>in-19f8f3d882de2935</t>
        </is>
      </c>
      <c r="B113" t="inlineStr">
        <is>
          <t>Product Manager – SCADA (Hybrid Work Schedule)</t>
        </is>
      </c>
      <c r="C113" t="inlineStr">
        <is>
          <t>Quorum Software</t>
        </is>
      </c>
      <c r="D113" t="inlineStr">
        <is>
          <t>indeed</t>
        </is>
      </c>
      <c r="E113">
        <f>HYPERLINK("https://www.indeed.com/viewjob?jk=19f8f3d882de2935", "https://www.indeed.com/viewjob?jk=19f8f3d882de2935")</f>
        <v/>
      </c>
      <c r="F113">
        <f>HYPERLINK("https://portal.dynamicsats.com/JobListing/Details/be9c621a-ba9d-41b6-bc7b-917d59117a03/1b81c10e-d506-f111-8406-7c1e521abd02?utm_source%3dIndeed.com%26val%3d100000009%26ety%3ddcrs_jobapplicationform%26atr%3ddcrs_candidatesource", "https://portal.dynamicsats.com/JobListing/Details/be9c621a-ba9d-41b6-bc7b-917d59117a03/1b81c10e-d506-f111-8406-7c1e521abd02?utm_source%3dIndeed.com%26val%3d100000009%26ety%3ddcrs_jobapplicationform%26atr%3ddcrs_candidatesource")</f>
        <v/>
      </c>
      <c r="G113" t="inlineStr">
        <is>
          <t>Houston, TX, US</t>
        </is>
      </c>
      <c r="H113" s="2" t="n">
        <v>46071</v>
      </c>
      <c r="I113" t="inlineStr">
        <is>
          <t>**Product Manager – SCADA**
**Location: Houston, TX or Dallas, TX or Tyler, TX**
**Model of Work: Hybrid**
Are you excited by challenges? Do you enjoy working in a fast\-paced, dynamic environment? Then now is the time to join Quorum Software, a rapidly growing company and industry leader in oil \&amp; gas transformation.
Quorum Software is the world's largest provider of digital technology focused solely on business workflows that empower the next evolution of energy. From emerging companies to supermajors, throughout every region of the globe, customers rely on Quorum's proven innovation and unmatched global expertise to streamline business operations and make data\-driven decisions that optimize profitability and growth. Our industry\-leading solutions are transforming energy companies across the entire value chain, helping visionary leaders evolve their organizations into modern energy companies.
**Overview**
At Quorum Software, our Product Managers lead the charge in innovating and executing new products and features. We are looking for leaders who can dive into an industry, conduct research to gain key market insights, create use cases, and build consensus and business cases around product opportunities. Our Product Managers work closely with all areas of the organization to drive vision and strategy, define roadmaps, and deliver products that meet our user and business objectives. If you have a track record of advocating for customers, being passionate about building products, and successfully guiding new product ideas from concept to launch, we welcome you to apply!
**Responsibilities**
* Identify market problems and use cases specific to SCADA in Upstream; define market requirements by conducting market research supported by ongoing visits to customers and attending conferences and tradeshows
* Create and maintain product roadmaps, driven by the overall strategy, including ideas, features, and initiatives as they progress through approval and release
* Remain current on software industry trends, emerging technologies and best practices, and ensure that Quorum products align with these new developments
* Establish and maintain the competitive landscape, which allows us to make informed decisions based on strengths, weaknesses, and opportunities in the marketplace
* Identify and prioritize opportunities that align with corporate strategy and will result in increased product sales, customer retention, and increased efficiency (e.g., reduced support and/or implementation requirements)
* Create a culture of innovation based on product improvement and data\-informed decision making, and set expectations for engineering teams to deliver value
* Work with product development team to define product release user stories and requirements, with marketing to define the go\-to\-market strategy, with sales channels to drive understanding of the product positioning, key benefits, and target customer
* Evangelize vision for their product line both within the organization and externally to the industry; communicate clearly within the organization the market problems and user personas
* Develop and maintain product documentation and user guides
* Work closely with Engineering Lead to ensure clear communication throughout release cycle
* And other duties as assigned
**Requirements**
* Bachelor’s degree preferably in Engineering or Computer Science
* Minimum of five years of experience in Product Management with SaaS, on\-prem, or enterprise B2B products
* Demonstrated ability to scale existing products into new/adjacent markets and geographies
* Experience with Oil and Gas SCADA systems
* Demonstrated technical prowess including solving complex problems, programming skills (SQL, C\# and/or other computer programming languages), and familiarity/understanding of systems architecture
* Experience in interpreting and defining product requirements
* Experience in working directly with development teams
* Excellent communication skills to include internal/external interaction with varying background and roles, documentation, and presentations
* Understanding of various software applications and/or methodologies (Agile and Scrum)
* Full\-cycle product management capabilities, including developing roadmaps, establishing goals, writing specifications, monitoring release execution, and defining rollout strategies (preferred, but not required)
* Experience using Azure DevOps (preferred, but not required)
* Fluent in English, both written and verbal
 **Additional Details**
* Background Check: The successful candidate will need to successfully complete the following clearances: Criminal History Check, Education Verification, Employment Verification, Driver’s License Verification and passport/ID validation.
* Visa Sponsorship: Employment eligibility to work with Quorum Software in the United States is required as the company will not pursue visa sponsorship for this position. The successful candidate will be required to ensure they maintain and renew any visas or permits that grant employment eligibility where applicable.
 **About Quorum Software**  
Quorum Software connects people and information across the energy value chain. Twenty years ago, we built the first software for gas plant accountants. Pipeline operators came next, followed by land administrators, pumpers, and planners. Since 1998, Quorum has helped thousands of energy workers with business workflows that optimize profitability and growth. Our vision for the future connects the global energy ecosystem through cloud\-first software, data standards, and integration. The trusted source of decision\-ready data for 1,800\+ companies, Quorum Software makes the essential connections that let us work better together in the connected energy workplace. For more information, visit quorumsoftware.com.
**Quorum Diversity Statement**:At Quorum, we are committed to fostering, cultivating, and preserving a culture of belonging. We want to be the place where a diverse pool of talented people join us, stay with us and do their best work. With a diverse team of employees, we grow and learn better together. The collective sum of the individual differences, life experiences, knowledge, innovation, self\-expression, and talent that our employees invest in their work represents not only part of our culture, but our reputation and our achievements. We are fully focused on equity and equality and believe deeply in diversity of race, gender, sexual orientation, age, religion, ethnicity, national origin, ability, neurodiversity and all the other characteristics that make us unique.
 *Quorum Business Solutions and Quorum Software are Equal Opportunity Employers. All qualified applicants will receive consideration for employment without regard to race, color, religion, age, sex, sexual orientation, gender identity, national origin, ancestry, veteran status, disability, genetic information, or any other basis protected by law.*
**Those applicants requiring reasonable accommodation to the application and/or interview process should notify a member of the Human Resources Department**
*Our company uses E\-Verify to confirm the employment and eligibility of all newly hired employees. To learn more about E\-Verify, including your rights and responsibilities, please visit* *www.dhs.gov/E\-Verify.*
**Recruitment Scam Alert:** Quorum Software does not charge fees, request payments, conduct interviews via messaging apps, or request the installation of software at any stage of the recruitment process. All legitimate recruitment activities are conducted exclusively through our official careers website (www.quorumsoftware.com/careers) and email addresses ending in **@quorumsoftware.com**. Any communication that does not originate from these official channels should be considered unauthorized and may be reported to careers@quorumsoftware.com</t>
        </is>
      </c>
    </row>
    <row r="114">
      <c r="A114" t="inlineStr">
        <is>
          <t>in-e38f9d77079027e3</t>
        </is>
      </c>
      <c r="B114" t="inlineStr">
        <is>
          <t>Family Strengthening Program Manager</t>
        </is>
      </c>
      <c r="C114" t="inlineStr">
        <is>
          <t>Center For Human Services</t>
        </is>
      </c>
      <c r="D114" t="inlineStr">
        <is>
          <t>indeed</t>
        </is>
      </c>
      <c r="E114">
        <f>HYPERLINK("https://www.indeed.com/viewjob?jk=e38f9d77079027e3", "https://www.indeed.com/viewjob?jk=e38f9d77079027e3")</f>
        <v/>
      </c>
      <c r="F114">
        <f>HYPERLINK("https://www.paycomonline.net/v4/ats/web.php/jobs/ViewJobDetails?job=217795&amp;clientkey=F0E6EEB0A25775EB482CB5E863AB94B2&amp;source=Indeed", "https://www.paycomonline.net/v4/ats/web.php/jobs/ViewJobDetails?job=217795&amp;clientkey=F0E6EEB0A25775EB482CB5E863AB94B2&amp;source=Indeed")</f>
        <v/>
      </c>
      <c r="G114" t="inlineStr">
        <is>
          <t>Modesto, CA, US</t>
        </is>
      </c>
      <c r="H114" s="2" t="n">
        <v>46071</v>
      </c>
      <c r="I114" t="inlineStr">
        <is>
          <t>**POSITION SUMMARY:** Responsible for the administration, supervision and development of various programs operating at the Family Resource Center locations
**WORK SCHEDULE**: Monday through Friday 8:00 AM to 5:00 PM with occasional weekends and evening hours.
**DUTIES:**
**Leadership \&amp; Supervision**
* Supervises assigned Program Supervisors across program areas and sites.
* Provides ongoing coaching and support to assigned Program Supervisors.
* Provides oversight and guidance to Program Supervisors in conducting formal performance evaluations, reviews and approves completed evaluations, and ensures alignment with agency expectations and performance standards.
* Addresses disciplinary actions and manages HR\-related processes in coordination with the HR department.
* Coordinates time\-off requests in collaboration with Office Supervisors.
* Conducts bi\-monthly individual check\-ins with each assigned Program Supervisor.
* Co\-leads monthly Supervisors group meetings to support alignment, problem\-solving, and professional development across programs.
* Ensures monthly cross\-role team meetings and staff trainings are conducted by Program Supervisors, providing oversight, guidance, and follow\-up as needed.
* Recruits, and coordinates training for assigned program staff.
**Program Oversight \&amp; Strategic Planning**
* Collaborates with Operations Manager, Office Supervisors, intra\-agency departments, partners, and landlords regarding general site operations as needed.
* Develops and maintains professional relationships with schools and community leaders to support program delivery and agency partnerships.
* Supervises strategic planning and annual goal setting for assigned Programs.
* Ensures that policies and procedures are in place for all program activities.
* Actively monitors program outcomes to ensure contract performance and successful service delivery.
**Fiscal Management \&amp; Reporting**
* Collaborates with the Program Director to develop and manage annual program budgets.
* Reviews monthly financial statements and monitors revenue and expenses.
* Coordinates and/or develops written reports as required by funders, the agency, and individual work plans.
* Ensures timely and accurate collection and reporting of assigned program data for internal and external stakeholders.
**Partnerships \&amp; Agency Representation**
* Works collaboratively with public and private agencies, community partners, networks, and FRC leadership to support program goals.
* Represents the agency (CHS) at community meetings, events, and collaborative initiatives as assigned.
* Assists the Program Director with identifying new funding sources through grant writing and other development activities.
**Other Responsibilities**
* Participates in required program trainings and certifications, as needed.
* Performs additional duties as assigned to support teamwork and operational success.
**QUALIFICATIONS:**
* Bachelor’s degree in Counseling/Psychology, Social Work, or a related field required; Master’s degree preferred.
* 2–4 years of program management experience, or 5\+ years of supervision experience.
* Extensive experience with motivational interviewing.
* Demonstrated knowledge of financial monitoring and budget oversight.
* Proficient in grant writing and funding proposal development.
* Experience working effectively with a wide range of organizations and individuals from diverse age groups, socioeconomic statuses, and cultural backgrounds.
* Familiarity with managing office operations, including scheduling and team coordination.
* Strong verbal and written communication skills, with the ability to foster collaboration and resolve conflicts.
* Excellent organizational and time\-management skills to manage multiple priorities effectively.
* Proficiency in Microsoft 365 applications, including Excel, Word, PowerPoint, Outlook, and Teams.
* Strong problem\-solving and decision\-making skills to support efficient office and program operations.
* Ability to oversee budgets, manage inventory, and maintain office supply systems.
* Ability to travel to Ceres, Modesto, Oakdale, Patterson, Newman, and surrounding areas within Stanislaus County.
* Demonstrated ability to lead and support staff while fostering a positive and collaborative work environment.
* Pass agency paid criminal justice screening including fingerprints.
* Pass agency paid TB (Tuberculosis) screening.
* Pass agency paid health screening and/or drug testing, if required.
* Valid California driver’s license proof of auto insurance coverage.
* Pass agency paid MVR clearance with no more than 2 points – if you are under the age of 25 our insurance company will not allow any points.
**REQUIREMENTS:**
* Represent the agency in a professional and competent manner.
* Advocate for the best interests of the agency and clients we serve.
* Establish and maintain effective working relationships with the general public, co\-workers, clients, supervisors and members of diverse cultural and linguistic backgrounds regardless of race, color, creed, religion, gender, sexual orientation, gender identity or expression, national origin, age, ancestry, political affiliation, citizenship, disability, medical conditions, marital status, amnesty and military or veteran status.
* Promote and support a culturally and linguistically diverse workforce and be responsive to the population within our service area.
* Maintain confidentiality and confidential information in accordance with legal standards and/or agency regulations.
* Participate in assigned scheduled agency meetings, in\-service trainings, conferences and other trainings as determined by the supervisor. This includes serving as an agency representative at assigned community meetings.
* Observance of assigned working hours and program appointments by demonstrating promptness and thorough preparation.
* Performance of assigned duties with a positive attitude and in the spirit of teamwork, collaboration and cooperation.
* Communicate effectively both orally and in writing.
* Perform job duties in a safe manner to ensure a safe working environment for oneself and others.
* Participates in and/or supports agency fund development activities and events.
* Preparation of assigned reports, work records, statistical data, job performance evaluations, work plans, etc. in a timely manner.
* CHS desires all leaders have competency in the following:
	+ Systems Thinker – Seeks to understand the big picture.
	+ Creative/Innovator – Can both embrace and bring forward new ideas.
	+ Empathic and Relational Leader – Inclusive and empowering of others.
	+ Embrace Emergence – Explorative, ability to embrace and anticipate the unexpected
	+ Boundary Spanner – Connect people across boundaries, extend past familiar territory, community builder.</t>
        </is>
      </c>
    </row>
    <row r="115">
      <c r="A115" t="inlineStr">
        <is>
          <t>in-f5dd0f5f7b6d6fcc</t>
        </is>
      </c>
      <c r="B115" t="inlineStr">
        <is>
          <t>Program Manager – House View Portfolio Management</t>
        </is>
      </c>
      <c r="C115" t="inlineStr">
        <is>
          <t>UBS</t>
        </is>
      </c>
      <c r="D115" t="inlineStr">
        <is>
          <t>indeed</t>
        </is>
      </c>
      <c r="E115">
        <f>HYPERLINK("https://www.indeed.com/viewjob?jk=f5dd0f5f7b6d6fcc", "https://www.indeed.com/viewjob?jk=f5dd0f5f7b6d6fcc")</f>
        <v/>
      </c>
      <c r="F115">
        <f>HYPERLINK("https://jobs.ubs.com/TGnewUI/Search/home/HomeWithPreLoad?partnerid=25008&amp;siteid=5012&amp;PageType=JobDetails&amp;jobid=338505&amp;codes=IINDD", "https://jobs.ubs.com/TGnewUI/Search/home/HomeWithPreLoad?partnerid=25008&amp;siteid=5012&amp;PageType=JobDetails&amp;jobid=338505&amp;codes=IINDD")</f>
        <v/>
      </c>
      <c r="G115" t="inlineStr">
        <is>
          <t>Weehawken, NJ, US</t>
        </is>
      </c>
      <c r="H115" s="2" t="n">
        <v>46071</v>
      </c>
      <c r="I115" t="inlineStr">
        <is>
          <t>United States \- New Jersey
Portfolio and fund management, Product Management and Development
Global Wealth Management
**Job Reference \#**
331487BR
**City**
Weehawken
**Job Type**
Full Time
**Your role**
Are you passionate about building scalable investment capabilities and platforms that serve the most sophisticated clients? Do you thrive in a fast\-paced, cross\-functional environment where you can drive strategic initiatives from concept to execution? Are you a detail\-oriented leader who can manage complexity while keeping the client experience at the center?  
As a Product Manager in the Wealth Management Portfolio Strategy \&amp; Multi\-Asset Solutions team, you will support the US House View Discretionary Models business through a blend of analytical, client\-facing, and reporting work. You will have the opportunity to engage with capital markets, asset allocation, and content creation in a portfolio management environment. Your clear communication skills and attention to detail will be critical in this role.  
\- Product Manager and key stakeholder\- serve as primary point of contact for questions and inquiries related to the Multi asset retail business. This role may include fielding inquiries from internal and external partners and resolving them appropriately. Support relationships with the various US retail advisor sales channels.  
\- Presentation materials \- point person for maintenance and development of client presentations (pitch books, factsheets, investment reviews, etc.) and marketing materials. This role will have a focus on the maintenance of House View Portfolio Fact Sheets, the performance track record, and SharePoint site for all supporting materials. You will be expected to create and update content (presentation slides, commentary, etc.) that incorporates timely market events and help better position the Models with internal and external stakeholders. You will be partnering with portfolio managers and other product managers to develop and revise materials as appropriate.  
* Represent the team in internal strategic initiatives, new product launches and projects. Translate strategic goals into actionable plans, manage key milestones, and deliver executive\-level updates.
\- Model portfolio subject matter expert\- draft portfolio commentary and other Models’ communications, analyze model portfolios (returns, risk, performance attribution, etc.), business\-related analysis and other ad hoc requests.  
* Collaborate with Relationship Managers, Portfolio Advisory, and Product Specialists to ensure the House View platform meets client and advisor needs.
\- Competitive Analysis \- gather and analyze the competitive advantages of our industry peers and their competitive products.  
\- Automation \- identify inefficiencies and manual processes that could benefit from automation using AI tools and leveraging internal partners to help drive strategic initiatives and grow the business.  
* Manage technology\-related workstreams, including vendor coordination, testing, and implementation of House View specific enhancements.
* Ensure systematic and disciplined execution of monthly and quarterly deliverables.
* Communicate investment processes and performance to key stakeholders through various channels.
* Position includes role as Secretary of the team's Investment Committee; specific responsibilities include:
* Work with Research and Portfolio Management teams to prepare IC materials
* Maintain appropriate minutes and log of decisions
* Prepare emails with trade rationale and voting results
Detailed salary information:  
* Weehawken: the salary range for this role is $140000 to $180000
The expected salary range(s) for this role as of the date of this posting is/are based on factors including, but not limited to, experience, qualifications, education, location and skill level. This role may also be eligible for discretionary incentive compensation. For benefits information, please visit ubs.com/usbenefits.
**Your Career Comeback**
We are open to applications from career returners. Find out more about our program on ubs.com/careercomeback.
**Your team**
You’ll be working in the House View portfolio management team within the Wealth Management Portfolio Strategy \&amp; Multi\-Asset Solutions business, based in Weehawken. The team is responsible for designing and delivering UBS’s fully discretionary House View portfolios to institutional and US retail clients. You’ll collaborate closely with stakeholders across Wealth Management to drive business and product initiatives for the UBS CIO organization.
**Your expertise**
You’ll be working in the House View portfolio management team within the Wealth Management Portfolio Strategy \&amp; Multi\-Asset Solutions business, based in Weehawken. The team is responsible for designing and delivering UBS’s fully discretionary House View portfolios to institutional and US retail clients. You’ll collaborate closely with stakeholders across Wealth Management to drive business and product initiatives for the UBS CIO organization.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**Salary information**
US Only: The expected salary range for this role is $140000 to $180000 based on factors including, but not limited to, experience, qualifications, education, location and skill level. Please see «Your role» section for detailed salary information.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row>
    <row r="116">
      <c r="A116" t="inlineStr">
        <is>
          <t>in-909b8d8722cb9ebb</t>
        </is>
      </c>
      <c r="B116" t="inlineStr">
        <is>
          <t>Innovations Partnerships Program Manager</t>
        </is>
      </c>
      <c r="C116" t="inlineStr">
        <is>
          <t>University of Colorado</t>
        </is>
      </c>
      <c r="D116" t="inlineStr">
        <is>
          <t>indeed</t>
        </is>
      </c>
      <c r="E116">
        <f>HYPERLINK("https://www.indeed.com/viewjob?jk=909b8d8722cb9ebb", "https://www.indeed.com/viewjob?jk=909b8d8722cb9ebb")</f>
        <v/>
      </c>
      <c r="F116">
        <f>HYPERLINK("https://cu.taleo.net/careersection/2/jobdetail.ftl?job=479737", "https://cu.taleo.net/careersection/2/jobdetail.ftl?job=479737")</f>
        <v/>
      </c>
      <c r="G116" t="inlineStr">
        <is>
          <t>Aurora, CO, US</t>
        </is>
      </c>
      <c r="H116" s="2" t="n">
        <v>46071</v>
      </c>
      <c r="I116" t="inlineStr">
        <is>
          <t>University Staff
**Description** **University of Colorado Anschutz Medical Campus****Department: CU Innovations****Job Title: Innovations Partnerships Program Manager****Position \#:00845304 – Requisition \#:39054****Job Summary:**
The Innovations Partnerships Program Manager works within CU Anschutz Innovations complex, matrixed academic medical center environment to coordinate, operationalize, and advance multi stakeholder partnerships. This includes data driven collaborations, clinical \&amp; translational research initiatives, co\-development opportunities, collaborations with hospital partners, and industry oriented strategic alliances. The role blends operational execution, process development, relationship management, and strategic planning to ensure partnership sustainability and success.
The Innovations Partnerships Program Manager is responsible for leading, managing, and strengthening strategic partnerships between CU Anschutz Innovations and its external collaborators, including industry partners, clinical stakeholders, academic institutions, and technology development entities. This role provides operational oversight of assigned alliances, ensuring that collaborative projects advance institutional goals, comply with governance requirements, and deliver meaningful, measurable outcomes.
The Innovations Partnerships Program Manager functions as a central connector, relationship manager, and project coordinator who drives execution, facilitates cross‑campus coordination, and ensures partnerships remain aligned with CU Anschutz Innovations’ mission and strategic priorities. The Innovations Partnerships Program Manager will also manage a range of onsite meetings and partnership related events to support collaboration, strategic alignment, and relationship development.
Key Responsibilities:
* Serve as the primary liaison to partner organizations, acting as the trusted conduit between CU Anschutz Innovations, industry collaborators, faculty, and cross functional teams.
* Maintain clear understanding of partner priorities, competitive dynamics, and scientific, regulatory, and operational considerations.
* Establish detailed project plans, dependencies, deadlines, risk mitigation strategies, and communication pathways.
* Contribute to development and execution of long\-range partnership strategies and operational frameworks.
* Partner with industry collaborators to identify high value strategic relationships, including translational research, data partnerships, co development, and commercialization aligned opportunities.
* Coordinate external stakeholder engagement and execute tasks between meetings to maintain partnership momentum.
* Prepare agendas, track action items, maintain formal documentation, and ensure comprehensive follow through on all operational tasks.
* Plan, coordinate, and execute onsite partner meetings, including working sessions, leadership visits, project kickoffs, steering committee meetings, and partnership milestone reviews, including management of all onsite logistics such as room reservations, audio visual setup, security access, hospitality, visitor protocols, and catering to ensure a seamless professional experience
* Prepare and distribute meeting materials such as agendas, briefing books, presentations, talking points, follow up documentation.
* Assist the Director of Innovation Strategy in the development of materials, plans, and documentation regarding partnerships and strategic.
* Support primary and secondary research efforts to inform strategy development.
 **Work Location:**
Onsite – this role is expected to work onsite and is located in City, State.
 **Why Join Us:**
CU Anschutz Innovations is an integral part of The University of Colorado’s Anschutz Medical Campus, a top\-tier academic medical institution, collaborating with pioneering researchers, clinicians, staff, and external partners at the University of Colorado, staff at UCHealth and Children’s Hospital Colorado. Together, we power innovation by imagining, discovering and commercializing advanced healthcare solutions, including treatments, medical devices, and cutting\-edge technologies.
Our mission at CU Anschutz Innovations is driven by the unique collaborative environment we operate in, and our guiding principle is to transform breakthrough discoveries and treatments into realities within an efficient ecosystem that accelerates their availability to patients. This approach not only empowers our partners to have an immediate and meaningful impact but also enhances the quality of life and outcomes for patients now and in the future, at both CU and beyond.
Benefits statement to include in all benefits\-eligible positions: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15/year
* Tuition Benefit: Employees have access to this benefit on all CU campuses
* ECO Pass: Reduced rate RTD Bus and light rail service
There are many additional perks \&amp; programs with the CU Advantage.
 **Qualifications:**
 **Minimum Qualifications:**
* Bachelor’s degree in business, science, healthcare administration, project management, communications, or related field
* 4\-6 years of professional experience in alliance management, project management, partnership management, business operations, or related fields.
 *Applicants must meet minimum qualifications at the time of hire.*
 **Preferred Qualifications:**
* 6\+ years of experience in alliance or partnership management within a health, biotech, academic, or medical environment.
* Project Management certification.
* Experience implementing strategic operational plans and collaborating with leadership on complex initiatives.
 **Knowledge, Skills and Abilities:**
* Ability to establish and maintain effective working relationships with employees at all levels throughout the institution.
* Outstanding customer service skills.
* Strong strategic, analytical, and innovative thinking.
* Demonstrated ability to work independently and collaboratively within complex organizations.
* Excellent verbal and written communication skills; strong presentation and facilitation abilities.
* Financial, operational, and strategic planning acumen.
* Ability to synthesize scientific, business, and regulatory perspectives into actionable recommendations.
 **How to Apply:**
For full consideration, please submit the following document(s):
 1\. A letter of interest describing relevant job experiences as they relate to listed job qualifications and interest in the position
 2\. Resume
 3\. Three to five professional references, including name, address, phone number (mobile number if appropriate), and email address
Questions should be directed to: Lindley Pagels, Lindley.pagels@cuanschutz.edu **Screening of Applications Begins:**
Applications will be accepted until finalists are identified, but preference will be given to complete applications received by **March 13, 2026\.** Those who do not apply by this date may or may not be considered.
 **Anticipated Pay Range:**
The starting salary range (*or hiring range*) for this position has been established as **$83,083 \- $105,682**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Business Services
**Primary Location****:** Aurora
**Department****:** U0001 \- Anschutz Med Campus or Denver \- 21705 \- ADM\-CHAN Anschutz Tech Transfe
**Schedule****:** Full\-time
**Posting Date****:** Feb 19, 2026
**Unposting Date****:** Ongoing
**Posting Contact Name****:** Lindley Pagels
**Posting Contact Email****:** Lindley.pagels@cuanschutz.edu
**Position Number****:** 00845304</t>
        </is>
      </c>
    </row>
    <row r="117">
      <c r="A117" t="inlineStr">
        <is>
          <t>in-f590246bc9ed9d14</t>
        </is>
      </c>
      <c r="B117" t="inlineStr">
        <is>
          <t>Senior Product Manager, Care Delivery</t>
        </is>
      </c>
      <c r="C117" t="inlineStr">
        <is>
          <t>Atria Physician Practice New York PC</t>
        </is>
      </c>
      <c r="D117" t="inlineStr">
        <is>
          <t>indeed</t>
        </is>
      </c>
      <c r="E117">
        <f>HYPERLINK("https://www.indeed.com/viewjob?jk=f590246bc9ed9d14", "https://www.indeed.com/viewjob?jk=f590246bc9ed9d14")</f>
        <v/>
      </c>
      <c r="F117">
        <f>HYPERLINK("https://apply.workable.com/j/80598D5090", "https://apply.workable.com/j/80598D5090")</f>
        <v/>
      </c>
      <c r="G117" t="inlineStr">
        <is>
          <t>New York, NY, US</t>
        </is>
      </c>
      <c r="H117" s="2" t="n">
        <v>46071</v>
      </c>
      <c r="I117" t="inlineStr">
        <is>
          <t>### **About Atria**
Atria is a membership\-based preventive health care practice delivering cutting\-edge primary and specialty care in New York, South Florida, Los Angeles (2026\), and through 24/7 telemedicine globally.
Our multi\-specialty team of 60\+ top in\-house physicians provides proactive, preventive, and precision\-based care for Atria members and their families. We aim to optimize lifespan and healthspan through meticulous screening, leading\-edge therapeutics, and tailored interventions designed to prevent disease and detect it at the earliest possible stages.
Each member's care is led by a dedicated Chief Medical Officer who collaborates with specialists in cardiology, neurology, pediatrics, women's health, endocrinology, integrative health, performance and movement, nutrition, and more.
Through our nonprofit Atria Research Institute and Public Health Institute, we also work to accelerate the translation of medical breakthroughs and expand access to preventive care for as many people as possible.
Atria Health is seeking a highly experienced and execution\-oriented Senior Product Manager focus on our Care Delivery systems and internal operational tooling. As an individual contributor, you will own the strategy and execution for the platforms, workflows, and tools that power how our clinical and operational teams deliver world\-class care.
In this pivotal role, you will design and scale systems that enable proactive, personalized, and efficient care delivery—spanning care coordination, scheduling, internal automation, and workflow management tools. You will partner deeply with care operators, engineering, data, design, and clinical teams to translate complex healthcare processes into scalable, intuitive internal tools.
The ideal candidate has experience building and scaling internal platforms in healthcare or other highly regulated, operationally complex environments. You thrive in ambiguity, understand the nuance of clinical workflows, and are motivated by building systems that empower teams to deliver exceptional outcomes.
### **Key Responsibilities**
### **Product Strategy \&amp; Ownership**
* Define and drive the multi\-quarter product strategy for Atria’s care delivery systems in collaboration with the rest of the Technology team (Care Delivery, Clinical Experience, and Member Experience), ensuring alignment with clinical excellence, operational efficiency, and long\-term company goals.
* Identify opportunities to streamline, automate, and modernize workflows across the care continuum.
### **Clinical \&amp; Operational Workflow Design**
* Partner closely with clinical and operations stakeholders to deeply understand end\-to\-end care delivery processes.
* Translate complex real\-world workflows into scalable product solutions, balancing usability, compliance, and technical feasibility.
* Improve systems supporting scheduling, documentation, referrals, care plans, and cross\-specialty coordination with the overall goal of delivering proactive care to members
### **End\-to\-End Product Execution**
* Lead high\-impact initiatives from discovery through launch and iteration.
* Write detailed product requirements, define success metrics, and ensure high\-quality delivery in collaboration with engineering and design.
* Continuously optimize systems post\-launch to drive adoption, efficiency, and measurable operational improvements.
### **Data, Automation \&amp; Intelligence**
* Leverage data and analytics to identify bottlenecks, variation, and opportunities for improvement in care delivery.
* Partner with data and engineering teams to integrate automation, AI\-assisted workflows, and intelligent decision support into internal tools.
* Ensure systems support proactive care models and precision\-based interventions.
### **Cross\-Functional Leadership \&amp; Influence**
* Serve as the connective tissue between clinical, operations, engineering, and executive teams.
* Influence stakeholders without direct authority, building alignment around shared goals and measurable outcomes.
* Champion a culture of operational excellence, systems thinking, and continuous improvement.
### **Performance \&amp; Optimization**
* Define, monitor, and act on KPIs tied to operational efficiency, care quality, etc
* Use qualitative feedback and quantitative data to iterate quickly and responsibly in a regulated healthcare environment.
Salary: $150,000 \- $190,000
Reporting \&amp; in\-office requirements: This role reports to the VP of Product. This is a hybrid role based in New York City, with 3 days/week in the office (Tuesday–Thursday). Travel to other Atria locations as needed.
**Requirements**
* 3\-5 years of product management experience, including significant experience building internal tools, platforms, or operational systems in healthcare, health tech, or similarly complex industries.
* Strong understanding of clinical operations, care coordination, EHR systems, or healthcare workflow design preferred.
* Proven track record of shipping complex, cross\-functional initiatives that drive measurable operational impact.
* Experience working in regulated environments with sensitivity to compliance, privacy, and data security considerations.
* Exceptional systems thinker with the ability to move fluidly between high\-level strategy and detailed execution.
* Strong analytical skills, with experience using data to diagnose workflow inefficiencies and inform prioritization.
* Demonstrated ability to partner effectively with senior clinical and operational leaders.
* Excellent written and verbal communication skills; able to distill complex processes into clear product direction.
* Bachelor’s degree in a relevant field preferred (e.g., Engineering, Computer Science, Business, Health Systems).
**Benefits**
At Atria, we are proud to offer every member of the Atria team:
* Excellent health and wellness benefits, 100% paid by Atria effective date of hire
* OneMedical membership for employees \&amp; dependents giving access to 24/7 virtual care
* Fertility \&amp; family planning
* Company\-covered preventive health screenings through partner hospitals (Calcium score)
* Fitness Perks including Wellhub \+
* 401k contributions and 4% match starting after 6 months
* Flexible Time Off
* Continuing medical education (CME) and CEU support for professional licensure
* Time to give back and make an impact in underserved communities</t>
        </is>
      </c>
    </row>
    <row r="118">
      <c r="A118" t="inlineStr">
        <is>
          <t>in-5bd9deebec16c99a</t>
        </is>
      </c>
      <c r="B118" t="inlineStr">
        <is>
          <t>Product Manager</t>
        </is>
      </c>
      <c r="C118" t="inlineStr">
        <is>
          <t>Patriot Mobile</t>
        </is>
      </c>
      <c r="D118" t="inlineStr">
        <is>
          <t>indeed</t>
        </is>
      </c>
      <c r="E118">
        <f>HYPERLINK("https://www.indeed.com/viewjob?jk=5bd9deebec16c99a", "https://www.indeed.com/viewjob?jk=5bd9deebec16c99a")</f>
        <v/>
      </c>
      <c r="F118">
        <f>HYPERLINK("https://patriotmobile.isolvedhire.com/jobs/1709460-291850.html", "https://patriotmobile.isolvedhire.com/jobs/1709460-291850.html")</f>
        <v/>
      </c>
      <c r="G118" t="inlineStr">
        <is>
          <t>Grapevine, TX, US</t>
        </is>
      </c>
      <c r="H118" s="2" t="n">
        <v>46071</v>
      </c>
      <c r="I118" t="inlineStr">
        <is>
          <t>Patriot Mobile (PM) is America's only Christian conservative wireless provider. We offer broad coverage on dependable, nationwide 4G or 5G LTE networks. We are committed to providing our members with reliable wireless service and exceptional support while relentlessly fighting for our shared values. Patriot Mobile donates a portion of every dollar earned to support organizations that fight for First Amendment Religious Freedom and Freedom of Speech, Second Amendment Right to Bear Arms, Sanctity of Life, and the needs of our Veterans and First Responders.
 **Job Overview:**
The **Manager, Telecom Product Management,** is responsible for owning and scaling multiple product lines, including core cellular mobility and fixed wireless offerings in addition to value\-added services such as device protection products and other insurance products. This role operates at a portfolio level and is accountable for product strategy, roadmap execution, and lifecycle management across multiple products including new to be added product lines.
Reporting to the Vice President of Product Development and Fulfillment, this role serves as the primary product leader for assigned product lines and is responsible for balancing customer experience, competitive positioning, product operations and profitability. The position requires strong cross\-functional leadership and the ability to manage complex initiatives in a growth\-stage environment.
 **Essential Functions and Responsibilities:**
 *Product StrategyPortfolio Ownership*
* Own product strategy and roadmap execution across multiple product lines, including cellular mobility and adjacent value\-added services including insurance for telecom and non\-telecom products.
* Define portfolio priorities and sequencing to ensure alignment with company strategy, customer needs, and financial objectives.
* Evaluate and recommend new product introductions, enhancements, lifecycle transitions, and end\-of\-life decisions.
* Maintain awareness of industry trends, competitive offerings, regulatory considerations, and emerging technologies to inform strategic direction.
*Product Lifecycle Management*
* Lead initiatives across the full product lifecycle, including discovery, validation, launch, optimization, and retirement.
* Direct competitive market analysis, feature benchmarking, pricing strategy, and margin analysis to support data\-driven decision\-making.
* Oversee changes across multiple product lines while managing dependencies and tradeoffs.
*Cross\-Functional LeadershipStakeholder Management*
* Serve as the primary product point of contact across Fulfillment, Marketing, Customer Care, IT, Finance, Legal, and external partners.
* Partner with Fulfillment to translate product strategy into executable sourcing, inventory, and launch plans.
* Collaborate with Marketing on go\-to\-market strategy, promotions, bundling, and launch timing.
* Present product strategy, roadmaps, and business cases to executive leadership.
* Lead organizational readiness activities, including internal training, documentation, and enablement.
*ProgramChange Management*
* Program owner for complex, cross\-functional initiatives involving multiple stakeholders and timelines.
* Manage risks, dependencies, and delivery milestones to ensure timely and compliant product launches.
* Support the development and adoption of scalable product management processes, standards, and best practices as the organization grows.
 **Required Knowledge/Skills/Abilities:**
* Strong understanding of telecommunications and mobility products including fixed wireless.
* Experience managing multiple product lines or a product portfolio.
* Familiarity with value\-added telecom services, such as device protection or insurance products.
* Demonstrated ability to lead cross\-functional teams without direct authority.
* Strong analytical and financial acumen, including pricing and margin analysis.
* Excellent written, verbal, and executive\-level communication skills.
* Ability to prioritize work, manage competing initiatives, and operate effectively in a growth environment.
* Data\-driven decision\-making mindset with experience using experimentation and validation techniques
 **Education and Experience:**
* Bachelor's degree in business, Marketing, Technology, or a related field preferred.
* 4\-7 years of experience in product management, product operations, or a related role.
* Prior experience in the telecommunications or mobility industry is strongly preferred.
* A background in insurance for mobility or non\-mobility products is a plus.
* Experience managing multiple products or programs simultaneously.
* Product Management certification preferred.
* Project Management or Agile methodology certification a plus.
 **Physical Requirements:**
* Must be able to stand or sit for long periods of time.
Must be willing to work in an office full\-time.  
* 
Patriot Mobile is an equal opportunity at\-will employer and does not discriminate against any employee or applicant for employment based on age, race, religion, color, disability, sex, sexual orientation, or national origin.</t>
        </is>
      </c>
    </row>
    <row r="119">
      <c r="A119" t="inlineStr">
        <is>
          <t>in-eaff4322a77e4ff4</t>
        </is>
      </c>
      <c r="B119" t="inlineStr">
        <is>
          <t>Program Manager III</t>
        </is>
      </c>
      <c r="C119" t="inlineStr">
        <is>
          <t>Orbis, Inc.</t>
        </is>
      </c>
      <c r="D119" t="inlineStr">
        <is>
          <t>indeed</t>
        </is>
      </c>
      <c r="E119">
        <f>HYPERLINK("https://www.indeed.com/viewjob?jk=eaff4322a77e4ff4", "https://www.indeed.com/viewjob?jk=eaff4322a77e4ff4")</f>
        <v/>
      </c>
      <c r="F119">
        <f>HYPERLINK("https://phg.tbe.taleo.net/phg03/ats/careers/v2/viewRequisition?org=ORBIS&amp;cws=42&amp;rid=3055", "https://phg.tbe.taleo.net/phg03/ats/careers/v2/viewRequisition?org=ORBIS&amp;cws=42&amp;rid=3055")</f>
        <v/>
      </c>
      <c r="G119" t="inlineStr">
        <is>
          <t>Norfolk, VA, US</t>
        </is>
      </c>
      <c r="H119" s="2" t="n">
        <v>46071</v>
      </c>
      <c r="I119" t="inlineStr">
        <is>
          <t>**Job Description:** The position supports NSWCPD Code 431 \&amp; 433 and is focused on launch, recovery and hydraulic systems as well as aircraft, vehicle, ship and material handling systems. Support requirements are concentrated in the areas of Program Management for Ship Change Document (SCD), Maintenance and Testing, Research, Design, Testing, and Evaluation (RDT\&amp;E), and Integrated Logistics support (ILS), Installation.
**Required Skills and/or Experience:** Fifteen (15\) years of professional experience in program/project management.
**Degree Requirements:** Bachelor's level degree in any technical or managerial discipline.
* Must be a US Citizen
* Must have a Secret Security Clearance
All qualified applicants will receive consideration for employment without regard to race, color, religion, sex, sexual orientation, gender identity, national origin, disability, or status as a protected veteran.
ORBIS offers an excellent benefits package and a competitive salary in a professional atmosphere.</t>
        </is>
      </c>
    </row>
    <row r="120">
      <c r="A120" t="inlineStr">
        <is>
          <t>in-8a9082985ce7b772</t>
        </is>
      </c>
      <c r="B120" t="inlineStr">
        <is>
          <t>Program Manager III</t>
        </is>
      </c>
      <c r="C120" t="inlineStr">
        <is>
          <t>Orbis, Inc.</t>
        </is>
      </c>
      <c r="D120" t="inlineStr">
        <is>
          <t>indeed</t>
        </is>
      </c>
      <c r="E120">
        <f>HYPERLINK("https://www.indeed.com/viewjob?jk=8a9082985ce7b772", "https://www.indeed.com/viewjob?jk=8a9082985ce7b772")</f>
        <v/>
      </c>
      <c r="F120">
        <f>HYPERLINK("https://phg.tbe.taleo.net/phg03/ats/careers/v2/viewRequisition?org=ORBIS&amp;cws=42&amp;rid=3056", "https://phg.tbe.taleo.net/phg03/ats/careers/v2/viewRequisition?org=ORBIS&amp;cws=42&amp;rid=3056")</f>
        <v/>
      </c>
      <c r="G120" t="inlineStr">
        <is>
          <t>San Diego, CA, US</t>
        </is>
      </c>
      <c r="H120" s="2" t="n">
        <v>46071</v>
      </c>
      <c r="I120" t="inlineStr">
        <is>
          <t>**Job Description:** The position supports NSWCPD Code 431 \&amp; 433 and is focused on launch, recovery and hydraulic systems as well as aircraft, vehicle, ship and material handling systems. Support requirements are concentrated in the areas of Program Management for Ship Change Document (SCD), Maintenance and Testing, Research, Design, Testing, and Evaluation (RDT\&amp;E), and Integrated Logistics support (ILS), Installation.
The salary for this position is $110,000\-$130,000\.
**Required Skills and/or Experience:**
Fifteen (15\) years of professional experience in program/project management.
**Degree Requirements:**
Bachelor's level degree in any technical or managerial discipline.
* Must be a US Citizen
* Must have a Secret Security Clearance
All qualified applicants will receive consideration for employment without regard to race, color, religion, sex, sexual orientation, gender identity, national origin, disability, or status as a protected veteran.
ORBIS offers an excellent benefits package and a competitive salary in a professional atmosphere.</t>
        </is>
      </c>
    </row>
    <row r="121">
      <c r="A121" t="inlineStr">
        <is>
          <t>in-fd7e2ca609960ec9</t>
        </is>
      </c>
      <c r="B121" t="inlineStr">
        <is>
          <t>Product Validation Program Manager / Master Scheduler</t>
        </is>
      </c>
      <c r="C121" t="inlineStr">
        <is>
          <t>GE Aerospace</t>
        </is>
      </c>
      <c r="D121" t="inlineStr">
        <is>
          <t>indeed</t>
        </is>
      </c>
      <c r="E121">
        <f>HYPERLINK("https://www.indeed.com/viewjob?jk=fd7e2ca609960ec9", "https://www.indeed.com/viewjob?jk=fd7e2ca609960ec9")</f>
        <v/>
      </c>
      <c r="F121">
        <f>HYPERLINK("https://careers.geaerospace.com/global/en/job/R5028682/Product-Validation-Program-Manager-Master-Scheduler?utm_source=indeed&amp;utm_medium=phenom-feeds", "https://careers.geaerospace.com/global/en/job/R5028682/Product-Validation-Program-Manager-Master-Scheduler?utm_source=indeed&amp;utm_medium=phenom-feeds")</f>
        <v/>
      </c>
      <c r="G121" t="inlineStr">
        <is>
          <t>Evendale, OH, US</t>
        </is>
      </c>
      <c r="H121" s="2" t="n">
        <v>46071</v>
      </c>
      <c r="I121" t="inlineStr">
        <is>
          <t>**Job Description Summary**
===========================
GE Aerospace’s Product Validation (PV) Team is a cross\-functional engineering organization that provides key expertise and resources across all aspects of test planning and execution, from ideation through verification and validation. Key teams and disciplines include Evaluation Engineering, Test Enabling Hardware, Test Facilities, Instrumentation, and Data Systems. These teams represent a growing global footprint with a wide array of world\-class testing facilities. The PV team owns and drives testing efforts ranging from technology maturation component\- and rig/module\-level testing through full\-scale certification and qualification testing for New Product Introduction programs.  
The Product Validation Deputy Program Manager / Master Scheduler is a programmatic and analytical leader with strong technical awareness, working closely with Systems and Design teams to understand testing needs ranging from component\-level tests to full engine builds. The role focuses on operationalizing the planning and execution of these activities across the PV enterprise, with an emphasis on schedules, resources, and demand visibility.  
This role will specifically focus on identifying demand signals for PV resources, decomposing and quantifying these signals into headcount, skill mix, and hardware needs, signaling these demands to adjacent teams within PV, and monitoring the scheduling and execution of these activities. The PV Deputy Program Manager / Master Scheduler will work with PV program leaders to assess test effort demands, establish Strategic Workforce Plans (SWP) for all Future of Flight (FoF) testing efforts, and ensure execution rigor is aligned with the GE Aerospace Engineering Handbook and Flight Deck Fundamentals.**Job Description**
===================
**Roles and Responsibilities**
* Provide programmatic planning and coordination throughout the planning and execution of testing, with a strong focus on schedules, resources, and execution rigor.
* Partner with Operations and Finance to ensure alignment of testing plans and resource needs with the Long\-Range Forecast (LRF) and approved budgets.
* Consolidate and validate project metrics and KPIs such as Schedule Performance Index (SPI), Cost Performance Index (CPI), On\-Time Delivery (OTD), Estimate at Completion (EAC), and related indicators; provide input to project operating and financial cadence.
* Establish cross\-program Strategic Workforce Plans (SWP) for PV testing efforts and support hiring or redeployment of personnel to maintain and grow capability as required.
* Champion the development of standard work to drive consistency in technical and programmatic planning and resourcing of testing activities, from early scoping of schedule and resources through daily management of instrumentation, assembly, integration, and testing.
* Review derived product and system requirements for management of PV assets and ensure they are translated into actionable test and resource plans.
* Contribute to PV capability improvement proposals and roadmaps aligned with program and business strategic objectives, including resourcing and schedule implications.
* Determine specific expertise and capabilities needed to execute test requirements and coordinate resources and schedules across sites and teams to meet those requirements.
* Provide forward\-looking strategy and analytics for product validation and technology development, enabling PV to maintain a competitive advantage in schedule, cost, and capability.
* Develop and manage program schedules and baselines that integrate test plans, resource availability, and budget constraints to meet business objectives.
* Support risk and opportunity management, including risk and opportunity boards, and lead lead team execution to minimize program risk exposure related to schedule, capacity, and cost.
* Support long\-term strategic roadmaps for test capability, facilities, and instrumentation, providing schedule and cost estimates to senior leadership and external customers.
* Use a high level of judgment to make decisions and handle complex tasks or problems in areas such as operations, product management, manufacturing, technology, or engineering. Assess the quality of information provided, ask pertinent questions from stakeholders, and construct well\-founded recommendations. Use multiple internal and external sources, beyond the immediate function, to inform decisions.
**Required Qualifications**
* Bachelor of Science in Engineering or Business from an accredited university or college,  
OR significant work experience in an aerospace environment relevant to the job description.
* Minimum of 8 years of experience in design, systems integration, test engineering, program management, or related technical roles.
* Minimum of 5 years of experience in the aerospace industry.
* This role requires the successful candidate to maintain a US Government Security Clearance; prerequisite for a security clearance is U.S. Citizenship. Preference will be given to candidates who currently hold US Government Security Clearance
* Ability to travel out of state a minimum of 15% annually.
**Desired Characteristics**
* Master’s degree in Engineering from an accredited college or university.
* Experience executing testing across multiple sites within the GE testing network, including Evendale, Peebles, Winnipeg, and Victorville.
* Demonstrated ability to lead, influence, and collaborate across a matrixed organization, particularly in planning, scheduling, and resource coordination.
* Exposure to aviation engine design, testing, or certification requirements.
* Experience with GE NPI Tollgate and Military Qualification processes.
* Demonstrated experience with Earned Value Management (EVM) and associated schedule and cost performance metrics.
* Strong oral and written communication skills, including the ability to present complex plans and data in a clear, concise manner.
* Strong interpersonal, analytical, and leadership skills, with a bias for structured planning, problem solving, and continuous improvement.
\#LI\-TJ1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22">
      <c r="A122" t="inlineStr">
        <is>
          <t>in-9d93b774f4b18f1f</t>
        </is>
      </c>
      <c r="B122" t="inlineStr">
        <is>
          <t>Technical Program Manager</t>
        </is>
      </c>
      <c r="C122" t="inlineStr">
        <is>
          <t>ACI Worldwide</t>
        </is>
      </c>
      <c r="D122" t="inlineStr">
        <is>
          <t>indeed</t>
        </is>
      </c>
      <c r="E122">
        <f>HYPERLINK("https://www.indeed.com/viewjob?jk=9d93b774f4b18f1f", "https://www.indeed.com/viewjob?jk=9d93b774f4b18f1f")</f>
        <v/>
      </c>
      <c r="F122">
        <f>HYPERLINK("https://ebwg.fa.us2.oraclecloud.com/hcmUI/CandidateExperience/en/sites/CX/requisitions/preview/18635", "https://ebwg.fa.us2.oraclecloud.com/hcmUI/CandidateExperience/en/sites/CX/requisitions/preview/18635")</f>
        <v/>
      </c>
      <c r="G122" t="inlineStr">
        <is>
          <t>Omaha, NE, US</t>
        </is>
      </c>
      <c r="H122" s="2" t="n">
        <v>46071</v>
      </c>
      <c r="I122" t="inlineStr">
        <is>
          <t>**Powering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**Technical Program Manager** in **Omaha, NE or Norcross, GA** , you will join a diverse, passionate team, dedicated to powering the world’s payments ecosystem!
The Technical Program Manager is an individual contributor responsible for implementing portfolio management processes, configuring work management systems, and delivering data analytics that enable portfolio visibility and decision\-making. Reporting to a Process or Software Director, this role translates strategic portfolio objectives into operational reality through hands\-on process design, workflow engineering, and metrics development.  
**ESSENTIAL FUNCTIONS AND RESPONSIBILITIES**
**Portfolio Process Implementation**
* Design and implement standardized intake workflows, prioritization frameworks, and governance processes
* Create comprehensive documentation including RACI matrices, SOPs, workflow diagrams, and training materials
* Establish quarterly planning mechanics including PI Planning ceremonies, capacity sessions, and retrospectives
* Drive process adoption through change management, training delivery, and creation of self\-service knowledge bases
* Conduct process audits, implement corrective actions, and maintain process versioning
Partner with Agile coaches to integrate portfolio processes with team\-level ceremonies  
* 
**Workflow Tool Engineering**
* Configure organizational structures, boards, queries, dashboards, and work item hierarchies
* Implement automation rules, pipeline integrations, and custom process templates
Create stakeholder\-specific dashboards and queries using native widgets and Power BI integration  
* 
**User Support \&amp; Training:**
* Provide Tier 2/3 technical support for complex tool platform issues(Azure Devops, Jira, PowerBI, etc)
* Develop and deliver training programs from basic orientation to advanced configuration
* Create comprehensive documentation including guides, FAQs, and video tutorials
* Establish office hours and mentor Portfolio Analysts on platform capabilities
**Data Analytics \&amp; Business Intelligence**
* Architect dashboard suites for executives, program managers, and delivery teams
* Implement portfolio health dashboards tracking initiatives, milestones, risks, and budget
* Deploy DORA metrics (deployment frequency, lead time, MTTR, change failure rate)
* Establish flow metrics (cycle time, throughput, WIP, flow efficiency)
* Generate budget tracking reports with variance analysis and burn\-rate projections
* Create executive presentations distilling complex data into clear narratives
* Implement data validation rules, quality scoring, and data dictionaries
* Develop predictive models for project completion forecasting
**Portfolio Coordination**
* Coordinate logistics for quarterly planning events
* Document governance meetings and track action items
* Maintain master schedules and identify scheduling conflicts
* Support vendor management and change management communications
* Lead PI Planning, sprint ceremonies, and continuous improvement initiatives for the Biller Portfolio
* Guide software initiatives from concept to launch ensuring alignment with strategic objectives and business outcomes
* Oversee SDLC execution from requirements through development, testing, release, and post\-launch optimization
**QUALIFICATIONS**
**Education**
* Bachelor's degree in Business, Computer Science, Information Technology, Engineering, or related field
* Equivalent experience (5\+ years) may substitute for degree
**Experience**
* 2\-5 years in program management, portfolio operations, or PMO functions
* Hands\-on experience administering Azure DevOps, Jira, or Smartsheet
* Experience configuring workflows, dashboards, and reports in work management systems
* Experience with Power BI, Tableau, or similar BI tools
* Experience supporting agile teams (Scrum, Kanban, SAFe)
* Experience implementing or improving portfolio management processes
**Technical Skills**
**Workflow Tool Administration:**
* Strong proficiency in Azure DevOps (boards, queries, dashboards, process templates)
* Strong proficiency in Jira (workflow designer, schemes, JQL, automation, Portfolio)
Working knowledge of Smartsheet and API/webhook concepts  
* 
**Data \&amp; Analytics:**
* Advanced Excel (pivot tables, VLOOKUP, Power Query, macros)
* Proficiency with Power BI (data modeling, DAX, visualization)
* Strong SQL skills for querying databases
* Understanding of data quality and validation principles
Use of AI for analytics, analysis and content preparation  
* 
**Methodologies:**
* Portfolio management (balancing, prioritization, capacity management, governance)
* Agile methodologies (Scrum, Kanban, SAFe)
* ITIL/ITSM frameworks
* PMI/PMBOK principles
DevOps practices  
* 
**Metrics:**
* Flow metrics (cycle time, lead time, throughput, WIP)
* DORA metrics and engineering productivity measurement
* Capacity planning and resource loading
* Financial metrics (NPV, ROI, burn rate, variance analysis)
**Professional Skills**
* Strong analytical and problem\-solving abilities
* Excellent written and verbal communication
* Ability to adapt communication style to different audiences
* Facilitation skills for working sessions
* Attention to detail in configuration and documentation
* Customer\-service orientation
* Works independently with minimal supervision
**PREFERRED QUALIFICATIONS**
* Advanced degree (MBA, MS in related field)
* 3\-5\+ years of portfolio management operations experience
* PMP, CAPM, or agile certifications (CSM, SAFe, PMI\-ACP)
* Atlassian or Microsoft platform certifications
* Power BI or data analytics certifications
* ITIL Foundation or Lean Six Sigma certifications
* Experience in payments, financial services, or regulated industries
* Programming/scripting knowledge (Python, PowerShell, Groovy)
* Intermediate SQL skills
* Experience implementing DORA or flow metrics programs
Experience with enterprise portfolio management tools (Planview, ServiceNow PPM)  
* 
**COMPETENCIES**
**Technical**
* Process design and implementation
* Systems configuration and administration
* Data analysis and visualization
Portfolio and agile methodologies  
* 
**Professional**
* Communication excellence
* Stakeholder collaboration
* Problem\-solving and critical thinking
* Continuous improvement mindset
* Accountability and ownership
Adaptability and resilience  
* 
**WORK ENVIRONMENT**
* Hybrid work model (2\-3 days in\-office per week)
* Candidates based in Omaha, NE or Norcross, GA strongly preferred
* Standard office environment with ergonomic workstation
* 80% computer work, 15% meetings, 5% learning/development
* Minimal travel (5\-10% annually)
Prolonged computer use with repetitive keyboard mouse work  
*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Job ID **(Requisition \#18635\)**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  
*\#LI\-LF1*
*\#Hybrid*
ACI Worldwide is a global leader in mission\-critical, real\-time payments software . Our proven, secure and scalable software solutions enable leading corporations, fintechs and financial disruptors to process and manage digital payments , power omni\-commerce payments , present and process bill payments , and manage fraud and risk . We combine our global footprint with a local presence to drive the real\-time digital transformation of payments and commerce.</t>
        </is>
      </c>
    </row>
    <row r="123">
      <c r="A123" t="inlineStr">
        <is>
          <t>in-bda9e894b7e20b6b</t>
        </is>
      </c>
      <c r="B123" t="inlineStr">
        <is>
          <t>Senior Program Manager</t>
        </is>
      </c>
      <c r="C123" t="inlineStr"/>
      <c r="D123" t="inlineStr">
        <is>
          <t>indeed</t>
        </is>
      </c>
      <c r="E123">
        <f>HYPERLINK("https://www.indeed.com/viewjob?jk=bda9e894b7e20b6b", "https://www.indeed.com/viewjob?jk=bda9e894b7e20b6b")</f>
        <v/>
      </c>
      <c r="F123">
        <f>HYPERLINK("https://jobs.gusto.com/postings/windval-technology-solutions-llc-senior-program-manager-a26e5d8e-9916-456c-9360-068afdfcb7c9", "https://jobs.gusto.com/postings/windval-technology-solutions-llc-senior-program-manager-a26e5d8e-9916-456c-9360-068afdfcb7c9")</f>
        <v/>
      </c>
      <c r="G123" t="inlineStr">
        <is>
          <t>Remote, US</t>
        </is>
      </c>
      <c r="H123" s="2" t="n">
        <v>46071</v>
      </c>
      <c r="I123" t="inlineStr">
        <is>
          <t>We’re seeking a seasoned Senior Program Manager with a strong track record leading complex enterprise initiatives. The ideal candidate will have hands\-on experience managing projects in Infrastructure and Applications at an enterprise level.
### **About Windval Technology Solutions LLC**
Windval is a modern advisory consulting firm with expertise in spanning infrastructure, application, and platform technologies. Our team of specialists deliver advisory services and technology consulting that enable enterprise IT organizations to optimize heritage investment, integrate and operationalize modern technologies, and deliver new service capabilities that transform their business. We value the expertise and experience of our team and encourage free sharing of knowledge, opinions, and recommendations. Collaboration and communication are paramount in our work, and we strive to deliver fresh insights and effective solutions for our clients. Windval is a team of life\-long learners who maintain a passion for resolving complex problems for our clients.
### **Description**
The ideal candidate possesses depth of technical knowledge that serves as the foundation for leading client initiatives and delivering program engagement responsibilities.  
* Build and maintain strong relationships with all direct and indirect stakeholders
* Advocate for client service excellence
* Design and own task board for all direct and indirect related workstreams
* Develop program charter with defined program requirements and objectives
* Establish program governance and communication plans
* Develop project plan(s) and master integrated program plan
* Manage cross\-organizational alignment and collaboration
* Successfully deliver project workstream and program objectives
The Senior Program Manager will have a passion for technology advisory, excel in navigating complex client environments, have a strong desire to deliver client objectives with best\-in\-class service, and thrive in a dynamic, fast\-paced environment.  
Key Responsibilities  
* Provide functional leadership and management oversight to strategic client program initiatives
* Work with internal team(s) and client to define tasks, responsibilities, and resource alignment
* Create, maintain, and facilitate project plans and schedules with clearly defined tasks, milestones, and target completion dates – leveraging Windval (or client) project management tools
* Align project plans in master integrated plan structure for management of multiple workstreams utilizing agile, waterfall, or hybrid project management methodologies
* Provide functional status report\-outs to leadership and project teams
* Capture key information and decisions for organized reporting, tracking, and documentation presentation
* Develop program management runbook including vendor management, lifecycle, end\-to\-end process flows, organizational assessment, etc.
* Coordinate across client organizations at all levels of leadership to schedule sessions for discovery, planning, status, delivery, etc.
* Coordinate and guide key technical solution and design decisions with all teams.
* Understand work tasks and skills alignment of engagement team members
* Interface with teams on potential collisions and blockers as identified and recommend solutions and maintain ownership
* Provide overall leadership, guidance, and mentorship to client teams through program delivery work
* Continuous integration and coordination among multiple workstreams and maintain alignment with other related and dependent programs.
Qualifications  
* 5\-10 years experience in leading infrastructure and application projects / programs with a minimum of $10MM budget
* Bachelors or Masters degree in Project Management, Informational Systems or Computer Science (or advanced technical degree) or Business Administration or relevant experience.
* Project Management Professional (PMP) Certification preferred
* CSM or SAFe certification preferred
* Data center migration, network transformation, data backup and recovery or AI implementation experience highly desired
* Core focus in application project/program management with a background in infrastructure, platform technology, and/or technology management
* Passionate about client engagement and creating demonstrable value for Windval clients
* Excellent verbal and written communication skills; strong interpersonal skills
* Excellent collaboration and skilled at leading teams through complex engagements
* Organized and methodical; strong prioritization and multi\-tasking skills
* Operates with a propensity for thoughtful action and high output
* Experienced in building relationships with IT executives and decision\-makers
* Self\-starter and self\-directed ability within a fast\-paced working environment</t>
        </is>
      </c>
    </row>
    <row r="124">
      <c r="A124" t="inlineStr">
        <is>
          <t>in-668899ec5b44a91d</t>
        </is>
      </c>
      <c r="B124" t="inlineStr">
        <is>
          <t>Program Manager</t>
        </is>
      </c>
      <c r="C124" t="inlineStr">
        <is>
          <t>Sierra 7</t>
        </is>
      </c>
      <c r="D124" t="inlineStr">
        <is>
          <t>indeed</t>
        </is>
      </c>
      <c r="E124">
        <f>HYPERLINK("https://www.indeed.com/viewjob?jk=668899ec5b44a91d", "https://www.indeed.com/viewjob?jk=668899ec5b44a91d")</f>
        <v/>
      </c>
      <c r="F124">
        <f>HYPERLINK("https://secure.entertimeonline.com/ta/S7.careers?ShowJob=788776961", "https://secure.entertimeonline.com/ta/S7.careers?ShowJob=788776961")</f>
        <v/>
      </c>
      <c r="G124" t="inlineStr">
        <is>
          <t>Remote, US</t>
        </is>
      </c>
      <c r="H124" s="2" t="n">
        <v>46071</v>
      </c>
      <c r="I124" t="inlineStr">
        <is>
          <t>Sierra7 is seeking a Program Manager that will carry full responsibility for program delivery, contract performance, stakeholder coordination, and day\-to\-day leadership of a large, multidisciplinary IT and cybersecurity team.
**Possessing an active DOD Secret Clearance is required to be considered for this position.**
**Responsibilities:**
* Program Leadership and Contract Execution
* Agile Program and Delivery Management
* Stakeholder Engagement and Reporting
* Financial and Performance Oversight
* Executive\-level communication and stakeholder management
* Strong program and project management skills, with the ability to coordinate across diverse teams and stakeholders.
* Excellent verbal and written communication skills, including preparation of reports, strategic plans, and policy updates.
* Strong skills in stakeholder management, performance tracking, and operational coordination.
* Ability to synthesize complex data and translate it into actionable reports and recommendations.
* Ability to manage multiple concurrent priorities in a fast\-paced environment.
* Strong analytical and organizational skills, with attention to detail and accuracy.
* Proficiency in Microsoft Office Suite and project management tools.
* **Active DoD Secret clearance**
**Education and Experience:**
* Bachelor’s degree in business, management, IT, cybersecurity, or a related discipline.
* Minimum nine (9\) years of experience managing technology and cybersecurity programs/projects of comparable scale and complexity, directly supporting the DoD military community.
* Eight (8\) years of experience leading transformative IT and DevSecOps initiatives using iterative, Agile software development approaches.
* Eight (8\) years of experience developing and standardizing business rules for systems accessed by multiple inter\- or intra\-agency users.
* PMP or equivalent project management certification
* One or more of the following certifications: CISSP, CISM, GSLC, CASP\+, or EC Council CCISO (Preferred)
* Experience modernizing complex legacy systems with over 1,000 data fields and multi\-million record databases.
* Familiarity with MC\&amp;FP AWS GovCloud operations, DoDI 1300\.18, and cloud security requirements (DoD CC SRG IL2/IL4/IL5\).
***Why Join Sierra7?***
Sierra7 is a Small Disabled Veteran Owned Business. We were founded in 2009 with the mission of “serving those who serve". We are a Service\-Disabled Veteran\-Owned Small Business (SDVOSB) and CMMI\-SVC Level 3\-appraised member of the government technology and services industry. We are a proud recipient of the 2024 Gold HIRE Vets Medallion Award from the US Department of Labor, which recognizes employers who successfully recruit, hire, and retain Veterans.  
***Benefits:***
* Medical/Dental/Vision
* FSA (Flexible Spending Account)
* HSA (Health Savings Account)
* Life Insurance, Voluntary Life Insurance, Voluntary Short\- and Long\-Term Disability
* Additional Supplemental Medical Benefits
	+ Critical Care, Hospital Indemnity, Legal Plan, Pet Insurance, Accident
* 401K
* Legal Assistance
* Financial Wellness
* Paid Time Off (PTO)
* Federal Holidays
* Education Reimbursement
* LinkedIn Learning
* Employee Referral Program
This posting is for prospective candidates only. Unsolicited third\-party resume submissions will be considered property of Sierra7, Inc. and will not be acknowledged or returned.  
We will never send communications through any other domain, including @sierra7careers.com, @gmail.com or @yahoo.com. ALL communications will come from a @sierra7\.com domain. We will never request payment from you, nor will we send payment to you, prior to your start date. If you have been asked to send or receive any payment, or if you have any doubt about whether you have been contacted by a Sierra7 employee, please contact us at Talent.Acquisition@sierra7\.com  
**Disclaimer:**
As required by local law, Sierra7 provides reasonable ranges of compensation for hired roles based on labor costs in the states of California, Colorado, Hawaii, Illinois, Maryland, Minnesota, New York, Washington, and the District of Columbia. The base pay range for this position in these locations is shown below. Compensation for roles at Sierra7 varies depending on a wide array of factors, including but not limited to office location, role, skill set and level of experience.
The pay range for the states of California, Colorado, Hawaii, Illinois, Maryland, Minnesota, New York, Washington, and the District of Columbia is: $140,000 \- $170,000 USD  
The above statements are intended to describe the general nature and level of work being performed by people assigned to this classification. They are not to be construed as an exhaustive list of all responsibilities, duties, and skills required of personnel so classified.  
Sierra7 will not provide sponsorship for employment\-based immigration benefits for this position. To be considered for this position all candidates must be a US Citizen. This position is not a C2C opportunity.  
Sierra7 is an Equal Opportunity Employer. All qualified applicants will receive consideration for employment without regard to any status protected by federal, state, or local law.  
Equal Opportunity Employer Veterans Disabled</t>
        </is>
      </c>
    </row>
    <row r="125">
      <c r="A125" t="inlineStr">
        <is>
          <t>in-6bfcfbefcad87867</t>
        </is>
      </c>
      <c r="B125" t="inlineStr">
        <is>
          <t>Group Product Manager, ClassPass Consumer</t>
        </is>
      </c>
      <c r="C125" t="inlineStr">
        <is>
          <t>ClassPass</t>
        </is>
      </c>
      <c r="D125" t="inlineStr">
        <is>
          <t>indeed</t>
        </is>
      </c>
      <c r="E125">
        <f>HYPERLINK("https://www.indeed.com/viewjob?jk=6bfcfbefcad87867", "https://www.indeed.com/viewjob?jk=6bfcfbefcad87867")</f>
        <v/>
      </c>
      <c r="F125">
        <f>HYPERLINK("https://grnh.se/tlf8w90c6us", "https://grnh.se/tlf8w90c6us")</f>
        <v/>
      </c>
      <c r="G125" t="inlineStr">
        <is>
          <t>New York, NY, US</t>
        </is>
      </c>
      <c r="H125" s="2" t="n">
        <v>46071</v>
      </c>
      <c r="I125"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ClassPass offers thousands of fitness and wellness experiences worldwide, helping people lead active, balanced lifestyles. Our platform makes discovering and enjoying activities simple, personalized, and joyful—whether it's fitness classes, self\-care sessions, a healthy lunch, or a new adventure. Join us in shaping healthier, more vibrant communities around the globe.
### **About the right team member**
We're looking for an experienced Group Product Manager to lead consumer growth and engagement strategy at ClassPass. You'll oversee the vision and execution, lead a team of PMs and partner closely with cross\-functional stakeholders.
### **This role is a good fit if you…**
* Have built and scaled consumer products during a hyper\-growth stage
* Can define a product vision that inspires and drives clarity for a team
* Are execution\-focused and know how to unblock teams while balancing speed and quality
* Act as a true product owner with a high bar for craft and detail
* Bring strong business acumen to decision making, weighing business impact and making tough trade\-offs
* Have a track record for incorporating experimentation into your build process; know how to construct an effective test and analyze the results
* Generate insights from both qualitative and quantitative data
* Are comfortable operating in ambiguity and shaping direction as you go
* Stay close to new and evolving technologies and apply them thoughtfully
* Enjoy owning a roadmap and collaborating deeply with engineering and business partners
* Value collaboration, iteration, and feedback as part of building great products
* Prefer shipping early and often, keeping solutions simple and avoiding unnecessary complexity
### **Key Responsibilities**
* Lead Product Strategy \&amp; Roadmap
	+ Define and communicate a clear product vision aligned with company goals and customer needs.
	+ Drive roadmap prioritization using value\-vs\-effort frameworks to maximize impact and time to market.
	+ Balance near\-term delivery with long\-term strategic investments.
* Execution \&amp; Delivery Excellence
	+ Oversee the product lifecycle, from ideation through launch and post\-release optimization.
	+ Collaborate closely with engineering to ensure feasibility, quality, and timely delivery.
	+ Use tools such as Notion, Confluence, Jira, and other internal platforms to drive transparency, collaboration, and documentation across teams.
* Champion User\-Centric Product Development
	+ Leverage customer insights, data, and market trends to guide product direction.
	+ Foster a deep understanding of the needs on both sides of a consumer and wellness business marketplace.
	+ Partner with UX and research to ensure products are intuitive, efficient, and easy to use.
* Leadership \&amp; Team Development
	+ Lead, mentor, and inspire a team of product managers, ensuring they deliver measurable impact.
	+ Promote a data\-driven, outcome\-oriented product culture.
	+ Ensure the team follows best practices in product management and documentation, driving consistency and clarity across initiatives.
	+ Encourage cross\-functional alignment between product, engineering, design, payments, marketing, and customer success.
* Stakeholder Engagement
	+ Communicate product vision, roadmap, and progress to executive leadership and key customers.
	+ Build strong relationships with partner businesses, gathering feedback to guide roadmap decisions.
	+ Collaborate with sales and marketing to ensure successful product positioning and launches.
### **Skills \&amp; experience**
* 7\+ years of product management experience, including 3\+ years leading and managing PMs.
* A strong track record building high quality consumer products.
* Deep experience with consumer mobile apps and consumer growth and engagement funnel optimization
* Strong analytical skills, with the ability to define, query, and interpret data independently.
* Excellent communication and collaboration skills, with experience partnering across functions and with data science.
* Sharp product intuition grounded in user feedback and data.
* Experience working in agile, full\-stack product teams from discovery through delivery.
* Comfort using modern product tools like Notion, Confluence, Jira, Figma, and Miro.
### **Pay Transparency**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$175,000 to 210,000\. The total compensation package for this position may also include performance bonus, benefits and/or other applicable incentive compensation plans.
**Have we piqued your curiosity?**
----------------------------------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Notice****(as applicable).*</t>
        </is>
      </c>
    </row>
    <row r="126">
      <c r="A126" t="inlineStr">
        <is>
          <t>in-072fedee67468d70</t>
        </is>
      </c>
      <c r="B126" t="inlineStr">
        <is>
          <t>Product Owner - Planning</t>
        </is>
      </c>
      <c r="C126" t="inlineStr">
        <is>
          <t>Infosys</t>
        </is>
      </c>
      <c r="D126" t="inlineStr">
        <is>
          <t>indeed</t>
        </is>
      </c>
      <c r="E126">
        <f>HYPERLINK("https://www.indeed.com/viewjob?jk=072fedee67468d70", "https://www.indeed.com/viewjob?jk=072fedee67468d70")</f>
        <v/>
      </c>
      <c r="F126">
        <f>HYPERLINK("https://digitalcareers.infosys.com/global-careers/company-job/description/reqid/144735BR?Codes=Indeed", "https://digitalcareers.infosys.com/global-careers/company-job/description/reqid/144735BR?Codes=Indeed")</f>
        <v/>
      </c>
      <c r="G126" t="inlineStr">
        <is>
          <t>Atlanta, GA, US</t>
        </is>
      </c>
      <c r="H126" s="2" t="n">
        <v>46071</v>
      </c>
      <c r="I126" t="inlineStr">
        <is>
          <t>Infosys is seeking a **Product owner \- Planning** **Domain****.** In this role Planning Domain knowledge with Retail/CPG functional experience and expertise will be required. You will interface with key stakeholders and apply your functional and product proficiency across different stages of the Software Development Life Cycle. You will play an important role in providing futuristic business solutions in the planning domain.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experience with Information Technology.
* Candidates authorized to work for any employer in the United States without employer\-based visa sponsorship are welcome to apply. Infosys is unable to provide immigration sponsorship for this role at this time.
* Excellent in hands knowledge implementation, configuration and integration of leading market products as SAP IBP/APO, Kinaxis, O9, Blue Yonder, Anaplan, Oracle RPAS, etc.
* Locations for this position are **Atlanta GA, Raleigh, NC \&amp; Richardson, TX**. This position requires travel and/or relocation to project/client locations.
 **Preferred Qualifications:**
* At least 3 years of experience in configuration/implementation efforts of client projects with advanced planning analytics, deployment, communication, and tactical assistance around Sales \&amp; Operations Planning, Demand, Inventory, Assortment, Supply \&amp; Response, Demand planning, Replenishment, Supply planning or Operational supply chain.
* Experience with Retail and CPG industry.
* Utilize data collection tools and analytics methodology for advanced supply chain analysis.
* Interpret data around supply chain trends, optimization, and forecasting relating to performance metrics and potential recommendations to clients and assist with research initiatives for solution design.
* Driving the Product Roadmap, identifying, capturing, tracking with cross\-functional Business SMEs/ stakeholders.
* Flawless execution in interfacing with multiple different teams, identifying roadblocks, resolve dependencies.
* Manage Tech/ Business stakeholders’ communication.
* .Experience in Jira, Confluence, Agile methodology and good understanding of Agile ceremonies
* Strong problem\-solving skills and analytical skills (regression, forecasting, optimization, allocation, replenishment, etc).
* Experience and desire to work in a Global delivery environment.
* Knowledge of integration to planning products.
* Collaborate with project leads, system architects, partners, and client teams to identify data best practices, develop success criteria, and optimize new reports features and models.
* Communicate with customers and customer teams in verbal, visual, and written formats, complex results to technical and non\-technical audiences.
* Strong Client interfacing skills, with prior experience in directly interfacing with IT Director, AVP, Architect levels.
 *The job entails sitting as well as working at a computer for extended periods of time. Should be able to communicate by telephone, email or face to face. Travel may be required as per the job requirements.*</t>
        </is>
      </c>
    </row>
    <row r="127">
      <c r="A127" t="inlineStr">
        <is>
          <t>in-6ba31e7746a24d77</t>
        </is>
      </c>
      <c r="B127" t="inlineStr">
        <is>
          <t>Product Owner - US Remote</t>
        </is>
      </c>
      <c r="C127" t="inlineStr">
        <is>
          <t>PerfectServe</t>
        </is>
      </c>
      <c r="D127" t="inlineStr">
        <is>
          <t>indeed</t>
        </is>
      </c>
      <c r="E127">
        <f>HYPERLINK("https://www.indeed.com/viewjob?jk=6ba31e7746a24d77", "https://www.indeed.com/viewjob?jk=6ba31e7746a24d77")</f>
        <v/>
      </c>
      <c r="F127">
        <f>HYPERLINK("https://grnh.se/i7eejdg24us", "https://grnh.se/i7eejdg24us")</f>
        <v/>
      </c>
      <c r="G127" t="inlineStr">
        <is>
          <t>Knoxville, TN, US</t>
        </is>
      </c>
      <c r="H127" s="2" t="n">
        <v>46071</v>
      </c>
      <c r="I127" t="inlineStr">
        <is>
          <t>**What is PerfectServe?**
PerfectServe offers Best in KLAS clinical communication and physician scheduling solutions and is a Leader in the Gartner Magic Quadrant for Clinical Communication and Collaboration.We have seen an 88% growth rate over the past three years and need strong team members to help us continue to grow!
PerfectServe's mission is to accelerate speed to care by optimizing provider schedules and dynamically routing messages to the right person at the right time in any care setting; advancing patient care and clinical workflows.
By joining PerfectServe, you will have the unique opportunity to come alongside us as we further our vision of putting all of these solutions together to provide optimal patient outcomes and faster patient care interventions. By improving speed to care and cross\-continuum communication, we save lives, reduce length of stay, minimize re\-admissions, and bring joy back to caregivers.
We have an incredible portfolio of customers, with new ones recognizing the value of our solutions and joining the PerfectServe family every day.
### **Overview**
PerfectServe is seeking a motivated and detail\-oriented Product Owner to join our Operator Console STO (single threaded owner) team. In this role, you will support the planning, development, and delivery of solutions that streamline communication workflows for hospital operators, switchboard staff, and healthcare contact centers.
As a Product Owner, you will work closely with product leaders, engineers, designers, and stakeholders to help define user stories, manage the product backlog, and contribute to the evolution of our operator console platform. This is a great opportunity to develop product leadership skills while making a meaningful impact on healthcare communication efficiency and patient access.
### **Essential Functions**
* Partner with Product Owners to manage and groom the engineering backlog for one or more R\&amp;D teams.
* Translate customer, stakeholder, and business needs into detailed user stories with clear acceptance criteria.
* Collaborate with engineering, UX, QA, and cross\-functional teams to ensure a shared understanding of requirements and priorities.
* Participate in Agile ceremonies including program increment planning, sprint planning, backlog refinement, standups, and retrospectives.
* Assist in reviewing and accepting delivered stories to ensure they meet quality and functional expectations.
* Monitor and analyze usage data, customer feedback, and support trends to inform future backlog items.
* Contribute to internal documentation such as product requirements, release notes, and training materials.
* Support Product Owners in roadmap planning and release coordination.
### **Qualifications**
* Bachelor's degree in Business, Computer Science, Health Informatics, or a related field — or equivalent practical experience.
* 2\+ years of experience in product management, business analysis, software delivery, or healthcare platforms.
* Familiarity with Agile/Scrum methodologies and the software development lifecycle (SDLC).
* Strong communication and collaboration skills.
* Comfortable working with data, asking questions, and making evidence\-based decisions.
* A desire to learn product best practices and grow into a full Product Owner role.
### **Preferred Qualifications**
* Experience with or knowledge of call center software platforms or Twilio.
* Experience with Jira, Confluence, or similar agile tools (Trello, Asana, ClickUp, Monday).
* Exposure to SaaS or healthcare technology solutions.
* Knowledge of hospital operations, contact center workflows, or telecommunications systems is a plus.
* Understanding of operator console functionalities or healthcare communication routing is a bonus.
* CSPO (Certified Scrum Product Owner) certification or equivalent is a bonus.
### **Why Join PerfectServe?**
At PerfectServe, we are transforming healthcare communication and collaboration to help clinicians deliver better care. You'll work with a dedicated and mission\-driven team in an environment that values growth, transparency, and innovation.  
\*\*Please do not use AI tools to generate your application materials. We value authentic, personal communication and want to understand your unique voice and perspective.\*\*  
We offer a salary range of $80,000\-120,000 per year, with compensation tailored to your background, strengths, and potential to grow within the team.  
The salary range listed for this role reflects our commitment to pay transparency and is based on market data, internal equity, and the scope of responsibilities. compensation will be determined by a combination of factors, including the candidate's experience, skills, and the specific team or product area they support.  
We regularly review compensation across the company to ensure fairness and consistency. If you are a current employee and have questions about how your compensation aligns with our ranges, we encourage you to speak with your manager or People Operations.
 **Benefits:**
* Remote first work environment
* Health, Dental, Vision, Life and Disability Insurance options available day one.
* 401K \- with match and immediately vested.
* 17 company holidays, 2 floating holidays plus competitive paid time off policy
* Internal Advancement Opportunities
PerfectServe offers unified healthcare communication solutions to help physicians, nurses, and care team members provide exceptional patient care. PerfectServe's cloud\-based solutions enhance patient safety and reduce provider burnout by automating workflows, speeding time to treatment, optimizing shift schedules, empowering nurse mobility, and engaging patients in their own care.</t>
        </is>
      </c>
    </row>
    <row r="128">
      <c r="A128" t="inlineStr">
        <is>
          <t>in-5d0279c2b7ab7dc3</t>
        </is>
      </c>
      <c r="B128" t="inlineStr">
        <is>
          <t>Smart Building Consultant - Sr. Program Manager</t>
        </is>
      </c>
      <c r="C128" t="inlineStr">
        <is>
          <t>CannonDesign</t>
        </is>
      </c>
      <c r="D128" t="inlineStr">
        <is>
          <t>indeed</t>
        </is>
      </c>
      <c r="E128">
        <f>HYPERLINK("https://www.indeed.com/viewjob?jk=5d0279c2b7ab7dc3", "https://www.indeed.com/viewjob?jk=5d0279c2b7ab7dc3")</f>
        <v/>
      </c>
      <c r="F128">
        <f>HYPERLINK("https://grnh.se/i6le7cud2us", "https://grnh.se/i6le7cud2us")</f>
        <v/>
      </c>
      <c r="G128" t="inlineStr">
        <is>
          <t>San Francisco, CA, US</t>
        </is>
      </c>
      <c r="H128" s="2" t="n">
        <v>46071</v>
      </c>
      <c r="I128" t="inlineStr">
        <is>
          <t>If you think your skills, experience and aspirations make you a good match for this position, we encourage you to apply.
ABOUT THE ROLE
We are seeking an experienced and forward\-thinking Smart Building Consultant – Sr. Program Manager to guide organizations through the planning, design, and implementation of advanced building technologies across healthcare, science \&amp; technology, commercial, education, and other complex environments.
This Senior Program Manager role owns enterprise\-scale, multi\-year smart building and digital infrastructure programs, with accountability for strategy, execution, and realized business outcomes.
This role focuses on advising clients on strategy, integration, and execution of smart building and digital infrastructure initiatives that enhance operational efficiency, user experience, safety, and overall facility performance. The consultant serves as a trusted advisor—bridging operations, technology, and organizational change management—to drive innovation that improves human experience, building intelligence, and long\-term adaptability.
HERE'S WHAT YOU'LL DO
Strategic Advisory \&amp; Leadership
* Serve as a senior advisor to executive leadership, influencing capital planning, digital investment prioritization, and enterprise technology direction.
* Define vision, outcomes, and measurable objectives (OKRs/KPIs) for technology\-enabled environments across multiple markets.
* Own multi\-year strategic roadmaps that align technology investments to organizational goals and operational performance.
* Offer thought leadership on how advanced technologies can enhance workflows, safety, productivity, occupant well\-being, and operational resilience.
Program \&amp; Project Oversight
* Own end\-to\-end program delivery, including scope, schedule, budget, risk, and value realization for enterprise\-scale initiatives.
* Guide organizations in applying best practices in project delivery, governance, and performance measurement.
* Establish and lead program governance frameworks, including executive steering committees and escalation paths.
* Support alignment across operations, facilities, IT, and user groups to ensure the success of major capital and technology investments.
* Oversee the planning, execution, and delivery of multi\-system IT and building technology programs for smart facilities and campuses.
* Lead multiple concurrent, interdependent programs spanning campuses, regions, or portfolios.
Technology \&amp; Systems Integration
* Evaluate, recommend, and plan the integration of enterprise IT, smart building, and specialized systems (e.g., lab, clinical, or workplace technologies).
* Ensure interoperability across operational, specialty, and facility systems, creating a cohesive ecosystem that enhances efficiency, outcomes, and user satisfaction.
* Influence enterprise standards, architectures, and integration principles for smart building and digital infrastructure platforms.
* Balance innovation with risk, cost, scalability, and lifecycle support considerations.
Stakeholder \&amp; Change Management
* Lead executive\-level workshops and decision forums, aligning stakeholders around outcome\-driven, data\-informed solutions.
* Support organizational change management by helping clients adapt processes and workflows to leverage new technologies.
* Lead workshops and design sessions to align stakeholders around outcomes\-driven and data\-informed solutions.
Vendor \&amp; Partner Management
* Advise clients on vendor selection, contracting strategies, and performance management for smart building systems and digital platforms.
* Conduct capability assessments of vendors, ensuring alignment with client objectives and enterprise standards.
* Act as an independent advocate for the client in vendor evaluations, negotiations, and scope coordination.
* Assist with vendor management.
* Escalate and resolve vendor performance, delivery, and financial risks impacting program outcomes.
Regulatory, Security \&amp; Compliance
* Provide guidance on data privacy, cybersecurity, and industry\-specific compliance (e.g., HIPAA, FDA, GLP, or other applicable standards).
* Help clients implement robust governance and cybersecurity frameworks to safeguard sensitive data and connected systems.
* Ensure compliance considerations are embedded into enterprise program governance and risk management.
Team Development
* Build and lead a high\-performing project delivery team
* Provide direct leadership, mentoring, and performance management for program and project managers.
* Foster a collaborative and inclusive project environment
* Establish delivery standards, capacity planning, and resource forecasting across programs.
Continuous Improvement \&amp; Innovation
* Stay current with emerging smart building, IoT, and data integration technologies.
* Translate industry trends into actionable strategies for clients.
* Advise clients on long\-term innovation roadmaps and investment sequencing.
* Support clients in developing long\-term innovation roadmaps.
HERE'S WHAT YOU'LL NEED
* Bachelor's degree in Information Technology, Engineering, Architecture, or related discipline. Master's degree or certifications (e.g., PMP, ITIL, CISSP, Lean Six Sigma) preferred.
* 10\+ years of experience in program management, technology consulting, or smart building systems integration.
* Proven experience advising healthcare, science \&amp; technology, or complex institutional organizations on technology programs that improve operations, efficiency, and user experience.
* Demonstrated ability to lead large\-scale, cross\-disciplinary technology programs in complex or regulated environments.
* Strong leadership and strategic thinking skills.
* Excellent project management and organizational capabilities.
* Strong consulting and advisory capabilities with executive presence.
* Deep knowledge of building systems integration, digital infrastructure, and enterprise technologies.
* Excellent communication and facilitation skills for engaging diverse stakeholder groups.
* Expertise in project governance, vendor management, systems integration, and digital roadmap development
The salary range for this position is $159,500 to $199,400 annually. This salary range is the range we believe is the anticipated range of possible base compensation at the timing of the posting. We may ultimately pay more or less than the anticipated salary range for the position. Employees may be eligible for discretionary bonuses. We offer a full benefit package including medical, dental and vision coverage and flexible spending account options and voluntary insurances. We have paid time off, flex\-time schedules, remote work options and a 401k plan and employee perk programs. For a general overview of our benefits, please visit our careers page at https://www.cannondesign.com/careers/benefits. Actual compensation may vary from posting based on geographic location, work experience, education and/or skill level.
ABOUT OUR FIRM
As part of CannonDesign's industry\-leading consulting family, The Clarient Group is a leader in Smart Building consulting. We bring a systems engineering approach to buildings — aligning IT, operational technology, and human experience to create integrated environments that deliver performance, sustainability, and long\-term value. Our projects span commercial office, healthcare, science \&amp; technology, education, and civic environments, where we design and deliver smart building strategies, integration frameworks, and data\-driven solutions.
ABOUT WORKING HERE
* We are a start\-up culture in an established firm: nimble, energetic, innovative and fun.
* We are relentless in our pursuit of client adoration (not simply satisfaction). Consistent delivery of the best service is what we are about.
* We are committed to ensuring our practice provides equal opportunities for all employees, as we strive to connect with communities around us and focus on the future of design. We support equity, diversity, and inclusion efforts that benefit all employees through the leadership of our DEI Council, our Employee Resource Groups which are open to everyone, and other community initiatives.
* We're about communication and transparency here. If you want to talk to someone about an idea you have, or a challenge that needs addressing, we're ready for you.
*Please note that candidates can only apply to our positions on our company Careers site. It's not uncommon for scammers to create positions that look legitimate on other sites; never enter your information or apply for CannonDesign positions on any platform. Should an issue arise that you feel we should be aware of, please contact us. Please provide your resume and portfolio when applying.*
As a condition of employment, all employees are expected to complete mandatory training, including compliance training, within required timeframes and adhere to our internal policies and our Code of Conduct.
CannonDesign is an Equal Opportunity Employer. CannonDesign is committed to maintaining a work environment that is free from any and all forms of unlawful discrimination and harassment. It is therefore the firm's policy to prohibit discrimination and harassment against any applicant, CannonDesign employee, vendor, contractor, or client on the basis of race, color, religion, sex, sexual orientation, gender identity, national origin, age, disability, pregnancy, veteran status, genetic information, citizenship status, or any other basis prohibited by applicable law. It is also CannonDesign's policy to prohibit any and all forms of retaliation against any individual who has complained of harassing or discriminatory conduct, or participated in a firm or agency investigation into such complaints.</t>
        </is>
      </c>
    </row>
    <row r="129">
      <c r="A129" t="inlineStr">
        <is>
          <t>in-d02689beeceede4d</t>
        </is>
      </c>
      <c r="B129" t="inlineStr">
        <is>
          <t>Product Owner -All Verticals</t>
        </is>
      </c>
      <c r="C129" t="inlineStr">
        <is>
          <t>Togetherwork</t>
        </is>
      </c>
      <c r="D129" t="inlineStr">
        <is>
          <t>indeed</t>
        </is>
      </c>
      <c r="E129">
        <f>HYPERLINK("https://www.indeed.com/viewjob?jk=d02689beeceede4d", "https://www.indeed.com/viewjob?jk=d02689beeceede4d")</f>
        <v/>
      </c>
      <c r="F129">
        <f>HYPERLINK("https://grnh.se/1nzooe2s2us", "https://grnh.se/1nzooe2s2us")</f>
        <v/>
      </c>
      <c r="G129" t="inlineStr">
        <is>
          <t>Austin, TX, US</t>
        </is>
      </c>
      <c r="H129" s="2" t="n">
        <v>46071</v>
      </c>
      <c r="I129" t="inlineStr">
        <is>
          <t>**Product Owner**
-----------------
Department: Product  
Reports To: Vice President, Product \&amp; Strategy  
Location: Austin, TX  
Schedule: Full\-time \| Hybrid (2–3 days in office)
**Work Authorization Notice:** At this time, we are unable to provide immigration sponsorship for this position. Candidates must have current, unrestricted authorization to work in the country where the role is based.
**Overview**
At Togetherwork, we set a high bar for clarity, collaboration, and execution. While our Product \&amp; Strategy leaders own portfolio outcomes, our individual contributors are equally essential—bringing curiosity, precision, and a commitment to excellence to every initiative. We work in deep partnership with Engineering, Revenue, CX, Operations, and Support, sharing accountability for delivering stable, modern, insight\-driven products that help our customers thrive.
We expect ICs to bring strong analytical thinking, operational rigor, and a willingness to roll up their sleeves to solve complex problems. Hard work is the norm—not for recognition, but for the greater good of our customers and the long\-term health of our company. We embrace innovation, including responsible AI usage, to deepen insight, improve execution, and accelerate impact.
This role reflects those expectations: collaborative, data\-informed, customer\-centered, delivery\-oriented, and grounded in professionalism and positive intent.
**Role Summary**
The Product Owner is the connective tissue between customers and engineering. This role is responsible for deeply understanding customer problems, translating them into clear, testable requirements, and driving predictable delivery through disciplined backlog management and proactive risk mitigation.
The PO serves as both customer\-facing and engineering\-facing—partnering with Product Managers to absorb voice\-of\-customer insights while working side\-by\-side with Engineering to clarify scope, remove ambiguity, reduce risk, and ensure high\-quality releases.
Product Owners support two Scrum teams as their standard operating model and are accountable for backlog health, sprint readiness, prioritization discipline, and delivery outcomes. This role requires strong hands\-on prototyping skills, including AI\-assisted prototype generation, to rapidly validate concepts and accelerate engineering clarity.
**Customer \&amp; Engineering Partnership**
* Act as a primary conduit between customer insight and engineering execution.
* Participate in customer discovery conversations, VOC reviews, and usability sessions to gather direct requirements.
* Translate qualitative and quantitative insights into structured epics, user stories, workflows, and acceptance criteria.
* Partner daily with engineering teams to clarify intent, answer questions, and reduce ambiguity before and during sprints.
* Ensure engineering understands the 'why' behind the work—not just the 'what.'
* Escalate and proactively remove delivery risks related to scope, dependencies, unclear requirements, or sequencing.
**Backlog Ownership, Prioritization \&amp; Risk Mitigation**
* Own and continuously groom a strategically prioritized backlog aligned to customer value and roadmap outcomes.
* Apply structured prioritization frameworks (value, risk, effort, impact) to ensure teams are always working on the highest\-leverage initiatives.
* Ensure sprint readiness through detailed story refinement, clear acceptance criteria, and dependency mapping.
* Identify delivery risks early (technical, operational, sequencing, or scope\-related) and proactively mitigate or escalate.
* Maintain backlog hygiene across multiple product areas and two Scrum teams simultaneously.
* Drive clarity to eliminate rework and reduce sprint spillover.
**Prototyping, AI Fluency \&amp; Rapid Validation**
* Create detailed workflows, wireframes, and interactive prototypes using Figma and AI\-assisted design tools.
* Use AI to rapidly generate prototype variations, refine acceptance criteria, simulate workflows, and accelerate iteration.
* Translate prototypes into engineering\-ready documentation with precision.
* Leverage AI tools to accelerate story writing, backlog refinement, research synthesis, and edge\-case identification.
* Promote responsible AI usage to improve velocity without sacrificing quality.
**Cross\-Functional Delivery Alignment**
* Work with Product Managers to ensure backlog aligns with roadmap strategy and customer outcomes.
* Partner with Delivery Managers to ensure releases are on track and on time.
* Support GTM planning by clarifying feature functionality and expected customer value.
* Coordinate with CX, Support, and Revenue teams to incorporate operational considerations.
**Qualifications**
**Required Qualifications**
* 2–4\+ years of Product Owner or equivalent experience in Agile software development.
* Demonstrated ability to gather and synthesize customer requirements from direct conversations and feedback channels.
* Proven experience prioritizing complex backlogs across multiple teams and product areas.
* Strong experience writing user stories, acceptance criteria, and managing backlogs.
* Hands\-on experience creating mockups and prototypes in Figma.
* Experience proactively identifying and removing delivery risks.
* Experience supporting two or more Scrum teams simultaneously.
* Ability to work with both onshore and offshore development teams.
* Strong communication and facilitation skills across cross\-functional groups.
* Understanding of product lifecycle, UX principles, and technical delivery constraints.
* Strong ability to create AI\-assisted prototypes and leverage generative tools for requirement development.
**Why This Role Matters**
Product Owners ensure that customer problems are solved—not just features shipped. By serving as both customer advocate and engineering partner, this role removes ambiguity, reduces risk, and drives disciplined prioritization. Supporting two Scrum teams, the PO is directly accountable for delivery predictability, backlog clarity, and the translation of strategy into shipped, customer\-impacting outcomes.
### **The Company offers a comprehensive employee benefits program, including:**
Medical, dental, and vision insurance options
* 100% Employer paid short/long term disability
* Basic Life
* 401(k) option with 100% company match up to 4%
* Flexible paid personal/vacation time built on mutual trust and accountability
* 10 sick days annually
* 10 company paid holidays
* 6 weeks paid parental leave
* Pet Insurance
* Medical Travel Benefits
* Infertility Benefits
* Teladoc
* Employee Assistance Program
* Wellness Benefits \&amp; Engagement Platform
### **Interview Process \&amp; Expectations**
Our interviews are designed to be interactive and conversational. Candidates are expected to respond based on their own experience and thinking during live interviews.
To ensure a fair and consistent interview experience, the use of real\-time AI tools or other external assistance to generate or guide interview responses is not permitted. Interviews are intended to reflect an individual's judgment, problem\-solving approach, and communication.
CCPA Disclosure Notice: Click Here</t>
        </is>
      </c>
    </row>
    <row r="130">
      <c r="A130" t="inlineStr">
        <is>
          <t>in-1c604626d2bc06a5</t>
        </is>
      </c>
      <c r="B130" t="inlineStr">
        <is>
          <t>Industrial Control Systems and Automation Program Manager</t>
        </is>
      </c>
      <c r="C130" t="inlineStr">
        <is>
          <t>HelloFresh</t>
        </is>
      </c>
      <c r="D130" t="inlineStr">
        <is>
          <t>indeed</t>
        </is>
      </c>
      <c r="E130">
        <f>HYPERLINK("https://www.indeed.com/viewjob?jk=1c604626d2bc06a5", "https://www.indeed.com/viewjob?jk=1c604626d2bc06a5")</f>
        <v/>
      </c>
      <c r="F130">
        <f>HYPERLINK("https://grnh.se/sv8ttmi51us", "https://grnh.se/sv8ttmi51us")</f>
        <v/>
      </c>
      <c r="G130" t="inlineStr">
        <is>
          <t>Newark, NJ, US</t>
        </is>
      </c>
      <c r="H130" s="2" t="n">
        <v>46071</v>
      </c>
      <c r="I130" t="inlineStr">
        <is>
          <t>As an Industrial Control Systems and Automation Program Manager, you will work with the maintenance teams to deep dive issues and opportunities within the control systems for conveyance, sortation systems, automated baggers, robotic systems, and more. You will develop instructor led technical training materials on these systems and deliver training to controls and automation technicians across the network. You will also provide technical support and serve as the Installation and Operational Qualification controls lead for new launch sites. This role is the resident expert in automation and controls, and will lead the technical training program.
You will..
* Demonstrated hands\-on experience within controls or automation environments
* Exposure to supporting live systems or production operations
* Experience mentoring, coaching, or developing technical team members
* Expected to support and develop other controls engineers and serve as a point of escalation for all of our brands, and a baseline level of hands\-on controls experience
* Practical exposure to PLC troubleshooting and diagnostics
* Maintain compliance with all safety, food safety, and security standards.
* Create and execute training classes specifically focused on technicians' needs.
* Review and give input on vendor quotes, service level agreements, and planned maintenance agreements.
* Travel to multiple locations to provide instructor led training to controls technicians.
* Participate in the interview and selection process for controls technicians.
* Perform troubleshooting of assigned equipment and provide corrective action plans when deficiencies are identified.
* Act as an escalation point and remote troubleshooting resource for controls technicians and escalate to leadership and/or vendors as needed for additional troubleshooting.
* Drive compliance on relevant OSHA, NFPA70E, and NEC regulations.
* Document all work in the computerized maintenance management system (CMMS) and ticketing systems as appropriate.
* Mentor all maintenance personnel in developing appropriate skill sets and knowledge of equipment, specializing in controls and automation systems.
* Act as a network resource for controls related technical issues and lead network\-wide root cause analysis.
* Partner with Engineering on the commissioning of new systems.
* Audit vendor work to provide feedback to leadership on quality of work and SLA performance.
* Write and/or modify PMs to standardize across the network and increase effectiveness.
* Perform building project work as assigned..
Mandatory Requirements
You have..
* 5 \- 7 years of experience maintaining and repairing large control systems, including PLCs, HMIs, VFDs, fieldbus, reader/vision systems.
* Advanced understanding of electrical and mechanical troubleshooting.
* Advanced computer skills, including Microsoft Office.
* Knowledge of general construction standards and techniques.
* Ability to read and understand drawings, schematics, and diagrams.
* In depth experience and knowledge of industrial OSHA, NFPA70E, and NEC requirements.
* Ability to travel as necessary (up to 75%) for business purposes.
* High School diploma or equivalent.
* The ability to motivate learning and thrive in a teaching/training role.
* Acute understanding of electro\-mechanical circuitry and it's functionality.
* Excellent follow through, judgment, and common sense. "Make it happen" attitude.
* Comfortable working in cold environments with some areas of facility at 40F.
* Excitement for working in a start\-up environment with a high level of ambiguity and change.
* High level of integrity and ethics with excellent follow\-through.
You'll get...
* Competitive Salary \&amp; 401k company match that vests immediately upon participation
* Generous parental leave of 4 weeks \&amp; PTO policy, as well as paid holidays off
* $0 monthly premium and other flexible health plans
* Amazing discounts, including up to 75% off HelloFresh subscription
* Flexible scheduling \&amp; advancement opportunities
* Emergency child and adult care services
* Snacks \&amp; monthly catered lunches
* Collaborative, dynamic work environment within a fast\-paced, mission\-driven company
This job description is intended to provide a general overview of the responsibilities. However, the Company reserves the right to adjust, modify, or reassign work tasks and responsibilities as needed to meet changing business needs, operational requirements, or other factors.</t>
        </is>
      </c>
    </row>
    <row r="131">
      <c r="A131" t="inlineStr">
        <is>
          <t>in-4ba23f98aa498430</t>
        </is>
      </c>
      <c r="B131" t="inlineStr">
        <is>
          <t>Product Manager</t>
        </is>
      </c>
      <c r="C131" t="inlineStr">
        <is>
          <t>FECON</t>
        </is>
      </c>
      <c r="D131" t="inlineStr">
        <is>
          <t>indeed</t>
        </is>
      </c>
      <c r="E131">
        <f>HYPERLINK("https://www.indeed.com/viewjob?jk=4ba23f98aa498430", "https://www.indeed.com/viewjob?jk=4ba23f98aa498430")</f>
        <v/>
      </c>
      <c r="F131">
        <f>HYPERLINK("https://www.fecon.com/careers/?gnk=job&amp;gni=8a7883a89c2fd151019c715999cc30e4&amp;gns=Indeed+Free", "https://www.fecon.com/careers/?gnk=job&amp;gni=8a7883a89c2fd151019c715999cc30e4&amp;gns=Indeed+Free")</f>
        <v/>
      </c>
      <c r="G131" t="inlineStr">
        <is>
          <t>Lebanon, OH, US</t>
        </is>
      </c>
      <c r="H131" s="2" t="n">
        <v>46071</v>
      </c>
      <c r="I131" t="inlineStr">
        <is>
          <t>**Job Title:** Product Manager
**Manager Title:** Director of Product Management
**FLSA Status:** Exempt, Full\-Time
FECON, LLC is a vegetation management equipment manufacturer located in Lebanon, Ohio near Kings Island Amusement Park. FECON is known for having very high\-quality products and a team culture – and we are growing! We design, build, test, sell and service our equipment consisting of products such as our well\-known “Bull Hog” mulchers, the Stump Ex, our high\-quality FTX tractors of varying horsepower, as well as many other attachments. We offer competitive wages, full health care benefits and a continuous learning culture for those who want to grow with the company.
**Job Summary:**
The Product Manager is accountable for managing Fecon’s existing (assigned) product portfolio, leading the New Product Development (NPD) Stage/Gate process for all new products in development and identifying new product opportunities to meet Fecon’s growth expectations. The Product Manager will also act as a product expert and liaison to support all areas of the business.
**Job Duties/Responsibilities:**
* Drives New Product Development process (Stage/Gate) to quickly develop high preforming products that meet Fecon’s revenue growth and strategic goals.
* Manages the product life cycle for (assigned) product portfolio in order to meet strategic objectives as well as revenue and margin goals.
* Acts as a product expert and resource to all areas of the business for support, product education and to meet performance targets.
* Identifies new product opportunities, evaluates feasibility for strategic fit to establish a pipeline of future Fecon products and customer solutions to meet company growth objectives.
* Reports product performance and activity to leadership as a basis for sound decision making for engineering, marketing, sales, customer service and operational priorities and initiatives.
* Serves as the primary product expert to assist sales, marketing, engineering and customer service teams with product, technical and/or application questions; trains and coaches team members on becoming product experts.
* Collaborates with leadership team members to gain insight and develop alignment on product development goals.
* Collaborates with Regional Managers to determine what products, solutions and/or enhancements will assist in meeting our customer needs.
* Champions the New Product Development (stage/gate) Process. Acts as a coach to educate all team members on the process gaining buy in and support to drive results.
* Coordinates, manages and executes strategies in all aspects of product life cycle management including product development, product performance (financial), and product evolution. Establishes key performance measures associated with product lines.
* Establish and drive objectives to improve product performance (financial) to meet Fecon’s goals of revenue growth, gross margin goals and customer acceptance.
* Conducts competitive analysis and assists in developing strategies to drive product success including market position, product position and pricing.
* Conducts market and voice\-of\-the\-customer research to best understand existing and new markets, address customer needs and to assist in pricing strategies. Shares insights and analyses with internal teams.
* Provides feedback to management concerning product value, sustainability, and profitability and makes recommendations to introduce new products, make changes to existing lines, or withdraw products from the market.
* Collaborates with Engineering during the New Product Development process, product line continuous improvement projects and to evaluation and implement customer and market feedback. Drives collaboration across all internal teams to successfully launch products and introduce product enhancements.
* Assists in developing, designing and implementing marketing and training collateral as well as product related presentations for assigned products.
* Monitors vendor/manufacturing partners performance and their ability to meet contracted specifications.
* Reviews marketing collateral, including web site to ensure it is current, accurate, and reflective of the product specifications, performance etc.
* Participates in (quality) war room acting as customer advocate and participating as a team member to drive root cause analysis to solve warranty and quality issues.
* Generates enthusiasm and interest in new products by preparing presentations and conducting new product Gate meetings and launches.
* Assists in the development of new marketing tools and resources, including the development of videos, photographs, brochures, press releases, or other materials.
* Performs other related duties as assigned.
**Required Skills/Abilities:**
* Strong organizational skills
* Excellent interpersonal skills both written and verbal.
* Skilled in MS Office
* Strong analytical and problem\-solving skills.
* Critical Thinker
* Strong Project Management Skills
**Education and Experience:**
* Bachelor’s degree in Engineering or Product Management related.
* Minimum of 3 years of experience working in a manufacturing environment.
* Minimum of 2 years of product/project management experience.
* Previous sales and marketing experience preferred.
**Physical Requirements:**
* Must be able to traverse the production facility.
* Prolonged periods sitting at a desk and working on a computer.
* Must be able to lift\-up to 15 pounds at times.
* Ability to travel a minimum of 20% of the time.
*This job description is not designed to cover or contain a comprehensive listing of activities, duties or responsibilities that are required of the employee. Duties, responsibilities and activities may change or new ones may be added at any time with or without notice.*  
***Equal Opportunity Employer/Veterans/Disabled***</t>
        </is>
      </c>
    </row>
    <row r="132">
      <c r="A132" t="inlineStr">
        <is>
          <t>in-58dc81cf81c088dd</t>
        </is>
      </c>
      <c r="B132" t="inlineStr">
        <is>
          <t>Product Manager – Regalia</t>
        </is>
      </c>
      <c r="C132" t="inlineStr">
        <is>
          <t>Jostens</t>
        </is>
      </c>
      <c r="D132" t="inlineStr">
        <is>
          <t>indeed</t>
        </is>
      </c>
      <c r="E132">
        <f>HYPERLINK("https://www.indeed.com/viewjob?jk=58dc81cf81c088dd", "https://www.indeed.com/viewjob?jk=58dc81cf81c088dd")</f>
        <v/>
      </c>
      <c r="F132">
        <f>HYPERLINK("https://recruitingbypaycor.com/career/JobIntroduction.action?id=8a78839e9c72dc61019c769332024d18&amp;source=Indeed+Free", "https://recruitingbypaycor.com/career/JobIntroduction.action?id=8a78839e9c72dc61019c769332024d18&amp;source=Indeed+Free")</f>
        <v/>
      </c>
      <c r="G132" t="inlineStr">
        <is>
          <t>Minneapolis, MN, US</t>
        </is>
      </c>
      <c r="H132" s="2" t="n">
        <v>46071</v>
      </c>
      <c r="I132" t="inlineStr">
        <is>
          <t>**PRODUCT MANAGER – REGALIA**
=============================
**HYBRID \| ONSITE AT JOSTENS’ MINNEAPOLIS HEADQUARTERS 3 DAYS/WEEK**
**ABOUT YOU:**
You are a strategic, detail\-oriented product leader who thrives on turning insight into action. As Product Manager – Regalia, you will lead the strategy, development, and commercial success of Jostens’ Regalia category—including caps, gowns, tassels, stoles, cords, medals, and accessories. You will own the full product lifecycle—from insight discovery and concept development to launch and in\-market performance—ensuring assortments are competitive, on\-trend, and aligned with financial and brand goals.
This role blends design thinking, operational execution, and cross\-functional leadership, giving you the opportunity to shape one of Jostens’ most visible and meaningful product categories.  
**YOU WILL:**
* **Lead the Regalia product strategy.** Define and continually refine the vision and roadmap aligned with revenue, margin, and brand positioning goals.
* **Own the full product lifecycle.** Drive initiatives from concept through launch and ongoing in\-market performance.
* **Balance cost, quality, and innovation.** Deliver competitive assortments by managing trade\-offs across pricing, sustainable materials, customization options, and production capabilities.
* **Serve as the Regalia subject\-matter expert.** Provide insights on trends, performance, and category strategy to leadership, buyers, and external partners.
* **Drive operational excellence.** Own product processes and partner cross\-functionally to document workflows, improve efficiency, reduce rework, and enable scalable growth.
* **Gather customer insights.** Analyze feedback from sales teams, retailers, events, students, and administrators to inform future assortments and improvements.
* **Collaborate across functions.** Work closely with sourcing, marketing, sales, operations, and finance to ensure aligned execution and go\-to\-market success.
**YOU HAVE:**
* **Education.** Bachelor’s degree in a related field or equivalent experience.
* **Product Development Experience.** 3–5 years of experience in product line development, management, or execution.
* **Resourcefulness.** Ability to leverage internal partners and tools to achieve plan objectives.
* **Execution Agility.** Self\-starter who can prioritize across multiple initiatives in a fast\-paced environment.
* **Operational Discipline.** Strong organization, follow\-up, and time management skills with attention to detail.
* **Analytical \&amp; Results Focus.** Data\-driven mindset with the ability to translate insights into action.
* **Communication Skills.** Strong written, verbal, and presentation skills across levels of the organization.
* **Technical Familiarity.** Experience with project management tools such as Jira, OnBase, or Wrike preferred.
**LOVE WHERE YOU WORK:**
* **We care about your health.** We offer competitive healthcare (health, dental, vision, coverage) in addition to voluntary benefits including home and car insurance, pet insurance, flexible spending account, amongst many more.
* **We invest in your future.** Our 401K plan has immediate vesting, so you can start saving for retirement right away.
* **We believe in flexibility.** We offer a hybrid schedule with on\-site work 3 days a week.
* **We want you to unplug when needed.** We believe in taking your time off without guilt and offer accrued paid time off and company paid holidays. \*For Washington residents, you will receive 13 vacation days, 8 paid sick leave, 8 company paid holidays, and family paid leave.
* **We care about your development.** We support tuition reimbursement after 6 months of service.
* **We believe in pay transparency.** The salary range is $XX to $XX with annual bonus eligibility.
**APPLICATION DEADLINE: March 31, 2026**
**ABOUT US:**
Jostens leads the student commemoration market and has been serving local communities for over 125 years. We work with thousands of K\-12 schools, colleges and universities each year, and have the honor of partnering with beloved sports teams and esteemed organizations across the country. Our iconic products — like yearbooks, letter jackets, class jewelry and championship rings — keep meaningful traditions alive and inspire millions of people to celebrate their unique stories, milestone moments and biggest accomplishments every year. We have 13 first\-class facilities across the globe, from North America to the Caribbean. Watch a short video about us here.
**ALL ABOUT MARKETING**
Our Marketing team leverages digital marketing strategies and tactics focused on schools, independent sales reps, parents, and students to deliver the right message, to the right customer, at the right time. Team members will understand and leverage customer insights through data analysis \&amp; testing to then create experiences and relevant content throughout the customer journey and to support our specialized products lines including Yearbooks, Class Rings, Graduation Products, and Professional Sports. Through executing across a variety of consumer touchpoints on jostens.com, social, e\-mail and print materials, the team collaborates with internal partners to create relevant and timely marketing campaigns to meet the needs of our customers. Jostens allows for a hybrid work setting that focuses on creating professional and personal development. We can’t wait to show you what our Marketing Team has to offer at Jostens!
**AMERICANS WITH DISABILITIES ACT (ADA):**
Jostens is committed to the full inclusion of all qualified individuals. If reasonable accommodation is required to fully participate in the job application or interview process, or to perform the essential functions of the position, please reach out to our HR team at recruiter@jostens.com or (952\) 830\-3300\.
Jostens is an Equal Opportunity Employer and complies with applicable employment laws. EOE/M/F/Vet/Disabled are encouraged to apply.
California Privacy Policy: https://www.jostens.com/about/california\-employee\-privacy\-policy</t>
        </is>
      </c>
    </row>
    <row r="133">
      <c r="A133" t="inlineStr">
        <is>
          <t>in-6c9fdda686184d19</t>
        </is>
      </c>
      <c r="B133" t="inlineStr">
        <is>
          <t>Assistant Program Manager- East Hartford Shelter</t>
        </is>
      </c>
      <c r="C133" t="inlineStr">
        <is>
          <t>Community Renewal Team</t>
        </is>
      </c>
      <c r="D133" t="inlineStr">
        <is>
          <t>indeed</t>
        </is>
      </c>
      <c r="E133">
        <f>HYPERLINK("https://www.indeed.com/viewjob?jk=6c9fdda686184d19", "https://www.indeed.com/viewjob?jk=6c9fdda686184d19")</f>
        <v/>
      </c>
      <c r="F133">
        <f>HYPERLINK("https://www.paycomonline.net/v4/ats/web.php/jobs/ViewJobDetails?job=13262&amp;clientkey=2CF9050EB629F76A86337CB9D9D061E1&amp;source=Indeed", "https://www.paycomonline.net/v4/ats/web.php/jobs/ViewJobDetails?job=13262&amp;clientkey=2CF9050EB629F76A86337CB9D9D061E1&amp;source=Indeed")</f>
        <v/>
      </c>
      <c r="G133" t="inlineStr">
        <is>
          <t>East Hartford, CT, US</t>
        </is>
      </c>
      <c r="H133" s="2" t="n">
        <v>46070</v>
      </c>
      <c r="I133" t="inlineStr">
        <is>
          <t>**JOB DESCRIPTION**
**Position Title:**
Assistant Program Manager – East Hartford Shelter
 **Department:**
Housing and Shelter Services
 **FLSA Status:**
Exempt
 **Pay Grade:**
11  
**Reports To:**
Sr. Program Manager
**GENERAL DESCRIPTION OF DUTIES**
The purpose of this position is to support the Agency’s needs by assisting the Sr. Program Manager with the administrative oversight and management of operations of the shelter.
**SPECIFIC DUTIES AND RESPONSIBILITIES**
**ESSENTIAL JOB FUNCTIONS**
The list of essential functions, as outlined herein, is intended to be representative of the tasks performed within this classification. It is not necessarily descriptive of any one position in the class. The omission of an essential function does not preclude management from assigning duties not listed herein if such functions are a logical assignment to the position.
* Assist in the hiring, training and supervision of program Guest Service Aides and Case Managers – Certified Health Workers.
* Maintain weekly staff schedule. Approve vacation/time off requests and ensure that all shifts have the appropriate coverage
* Review and approved all time in ADP
* Complete all reviews in ADP (90\-day, 180\-day, and annual reviews). Complete any progressive discipline paperwork as needed
* Conduct supervision/check\-ins with Guest Service Aides and CHW’s monthly or as needed
* Make sure Program Policies and Procedures are adhered to by Staff and Guests of the shelter.
* Facilitate monthly and/or as necessary House Meetings for Guests of the shelter
* Facilitate Monthly Shelter Staff Meetings.
* Resolve E. Hartford Shelter Guest conflicts (Guest to Guest and Guest to Staff)
* Review all incident reports and Guest suspensions
* Attend meetings within CRT or outside the CRT agency as necessary.
* Assist the Guest Service Aides with the monitoring of the Guests and the Facility. Including the covering of shifts when needed.
* Assist the Sr. Program Manager with the review of and the updating of Policies and Procedures when necessary
* Ensure the accuracy of the nightly bed roster and that intakes and discharges are being completed in HMIS.
**MINIMUM TRAINING AND EXPERIENCE**
**Education**: Bachelors Degree in Human Services required and/or a combination of five plus years of experience.
**Minimum Years of Experience:** Five to seven years of experience in Human Service Programs. Minimum of three (3\) year’s experience in working with clients with substance abuse, mental illness and chronic homelessness issues is required.
**Demonstrate skills in**: Excellent written and verbal communication skills is required. Demonstrates the ability to work in collaboration with a variety of service providers. Experience working with individuals from diverse ethnic and economic backgrounds required.
**Driving Required:** YES Agency Vehicle: NO Employee’s Own Vehicle YES
Active Driver License in good standing required upon hire and throughout employment
**Physical and TB Required**: YES
**ADA COMPLIANCE**
**Physical Ability**: Tasks involve sedentary to light work, involving some reaching, handling, fingering and/or feeling of objects and materials.
**Sensory Requirements**: Some tasks require the ability to perceive and discriminate colors or shades of colors. Some tasks require the ability to perceive and discriminate depths. Some tasks require visual perception and discrimination. Some tasks require oral communications ability.</t>
        </is>
      </c>
    </row>
    <row r="134">
      <c r="A134" t="inlineStr">
        <is>
          <t>in-35975ef883fb4f26</t>
        </is>
      </c>
      <c r="B134" t="inlineStr">
        <is>
          <t>Program Manager / Performance Excellence Champion</t>
        </is>
      </c>
      <c r="C134" t="inlineStr">
        <is>
          <t>Corning</t>
        </is>
      </c>
      <c r="D134" t="inlineStr">
        <is>
          <t>indeed</t>
        </is>
      </c>
      <c r="E134">
        <f>HYPERLINK("https://www.indeed.com/viewjob?jk=35975ef883fb4f26", "https://www.indeed.com/viewjob?jk=35975ef883fb4f26")</f>
        <v/>
      </c>
      <c r="F134">
        <f>HYPERLINK("https://corningjobs.corning.com/job/Corning-Program-Manager-Performance-Excellence-Champion-NY-14831/1365819200/", "https://corningjobs.corning.com/job/Corning-Program-Manager-Performance-Excellence-Champion-NY-14831/1365819200/")</f>
        <v/>
      </c>
      <c r="G134" t="inlineStr">
        <is>
          <t>Corning, NY, US</t>
        </is>
      </c>
      <c r="H134" s="2" t="n">
        <v>46070</v>
      </c>
      <c r="I134" t="inlineStr">
        <is>
          <t>**Date:** Feb 18, 2026
**Location:** Corning, NY, US, 14831
**Company:** Corning
Requisition Number: 73406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possibilities for making an impact. You can help connect the unconnected, drive the future of automobiles, transform at\-home entertainment, and ensure the delivery of lifesaving medicines. And so much more.  
Come break through with us.
Corning’s businesses are ever evolving to best serve our customers, industries, and consumers. Today, we accelerate and transform life sciences, mobile consumer electronics, optical communications, display, and automotive markets. We are changing the world with:
* Trusted products that accelerate drug discovery, development, and delivery to save lives
* Damage\-resistant cover glass to enhance the devices that keep us connected
* Optical fiber, wireless technologies, and connectivity solutions to carry information and ideas at the speed of light
* Precision glass for advanced displays to deliver richer experiences
* Auto glass and ceramics to drive cleaner, safer, and smarter transportation
**Role Purpose**
----------------
The Program Manager/PEx Champion is a key leadership role within the Programs \&amp; Compliance Team, responsible for overseeing the quality and performance excellence program and other security related programs as assigned. The ideal candidate will demonstrate extensive experience in quality and performance excellence, along with a proven ability to foster effective communication and collaboration among division team members
**Key Responsibilities**
------------------------
* Direct CGS Quality and Performance Excellence (PEx) program initiatives to enable efficiencies of Global Security operations.
	+ Manage, plan, and design ongoing PEx strategy, training and skills development.
	+ Manage, compile, and communicate the metrics for all PEx related CGS strategic goals which includes but is not limited to the GoalSharing process.
	+ Oversee the teaching and facilitation of PEx tool applications.
	+ Represent Global Security at PEx Council meetings and during Corporate Quality Business Review sessions; in addition to QiA related preparation.
	+ Change Management support, development and execution.
* Support CGS strategic planning initiatives to include but not limited to:
	+ Coordinate the annual strategic planning process in collaboration with Manager, Program and Compliance, and the leadership team.
	+ Update cycle of strategy documents (e.g. Annual One Pager, Division 7S Whitepaper, CFR) and manage execute GoalSharing process
* Deliver project management support for cross\-functional Annual Operating Plan (AOP) initiatives and division\-level strategic projects.
* Support information and data management strategy aligned with document management architecture, Ops Global Site Information List (SIL) and data transformation initiatives.
* Support internal controls and compliance frameworks to include but not limited to:
	+ Execute division policy and standard management annual review processes.
	+ Assist with supporting external regulatory compliance activities as needed, ensuring processes and documentation meet governmental requirements.
**Experiences/Education \- Required**
-------------------------------------
* Bachelor’s degree (4 Years) and Green Belt certified.
* 3\+ years in Performance Excellence, project management, or program manager roles.
* Strong knowledge of process improvement methodologies (e.g., Lean, Six Sigma).
* Experience in process mapping, root cause analysis, and data\-driven decision making.
* Experience with change management principles and tools.
* Skills in collecting, analyzing, and interpreting performance metrics
* Ability to lead cross\-functional teams and facilitate collaboration.
* Ability to manage or coach others to manage projects, deliver results.
* Demonstrated process development for repeatable results and sustained improvement.
* Able to initiate and manage multiple tasks and projects as necessary.
* Excellent M365 Skills (Excel, PowerPoint, Word), Teams, SharePoint, Power platforms (BI, Apps, Automate)
* Excellent written and verbal communication skills.
**Experiences/Education \- Desired**
------------------------------------
* Highly organized with strong follow\-through
* Team and individual development, coaching skills
* Good time management \&amp; organizational skills
* Able to maintain high levels of confidentiality and credibility
* Black Belt certification
**This position does not support immigration sponsorship.**
The range for this position is $91,649\.00 \- $126,018\.00 assuming full time status. Starting pay for the successful applicant is dependent on a variety of job\-related factors, including but not limited to geographic location, market demands, experience, training, and education.
**A job that shapes a life.**
**Corning offers you the total package.**
Your well\-being is our priority. Our compensation and benefits package supports your health and wellness, financial aspirations, and career from day one.
* Company\-wide bonuses and long\-term incentives align with key business results and ensure you are rewarded when the company performs well. When Corning wins, we all win.
* As part of our commitment to your financial well\-being, we provide a 100% company\-paid pension benefit with fixed contributions that grow throughout your career. Combined with matching contributions to your 401(k) savings plan, Corning’s total contributions to your retirement accounts can reach between 7% and 12% of your pay, depending on your age and years of service.
* Our health and well\-being benefits include medical, dental, vision, paid parental leave, family building support, fitness, company\-paid life insurance, disability, disease management programs, paid time off, and an Employee Assistance Program (EAP) to support you and your family.
* Getting paid for our work is important, but feeling appreciated and recognized for those contributions motivates us much more. That’s why Corning offers a recognition program to celebrate successes and reward colleagues who make exceptional contributions.
We prohibit discrimination on the basis of race, color, gender, age, religion, national origin, sexual orientation, gender identity or expression, disability, veteran status or any other legally protected status.
Corning is committed to providing equal employment opportunities and considers requests for reasonable accommodations in accordance with applicable laws. Individuals with disabilities or sincerely held religious beliefs may request reasonable accommodations to participate in the application or interview process, perform essential job functions, or access other benefits and privileges of employment. To submit a request for reasonable accommodation related to disability or religion, please contact us at accommodations@corning.com.
**Nearest Major Market:** Corning</t>
        </is>
      </c>
    </row>
    <row r="135">
      <c r="A135" t="inlineStr">
        <is>
          <t>in-eb54e048c0b6bbe4</t>
        </is>
      </c>
      <c r="B135" t="inlineStr">
        <is>
          <t>Lead Program Manager, Design Practice</t>
        </is>
      </c>
      <c r="C135" t="inlineStr">
        <is>
          <t>Target</t>
        </is>
      </c>
      <c r="D135" t="inlineStr">
        <is>
          <t>indeed</t>
        </is>
      </c>
      <c r="E135">
        <f>HYPERLINK("https://www.indeed.com/viewjob?jk=eb54e048c0b6bbe4", "https://www.indeed.com/viewjob?jk=eb54e048c0b6bbe4")</f>
        <v/>
      </c>
      <c r="F135">
        <f>HYPERLINK("https://corporate.target.com/job/id/R0000429482", "https://corporate.target.com/job/id/R0000429482")</f>
        <v/>
      </c>
      <c r="G135" t="inlineStr">
        <is>
          <t>Minneapolis, MN, US</t>
        </is>
      </c>
      <c r="H135" s="2" t="n">
        <v>46070</v>
      </c>
      <c r="I135" t="inlineStr">
        <is>
          <t>The pay range is $95,000\.00 \- $171,000\.00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the opportunity to help all families discover the joy of everyday life. Caring for our communities is woven into who we are, and we invest in the places we collectively live, work and play. We prioritize relationships, fuel and develop talent by creating growth opportunities, and succeed as one Target team. At our core, our purpose is ingrained in who we are, what we value, and how we work. It’s how we care, grow, and win together.
Target’s distinctive brand love is infused throughout its many physical locations by the Properties teams. We have a direct and positive impact on the real estate, design, construction and maintenance of our stores, distribution centers and headquarters. Are you ready to help strategically grow Target’s brand through leading\-edge design, development, construction, and preservation? Can you effectively balance the efficiencies of a large\-design build company with the unique challenges and innovative solutions required by individual sites? Then take your place on one of our Properties teams, and help us make the most of Target’s physical assets, both in the U.S. and overseas.  
A role in **Store Design – Design Operations** offers the opportunity to directly shape Target’s physical guest and team member experience by defining how digital, physical, and human systems connect in our stores.  
As the Lead Program Manager – Design Practice, you will lead the business strategy, standards, and operating model for Store Design’s digital practice across Target’s store portfolio. This role serves as the authoritative business interface between Store Design, Product/Technology and the rest of the enterprise as well as external partners \- defining what the business needs and why, while partnering on how solutions are delivered. You will set the digital roadmap, govern standards and workflows, and own adoption outcomes across Architecture, Engineering, Store Planning,  
External AEC partners as well as how we interface with partners like Construction, Procurement, and Property Management. You will help enable Store Design to proactively shape its digital systems, improve productivity, and support enterprise\-scale store development and maintenance programs.
Core responsibilities of this job are described within this job description. Job duties may change at any time due to business needs.
 **About You**
* Bachelor’s degree (or equivalent) in Technology, Architecture, Engineering, Interior Design, or a related field.
* 10\+ years of relevant experience in the AEC, design, retail, infrastructure, or related industries, with progressively increasing scope, ownership, and influence.
* Proven experience owning digital strategy, standards, or operating models for large, complex design or delivery organizations.
* Deep understanding of BIM\-based systems and workflows, with experience governing standards, quality, data integrity, and scalability across large programs.
* Experience defining and evolving digital standards, processes, and governance models vs just performing day\-to\-day tool execution.
* Demonstrated ability to partner with Product, Technology, and business stakeholders to define requirements, guide prioritization, and enable scalable solutions.
* Ability to develop a strategy and communicate ROI on applications of data / value of effort.
* Experience leading cross\-functional, enterprise\-scale initiatives involving multiple internal disciplines and external partners.
* Proven experience defining content, drawing, or data management standards and driving adoption across distributed teams and partners.
* Strong communication and facilitation skills, with the ability to influence senior leaders and external partners often without direct authority.
* Highly self\-directed, comfortable operating in ambiguity, and accountable for outcomes in fast\-paced, evolving environments.
**Desired but not required:**
* Experience working within or alongside Product\-led delivery models
* Experience shaping or maturing governance frameworks for digital capabilities or enterprise platforms
* Exposure to enterprise\-scale store development, construction, or capital programs
* Knowledge of REST API’s, Data Pipelines, Automated Data Migration Method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https://tgt.biz/BenefitsForYou\_E**Americans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t>
        </is>
      </c>
    </row>
    <row r="136">
      <c r="A136" t="inlineStr">
        <is>
          <t>in-1b56bf7ade219437</t>
        </is>
      </c>
      <c r="B136" t="inlineStr">
        <is>
          <t>Finance Program Manager (PST)</t>
        </is>
      </c>
      <c r="C136" t="inlineStr">
        <is>
          <t>Del Oro Consulting, Inc.</t>
        </is>
      </c>
      <c r="D136" t="inlineStr">
        <is>
          <t>indeed</t>
        </is>
      </c>
      <c r="E136">
        <f>HYPERLINK("https://www.indeed.com/viewjob?jk=1b56bf7ade219437", "https://www.indeed.com/viewjob?jk=1b56bf7ade219437")</f>
        <v/>
      </c>
      <c r="F136">
        <f>HYPERLINK("https://deloro.breezy.hr/p/5cdac89ba16e-finance-program-manager-pst?source=indeed", "https://deloro.breezy.hr/p/5cdac89ba16e-finance-program-manager-pst?source=indeed")</f>
        <v/>
      </c>
      <c r="G136" t="inlineStr">
        <is>
          <t>Remote, US</t>
        </is>
      </c>
      <c r="H136" s="2" t="n">
        <v>46053</v>
      </c>
      <c r="I136" t="inlineStr">
        <is>
          <t>**Finance Program Manager (PST)**  
**$50–$58/hour, W2, 3\-Month, Remote Contract Opportunity with a strong chance of extension**  
Del Oro Consulting, a trusted consulting partner with 20 plus years of experience supporting top\-tier technology clients, is seeking a **Finance Program Manager** to support one of our enterprise clients. This role is ideal for someone who thrives in fast\-paced, highly dynamic environments with multiple workstreams and shifting priorities. If you excel at coordinating across teams, clarifying priorities, and guiding programs forward, you'll thrive in this role.
**What You'll Do**
* Drive coordination across multiple workstreams, ensuring alignment on goals, timelines, deliverables, and dependencies
* Facilitate program meetings, cross\-functional touchpoints, stakeholder reviews, and enablement sessions
* Own meeting agendas, capture notes, track action items, and ensure follow\-through and accountability
* Maintain core program documentation (roadmaps, risks, decisions) and produce clear, concise status reports and stakeholder readouts
* Manage integrated Smartsheet schedules, surfacing dependencies and escalating blockers to protect milestones and the critical path
* Partner with Change Management and Training teams to keep job aids, training materials, and communication assets aligned with scope and release timelines; support traceability tracking, uploads, and follow\-ups
**What We're Looking For**
* Bachelor's degree or equivalent combination of education and hands\-on experience
* 5\+ years of experience in finance program management, project management, or cross\-functional coordination roles
* Proven ability to succeed in ambiguous, fast\-paced environments while driving clarity, structure, and alignment
* Strong organizational skills with the ability to manage multiple workstreams and priorities
* Demonstrated strength in stakeholder management, including engaging distributed teams, driving alignment across cross\-functional groups, and communicating effectively with stakeholders at all levels
* Experience with collaboration and program tools such as Smartsheet, SharePoint, Confluence, Asana, or similar
**Details of the Position**
* **Location:** Remote, **Must work PST business hours**
* **Contract Details:** $50–$58/hour, 3\-month W2 contract
* **Benefits:** Medical, dental, vision, and 401(k) with company match
* **Applicants must be authorized to work for any employer in the United States. We are unable to sponsor or assume sponsorship of employment visas.**
*Del Oro Consulting is an equal opportunity employer, and all qualified applicants will receive consideration for employment without regard to race, color, religion, sex, national origin, disability status, protected veteran status, or any other characteristic protected by law.*</t>
        </is>
      </c>
    </row>
    <row r="137">
      <c r="A137" t="inlineStr">
        <is>
          <t>in-19192e9aea71a14a</t>
        </is>
      </c>
      <c r="B137" t="inlineStr">
        <is>
          <t>Associate Product Manager</t>
        </is>
      </c>
      <c r="C137" t="inlineStr">
        <is>
          <t>Bradshaw Home</t>
        </is>
      </c>
      <c r="D137" t="inlineStr">
        <is>
          <t>indeed</t>
        </is>
      </c>
      <c r="E137">
        <f>HYPERLINK("https://www.indeed.com/viewjob?jk=19192e9aea71a14a", "https://www.indeed.com/viewjob?jk=19192e9aea71a14a")</f>
        <v/>
      </c>
      <c r="F137">
        <f>HYPERLINK("https://bradshaw-home.breezy.hr/p/5b77c2b50719-associate-product-manager?source=indeed", "https://bradshaw-home.breezy.hr/p/5b77c2b50719-associate-product-manager?source=indeed")</f>
        <v/>
      </c>
      <c r="G137" t="inlineStr">
        <is>
          <t>Rancho Cucamonga, CA, US</t>
        </is>
      </c>
      <c r="H137" s="2" t="n">
        <v>46053</v>
      </c>
      <c r="I137" t="inlineStr">
        <is>
          <t>The Associate Product Manager will be part of a team driving product line contributions across divisional categories, reporting to the Category Director. This role supports the Product Management function by managing key deliverables and coordinating many aspects of the product portfolio, helping keep categories current and pipelines moving. The ideal candidate has strong business sense, excellent attention to detail, and the ability to contribute across a wide variety of projects with a desire to learn by doing.
**Responsibilities**
* Contribute to the creation and execution of product roadmaps, product and packaging briefs, quoting, and go\-to\-market plans.
* Conduct product, market, and competitive research to support new and existing initiatives.
* Support product development by coordinating samples, specifications, and quoting inputs with sourcing and factories throughout the development process.
* Manage and track projects across the product development lifecycle, helping maintain timelines, deliverables, and cross\-functional alignment.
* Coordinate sales sample requests and support category trade shows and customer meetings.
* Process, analyze, and compile financial and performance data (e.g., Power BI) for monthly meetings and business reviews.
* Monitor online reviews and customer feedback to identify trends and opportunities; collaborate with customer support and category teams to drive improvements.
* Arrange shipping of samples and props for photo and video shoots and other marketing needs.
**Required Skills \&amp; Experience**
* Bachelor's degree from an accredited college or university in a relevant field.
* 1–3 years of marketing, or product\-related experience; CPG experience preferred.
* Proficiency in Microsoft PowerPoint and Excel.
* Strong organizational, and problem\-solving skills, with the ability to manage multiple projects and timelines.
* Strong communication skills and a collaborative, team\-oriented mindset.
**Nice to Have**
* Experience with project management tools such as Wrike, Asana, Monday.com, or similar platforms.
* Experience working with data, dashboards, or business intelligence tools (e.g., Power BI) and translating data into insights.
**Expectations**
* We expect the candidate to be based in or near Rancho Cucamonga, CA. This is a hybrid role whereby you will work out of our Rancho Cucamonga, CA office 3 days per week and can work from home 2 days per week.
* Relocation assistance is not available for this position.
**Pay and Benefits:**
US$72,000\.00 \- US$78,000\.00 Annually
Final compensation offered will be determined based on a number of job\-related factors, including the candidate's skills, experience, and qualifications. Employees in this role are eligible to participate in the company's benefits program, which includes medical, dental, and vision insurance, 401(k) with company matching, accrued vacation, floating holidays, and designated company holidays.
**Life at Bradshaw Home:**
At Bradshaw Home, we're proud of our culture of collaboration, growth, and innovation. Recognized as a Great Place to Work®, we believe in supporting our people just as much as we support our customers.
Want to see more of what it's like to be part of our team?
* Explore our Great Place To Work® profile (https://www.greatplacetowork.com/certified\-company/7089631\)
* Learn more on The Muse (https://www.themuse.com/profiles/bradshawhome)
*Bradshaw Home is an Equal Opportunity Employer and does not discriminate against any employee or applicant for employment based on race, color, religion, sex, national origin, age, disability, genetics, sexual orientation, gender identity, veteran status, or any other characteristic protected by applicable law.*
\#LI\-Hybrid</t>
        </is>
      </c>
    </row>
    <row r="138">
      <c r="A138" t="inlineStr">
        <is>
          <t>in-80d2ef624e6fd88c</t>
        </is>
      </c>
      <c r="B138" t="inlineStr">
        <is>
          <t>Program Manager</t>
        </is>
      </c>
      <c r="C138" t="inlineStr">
        <is>
          <t>COMMUNITY PARTNERS IN ACTION</t>
        </is>
      </c>
      <c r="D138" t="inlineStr">
        <is>
          <t>indeed</t>
        </is>
      </c>
      <c r="E138">
        <f>HYPERLINK("https://www.indeed.com/viewjob?jk=80d2ef624e6fd88c", "https://www.indeed.com/viewjob?jk=80d2ef624e6fd88c")</f>
        <v/>
      </c>
      <c r="F138">
        <f>HYPERLINK("https://community-partners-in-action.breezy.hr/p/17672b6bfe22-program-manager?source=indeed", "https://community-partners-in-action.breezy.hr/p/17672b6bfe22-program-manager?source=indeed")</f>
        <v/>
      </c>
      <c r="G138" t="inlineStr">
        <is>
          <t>Hartford, CT, US</t>
        </is>
      </c>
      <c r="H138" s="2" t="n">
        <v>46053</v>
      </c>
      <c r="I138" t="inlineStr">
        <is>
          <t>**Program Manager, Work Release Program, Hartford, CT**
**AGENCY DESCRIPTION**
One of the oldest organizations of its kind in the country, Community Partners in Action (CPA) was founded 150 years ago to champion criminal justice reform and advocate for preserving the dignity of those in and out of prison. Through our programs that include reentry and housing, youth initiatives, a nationally recognized Prison Arts Program, and holistic alternatives to incarceration, we provide a long\-term impact that positively transforms individuals and society at large. Annually serving nearly 5,000 individuals throughout Connecticut, our work is possible due to partnerships with and support from individuals, government, private funders, organizations, and businesses.
CPA is guided by our **BEDI** (**B**elonging, **E**quity, **D**iversity, and **I**nclusion) culture. WE ARE COMMITTED to building and maintaining an inclusive, equitable workplace and COMPELLED to have a constructive impact on criminal justice reform in CT that ends racial inequities and ensures the humanity and dignity of those interacting with the system. Read more about our BEDI culture at https://cpa\-ct.org/our\-bedi\-journey/
**PROGRAM DESCRIPTION**
Our Work Release Program (WRP), currently funded by the CT Department of Correction (CT DOC/Department), provides residents with safe and secure housing, basic needs assistance, employment readiness and placement opportunities as well as the development of life and work skills essential to the promotion of self\-reliance, responsibility, and accountability.
**POSITION REQUIREMENTS**
The WRP Program Manager is responsible for overseeing and implementing all WRP services and staffing to ensure compliance with the funder contractual agreement. A bachelor's degree is preferred with at least five years of experience operating a residential program and knowledge of reentry services. Equivalent work experience may be considered in lieu of education. The Program Manager will set the program tone, coordinate and collaborate with management teams and possess the ability to manage complex decisions, build credible relationships and multi\-task.
The Program Manager is also responsible for ensuring a strength\-based culture is embraced, that participant program outcomes are consistently met, and that the program is positioned for success internally and externally. Strong emotional intelligence, written and verbal communication skills are critical. Bi\-lingual (English/Spanish) skills preferred. Must have a valid driver's license and reliable transportation.
**ESSENTIAL FUNCTIONS AND BASIC DUTIES**
* Commit to the agency's mission and program goals.
* Sets the program tone, promoting a culture of respect, empathy, mutual support, belonging and works to eliminate any unconscious bias or discrimination in our beliefs, rules and support systems.
* Oversee direction and management of program activities and staff, ensuring fidelity of program model. Ensure the program is in compliance with funder contractual agreement.
* Lead and facilitate regular team meetings with staff.
* Meet monthly with staff on an individual basis to review and discuss performance and professional development.
* Participate in the development of resources and staff to support the program and CPA's cultural responsiveness and multi\-lingual capacity.
* Ensure all program staff are knowledgeable of community resources including housing, employment and treatment.
* Develop solid community networks to support successful resident transition into the community.
* Conduct file reviews in a manner consistent with program, agency and funder guidelines.
* Maintain clear and open communication/collaboration with referral sources/funder network.
* Maintain open lines of communication between WRP and the AIC Program to ensure mutual clients are receiving optimal services.
* Share 24/7 on call responsibilities with program leadership team.
* Prepare and submit all reports in a manner consistent with program, agency and funder guidelines.
* Manage and maintain fiscal resources in collaboration with Program Operations Director and Fiscal Officer.
* Oversee use and maintenance of CPA property (building, vehicles, computers, etc.).
* Participate in monthly Manager Meeting and engage in leadership opportunities.
* Engage in community networking opportunities, e.g., monthly Greater Hartford Reentry Council.
* Represent the agency/program at the request of the Program Operations Director.
* As appropriate, collaborate with Human Resources Director and Program Operations Director, on employment matters including recruiting, hiring, promotions/transfers, performance management and terminations.
* Ensure staff and interns are in compliance with CPA policies and procedures regarding professional behavior, attendance, attire, etc.
* Performs all other duties as required.
***An Equal Opportunity Employer Committed to Affirmative Action***</t>
        </is>
      </c>
    </row>
    <row r="139">
      <c r="A139" t="inlineStr">
        <is>
          <t>in-a59a59b1de4076ef</t>
        </is>
      </c>
      <c r="B139" t="inlineStr">
        <is>
          <t>Senior Product Manager</t>
        </is>
      </c>
      <c r="C139" t="inlineStr">
        <is>
          <t>Boeing</t>
        </is>
      </c>
      <c r="D139" t="inlineStr">
        <is>
          <t>indeed</t>
        </is>
      </c>
      <c r="E139">
        <f>HYPERLINK("https://www.indeed.com/viewjob?jk=a59a59b1de4076ef", "https://www.indeed.com/viewjob?jk=a59a59b1de4076ef")</f>
        <v/>
      </c>
      <c r="F139">
        <f>HYPERLINK("https://jobs.boeing.com/job/-/-/185/91886905232", "https://jobs.boeing.com/job/-/-/185/91886905232")</f>
        <v/>
      </c>
      <c r="G139" t="inlineStr">
        <is>
          <t>Dallas, TX, US</t>
        </is>
      </c>
      <c r="H139" s="2" t="n">
        <v>46071</v>
      </c>
      <c r="I139"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**Senior Product Manager** to join the team in Dallas, TX; North Charleston, SC; Hazelwood, MO; Plano, TX; Renton, WA; Seattle, WA; Kent, WA or Ridley Park, PA.
You will build and lead technological products and data solutions that enable efficient, secure, and sustainable management of Boeing’s global real estate and facilities portfolio. This role owns product strategy, delivery, and lifecycle across a broad scope of systems such as space and occupancy, Computerized Maintenance Management Systems (CMMS), Building Automation Systems and Operational Technology (BAS and OT) integrations, inventory/parts management, drawing/Computer\-Aided Design (CAD), capital planning, and analytics.
The Product Manager partners with Enterprise Services Transformation, real estate, facilities operations, finance, Information Technology (IT), external vendors, and service providers to deliver data\-driven tools that optimize space, reduce cost, improve employee experience, and support enterprise objectives.
**Position Responsibilities:**
* Define, own, and continuously refine the product vision, strategy, and multi\-year roadmap aligned to Global Real Estate and Facilities (GREF) and Boeing Enterprise objectives (space optimization, service efficiency, sustainability, cost reduction, and employee experience)
* Develop product Objectives and Key Results (OKRs) and business cases to prioritize investments across initiatives and external partners
* Lead product lifecycle from discovery Press Release and Frequently Asked Questions (PRFAQ) business case through design, development, release, and ongoing optimization
* Manage product backlog, translate stakeholder needs into prioritized user stories and acceptance criteria, and partner with engineering, Information Technology (IT), User Experience (UX), Development Operations (DevOps), and vendor teams to deliver iteratively
* Architect and prioritize integrations across systems (e.g., Corrigo Zeus, Procore Ariba, Serraview data lake, CoStar lease ledgers
* Work with enterprise architecture, security, and data engineering to ensure scalable, secure, and maintainable solutions, including Single Sign On (SSO), data residency, and compliance across geographies
* Drive master data strategy and design of a GREF data warehouse to unify assets, locations, leases, work order history, inventory, drawing metadata, and financials
* Partner with data engineers and data scientists to deliver occupancy analytics, forecasting, predictive maintenance, root\-cause analysis, and sustainability metrics
* Collaborate with internal stakeholders, real estate planners, Project Management and Change Management (PMCM), Integrated Facility Management (IFM), finance, Human Resources (HR), Information Technology (IT) and external vendors Jones Lang LaSalle (JLL), CBRE, Service Delivery Integration (SDI), Compass Group, software vendors to gather requirements, align priorities, and manage vendor scope and delivery
* Represent product status and trade\-offs to senior leadership and global regions; ensure global rollout plans meet regional contractual and operational requirements
* Incorporate lease accounting, Total Cost of Ownership (TCO), and capital/operational budgeting into prioritization and business cases
* Define and track Key Performance Indicators (KPIs): space utilization, Moves, Adds, Changes (MAC) cycle time, asset uptime, Mean Time To Repair (MTTR), cost per sq ft, CMMS adoption, parts fulfillment Service Level Agreement (SLA), project delivery metrics, and sustainability outcomes
* Drive adoption through stakeholder enablement, training plans, launch communications, and feedback mechanisms
* Measure and iterate based on operational outcomes
**Basic Qualifications (Required Skills/Experience):**
* Bachelor’s degree or higher
* 10\+ years of experience in Product Leadership, Product Operations, Product Management or Agile Project Management role
* 5\+ years of experience leading and partnering with cross\-functional teams, involving key stakeholder relationship management
* 5\+ years of experience in global real estate or facilities
**Preferred Qualifications (Desired Skills/Experience):**
* Master’s degree in Business, Engineering, Technology or technical certifications (cloud, data engineering, facilities management)
* Experience with corporate real estate, workplace technology, facilities management, IFM, or enterprise CMMS deployment
* Experience with integrations across CMMS, BAS/OT, ERP/Procurement systems (Ariba), project systems (Procore), and IoT/sensor platforms
* Experience building data warehouses, master data management, and analytics products; proficiency with SQL and BI tools
* Experience with lease accounting (ASC 842 / IFRS 16\), capital planning, and portfolio\-level financial modeling
* Experience managing SaaS vendor relationships and global rollouts; familiarity with SSO, data residency, and privacy/regulatory constraints
* Experience working in ambiguous, fast\-paced environments; adept at prioritizing across many high\-value initiatives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$151,300 – $218,500
Applications for this position will be accepted until **Feb. 25,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40">
      <c r="A140" t="inlineStr">
        <is>
          <t>in-746cbfac04f5c65e</t>
        </is>
      </c>
      <c r="B140" t="inlineStr">
        <is>
          <t>Sr. Product Manager Technical, Deal Tooling &amp; Insights, Strategic Customer Engagements</t>
        </is>
      </c>
      <c r="C140" t="inlineStr">
        <is>
          <t>Amazon Web Services</t>
        </is>
      </c>
      <c r="D140" t="inlineStr">
        <is>
          <t>indeed</t>
        </is>
      </c>
      <c r="E140">
        <f>HYPERLINK("https://www.indeed.com/viewjob?jk=746cbfac04f5c65e", "https://www.indeed.com/viewjob?jk=746cbfac04f5c65e")</f>
        <v/>
      </c>
      <c r="F140">
        <f>HYPERLINK("https://www.amazon.jobs/jobs/3138889/sr-product-manager-technical-deal-tooling--insights-strategic-customer-engagements?cmpid=DA_INAD200785B", "https://www.amazon.jobs/jobs/3138889/sr-product-manager-technical-deal-tooling--insights-strategic-customer-engagements?cmpid=DA_INAD200785B")</f>
        <v/>
      </c>
      <c r="G140" t="inlineStr">
        <is>
          <t>New York, NY, US</t>
        </is>
      </c>
      <c r="H140" s="2" t="n">
        <v>45994</v>
      </c>
      <c r="I14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1">
      <c r="A141" t="inlineStr">
        <is>
          <t>in-6e155b25cdb87941</t>
        </is>
      </c>
      <c r="B141" t="inlineStr">
        <is>
          <t>Sr. Product Manager Technical, Deal Tooling &amp; Insights, Strategic Customer Engagements</t>
        </is>
      </c>
      <c r="C141" t="inlineStr">
        <is>
          <t>Amazon Web Services</t>
        </is>
      </c>
      <c r="D141" t="inlineStr">
        <is>
          <t>indeed</t>
        </is>
      </c>
      <c r="E141">
        <f>HYPERLINK("https://www.indeed.com/viewjob?jk=6e155b25cdb87941", "https://www.indeed.com/viewjob?jk=6e155b25cdb87941")</f>
        <v/>
      </c>
      <c r="F141">
        <f>HYPERLINK("https://www.amazon.jobs/jobs/3138889/sr-product-manager-technical-deal-tooling--insights-strategic-customer-engagements?cmpid=DA_INAD200785B", "https://www.amazon.jobs/jobs/3138889/sr-product-manager-technical-deal-tooling--insights-strategic-customer-engagements?cmpid=DA_INAD200785B")</f>
        <v/>
      </c>
      <c r="G141" t="inlineStr">
        <is>
          <t>Seattle, WA, US</t>
        </is>
      </c>
      <c r="H141" s="2" t="n">
        <v>45994</v>
      </c>
      <c r="I14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2">
      <c r="A142" t="inlineStr">
        <is>
          <t>in-4ba49bb2fc8dcfdd</t>
        </is>
      </c>
      <c r="B142" t="inlineStr">
        <is>
          <t>Sr. Product Manager Technical, Deal Tooling &amp; Insights, Strategic Customer Engagements</t>
        </is>
      </c>
      <c r="C142" t="inlineStr">
        <is>
          <t>Amazon Web Services</t>
        </is>
      </c>
      <c r="D142" t="inlineStr">
        <is>
          <t>indeed</t>
        </is>
      </c>
      <c r="E142">
        <f>HYPERLINK("https://www.indeed.com/viewjob?jk=4ba49bb2fc8dcfdd", "https://www.indeed.com/viewjob?jk=4ba49bb2fc8dcfdd")</f>
        <v/>
      </c>
      <c r="F142">
        <f>HYPERLINK("https://www.amazon.jobs/jobs/3138889/sr-product-manager-technical-deal-tooling--insights-strategic-customer-engagements?cmpid=DA_INAD200785B", "https://www.amazon.jobs/jobs/3138889/sr-product-manager-technical-deal-tooling--insights-strategic-customer-engagements?cmpid=DA_INAD200785B")</f>
        <v/>
      </c>
      <c r="G142" t="inlineStr">
        <is>
          <t>Austin, TX, US</t>
        </is>
      </c>
      <c r="H142" s="2" t="n">
        <v>45994</v>
      </c>
      <c r="I1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3">
      <c r="A143" t="inlineStr">
        <is>
          <t>in-124c018c3b783efb</t>
        </is>
      </c>
      <c r="B143" t="inlineStr">
        <is>
          <t>Sr. Product Manager Technical, Deal Tooling &amp; Insights, Strategic Customer Engagements</t>
        </is>
      </c>
      <c r="C143" t="inlineStr">
        <is>
          <t>Amazon Web Services</t>
        </is>
      </c>
      <c r="D143" t="inlineStr">
        <is>
          <t>indeed</t>
        </is>
      </c>
      <c r="E143">
        <f>HYPERLINK("https://www.indeed.com/viewjob?jk=124c018c3b783efb", "https://www.indeed.com/viewjob?jk=124c018c3b783efb")</f>
        <v/>
      </c>
      <c r="F143">
        <f>HYPERLINK("https://www.amazon.jobs/jobs/3138889/sr-product-manager-technical-deal-tooling--insights-strategic-customer-engagements?cmpid=DA_INAD200785B", "https://www.amazon.jobs/jobs/3138889/sr-product-manager-technical-deal-tooling--insights-strategic-customer-engagements?cmpid=DA_INAD200785B")</f>
        <v/>
      </c>
      <c r="G143" t="inlineStr">
        <is>
          <t>Arlington, VA, US</t>
        </is>
      </c>
      <c r="H143" s="2" t="n">
        <v>45994</v>
      </c>
      <c r="I1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4">
      <c r="A144" t="inlineStr">
        <is>
          <t>in-df4e916b43f8daa2</t>
        </is>
      </c>
      <c r="B144" t="inlineStr">
        <is>
          <t>Sr. Product Manager Technical, Deal Tooling &amp; Insights, Strategic Customer Engagements</t>
        </is>
      </c>
      <c r="C144" t="inlineStr">
        <is>
          <t>Amazon Web Services</t>
        </is>
      </c>
      <c r="D144" t="inlineStr">
        <is>
          <t>indeed</t>
        </is>
      </c>
      <c r="E144">
        <f>HYPERLINK("https://www.indeed.com/viewjob?jk=df4e916b43f8daa2", "https://www.indeed.com/viewjob?jk=df4e916b43f8daa2")</f>
        <v/>
      </c>
      <c r="F144">
        <f>HYPERLINK("https://www.amazon.jobs/jobs/3138889/sr-product-manager-technical-deal-tooling--insights-strategic-customer-engagements?cmpid=DA_INAD200785B", "https://www.amazon.jobs/jobs/3138889/sr-product-manager-technical-deal-tooling--insights-strategic-customer-engagements?cmpid=DA_INAD200785B")</f>
        <v/>
      </c>
      <c r="G144" t="inlineStr">
        <is>
          <t>Herndon, VA, US</t>
        </is>
      </c>
      <c r="H144" s="2" t="n">
        <v>45994</v>
      </c>
      <c r="I1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5">
      <c r="A145" t="inlineStr">
        <is>
          <t>in-453c82779139e9a5</t>
        </is>
      </c>
      <c r="B145" t="inlineStr">
        <is>
          <t>Sr. Product Manager Technical, Deal Tooling &amp; Insights, Strategic Customer Engagements</t>
        </is>
      </c>
      <c r="C145" t="inlineStr">
        <is>
          <t>Amazon Web Services</t>
        </is>
      </c>
      <c r="D145" t="inlineStr">
        <is>
          <t>indeed</t>
        </is>
      </c>
      <c r="E145">
        <f>HYPERLINK("https://www.indeed.com/viewjob?jk=453c82779139e9a5", "https://www.indeed.com/viewjob?jk=453c82779139e9a5")</f>
        <v/>
      </c>
      <c r="F145">
        <f>HYPERLINK("https://www.amazon.jobs/jobs/3138889/sr-product-manager-technical-deal-tooling--insights-strategic-customer-engagements?cmpid=DA_INAD200785B", "https://www.amazon.jobs/jobs/3138889/sr-product-manager-technical-deal-tooling--insights-strategic-customer-engagements?cmpid=DA_INAD200785B")</f>
        <v/>
      </c>
      <c r="G145" t="inlineStr">
        <is>
          <t>Dallas, TX, US</t>
        </is>
      </c>
      <c r="H145" s="2" t="n">
        <v>45994</v>
      </c>
      <c r="I1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6">
      <c r="A146" t="inlineStr">
        <is>
          <t>in-2b145db754c132a9</t>
        </is>
      </c>
      <c r="B146" t="inlineStr">
        <is>
          <t>Sr Lead Product Manager</t>
        </is>
      </c>
      <c r="C146" t="inlineStr">
        <is>
          <t>PayPal</t>
        </is>
      </c>
      <c r="D146" t="inlineStr">
        <is>
          <t>indeed</t>
        </is>
      </c>
      <c r="E146">
        <f>HYPERLINK("https://www.indeed.com/viewjob?jk=2b145db754c132a9", "https://www.indeed.com/viewjob?jk=2b145db754c132a9")</f>
        <v/>
      </c>
      <c r="F146">
        <f>HYPERLINK("https://paypal.eightfold.ai/careers/job/274917645746", "https://paypal.eightfold.ai/careers/job/274917645746")</f>
        <v/>
      </c>
      <c r="G146" t="inlineStr">
        <is>
          <t>San Jose, CA, US</t>
        </is>
      </c>
      <c r="H146" s="2" t="n">
        <v>46071</v>
      </c>
      <c r="I14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drives product strategy in alignment with a shared vision, collaborating with cross\-functional stakeholders. It includes planning and implementing an architectural roadmap that balances innovative design with regulatory requirements and customer needs. The position assesses customer experience and establishes data\-gathering mechanisms to measure product success through usability studies and market analysis. Responsibilities also encompass overseeing product profitability, leading operational reviews, and partnering with various experts to maximize efficiency in a dynamic environment. This job is an individual contributor.**Job Description:**
**Essential Responsibilities:**
* Drives product strategy with cross\-functional stakeholders consistent with the shared vision for the product or enabling platform.
* Plans and implements the architectural roadmap that balances innovative design and technical implementation, while balancing regulatory requirements, time\-to\-market, meeting customer needs and product profitability.
* Assesses the customer experience and customer needs in product requirements and decision making.
* Sets up data gathering mechanisms relative to the metrics that inform the success of products including usability studies, research and market analysis.
* Leads workstreams to include analytics, customer discovery, market research and competitive analysis to drive data\-driven decision\-making.
* Oversees product profitability measures, including budget.
* Plans operational mechanisms that drive execution and accountability including Product Reviews, Operating Reviews, and Business Reviews. Interfaces with product and technology leadership as needed.
* Partners with content strategists, data scientists, product designers and user experience researchers.
* Maximizes efficiency in a constantly evolving environment where the process is fluid and creative solutions are the standard.
**Expected Qualifications:**
* 8\+ years relevant experience and a Bachelor’s degree OR Any equivalent combination of education and experience.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San Jose, California \| ($196,500\.00 \- $291,500\.00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7">
      <c r="A147" t="inlineStr">
        <is>
          <t>in-78e857d5cd9f5c6e</t>
        </is>
      </c>
      <c r="B147" t="inlineStr">
        <is>
          <t>Principal Product Manager - Tech, Recommender Systems, Prime Video Personalization &amp; Discovery</t>
        </is>
      </c>
      <c r="C147" t="inlineStr">
        <is>
          <t>Amazon.com</t>
        </is>
      </c>
      <c r="D147" t="inlineStr">
        <is>
          <t>indeed</t>
        </is>
      </c>
      <c r="E147">
        <f>HYPERLINK("https://www.indeed.com/viewjob?jk=78e857d5cd9f5c6e", "https://www.indeed.com/viewjob?jk=78e857d5cd9f5c6e")</f>
        <v/>
      </c>
      <c r="F147">
        <f>HYPERLINK("https://www.amazon.jobs/jobs/2956622/principal-product-manager--tech-recommender-systems-prime-video-personalization--discovery-?cmpid=DA_INAD200785B", "https://www.amazon.jobs/jobs/2956622/principal-product-manager--tech-recommender-systems-prime-video-personalization--discovery-?cmpid=DA_INAD200785B")</f>
        <v/>
      </c>
      <c r="G147" t="inlineStr">
        <is>
          <t>Seattle, WA, US</t>
        </is>
      </c>
      <c r="H147" s="2" t="n">
        <v>45753</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in-2fc225e17ba08c0f</t>
        </is>
      </c>
      <c r="B148" t="inlineStr">
        <is>
          <t>Principal Product Manager - Tech, Recommender Systems, Prime Video Personalization &amp; Discovery</t>
        </is>
      </c>
      <c r="C148" t="inlineStr">
        <is>
          <t>Amazon.com</t>
        </is>
      </c>
      <c r="D148" t="inlineStr">
        <is>
          <t>indeed</t>
        </is>
      </c>
      <c r="E148">
        <f>HYPERLINK("https://www.indeed.com/viewjob?jk=2fc225e17ba08c0f", "https://www.indeed.com/viewjob?jk=2fc225e17ba08c0f")</f>
        <v/>
      </c>
      <c r="F148">
        <f>HYPERLINK("https://www.amazon.jobs/jobs/2956622/principal-product-manager--tech-recommender-systems-prime-video-personalization--discovery-?cmpid=DA_INAD200785B", "https://www.amazon.jobs/jobs/2956622/principal-product-manager--tech-recommender-systems-prime-video-personalization--discovery-?cmpid=DA_INAD200785B")</f>
        <v/>
      </c>
      <c r="G148" t="inlineStr">
        <is>
          <t>Washington, DC, US</t>
        </is>
      </c>
      <c r="H148" s="2" t="n">
        <v>45753</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in-2c217e517168295b</t>
        </is>
      </c>
      <c r="B149" t="inlineStr">
        <is>
          <t>Software Engineer - Product Owner Level 5</t>
        </is>
      </c>
      <c r="C149" t="inlineStr">
        <is>
          <t>Northrop Grumman</t>
        </is>
      </c>
      <c r="D149" t="inlineStr">
        <is>
          <t>indeed</t>
        </is>
      </c>
      <c r="E149">
        <f>HYPERLINK("https://www.indeed.com/viewjob?jk=2c217e517168295b", "https://www.indeed.com/viewjob?jk=2c217e517168295b")</f>
        <v/>
      </c>
      <c r="F149">
        <f>HYPERLINK("https://jsv3.recruitics.com/redirect?rx_cid=3658&amp;rx_jobId=R10222610&amp;rx_url=https%3A%2F%2Fjobs.northropgrumman.com%2Fcareers%2Fjob%2F1340069958258%3Fcode%3DJB-17946%26domain%3Dngc.com%26rx_a%3D0%26rx_c%3D%26rx_ch%3Djobp4p%26rx_group%3D288254%26rx_id%3D5caea204-0d96-11f1-bff1-2d2560c07ef4%26rx_job%3DR10222610%26rx_medium%3Dcpc%26rx_r%3Dnone%26rx_source%3Dindeed%26rx_ts%3D20260219T200429Z%26rx_vp%3Dcpc%26source%3DJB-17946%26utm_audience%3Dprospectivetalentemployees%26utm_campaign%3Dta-general%26utm_content%3Djobfeed%26utm_format%3Dcpl%26utm_medium%3Djobboard%26utm_source%3Dindeed", "https://jsv3.recruitics.com/redirect?rx_cid=3658&amp;rx_jobId=R10222610&amp;rx_url=https%3A%2F%2Fjobs.northropgrumman.com%2Fcareers%2Fjob%2F1340069958258%3Fcode%3DJB-17946%26domain%3Dngc.com%26rx_a%3D0%26rx_c%3D%26rx_ch%3Djobp4p%26rx_group%3D288254%26rx_id%3D5caea204-0d96-11f1-bff1-2d2560c07ef4%26rx_job%3DR10222610%26rx_medium%3Dcpc%26rx_r%3Dnone%26rx_source%3Dindeed%26rx_ts%3D20260219T200429Z%26rx_vp%3Dcpc%26source%3DJB-17946%26utm_audience%3Dprospectivetalentemployees%26utm_campaign%3Dta-general%26utm_content%3Djobfeed%26utm_format%3Dcpl%26utm_medium%3Djobboard%26utm_source%3Dindeed")</f>
        <v/>
      </c>
      <c r="G149" t="inlineStr">
        <is>
          <t>Aurora, CO, US</t>
        </is>
      </c>
      <c r="H149" s="2" t="n">
        <v>46062</v>
      </c>
      <c r="I149"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**Staff Engineer (Level 5\):** Bachelor's degree in a STEM discipline with 12\+ years of relative experience; master’s degree in a STEM discipline with 10\+ years of relative experience. An additional 4 years of experience may be considered in lieu of degree.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50">
      <c r="A150" t="inlineStr">
        <is>
          <t>in-99e9f674b73836ff</t>
        </is>
      </c>
      <c r="B150" t="inlineStr">
        <is>
          <t>Software Engineer - Product Owner Level 3 or 4</t>
        </is>
      </c>
      <c r="C150" t="inlineStr">
        <is>
          <t>Northrop Grumman</t>
        </is>
      </c>
      <c r="D150" t="inlineStr">
        <is>
          <t>indeed</t>
        </is>
      </c>
      <c r="E150">
        <f>HYPERLINK("https://www.indeed.com/viewjob?jk=99e9f674b73836ff", "https://www.indeed.com/viewjob?jk=99e9f674b73836ff")</f>
        <v/>
      </c>
      <c r="F150">
        <f>HYPERLINK("https://jsv3.recruitics.com/redirect?rx_cid=3658&amp;rx_jobId=R10222521&amp;rx_url=https%3A%2F%2Fjobs.northropgrumman.com%2Fcareers%2Fjob%2F1340069952185%3Fcode%3DJB-17946%26domain%3Dngc.com%26rx_a%3D0%26rx_c%3D%26rx_ch%3Djobp4p%26rx_group%3D288254%26rx_id%3D5b906099-0d96-11f1-bff1-153cfbd38049%26rx_job%3DR10222521%26rx_medium%3Dcpc%26rx_r%3Dnone%26rx_source%3Dindeed%26rx_ts%3D20260219T200429Z%26rx_vp%3Dcpc%26source%3DJB-17946%26utm_audience%3Dprospectivetalentemployees%26utm_campaign%3Dta-general%26utm_content%3Djobfeed%26utm_format%3Dcpl%26utm_medium%3Djobboard%26utm_source%3Dindeed", "https://jsv3.recruitics.com/redirect?rx_cid=3658&amp;rx_jobId=R10222521&amp;rx_url=https%3A%2F%2Fjobs.northropgrumman.com%2Fcareers%2Fjob%2F1340069952185%3Fcode%3DJB-17946%26domain%3Dngc.com%26rx_a%3D0%26rx_c%3D%26rx_ch%3Djobp4p%26rx_group%3D288254%26rx_id%3D5b906099-0d96-11f1-bff1-153cfbd38049%26rx_job%3DR10222521%26rx_medium%3Dcpc%26rx_r%3Dnone%26rx_source%3Dindeed%26rx_ts%3D20260219T200429Z%26rx_vp%3Dcpc%26source%3DJB-17946%26utm_audience%3Dprospectivetalentemployees%26utm_campaign%3Dta-general%26utm_content%3Djobfeed%26utm_format%3Dcpl%26utm_medium%3Djobboard%26utm_source%3Dindeed")</f>
        <v/>
      </c>
      <c r="G150" t="inlineStr">
        <is>
          <t>Aurora, CO, US</t>
        </is>
      </c>
      <c r="H150" s="2" t="n">
        <v>46062</v>
      </c>
      <c r="I150"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Engineer Software (Level 3\):** Bachelor's degree in a STEM discipline with 5\+ years of relative experience; master’s degree in a STEM discipline with 3\+ years of relative experience.
* **Sr. Principal Engineer Software (Level 4\):** Bachelor's degree in a STEM discipline with 8\+ years of relative experience; master’s degree in a STEM discipline with 6\+ years of relative experience.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li-4375414390</t>
        </is>
      </c>
      <c r="B2" t="inlineStr">
        <is>
          <t>Product Manager</t>
        </is>
      </c>
      <c r="C2" t="inlineStr">
        <is>
          <t>HCLTech</t>
        </is>
      </c>
      <c r="D2" t="inlineStr">
        <is>
          <t>linkedin</t>
        </is>
      </c>
      <c r="E2" t="inlineStr"/>
      <c r="F2" t="inlineStr"/>
      <c r="G2" t="inlineStr"/>
      <c r="H2" t="inlineStr"/>
      <c r="I2" t="inlineStr">
        <is>
          <t>**Job Role: Product Manager – Data Center AI Smart Hands Service** 
**Experience: 10–12 Years Minimum** 
**Job Type: Full‑Time** 
**Job Location: Remote** 
**Company Overview** 
 HCLTech is one of the world’s fastest‑growing technology companies, home to
 **220,000\+ innovators across 60 countries** 
 , empowering digital transformation through next‑gen solutions in
 **Digital, Engineering, and Cloud** 
 .
 We are now seeking a
 **Product Manager – Data Center AI Smart Hands Service** 
 to drive the strategy, roadmap, and global adoption of our next‑generation Smart Hands offering for
 **AI and GPU‑dense data centers** 
 .
 🔍
 **About the Role** 
 This is a
 **pure product role** 
 (not operations). You’ll own the vision and lifecycle of an AI‑focused Smart Hands service designed for
 **high‑density, GPU‑based, and hyperscaler\-grade data centers** 
 .
 The focus:
 ✔ Standardized global service tiers
 ✔ AI‑rack \&amp; liquid cooling workflows
 ✔ Robotics \+ automation \+ AR/VR‑guided operations
 ✔ Remote expert models \&amp; predictive maintenance
 ✔ Differentiated, scalable delivery aligned with hyperscaler expectations
 You will collaborate with delivery, automation, GTM, and training teams to embed innovation into field operations—driving efficiency, consistency, safety, and customer value.
 🛠
 **Key Responsibilities** 
**You will:** 
* Own the end‑to‑end product lifecycle for AI DC Smart Hands—from concept to global scale.
* Define global operating models across hyperscale, enterprise, and colocation environments.
* Lead GTM readiness: enablement kits, sales playbooks, demos, customer success metrics.
* Drive product differentiation with automation, AR/VR workflows, and remote expert models.
* Establish product strategy, roadmap, SLAs, pricing, and standardized service tiers.
* Build service catalogs for GPU racks, dense cabling, liquid cooling, and lifecycle tasks.
* Integrate robotics, automation, and AR/VR guidance to enhance field operations.
* Align with hyperscaler compliance and AI\-DC infrastructure standards.
* Track operational KPIs (FTR, MTTR, SLA adherence, utilization, CSAT) and drive improvements.
* Develop technician playbooks, SOPs, and certification paths with delivery/training teams.
* Support presales with value propositions, pricing guardrails, and reusable artifacts.
* Continuously evolve the offering based on field data, customer insights, and tech shifts.
 🎯
 **What We’re Looking For** 
**Experience:** 
 10–12 years in Data Center Ops, Smart Hands, or Field Services
**Must‑have:** 
* Strong exposure to
 **hyperscalers** 
 or
 **AI data centers**
* Working knowledge of
 **GPU infrastructure** 
 (H100/H200/GB200\), liquid cooling, dense cabling
* Background in
 **service design, costing, catalogs, and product lifecycle**
* Familiarity with
 **automation tools, AR/VR workflows, robotics, digital twins, predictive maintenance**
* Strong stakeholder management and customer\-facing skills
**Success will be measured by:** 
 ⭐ Product adoption
 ⭐ Margin performance
 ⭐ Customer outcomes
 ⭐ Differentiation in the market
 🌱
 **How You’ll Grow** 
 At HCLTech, your career growth is our priority. Expect:
* Transparent communication with senior leaders
* Learning \&amp; development programs at every level
* Opportunities to explore new domains or pivot roles
* A culture that helps you discover and amplify your spark
***Disclaimer***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3">
      <c r="A3" t="inlineStr">
        <is>
          <t>li-4375406171</t>
        </is>
      </c>
      <c r="B3" t="inlineStr">
        <is>
          <t>Product Manager - Comet Mobile</t>
        </is>
      </c>
      <c r="C3" t="inlineStr">
        <is>
          <t>Swooped</t>
        </is>
      </c>
      <c r="D3" t="inlineStr">
        <is>
          <t>linkedin</t>
        </is>
      </c>
      <c r="E3" t="inlineStr"/>
      <c r="F3" t="inlineStr"/>
      <c r="G3" t="inlineStr"/>
      <c r="H3" t="inlineStr"/>
      <c r="I3" t="inlineStr">
        <is>
          <t>**About The Role** 
 Our client is looking for an experienced product manager to join a small team revolutionizing the way people search and interact with the internet. This role will be trusted to envision the future of the mobile experience, working on mobile apps from ideation to execution.
 The individual will work closely with design, engineering, and AI on the product team, focusing on delivering world\-class mobile experiences across platforms. The ideal candidate should have strong technical depth from past coding experience, deep understanding of mobile app constraints, and empathy for users. A passion for building the best browser for the curious and strong ideas on how to innovate on mobile are essential.
**Key Responsibilities** 
* Stay on top of both qualitative and quantitative user feedback to understand how to make strong data\-driven decisions.
* Develop a roadmap for the mobile apps in collaboration with mobile engineering leads and the product management group.
* Anticipate mobile user needs and opportunities for innovation and value.
* Develop deep expertise in mobile UX patterns and platform\-specific nuances of iOS and Android.
* Experience building and delivering a long\-term mobile product vision.
* Understanding of levers for mobile\-led growth and retention.
* Work closely with engineering and design to align mobile product expectations and capabilities.
* Have conviction to make difficult product decisions that balance performance, usability, familiarity, and innovation.
* Come up with creative new ways to make the product the best browser for the curious. Be ready to evangelize, excite, and build a vision for the future.
**Required Qualifications** 
* Highly technical with demonstrated coding experience in the past, either as a software engineer or with equivalent computer science background.
* Strong experience with consumer mobile products (iOS and Android).
* Has worked on consumer software before—ideally mobile or desktop apps. Knows the constraints of binaries that are shipped on user devices.
* Can build vibe\-coded prototypes and dig into bugs in code.
* Ability to envision innovative technology and articulate a compelling product vision.
* Strong experience with product management in small, rapid\-paced teams.
* Strong experience working with data and user research metrics.
* Has initiative and ownership.
* 5\+ years of consumer product management experience, ideally with a focus on mobile.
**Compensation** 
**$210K – $275K •** 
 Offers Equity
**U.S. Benefits** 
 Full\-time U.S. employees enjoy a comprehensive benefits program including equity, health, dental, vision, retirement, fitness, commuter and dependent care accounts, and more.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4">
      <c r="A4" t="inlineStr">
        <is>
          <t>li-4373225194</t>
        </is>
      </c>
      <c r="B4" t="inlineStr">
        <is>
          <t>Product Owner, Precision Medicine Technology</t>
        </is>
      </c>
      <c r="C4" t="inlineStr">
        <is>
          <t>Amgen</t>
        </is>
      </c>
      <c r="D4" t="inlineStr">
        <is>
          <t>linkedin</t>
        </is>
      </c>
      <c r="E4" t="inlineStr"/>
      <c r="F4" t="inlineStr"/>
      <c r="G4" t="inlineStr"/>
      <c r="H4" t="inlineStr"/>
      <c r="I4"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**Product Owner, Precision Medicine Technology**
**What You Will Do**
 Let’s do this. Let’s change the world. In this vital role you will be responsible for defining the vision \&amp; strategy for several technology products supporting R\&amp;D Precision Medicine.
**Responsibilities:**
* Collaborate with stakeholders to gather and document capability needs, user stories, and acceptance criteria
* Define and communicate product and feature vision, including both technical / architectural features and enablement, and end\-user features, ensuring alignment with business objectives across multiple solution stakeholder groups
* Create, prioritize, and maintain product roadmap(s), ensuring that it reflects the needs of the business and stakeholders
* Work closely with the business teams, Scrum Master(s) and development team(s) to plan and implement sprints, ensuring that the highest priority features are delivered
* Find opportunities to improve the product / platform / system and development process, and make data\-driven decisions to enhance the product / platform
* Oversee the day\-to\-day management of technology platforms, ensuring that they meet performance, security, and availability requirements
* Manage relationships with product / platform /system vendors, ensuring that service levels are met and that the organization derives the best value from its investments
* Ensure that platforms align with security standards, regulatory requirements, and organizational policies
* Oversee the management and operation of specific IT systems, ensuring that they meet performance, security, and availability requirements
* Manage product team Architects, Analysts and Validation Engineers and provide role\-based standards and career mentorship for these roles
* Assure that AIN team is successfully creating robust written materials, including product documentation, product backlog and user stories, and creating other need artifacts to assure efficient and effective coordination across time zones.
* Define, monitor, and handle service level agreements (SLAs) to ensure the service meets performance and availability requirements
* Oversee the resolution of service\-related incidents and problems, ensuring minimal impact on business operations
* Maintain detailed documentation of service processes, SLAs, and improvement initiatives
* Analyze product performance data, customer behavior, and market trends to inform product decisions
* Create and maintain reports and dashboards that provide insights into product performance, user engagement, and other key metrics
* Conduct market research and competitive analysis to identify opportunities and inform product strategy
* Analyze customer feedback and support data to identify pain points and opportunities for product improvement
**What We Expect Of You**
 We are all different, yet we all use our unique contributions to serve patients. The strategic professional we seek is a critical thinker with these qualifications:
**Basic Qualifications:**
 Doctorate degree and 2 years of experience in Product Owner / Platform Owner / Service Owner
 Or
 Master’s degree and 6 years of experience in Product Owner / Platform Owner / Service Owner
 Or
 Bachelor’s degree and 8 years of experience in Product Owner / Platform Owner / Service Owner
 Or
 Associate’s degree and 10 years of experience in Product Owner / Platform Owner / Service Owner
 Or
 High school diploma / GED and 12 years of experience in Product Owner / Platform Owner / Service Owner
**Preferred Qualifications:**
* Strong knowledge of Agile methodologies and product management principles, and backlog and feature management tools including Jira and Confluence
* Strong knowledge of IT service management (ITSM) principles and methodologies
* Strong experience with development of data\-management and visibility products such as data warehouses, master data management and data visualization and knowledge management solutions
* Strong hands\-on experience with data profiling, data transformation, data mastering
* Success in mentoring and developing strong product analysts, business analysts, and data profilers
* Experience in developing differentiated and deliverable solutions
* Experience with human data, ideally human healthcare and omics data
* Familiarity with laboratory testing, patient data from clinical care, HL7, FHIR, and/or clinical trial data management
* Professional certification: SAFe Agile Practitioner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5">
      <c r="A5" t="inlineStr">
        <is>
          <t>li-4362623064</t>
        </is>
      </c>
      <c r="B5" t="inlineStr">
        <is>
          <t>Senior Outbound Product Manager, Generative AI</t>
        </is>
      </c>
      <c r="C5" t="inlineStr">
        <is>
          <t>Google</t>
        </is>
      </c>
      <c r="D5" t="inlineStr">
        <is>
          <t>linkedin</t>
        </is>
      </c>
      <c r="E5" t="inlineStr"/>
      <c r="F5" t="inlineStr"/>
      <c r="G5" t="inlineStr">
        <is>
          <t>Kirkland, WA</t>
        </is>
      </c>
      <c r="H5" t="inlineStr"/>
      <c r="I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San Francisco, CA, USA** 
 .
 **Minimum qualifications:**
* Bachelor's degree or equivalent practical experience.
* 8 years of experience in product management or related technical role.
* 3 years of experience taking technical products from conception to launch (e.g., ideation to execution,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5 years of experience building Cloud products, with 3 years of experience working with AI.
* Excellent cross\-functional or cross\-organizational relationship\-building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Cloud AI Outbound Product Management (OPM) organization's mission is to scale business growth and adoption of the Cloud AI portfolio by designing and executing with cross\-functional go\-to\-market teams.
 The portfolio includes the Vertex AI platform for AI developers and data scientists, as well as the Gemini Enterprise and Google Search for enterprises.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Shape the direction of the Cloud AI product roadmap and go\-to\-market strategy.
* Partner with Product Management, Engineering, Product Marketing, AI Sales Specialists, and key GTM cross\-functional teams. Provide user and market insights to help product teams make more informed roadmap decisions.
* Develop differentiated product positioning and messaging, and define and drive go\-to\-market activities that accelerate business performance and customer satisfaction.
* Engage with customers and partners, gathering feedback and infusing insights back into the organization, influencing product strategy, advocating differentiated features, and ensuring effective product launches.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
      <c r="A6" t="inlineStr">
        <is>
          <t>li-4375425151</t>
        </is>
      </c>
      <c r="B6" t="inlineStr">
        <is>
          <t>Product Manager - Engineering Systems</t>
        </is>
      </c>
      <c r="C6" t="inlineStr">
        <is>
          <t>Relativity</t>
        </is>
      </c>
      <c r="D6" t="inlineStr">
        <is>
          <t>linkedin</t>
        </is>
      </c>
      <c r="E6" t="inlineStr"/>
      <c r="F6" t="inlineStr"/>
      <c r="G6" t="inlineStr">
        <is>
          <t>Minnesota, United States</t>
        </is>
      </c>
      <c r="H6" t="inlineStr"/>
      <c r="I6"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7">
      <c r="A7" t="inlineStr">
        <is>
          <t>li-4375415581</t>
        </is>
      </c>
      <c r="B7" t="inlineStr">
        <is>
          <t>Product Manager - Engineering Systems</t>
        </is>
      </c>
      <c r="C7" t="inlineStr">
        <is>
          <t>Relativity</t>
        </is>
      </c>
      <c r="D7" t="inlineStr">
        <is>
          <t>linkedin</t>
        </is>
      </c>
      <c r="E7" t="inlineStr"/>
      <c r="F7" t="inlineStr"/>
      <c r="G7" t="inlineStr">
        <is>
          <t>Missouri, United States</t>
        </is>
      </c>
      <c r="H7" t="inlineStr"/>
      <c r="I7"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8">
      <c r="A8" t="inlineStr">
        <is>
          <t>li-4373138061</t>
        </is>
      </c>
      <c r="B8" t="inlineStr">
        <is>
          <t>Program Manager - Content</t>
        </is>
      </c>
      <c r="C8" t="inlineStr">
        <is>
          <t>Academian Inc</t>
        </is>
      </c>
      <c r="D8" t="inlineStr">
        <is>
          <t>linkedin</t>
        </is>
      </c>
      <c r="E8" t="inlineStr"/>
      <c r="F8" t="inlineStr"/>
      <c r="G8" t="inlineStr"/>
      <c r="H8" t="inlineStr"/>
      <c r="I8" t="inlineStr">
        <is>
          <t>**Role Overview:** 
 The Program Manager will lead the planning, execution, and delivery of large\-scale content and learning development initiatives across the organization’s portfolio. This role is responsible for driving alignment across content strategy, production, instructional design, editorial, and stakeholder teams to ensure programs are delivered on time, within scope, and meet quality standards.
 The ideal candidate brings strong program governance, experience managing complex content pipelines, and the ability to translate strategic objectives into executable delivery plans. The primary objective is to ensure content programs achieve desired outcomes, quality benchmarks, and business goals.
**Key Responsibilities:** 
* Plan and manage content programs, ensuring alignment with strategic goals, timelines, and quality standards.
* Oversee the end\-to\-end content lifecycle, from planning through development, review, and delivery.
* Coordinate cross\-functional teams including instructional design, content, editorial, production, and SMEs.
* Manage program timelines, resources, risks, and dependencies across multiple projects.
* Monitor program performance, track milestones, and address issues impacting delivery.
* Provide regular status updates and reporting to stakeholders and leadership.
* Drive process improvements to enhance efficiency and program outcomes.
**Required Qualifications:** 
* 7–10 years of Program Management experience, preferably in content development, publishing, education, or EdTech environments.
* Bachelor’s degree in Education, Communications, Business, Project Management, or related field.
* Demonstrated experience managing large\-scale content or curriculum development programs.
* Proven ability to manage multiple concurrent projects and cross\-functional teams.
* Strong understanding of content production workflows and lifecycle management.
**Preferred Qualifications** 
* Experience working with learning or curriculum development teams.
* Familiarity with digital learning or content platforms.
* Program or project management certification (PMP, PgMP, or equivalent).
* Experience with Smartsheet, Asana, Jira, or similar project management tools.</t>
        </is>
      </c>
    </row>
    <row r="9">
      <c r="A9" t="inlineStr">
        <is>
          <t>li-4375408453</t>
        </is>
      </c>
      <c r="B9" t="inlineStr">
        <is>
          <t>Senior Product Manager, Salesforce</t>
        </is>
      </c>
      <c r="C9" t="inlineStr">
        <is>
          <t>GoTo</t>
        </is>
      </c>
      <c r="D9" t="inlineStr">
        <is>
          <t>linkedin</t>
        </is>
      </c>
      <c r="E9" t="inlineStr"/>
      <c r="F9" t="inlineStr"/>
      <c r="G9" t="inlineStr">
        <is>
          <t>Far-A-Field, PA</t>
        </is>
      </c>
      <c r="H9" t="inlineStr"/>
      <c r="I9" t="inlineStr">
        <is>
          <t>**Job Description**
**Business Applications at GoTo**
 We’re trailblazers in remote work technology—building powerful, flexible solutions. As part of our go‑to‑market technology team, you’ll have the opportunity to chart new paths and help redefine how GoTo brings its solutions to market. For us, AI isn’t just a buzzword; it’s a tool we use to deliver real, practical value to our customers and teams. We focus on solving meaningful problems, not just adding features for the sake of using AI. Here, growth takes many forms: you can expand your skills, take on new challenges, lead initiatives, and explore creative ideas.
**Position Overview:**
 The Salesforce Product Manager is a strategic leader within the Business Applications team, responsible for championing the needs of internal business stakeholders and translating those needs into actionable roadmaps for the Salesforce platform. This role serves as the "voice of the customer" within the team, building strong relationships with stakeholders to understand their business processes, uncover pain points, and communicate evolving priorities. The Salesforce Product Manager works closely alongside Engineering Managers, who drive execution with Engineering and QA teams, ensuring delivery aligns with the strategic vision and stakeholder expectations.
**Key Responsibilities:**
* Actively engage with internal stakeholders to build a deep understanding of business processes, challenges, and requirements related to Salesforce and its integrated solutions.
* Develop and maintain a stakeholder\-centered product roadmap for Salesforce, ensuring ongoing alignment with evolving business objectives and priorities.
* Communicate regularly and transparently with stakeholders around roadmap status, upcoming changes, releases, and the long\-term vision for Salesforce within the organization.
* Serve as the primary point of accountability for stakeholder communication and expectation management regarding Salesforce enhancements.
* Partner closely with the Salesforce Engineering Manager, who is focused on delivery and execution, to ensure stakeholder needs are translated effectively into technical requirements.
* Work with the Salesforce Architect and UX Researcher/Designer to:
* Prioritize technical debt and innovation opportunities.
* Ensure feature development aligns with enterprise Salesforce architecture principles.
* Guarantee optimal usability and holistic user experience across features and workflows.
* Facilitate and coordinate effective change management including internal communication, UAT testing and training for new Salesforce features and releases.
* Engage with other Salesforce Product Managers to ensure integration points and dependencies across the Salesforce ecosystem are managed effectively.
* Foster a culture of continuous improvement by collecting stakeholder feedback, analyzing metrics, and iterating on processes, priorities, and roadmaps.
**Key Competencies and Experience:**
* Proven ability to integrate and collaborate with business stakeholders, proactively identifying needs, setting expectations, and building strong partnerships.
* Experience developing and managing product roadmaps within a business applications or software environment; Salesforce experience is highly preferred.
* Demonstrated success working closely with technical teams (Engineering, QA, Architecture, and UX) to deliver platform enhancements.
* Familiarity with Agile methodologies, iterative delivery, and product management best practices.
* Ability to advocate for the customer within the team, while effectively balancing technical, architectural, and usability considerations.
**Benefits:** 
 Comprehensive health insurance (medical, dental, vision), 401(k) plan with discretionary company match, paid time off, employee discount programs, Short Term and Long Term Disability, Basic Life Insurance, and fertility benefits.
 Annual Base Salary Range: $113,000\.00 \- $0\.00
*The above shows our ranges from minimum to maximum. Your compensation will be determined based on your location, experience, and the pay of employees in similar positions. You will also be eligible for a variable pay component and benefits.*</t>
        </is>
      </c>
    </row>
    <row r="10">
      <c r="A10" t="inlineStr">
        <is>
          <t>li-4349472421</t>
        </is>
      </c>
      <c r="B10" t="inlineStr">
        <is>
          <t>Product Manager</t>
        </is>
      </c>
      <c r="C10" t="inlineStr">
        <is>
          <t>Social Native</t>
        </is>
      </c>
      <c r="D10" t="inlineStr">
        <is>
          <t>linkedin</t>
        </is>
      </c>
      <c r="E10" t="inlineStr"/>
      <c r="F10" t="inlineStr"/>
      <c r="G10" t="inlineStr">
        <is>
          <t>Los Angeles, CA</t>
        </is>
      </c>
      <c r="H10" t="inlineStr"/>
      <c r="I10" t="inlineStr">
        <is>
          <t>Described as the “Uber of Content,” Social Native is a marketplace technology company providing brands the ability to scale high\-quality content creation and optimize their cross\-channel digital marketing strategies. By connecting brands \&amp; agencies with a diverse network of creators, we provide data\-driven insights, streamline content production, and improve performance across social and e\-commerce channels. Brands like Unilever, Adidas, L’Oréal, Crocs, and Nestlé trust Social Native to enhance their paid and organic social strategies through user\-generated content (UGC), branded content, and content editing solutions, ensuring they have the right creative assets to drive engagement and conversions.
 We are seeking a dynamic and results\-driven Product Manager to join our team. The ideal candidate will have hands\-on experience within the broader digital media, adtech, or martech landscape—ideally with exposure to influencer marketing or paid social. This role requires a proven track record of managing customer\-facing products and features, with the ability to thrive in a fast\-paced, start\-up environment and juggle multiple products simultaneously. The successful candidate will bring deep experience leveraging AI to streamline product operations and ideation, and will excel at cross\-functional communication and collaboration across teams.
**Key Responsibilities:**
* **Product Ownership:** 
 Lead the end\-to\-end lifecycle of customer\-facing products, from ideation and requirement gathering to launch, optimization, and sunset.
* **Market Research:** 
 Conduct competitive analysis and gather insights to inform product strategy and identify new opportunities within the digital media, adtech, and influencer marketing ecosystems.
* **Cross\-Functional Collaboration:** 
 Work closely with engineering, design, sales, and marketing teams to ensure alignment on product goals, priorities, and execution.
* **Feature Development:** 
 Prioritize and define product features that align with customer needs and business objectives. Create detailed product specs, user stories, and wireframes.
* **Customer Focus:** 
 Engage with users to gather feedback and continuously improve the product experience. Serve as the voice of the customer in product planning and decision\-making.
* **AI\-Driven Product Innovation:** 
 Leverage AI tools and frameworks to optimize workflows, enhance ideation, and improve product decision\-making and operational efficiency.
* **Roadmap Management:** 
 Maintain a product roadmap that aligns with company goals and communicates this vision effectively across the organization.
* **Data\-Driven Decisions:** 
 Utilize data analytics to track product performance, measure success against KPIs, and iterate on product features to drive continuous improvement.
* **Agility:** 
 Thrive in a fast\-paced environment with the ability to manage multiple products simultaneously, quickly pivoting when necessary to meet evolving business needs.
**Qualifications:**
* **Experience:** 
 2–4\+ years as a Product Manager within the digital media, adtech, martech, or related domains. Experience in influencer marketing or paid social is a strong plus.
* **Industry Knowledge:** 
 Solid understanding of customer\-facing digital products, advertising ecosystems, and performance\-driven product development.
* **AI Fluency:** 
 Experience applying AI or automation tools to enhance product operations, ideation, or customer experiences.
* **Start\-Up Experience:** 
 Proven ability to work in a high\-speed, start\-up environment where adaptability and resourcefulness are key.
* **Technical Skills:** 
 Familiarity with product management tools (e.g., JIRA), wireframing tools (e.g., Figma), and a good understanding of software development processes.
* **Communication:** 
 Exceptional verbal and written communication skills, with the ability to articulate complex concepts clearly and persuasively across teams and stakeholders.
* **Customer\-Centric:** 
 Deep passion for understanding customer needs and translating them into compelling product features and experiences.
* **Education:** 
 Bachelor’s degree required.
**Social Native Perks:** 
 One of the best perks of Social Native is working with amazing talented people! Come see what it’s like to work at a fast\-paced, venture\-backed tech company. We are looking for smart, driven, fun people who are eager to take ownership of exciting projects and be a part of building something great.
* Attractive health, dental, and vision insurance coverage
* Competitive compensation
* 401(k) Retirement Plan
* Unlimited Vacation Policy</t>
        </is>
      </c>
    </row>
    <row r="11">
      <c r="A11" t="inlineStr">
        <is>
          <t>li-4374066407</t>
        </is>
      </c>
      <c r="B11" t="inlineStr">
        <is>
          <t>Senior Product Manager</t>
        </is>
      </c>
      <c r="C11" t="inlineStr">
        <is>
          <t>Velocity Mortgage Capital</t>
        </is>
      </c>
      <c r="D11" t="inlineStr">
        <is>
          <t>linkedin</t>
        </is>
      </c>
      <c r="E11" t="inlineStr"/>
      <c r="F11" t="inlineStr"/>
      <c r="G11" t="inlineStr">
        <is>
          <t>Westlake Village, CA</t>
        </is>
      </c>
      <c r="H11" t="inlineStr"/>
      <c r="I11" t="inlineStr">
        <is>
          <t>Senior Product Manager
**Location:** 
 Hybrid or Remote
**Reports to:** 
 Chief Information Officer
 About Velocity Financial
 Velocity Financial, Inc. (NYSE: VEL) is a vertically integrated real estate finance company founded in 2004 and headquartered in Westlake Village, California. We originate, securitize, and manage investor loans secured by 1\-4 unit residential rental and small commercial properties. With a loan portfolio exceeding $3\.5 billion and a nationwide network of 2,500\+ independent mortgage brokers across 46 states, Velocity has established itself as a market leader in investor real estate lending.
 Our management team averages more than 25 years of experience in financial services and real estate lending, and we've successfully navigated multiple economic cycles since our founding. We are a stable, rapidly growing, national company that offers meaningful opportunities for professional development and career advancement.
 Position Summary
 We are looking for a Senior Product Manager to join our team and play a central role in shaping the technology products that power Velocity's lending operations. In this role, you will report directly to the CIO and partner closely with Operations, Capital Markets, Finance, and Special Servicing to define requirements, drive delivery, and ensure that our technology investments align with business priorities.
 This is a high\-impact role for someone who thrives at the intersection of business and technology, enjoys translating complex operational needs into clear product requirements, and can drive execution through agile delivery practices.
 Responsibilities
 \-       
 Partner with Operations, Capital Markets, Finance, and Special Servicing stakeholders to deeply understand business workflows, pain points, and strategic priorities.
 \-       
 Define product vision and roadmaps for internal platforms and tools that support loan origination, securitization, servicing, and capital markets activities.
 \-       
 Write clear, detailed product requirements documents (PRDs), user stories, and acceptance criteria that engineering teams can build against.
 \-       
 Own and facilitate agile ceremonies including sprint planning, daily standups, backlog grooming, sprint reviews, and retrospectives.
 \-       
 Prioritize the product backlog based on business value, technical feasibility, and strategic alignment, making tradeoffs transparent to stakeholders and leadership.
 \-       
 Drive cross\-functional alignment across business and technology teams, ensuring shared understanding of goals, timelines, and dependencies.
 \-       
 Define and track key product metrics to measure adoption, efficiency, and business impact of delivered solutions.
 \-       
 Serve as the primary point of contact between business stakeholders and engineering, translating between business context and technical implementation.
 \-       
 Identify opportunities to streamline processes, reduce manual work, and improve data quality across lending operations.
 \-       
 Stay current on trends in lending technology, fintech, and real estate finance to inform product strategy.
 Qualifications
 \-       
 5\+ years of product management experience, with a meaningful portion in lending, mortgage, fintech, or financial services.
 \-       
 Demonstrated experience writing product requirements, user stories, and acceptance criteria.
 \-       
 Strong track record of running agile ceremonies and delivering software through iterative development processes.
 \-       
 Experience working with operational and financial stakeholders to translate complex business processes into product solutions.
 \-       
 Ability to prioritize effectively across competing demands and communicate rationale clearly to both technical and non\-technical audiences.
 \-       
 Familiarity with loan origination systems, servicing platforms, or capital markets workflows is a strong plus.
 \-       
 Experience with data\-driven decision making, including defining and tracking product and operational metrics.
 \-       
 Strong written and verbal communication skills.
 \-       
 Self\-directed and comfortable operating with autonomy in a remote environment.
 Nice to Have
 \-       
 Experience at a publicly traded financial services company.
 \-       
 Background in real estate finance, investor lending, or structured finance.
 \-       
 Familiarity with securitization processes and special servicing workflows.
 \-       
 Experience with business intelligence tools and reporting platforms.
 Benefits
 Benefits become effective on the first day of the month following 30 days of employment and include: 
 ·      401(k) with 3% matching contribution
**·      Dental Insurance** 
**·      Employee Stock Purchasing Program** 
**·      Health Insurance** 
**·      Life Insurance** 
**·      Paid Time Off (PTO)** 
**·      Paid Holidays** 
**·      Pet Insurance** 
**·      Vision Insurance** 
**·      Flexible Spending Account (FSA)** 
**·      Health Savings Account (HSA)** 
*Velocity Mortgage Capital is an equal opportunity employer. All applicants will be considered for employment without attention to race, color, religion, sex, sexual orientation, gender identity, national origin, veteran or disability status.* 
*Know Your Rights*</t>
        </is>
      </c>
    </row>
    <row r="12">
      <c r="A12" t="inlineStr">
        <is>
          <t>li-4375174607</t>
        </is>
      </c>
      <c r="B12" t="inlineStr">
        <is>
          <t>Product Manager</t>
        </is>
      </c>
      <c r="C12" t="inlineStr">
        <is>
          <t>Phononic Inc</t>
        </is>
      </c>
      <c r="D12" t="inlineStr">
        <is>
          <t>linkedin</t>
        </is>
      </c>
      <c r="E12" t="inlineStr"/>
      <c r="F12" t="inlineStr"/>
      <c r="G12" t="inlineStr">
        <is>
          <t>Durham, NC</t>
        </is>
      </c>
      <c r="H12" t="inlineStr"/>
      <c r="I12" t="inlineStr">
        <is>
          <t>**Description**
 Ready to revolutionize AI datacenter cooling solutions and deployments at Hyperscalars, Foundation model providers and Neocloud companies? Phononic is the place for you. We are seeking a results\-oriented individual to join our Infrastructure Solutions organization to deliver supremely innovative products and grow our ecosystem partnerships in support of revolutionizing cooling solutions for AI datacenters.
**Essential Functions**
 By being part of the Infrastructure Solutions team, you will be responsible for supporting our core product management and marketing needs within our core businesses of solid\-state cooling for Optical Transceivers and for GPUs. While working closely with customers, partners, and internal teams you will drive product management and marketing, through development, launch, adoption, and ramp.
 You’ll operate hands\-on, close to engineering, marketing, sales and customers to take responsibility for the concrete outputs that move products forward: requirements, prioritization, launches, enablement, and partner execution.
 This role is responsible for defining target segments, articulating competitive differentiation, enabling sales, and driving successful product launches across the product lifecycle. The ideal candidate combines strong technical fluency with a market\-driven mindset and hands\-on execution.
 This is a high\-ownership role for someone who likes being in the details, closing loops, and delivering products to customers in the datacenter industry.
**What You’ll Do**
**Product Management**
* Own product requirements and backlog from concept through production and sustaining
* Drive clear, actionable PRDs based on customer needs, market research, partner input, and technical constraints
* Stay apprised of the latest industry trends and drive needs into product roadmaps and requirements
* Work day\-to\-day with engineering to prioritize features, manage trade\-offs, and keep execution moving
* Track product progress across development, validation, launch, and post\-launch phases
**Customer \&amp; Market Execution**
* Engage directly with customers to gather requirements, validate features, and support adoption
* Support design\-ins, proof\-of\-concepts, and early deployments with hands\-on involvement
* Partner with sales to support technical and product\-related customer conversations
**Product Marketing**
* Develop and maintain positioning, feature descriptions, competitive comparisons, FAQs
* Enable sales and partners with practical tools—decks, one\-pagers, messaging—not fluff
* Ensure product messaging stays aligned with product value props and company strategies
**Ecosystem \&amp; Partner Execution**
* Work with ecosystem partners (OEMs, ISVs, platform providers, open\-source communities) to ensure product compatibility and readiness
* Own partner\-facing deliverables: requirements alignment, integration plans, documentation, and timelines
**Requirements**
**What We’re Looking For**
* 3\-7 years of experience in product management, product marketing or closely related execution roles in semiconductors, systems, or deep tech
* Proven experience owning product deliverables through multiple product phases (development, launch, sustain)
* Strong ability to work cross\-functionally with engineering, sales, customers, and partners
* Comfortable operating at a startup pace with limited process and high accountability
* Technically fluent enough to work effectively with engineers and customers
* Detail\-oriented, organized, and persistent—you close loops
**Nice to Have**
* Startup or early\-stage experience
* Experience supporting design\-ins, platform launches, or ecosystem\-dependent products
* Background working with OEMs, hyperscale cloud service providers, or infrastructure service providers
* Exposure to open standards or open\-source ecosystems
 Phononic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3">
      <c r="A13" t="inlineStr">
        <is>
          <t>li-4374023802</t>
        </is>
      </c>
      <c r="B13" t="inlineStr">
        <is>
          <t>Senior Data Product Manager</t>
        </is>
      </c>
      <c r="C13" t="inlineStr">
        <is>
          <t>NielsenIQ</t>
        </is>
      </c>
      <c r="D13" t="inlineStr">
        <is>
          <t>linkedin</t>
        </is>
      </c>
      <c r="E13" t="inlineStr"/>
      <c r="F13" t="inlineStr"/>
      <c r="G13" t="inlineStr">
        <is>
          <t>New York, NY</t>
        </is>
      </c>
      <c r="H13" t="inlineStr"/>
      <c r="I13" t="inlineStr">
        <is>
          <t>**R25\_0022581**
 MRI\-Simmons Research is a leading consumer insights company. We are an established organization, with a great brand, that is aggressively reinventing itself through investments in technology and people!
 We are excited to expand our business in the advanced advertising space with our Consumer Canvas dataset and MRI\-Simmons truth set. We are dedicated to transforming the way marketers can activate and measure with more transparency and confidence. Advertisers,  marketers and media companies use MRI\-Simmons and Consumer Canvas products to develop marketing strategies, consumer segmentation schemes and enrich their first\-party dataset.
**Job Description**
 ​​The Senior Data Product Manager plays a pivotal role in driving innovation and delivering value through the MRI\-Simmons Catalyst Platform utilizing new data assets. This role will own our Consumer Canvas data asset and ensure the evolution of the product aligns with industry growth goals. You will work closely with Commercial, Product Managers, Marketing, UX/UI Design, Engineering and Operations to ensure our products are meeting customer needs. To ensure strong market adoption, the Senior Data Product Manager partners with several departments aligning product strategy with customer success and commercial growth. ​
 As the
 **Senior Data Product Manager** 
 , you will have following key accountabilities:
* Integrate multiple data sources including third\-party partners, to enrich our data product and capabilities.
* Develop and deliver cloud\-based automation to improve dataset production and delivery.
* Optimize identity graph performance to support enrichment and activation use cases.
* Drive cross\-functional alignment by partnering with product managers, engineering, client\-facing teams, and clients directly to ensure timely delivery of high\-impact features that meet user needs and advance business objectives.
* Think creatively about how to solve market problems.
* Partner with the sales team to deliver compelling product presentations and demos, showcasing the technical strengths of our data integration capabilities and solutions.
* Work closely with Data Science team to develop roadmap for the future of our product.
* Gather and analyze customer feedback to guide product improvements and innovation.
* Track and report on product performance to drive continuous improvement and business impact
* Use data storytelling techniques to communicate insights and recommendations to stakeholders across product, sales, and executive leadership.
* Ensure data governance and compliance standards are upheld in all client\-facing features and internal reporting systems.
* Lead analytically throughout your portfolio of projects, both quantitatively and qualitatively. Be relentless in seeking and soaking up market information from consumers and clients.
* Define and measure success metrics to identify and prioritize to improve results.
**Qualifications**
 Now that we have introduced you to the position of
 **Senior Data Product Manager** 
 , what skills, qualifications, and experience should you, have?
* 3 – 5 years' experience in Product Management, Analytics, Statistics, Data Science, Project Management and related areas.
* 2 – 4 years’ experience in consumer insights, advertising agency, media ad sales, media planning, and/or media measurement industry
* Experience in years working with data products in the identity resolution, measurement or data driven marketing space.
* Demonstrated ability to understand and discuss technical concepts, prioritize and evaluate opportunistic new ideas with internal and external partners
* Passion for solving real world challenges with user\-centric solutions
* Experience working in Agile development environments
* In depth understanding of consumer insight needs for agencies and / or brand with a clear understanding of the advertising ecosystem, key stakeholders and monetization metrics
* Ability to develop good relationships and work with external and internal stakeholders
* Excellent written and verbal communication skills with a proven track record of engaging with clients and understanding their needs
* Ability to articulate ideas to both technical and non\-technical audiences
**Additional Information**
* 125,000\.00
* Medical/ Vision/ Dental Insurance
* Work life balance\- Hybrid or Remote schedule
* Tuition Assistance – up to $5,250\.00 yearly
* 11 paid corporate Holidays
* Life / Pet Insurance
* Commuter Benefits
* Supplier Discounts/ Plum Benefits partnership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14">
      <c r="A14" t="inlineStr">
        <is>
          <t>li-4375401429</t>
        </is>
      </c>
      <c r="B14" t="inlineStr">
        <is>
          <t>CX - Product Manager</t>
        </is>
      </c>
      <c r="C14" t="inlineStr">
        <is>
          <t>SPECTRAFORCE</t>
        </is>
      </c>
      <c r="D14" t="inlineStr">
        <is>
          <t>linkedin</t>
        </is>
      </c>
      <c r="E14" t="inlineStr"/>
      <c r="F14" t="inlineStr"/>
      <c r="G14" t="inlineStr">
        <is>
          <t>Seattle, WA</t>
        </is>
      </c>
      <c r="H14" t="inlineStr"/>
      <c r="I14" t="inlineStr">
        <is>
          <t>**Job Title: CX \- Product Manager IV** 
**Duration: 12 Months** 
**Location: Onsite (Austin, TX/Seattle, WA)** 
**Job Description:** 
 Support client’s Worldwide Operations, as well as affiliate and retail businesses, by creating and maintaining a work environment that is both prepared and secure through global security centers of excellence staffed by subject matter experts in people and asset protection. accomplishes this by building innovative, highly scalable services \&amp; technologies that that eliminate subjectivity, complexity, and variation: identifying, preparing for, and mitigating risk; and auditing our practices to ensure compliance. As part of, we build exciting software technology products that help with security and loss prevention for client operations. We are looking for a passionate, results\-oriented, and inventive Principal Product Manager \- Technical \- to drive our suite of critical software to deliver world\-class value for risk, resilience, and investigation management.
 The right candidate possesses a strong background in customer\-experience and product and program management, combined with solid understanding of current cloud\-based software and web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 Lead a set of products to develop and execute the product roadmap using client’s working backwards process, including identifying customer pain points and new opportunities
* Establish best practices to define, prioritize, and communicate product requirements to cross\-functional teams using client’s working backwards process
* Reinforce a team's ability to analyze emerging industry trends in Security \&amp; Loss prevention that can contribute to the long\-term product strategy
* Work with multiple engineering teams to design and deliver high\-quality software products that meet customer needs and business objectives
* Collaborate with user experience teams, data engineering, and solution architects to create intuitive and user\-friendly interfaces for complex workflows
* Create foundational mechanisms to analyze user feedback and data to continuously improve product performance and user experience across the organization and suite of products
* Monitor the execution of projects in the portfolio, providing project progress to stakeholders when needed, identify and mitigating risks, and pushing for appropriate levels of quality to maintain the overall integrity of the project
* Work closely with various teams to ensure scalability and maintainability of the products
**Must haves:** 
* Ability to monitor the execution of projects in the portfolio, providing project progress to stakeholders when needed, identify and mitigating risks, and pushing for appropriate levels of quality to maintain the overall integrity of the project
* Experience with working closely with various teams to ensure scalability and maintainability of the products
* Experience creating foundational mechanisms to analyze user feedback and data to continuously improve product performance and user experience across the organization and suite of products</t>
        </is>
      </c>
    </row>
    <row r="15">
      <c r="A15" t="inlineStr">
        <is>
          <t>li-4375410126</t>
        </is>
      </c>
      <c r="B15" t="inlineStr">
        <is>
          <t>Senior Product Manager, Enterprise Stablecoins</t>
        </is>
      </c>
      <c r="C15" t="inlineStr">
        <is>
          <t>M0</t>
        </is>
      </c>
      <c r="D15" t="inlineStr">
        <is>
          <t>linkedin</t>
        </is>
      </c>
      <c r="E15" t="inlineStr"/>
      <c r="F15" t="inlineStr"/>
      <c r="G15" t="inlineStr">
        <is>
          <t>New York, NY</t>
        </is>
      </c>
      <c r="H15" t="inlineStr"/>
      <c r="I15" t="inlineStr">
        <is>
          <t>Intro
 M0 is building the universal stablecoin platform.
 With M0, builders can create application\-specific digital dollars, customizing everything from branding and compliance logic to yield distribution and transfer behavior. We provide the infrastructure, standards, and operational foundation that allow stablecoins to move from a crypto\-native asset class into real\-world money rails.
 Stablecoins have already surpassed $300B in circulation, and are on a clear path to becoming a trillion\-dollar category. We are now starting to see real enterprise adoption: stablecoins embedded directly into payments, rewards, treasury workflows, cross\-border settlement, and programmable financial products.
 That is where this role comes in.
 We are looking for an
 **Sr. Product Manager, Enterprise Stablecoins** 
 to define and deliver stablecoin products purpose\-built for large enterprise partners. This is a highly cross\-functional role that blends product strategy, customer engagement, systems thinking, and execution. You will work directly with some of the largest fintech, payments, and consumer platforms in the world to help them launch stablecoin products that feel seamless, compliant, and production\-ready.
 What you will do
 As Sr. Product Manager, Enterprise Stablecoins, you will own the product vision and execution for M0's enterprise stablecoin offerings. Your work will span product design, partner launches, and core platform evolution.
 Key responsibilities include:
* Own the product strategy and roadmap for enterprise stablecoin deployments on M0
* Work directly with enterprise partners to scope, design, and launch stablecoin\-powered products
* Translate enterprise needs into clear product requirements and execution plans across engineering, design, and operations
* Design solutions for enterprise use cases such as payments, rewards, treasury management, settlement rails, and programmable money flows
* Drive alignment across product, engineering, legal, and business development to ensure successful enterprise launches
* Define enterprise\-ready integration patterns, APIs, and platform primitives that reduce time\-to\-launch for future partners
* Identify repeatable product patterns across deployments, and feed them back into M0 Core to improve scalability and standardization
* Serve as the internal expert on enterprise stablecoin requirements, including reliability, compliance constraints, security expectations, and operational workflows
 What we are looking for
 The ideal candidate is a highly capable product leader with strong enterprise instincts. You can engage directly with sophisticated partners, build trust quickly, and convert messy requirements into clean product direction.
 You likely have:
* 6–10\+ years of experience in product, strategy, solutions, or platform roles serving enterprise customers
* Deep familiarity with payments, financial infrastructure, fintech APIs, or large\-scale platform integrations
* Experience building products that sit close to regulated workflows or money movement
* Strong customer\-facing presence, comfortable leading complex partner engagements end\-to\-end
* Ability to operate at both the strategic and tactical level, from product vision down to detailed execution
* High ownership mindset, comfortable driving outcomes in ambiguous and fast\-moving environments
* Strong written and verbal communication skills, with the ability to simplify complexity and align stakeholders
 Experience in stablecoins, crypto, or blockchain is a plus, but not required. What matters most is that you are excited about the future of digital money infrastructure, and capable of shipping enterprise\-grade products into the world.
 Why this role matters
 Stablecoins are becoming real financial infrastructure. The next wave of adoption will not be driven by crypto\-native teams. It will be driven by large enterprises integrating stablecoins directly into their workflows and products.
 This role will define how M0 wins that market.
 You will be responsible for building repeatable enterprise stablecoin playbooks, launching flagship partners, and shaping the platform capabilities that make M0 the default stablecoin infrastructure layer for the world's largest businesses.
**Benefits**
* Competitive compensation including token grant
* Comprehensive health benefits: medical, dental, and vision insurance fully sponsored by the company
* Flexible work environment with a global team; work remotely or from our NYC or Berlin hub
* Wellbeing allowance to support your physical and mental health
* IT equipment stipend to set up your ideal workspace
* Annual professional development budget to invest in your growth and skills
* Unlimited paid time off to take the time you need, when you need it</t>
        </is>
      </c>
    </row>
    <row r="16">
      <c r="A16" t="inlineStr">
        <is>
          <t>li-4375424504</t>
        </is>
      </c>
      <c r="B16" t="inlineStr">
        <is>
          <t>Product Manager</t>
        </is>
      </c>
      <c r="C16" t="inlineStr">
        <is>
          <t>HCLTech</t>
        </is>
      </c>
      <c r="D16" t="inlineStr">
        <is>
          <t>linkedin</t>
        </is>
      </c>
      <c r="E16" t="inlineStr"/>
      <c r="F16" t="inlineStr"/>
      <c r="G16" t="inlineStr"/>
      <c r="H16" t="inlineStr"/>
      <c r="I16" t="inlineStr">
        <is>
          <t>**🚀Job Title : Product Manager – Lab Services** 
**📍Job Type : Fulltime** 
**📍Job Location : Remote** 
**📍Experience: 10–12 Years Minimum** 
**Company Overview** 
**HCLTech** 
 is one of the fastest\-growing global tech companies with
 **220,000\+ employees across 60 countries** 
 , driving innovation across Digital, Engineering, and Cloud.
 We’re looking for a dynamic
 **Product Manager – Lab Services** 
 to help us shape the future of
 **standardized lab operations** 
 and
 **Lab‑as‑a‑Service** 
 offerings for engineering and OEM environments.
 If you thrive in high\-impact roles where productization, automation, and engineering excellence meet—this is the place for you.
 🔍
 **Role Overview** 
 You will own the strategy, definition, and evolution of scalable, automated, and cost\-efficient lab services.
 This includes building service catalogs, developing automation\-first workflows, driving commercialization, and enabling our presales \&amp; delivery teams.
 🎯
 **Key Responsibilities** 
* Build and maintain
 **Lab\-as\-a\-Service** 
 product offerings and service tiers
* Enable presales with
 **solution kits, sizing models, proposal templates, and GTM content**
* Develop pricing, consumption, and cost recovery models (on\-demand \&amp; subscription)
* Define standardized
 **lab service catalogs** 
 for provisioning, configuration, testing, lifecycle management \&amp; teardown
* Own the
 **end\-to\-end product lifecycle** 
 —definition to global rollout
* Create
 **automation\-led workflows** 
 for rapid setup, reconfiguration, and teardown
* Drive
 **virtualization, consolidation** 
 , and asset utilization improvement
* Define strong
 **governance, access control** 
 , and compliance frameworks
* Build
 **reference architectures and blueprints** 
 for hybrid/cloud\-integrated labs
* Track \&amp; optimize metrics such as utilization, quality, TAT, and defect rates
* Collaborate closely with
 **OEMs, cloud providers, automation teams, presales \&amp; delivery**
 🧠
 **Skills \&amp; Experience** 
* Bachelor’s degree in Engineering or Computer Science
* 10–12 years of experience in
 **lab/testbed** 
 or
 **infrastructure operations**
* Strong understanding of
 **networking, Linux, virtualization, servers, storage, firmware lifecycle**
* Experience with
 **orchestration/automation tools** 
 and lab management platforms
* Exposure to
 **cloud‑integrated or hybrid lab environments** 
 (preferred)
* Ability to convert engineering needs into
 **standardized commercial offerings**
* Comfortable engaging in
 **product strategy, GTM discussions \&amp; executive forums**
- 
 🌟
 **Why Join HCLTech?** 
* Endless opportunities to
 **learn, innovate, and grow**
* Transparent, supportive, and inclusive work culture
* Career mobility across roles, industries, and technologies
* Work with diverse teams representing
 **165 nationalities**
- 
 🤝
 **Equal Opportunity Employer** 
 HCLTech is committed to creating an inclusive workplace regardless of race, gender, age, nationality, orientation, disability, or any protected category.
***Disclaimer***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17">
      <c r="A17" t="inlineStr">
        <is>
          <t>li-4374035877</t>
        </is>
      </c>
      <c r="B17" t="inlineStr">
        <is>
          <t>Product Manager</t>
        </is>
      </c>
      <c r="C17" t="inlineStr">
        <is>
          <t>Vava Technologies Inc</t>
        </is>
      </c>
      <c r="D17" t="inlineStr">
        <is>
          <t>linkedin</t>
        </is>
      </c>
      <c r="E17" t="inlineStr"/>
      <c r="F17" t="inlineStr"/>
      <c r="G17" t="inlineStr">
        <is>
          <t>Los Angeles, CA</t>
        </is>
      </c>
      <c r="H17" t="inlineStr"/>
      <c r="I17" t="inlineStr">
        <is>
          <t>We are hiring a Senior Technical Product Manager to lead product strategy and execution for the company’s core integration and AI platform. This role requires a strong technical background combined with proven product management experience in developer tools, APIs, or integration platforms.
 The ideal candidate has both engineering depth and product ownership experience and is comfortable working in a fast\-moving, high\-growth startup environment.
 ⸻
 Key Responsibilities
 • Define and drive product strategy for core platform and integration products
 • Own end\-to\-end product development lifecycle from discovery to launch
 • Conduct customer research and translate needs into detailed PRDs
 • Partner closely with engineering to deliver high\-quality platform features
 • Work with customers, sales, and customer success teams to shape roadmap
 • Build next\-generation integration infrastructure focused on AI agents and RAG data ingestion
 • Manage and prioritize complex product roadmaps aligned with business goals
 • Deliver zero\-to\-one product initiatives with high ownership
 • Operate with a founder\-mindset in a low\-structure, high\-impact environment
 ⸻
 Required Qualifications
 • 5\+ years total experience:
 • Minimum 3 years in software engineering
 • Minimum 2 years in product management
 • Strong technical background in:
 • APIs
 • Developer tools
 • Integration platforms
 • Experience with enterprise products (not purely B2C/consumer)
 • Experience in high\-growth, venture\-backed product companies (Series B–D preferred)
 • Proficiency in at least one programming language (JavaScript preferred)
 • Strong PRD writing and product documentation skills
 • Proven roadmap ownership and prioritization experience
 • CS degree or equivalent technical education
 • Stable work history (no frequent job hopping)
 ⸻
 Preferred Qualifications
 • Experience with AI platforms, AI agents, or RAG workflows
 • Integration infrastructure product experience
 • Developer\-first product experience
 • Enterprise SaaS platform background</t>
        </is>
      </c>
    </row>
    <row r="18">
      <c r="A18" t="inlineStr">
        <is>
          <t>li-4375425171</t>
        </is>
      </c>
      <c r="B18" t="inlineStr">
        <is>
          <t>Program Manager - Riverwind IRTS (Coon Rapids, MN)</t>
        </is>
      </c>
      <c r="C18" t="inlineStr">
        <is>
          <t>People Incorporated Mental Health Services</t>
        </is>
      </c>
      <c r="D18" t="inlineStr">
        <is>
          <t>linkedin</t>
        </is>
      </c>
      <c r="E18" t="inlineStr"/>
      <c r="F18" t="inlineStr"/>
      <c r="G18" t="inlineStr">
        <is>
          <t>Coon Rapids, MN</t>
        </is>
      </c>
      <c r="H18" t="inlineStr"/>
      <c r="I18" t="inlineStr">
        <is>
          <t>**People Incorporated Mental Health Services** 
 is seeking a Program Manager to help lead our team at
 **Riverwind IRTS** 
 (Intensive Residential Treatment Services) located in the quiet, residential
 **Thompson Heights** 
 neighborhood of Coon Rapids. Nestled within the north metro suburbs of Minneapolis, our community\-based programs provide critical mental health support to individuals in need. This program integrates mental health, medical, and substance use care in an inpatient, 24\-hour, supervised setting. These services help individuals who are experiencing a mental health crisis or have acute mental health symptoms.
 This position is responsible for providing leadership to the program ensuring that services are delivered per organizational and licensing requirements. This role may also provide clinical direction, education, decision\-making, oversight, and consultative guidance to staff regarding services, client billing, and documentation requirements
**Schedule:** 
 Full\-Time Monday\-Friday, 8:00am\-4:00pm, Flexibility with start and end times.
**Locations: Riverwind IRTS:** 
 2708 119th Ave NW, Coon Rapids, MN 55433
**Hiring Range**
* Unlicensed Program Manager: $72,758 \- $86,000, plus $1,000 hiring bonus for external candidates.
* Licensed Program Manager: $83,665 \- $89,122, plus $2,000 hiring bonus for external candidates.
**People Incorporated Mental Health Services** 
 is the largest nonprofit mental health provider in Minnesota. For over 50 years, we have been a leading community partner, transforming the health of our communities through innovative solutions.
**Main Duties**
* Support organization’s Mission, Vision and Values as well as program and organizational policies, procedures and service standards, ensuring staff understand and integrate accordingly.
* Responsible for overseeing a program’s staff, budget, licensing, and compliance requirements.
* Manage program time and work schedules, ensuring proper staffing occurs to meet the needs of the clients.
* Attract, hire, orient and retain high\-quality staff providing training, assessing strengths and development needs and providing timely and specific feedback.
* Manage the work of assigned program staff to ensure adherence to quality standards and proper procedures, providing coaching when errors or problems are discovered.
* Provide guidance and evaluation of client development plans and progress toward identified goals.
* Responsible for the review of all documentation of case and progress notes of licensed and unlicensed staff ensuring that they are accurate and timely entered into the Electronic Health Record (EHR).
* Responsible for reviewing and signing billing related inquiries and that it is done in a timely manner.</t>
        </is>
      </c>
    </row>
    <row r="19">
      <c r="A19" t="inlineStr">
        <is>
          <t>li-4373153190</t>
        </is>
      </c>
      <c r="B19" t="inlineStr">
        <is>
          <t>Program Manager - Forensic PACT</t>
        </is>
      </c>
      <c r="C19" t="inlineStr">
        <is>
          <t>Eliot Community Human Services</t>
        </is>
      </c>
      <c r="D19" t="inlineStr">
        <is>
          <t>linkedin</t>
        </is>
      </c>
      <c r="E19" t="inlineStr"/>
      <c r="F19" t="inlineStr"/>
      <c r="G19" t="inlineStr">
        <is>
          <t>Tewksbury, MA</t>
        </is>
      </c>
      <c r="H19" t="inlineStr"/>
      <c r="I19" t="inlineStr">
        <is>
          <t>**Join Eliot – A Place to Belong, Grow, and Inspire Change** 
 At Eliot, your work has purpose. You’ll be part of a compassionate, mission\-driven team committed to resilience, empowerment, and lasting change. We foster an inclusive workplace where all backgrounds and perspectives are valued, creating a culture of belonging and professional growth.
**Benefits at Eliot** 
 We prioritize your well\-being, work\-life balance, and career growth. Benefit eligible positions include:
* **Generous Paid Time Off** 
 – Vacation, sick time, and paid holidays
* **Comprehensive Benefits** 
 – Medical, dental, and vision plans
* **Retirement Savings** 
 – 401(k) with employer match
* **Wellness \&amp; Family Support** 
 – Discounted fitness services and access to trusted childcare resources
* **Financial Security** 
 – 100% company\-paid life and accidental death insurance
* **Professional Growth** 
 – Ongoing training, career advancement programs, tuition reimbursement, and leadership development
 Eliot is seeking a
 **PACT Forensic Program Manager** 
 to join our Program for Assertive Community Treatment (PACT) team. PACT is an evidence\-based model that provides comprehensive treatment, rehabilitation, and support to adults with severe and persistent mental illness.  This PACT team is designed to work with a specialized population with a history of criminal engagement. 
 The ideal candidate will have an understanding of the unique needs and history/background of the population. Experience in community\-based work with adults with severe and persistent mental illness are a must.
**Responsibilities:** 
* Manage and oversee the day to day operation and overall service delivery.
* Provide clinical and administrative supervision to all staff in the program.
* Coordinate and oversee all case management related services for persons served in the program. This includes assisting persons served with managing income, insurance, accessing services and community resources, and scheduling/coordination of all medical and psychiatric appointments.
* Create a culture of hope, recovery and resiliency at the program to promote persons strengths, preferences and independence.  Ensure the environment is recovery focused and encourages every person to achieve goals and transition to more independent living.
* Provide support and assistance with management of medical symptoms and conditions in accordance with person’s needs.
* Ensure that the program provides and/or promotes access to meaningful day\-time activities that meet the persons’ treatment plan goals and individual needs.
* Participate in the Assessment process and the development of Treatment Plans.
**Qualifications:** 
* Preferred\- Current Massachusetts clinical license including LICSW, LCSW, LMHC, LRC, LADCI, RN or OT
* Master’s Degree in  psychology, criminal justice, social work or related field
* Candidate must possess at least 2 years of experience working with behavioral health and/or justice involved individuals.
* Must have a strong commitment to mental health recovery.
* Ability to provide supervision and leadership to direct care staff.
* Skills to establish supportive relationships with persons served.
* Valid Massachusetts Drivers License
**Schedule:** 
 Monday\-Friday, 9am\-5pm
 Annual Salary: $65,000 USD \- $75,000 USD
 At Eliot, we are committed to supporting you at every stage of your career, providing opportunities for growth, purpose, and community. We foster belonging in the workplace by identifying and removing barriers that may prevent individuals of all backgrounds from reaching their full potential, advancing into leadership roles, and fully engaging at all levels of the organization.
**Apply today and make a difference.**</t>
        </is>
      </c>
    </row>
    <row r="20">
      <c r="A20" t="inlineStr">
        <is>
          <t>li-4375416395</t>
        </is>
      </c>
      <c r="B20" t="inlineStr">
        <is>
          <t>Principal Associate, Assessment &amp; Team Effectiveness Program Manager</t>
        </is>
      </c>
      <c r="C20" t="inlineStr">
        <is>
          <t>Capital One</t>
        </is>
      </c>
      <c r="D20" t="inlineStr">
        <is>
          <t>linkedin</t>
        </is>
      </c>
      <c r="E20" t="inlineStr"/>
      <c r="F20" t="inlineStr"/>
      <c r="G20" t="inlineStr">
        <is>
          <t>McLean, VA</t>
        </is>
      </c>
      <c r="H20" t="inlineStr"/>
      <c r="I20" t="inlineStr">
        <is>
          <t>Capital One’s Enterprise Learning \&amp; Development (L\&amp;D) team is seeking a Principal Associate, Assessment \&amp; Team Effectiveness Program Manager to partner with learning consultants to analyze, identify and recommend learning experiences for people leaders and teams across Capital One. As a member of Learning Horizontal Operations, you will orchestrate strategic and tactical delivery of our Assessment and Team Effectiveness Portfolio, managing day to day operations, partnering with 3rd Party Suppliers, and working across the organization to deliver learning solutions that meet business imperatives.
 We seek a dedicated and disciplined learning professional who excels in a team environment. This person will have excellent communication skills, attention to detail, and can adapt to change quickly. The ideal candidate is strong at influencing others, including organizational leaders and strategic partners. In this position, you will contribute immediately through analyzing our current assessment portfolio to decision on our go\-forward suite of offerings while managing current offerings and experiences.
****The Ideal Candidate is:****
* A strategic learning partner that stays current with emerging trends in both talent development and technology spaces; and can balance long\-term learning vision with operational excellence and delivery rigor.
* An exceptional program manager with experience implementing and maintaining learning portfolios that support the development and engagement of effective teams
* An effective communicator, showcasing strong written and verbal communication and an ability to influence partners and leadership
* A solutions\-oriented problem solver, who anticipates emerging needs and operational roadblocks, raising issues and proposing solutions proactively, and a proven ability to bring structure to ambiguity, managing multiple priorities effectively.
* A proactive team player who actively shares best practices, identifies efficiencies, and fully participates in team ceremonies.
****What your day to day will look like:****
* Recommend, implement, and maintain team effectiveness offerings to support teams with collaboration, norming, planning, and team building
* Contribute to creating a strategy and utilization needs for external team effectiveness vendors, with clear recommendations for measuring results and return on investment
* Consult and collaborate with stakeholders to identify gaps and emerging needs grounded in data insights
* Build and manage the team effectiveness portfolio and suite of offerings, managing vendor relationships, and updating the content as needed
* Analyzing data participation trends and feedback input to provide recommendations and insights to support strategy development and offerings
* Partner with identified stakeholders to align learning efforts to various organizational/business imperatives
****Here is what you need to be successful:****
* Proven ability to navigate across a large organization to drive change and influence on\-time deliverables across multiple job families (ie. Learning Consultants, Program Managers, Data Analysts, and Learning Leaders)
* An understanding of how a large\-scale L\&amp;D organization functions from client intake to end learning solution (internally built or external vendor) to expedite the delivery of world\-class learning solutions while remaining fiscally and resourcefully responsible
* Showcase an openness to diverse viewpoints and perspectives to drive consensus on solutions that align with the organization’s standardization efforts
* Ability to work with minimal oversight, delivering high\-quality results on\-time
****Basic Qualifications:****
* High School Diploma, GED or equivalent certification
* At least 2 years of experience in program management or learning delivery
* At least 2 years of experience using or managing team effectiveness models and tools such as the Tuckman model, the Lencioni model, CliftonStrengths, SDI (Core Strengths), MBTI, DiSC, or other team or personality assessments
* At least 1 year of experience delivering assessment debriefs or workshops
****Preferred Qualifications:****
* Bachelor’s Degree or military experience
* 3\+ years of experience in Learning \&amp; Development or Educational Consulting
* 3\+ years of experience in Business Process Management or Project Management
* Certification in CliftonStrengths, SDI (Core Strengths), MBTI, DiSC, or other team or personality assessments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$108,900 \- $124,300 for Learning Consultant
 Richmond, VA: $98,900 \- $112,900 for Learning Consultant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
      <c r="A21" t="inlineStr">
        <is>
          <t>li-4328792406</t>
        </is>
      </c>
      <c r="B21" t="inlineStr">
        <is>
          <t>Fitness Program Manager</t>
        </is>
      </c>
      <c r="C21" t="inlineStr">
        <is>
          <t>Exos</t>
        </is>
      </c>
      <c r="D21" t="inlineStr">
        <is>
          <t>linkedin</t>
        </is>
      </c>
      <c r="E21" t="inlineStr"/>
      <c r="F21" t="inlineStr"/>
      <c r="G21" t="inlineStr">
        <is>
          <t>Brooklyn Park, MN</t>
        </is>
      </c>
      <c r="H21" t="inlineStr"/>
      <c r="I21" t="inlineStr">
        <is>
          <t>**Job Summary:** 
 We’re looking for a Manager who will play a pivotal role in driving our fitness programs and creating a positive experience for our clients and members. This individual will lead and inspire a team of fitness professionals, delivering engaging health promotion and wellness programs that meet both immediate and long\-term objectives. This is a hands\-on management position, perfect for a leader passionate about fitness, client relationships, and results.
**Responsibilities:** 
* Hire, train, and supervise a team of qualified fitness professionals, ensuring staff deliver high\-quality services to all participants.
* Design, implement, and evaluate a variety of fitness, health promotion, and incentive programs tailored to client needs.
* Align fitness programs with annual strategic planning to meet and exceed short\- and long\-term goals.
* Manage the program budget, monitor expenses, and generate detailed reports on program performance and outcomes.
* Build and maintain proactive relationships with client liaisons, ensuring client satisfaction and program alignment.
* Perform initial fitness assessments, craft personalized exercise plans, and guide clients through their first workouts.
* Offer fitness services to a diverse range of clients, including high\-risk participants, with a focus on safety and individual needs.
* Ensure the fitness center and exercise areas are supervised, safe, and compliant with health and safety guidelines.
* Lead and manage the group exercise program, including scheduling and instruction.
* Perform other tasks as required to support the department’s success and exceed client expectations.
**Qualifications:** 
* Bachelor’s Degree in Exercise Science, Kinesiology, or a related field.
* Current CPR/AED and First Aid certifications required.
* Minimum of 3 years of experience in a fitness environment, including hands\-on training and client interaction.
* Proven experience leading group exercise classes and tailoring workouts for various fitness levels.
* Prior management experience in a fitness or wellness setting.
 Per pay transparency requirements, the compensation for this position ranges from $24\.04 \- $45\.00/hour. Minimum rates may vary based on local wage laws. Pay is dependent on factors including site location, specialty, certifications and work experience as well as other business needs. Exos offers a comprehensive benefits package for all full time employees (all benefits are subject to eligibility requirements), which includes health insurance, life and disability benefits, 401(k) plan, and paid time off. Additionally, Exos offers a variety of part time benefits (subject to eligibility requirements).
**WHO WE ARE** 
 For nearly 30 years, Exos has been dedicated to getting people ready for the moments that matter by promoting a holistic approach to health. As an elite coaching company, Exos applies its evidence\-based methodology to programming designed to unlock the potential in everyone from corporate employees, to elite athletes, military operators, and beyond.
 Simply put, we “get you ready” for the moments that matter — whether that’s striving to excel at work, or training for a major athletic event. How do we do it? Our employer solutions include fitness center management, on\-site coaching and classes, and the Exos app, as well as immersive team\-building experiences, executive coaching, and personal development programming. Our professional athlete training programs propel elite athletes to new heights in the NFL combine and NBA Draft each year, and our practitioner education courses and workshops provide industry professionals ongoing opportunities for development.
 We’ve never been the type to accept the status quo. We’re all about studying, learning, innovating, and making waves. And we feel that it’s our responsibility to help others because we know there’s a better way. That better way is Exos Readiness.
**We are an equal opportunity employer** 
 EXOS is proud to be an equal opportunity employer. We are committed to creating an inclusive and welcoming workplace for all. We invite applicants from a wide variety of identities, ideas, perspectives and experiences and encourage people from underrepresented backgrounds to apply. Exos offers reasonable accommodations to job applicants with disabilities.
 Learn more here:
* EEO is the Law
* EEO is the Law Supplement</t>
        </is>
      </c>
    </row>
    <row r="22">
      <c r="A22" t="inlineStr">
        <is>
          <t>li-4374062738</t>
        </is>
      </c>
      <c r="B22" t="inlineStr">
        <is>
          <t>Transmission Program Manager V</t>
        </is>
      </c>
      <c r="C22" t="inlineStr">
        <is>
          <t>FirstEnergy</t>
        </is>
      </c>
      <c r="D22" t="inlineStr">
        <is>
          <t>linkedin</t>
        </is>
      </c>
      <c r="E22" t="inlineStr"/>
      <c r="F22" t="inlineStr"/>
      <c r="G22" t="inlineStr">
        <is>
          <t>Akron, OH</t>
        </is>
      </c>
      <c r="H22" t="inlineStr"/>
      <c r="I22" t="inlineStr">
        <is>
          <t>**Job Description**
***FirstEnergy at a Glance***
 We are a forward\-thinking electric utility powered by a diverse team of employees committed to making customers’ lives brighter, the environment better and our communities stronger.
 FirstEnergy (NYSE: FE) is dedicated to integrity, safety, reliability and operational excellence. 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
 This is an open position with FirstEnergy Service Co . , a subsidiary of FirstEnergy Corp.
 All employees who apply for a posted position must notify their supervisors that they have applied . Employees who have not been in their current positions for at least one year or who are in a position with specific requirements beyond one year, must obtain approval from their supervisor before applying .
 The selected candidate may be offered a position within the same job family, at a level that is lower than what was posted. This will be determined based upon the results of the interview process which considers the candidate’s skills, work history, experience level, and other relevant qualifications.
 This position is responsible for developing, managing, monitoring and controlling transmission line maintenance programs to ensure they safely achieve the program deliverables within the approved scope, cost and schedule .
**Responsibilities Include**
* Developing new, or managing existing, Transmission Line related programs to ensure the reliability of transmission line assets and infrastructure.
* Developing program documents, program specifications, bid documents and conducting pre\-bid meetings with qualified bidders .
* Working directly with Supply Chain personnel to competitively bid program work and award contracts
* Reviewing program and contract budgets for adequacy, completeness, and other requirements and assuring that required budgets exist to support planned work.
* Focus on monitoring program scope and upon proper approvals, incorporate changes/revisions as required.
* Providing program status (scope, budget and schedule progress) and identification of issues requiring management involvement for resolution
* Obtaining input and concurrence from affected OPCOs to support the proposed schedule and resource requirements; reviewing and approving program plans
* Validating that project estimates are appropriately developed and maintained for closeout reconciliation
* Responsible for overseeing the activities of consultants and contractors for safety and quality assurance . Includes preparation of Incident Reporting documentation.
* Provide input for development of the Transmission Line Services capital project portfolio
* Coordinate capital project revisions with project development
* Track financials (budget, forecast, and accruals) for capital and O\&amp;M programmatic expenses
* Tracking multiple projects and programmatic tasks simultaneously
* Support emergency response transmission line restorations
* Identifying and coordinating needed outages to safely execute the work
* Securing qualified field inspectors to oversee contractor's daily field work activities
* Monitoring contractor resource levels and work product.
* Understanding the terms of the contract and associated documentation of services under the contract/purchase order . Prior to mobilization to the site, conduct pre\-construction meeting with contractor supervisory personnel to review all aspects of the program scope, scheduled facility outages, completion of reports and reporting protocol, etc.
* Responsible for communicating with and reviewing property owner complaints . Work with contractor and/or Corporate Claims personnel to reach fair and reasonable settlements related to crop damage, land disturbance. land restoration, etc .
* Responsible for the quality assurance and control program, including identification of quality requirements, responsibility for QA program, review and approval process for contractor's required documentation
* Communicating Program goals, priorities, decisions and project updates to OPCO and T\&amp;SS Management teams
* Identifying and notifying Management of additional resources, material and/or equipment requirements necessary to meet the Project scope or schedule
* Coordinating the close\-out and lessons\-learned documentation applicable to the Program; auditing completed projects to evaluate whether identified objectives and benefits have been realized or establish a time table of benefit realization
* Perform ad hoc requests to support department and regional transmission's needs
* Reviewing encroachments within our Transmission Rights\-of\-Ways
* Coordinating out of scope aerial patrol requests including but not limited to outage, pre\-energization, post\-construction, risk assessments, splice inventory, pre\-engineering, etc.
* Reviewing, uploading, and communicating conditions found during scheduled or out of scope aerial patrols to applicable departments.
**Qualifications Include**
* Bachelor of Science degree in Business, Engineering, Engineering Tch, Finance or equivalent preferred or closely related degree from an ABET accredited institution \- such as Construction Management or Project Management. Acceptable alternatives for Engineering degrees are: (1\) a Professional Engineer’s (PE) License (2\) a Bachelor’s degree in Business, Engineering, Engineering Tch, Finance or equivalent preferred or closely related degree (non\-ABET) plus an advanced degree in a equivalent or closely related degree from a university with an ABET accredited Bachelor’s program. In lieu of a degree, minimum 5 years of related experience required. Related experience may include project management, transmission maintenance, or construction experience.
* Minimum of ten (10\) years of Program Manager or equivalent experience is required or in lieu of degree 15 years of experience.
* An employee hired at the Transmission Program Manager V level will be expected to perform all of the above responsibilities with more proficiency, and in a more independent manner . Further, the Transmission Program Manager V level employee will be considered a Subject Matter Expert.
* Strong project management skills are required with a demonstrated ability to develop, manage and control multiple tasks
* Strong understanding of electrical power preferred .
* Must be a team player and possess a willingness to work in a team environment.
* Knowledge of FE safety practices .
* Knowledge of FE design and construction standards .
* Knowledge of the electric transmission system, reliability standards and regional transmission organizations is beneficial.
* Demonstrated experience in accomplishing responsibilities in a timely manner through maximizing organizational resources, financial decision making and employing logical engineering approaches .
* Excellent interpersonal skills, strong written and verbal communication skills and strong analytical ability are required
* Ability to work independently, as well as collaboratively, with multiple departments in multiple locations .
* Proficient computer skills (Word , Excel and Outlook) required with core understanding of applicable technical products and/or services . Primavera and MS project is a plus .
* Ability to work in both an office and field environment.
* Willing and able to support travel to various company locations (including overnight travel) as needed .
**Benefits, Compensation \&amp; Workforce Diversity**
 At FirstEnergy, employees are key to our success. We depend on their talents to meet the challenges of our changing business environment. 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 Please visit our website at www.firstenergycorp.com to learn more about all of our employee rewards programs. FirstEnergy proudly supports workforce diversity. All qualified applicants will receive consideration for employment without regard to race, religion, color, national origin, sex, sexual orientation, gender identity, age, status as a protected veteran, or status as a qualified individual with a disability. No recruiters or agencies without a previously signed contract. Unable to sponsor or transfer H\-1B visas at this time.
**Safety**
 Safety is a core value for FirstEnergy and is essential to all of our business activities. We ensure employees have the tools, information, and processes to perform their duties in a manner that assures safety for themselves, their co\-workers, our customers and the public. Our goals are to provide a safe work environment, to maintain an accident\-free, injury\-free workplace, and to promote and maintain public safety. To meet these goals, we dedicate ourselves to achieving world\-class safety standards.
**FirstEnergy takes a market\-based approach to pay, which may vary depending on your location. In addition, your actual base salary will depend on various factors such as your skills, qualifications, and experience.**
**The estimated pay range for this role is $108,000\- $153,600\. The pay range for certain locations, including the state of New Jersey, include a 20% differential to account for an increased cost of living, making the pay range $130,560 \- $184,320**</t>
        </is>
      </c>
    </row>
    <row r="23">
      <c r="A23" t="inlineStr">
        <is>
          <t>li-4375404194</t>
        </is>
      </c>
      <c r="B23" t="inlineStr">
        <is>
          <t>Material Compliance Program Manager</t>
        </is>
      </c>
      <c r="C23" t="inlineStr">
        <is>
          <t>Patterson Companies, Inc.</t>
        </is>
      </c>
      <c r="D23" t="inlineStr">
        <is>
          <t>linkedin</t>
        </is>
      </c>
      <c r="E23" t="inlineStr"/>
      <c r="F23" t="inlineStr"/>
      <c r="G23" t="inlineStr">
        <is>
          <t>St Paul, MN</t>
        </is>
      </c>
      <c r="H23" t="inlineStr"/>
      <c r="I23" t="inlineStr">
        <is>
          <t>The Material Compliance Program Manager is responsible for developing, implementing, and maintaining robust business processes that ensure compliance with national (US, Canada) and state/provincial product material compliance requirements and drive continuous improvement for a 285k item product portfolio. They will contribute to both the strategic and operational functions of the Legal, Compliance, and Regulatory Department.
**Essential Functions**
* Develop, implement, and optimize compliance programs and procedures to ensure alignment with applicable laws, regulations, and internal policies across business functions
* Serve as a subject matter expert and trusted advisor by providing guidance to internal partners on compliance requirements, emerging risks, and best practices
* Monitor, interpret, and assess regulatory changes to determine business impact and lead the development and execution of response strategies
* Collaborate cross functionally with business units, legal, audit, risk, and operational teams to ensure accurate documentation, effective controls, and timely remediation of compliance gaps
* Manage compliance related data and reporting, ensuring accuracy, integrity, and timely submission of required internal and external reports
* Lead training, communications, and awareness initiatives to build organizational understanding of compliance obligations and promote a culture of compliance
* Support internal audits, assessments, and investigations, and coordinate corrective actions to strengthen compliance controls and prevent recurrence
* Use data analytics and compliance metrics to identify trends, evaluate program effectiveness, and recommend continuous improvements
* May participate in or lead incident reviews and post issue analyses, coordinating with stakeholders to identify root causes and develop long term solutions
* Comply with Company and department policies and standards; performs other duties as assigned
* Develop and implement processes to ensure products meet federal, state/provincial, and international product composition regulations, including TSCA, REACH, and California Proposition 65
* Serve as the primary advisor on product hazard communication requirements, including oversight of Safety Data Sheet (SDS) creation and coordination with third party SDS vendors
* Manage and maintain product chemical composition data and facilitate required regulatory reporting such as EPCRA Tier II, TSCA Section 8(a)(7\), and PFAS related disclosures
**Minimum Requirements**
* Bachelor's Degree in a related field or equivalent education and/or experience
* 5 years relevant experience
**Preferred Requirements**
* Master's Degree in a related field
* Experience with data analytics, SQL querying, and ERP systems (SAP preferred)
**Skills And Abilities**
* Strong understanding of regulatory compliance frameworks, industry standards, and risk management principles
* Knowledge of compliance program design, monitoring, auditing, and reporting practices
* Familiarity with governance, risk, and compliance (GRC) systems and data management practices
* Excellent analytical and problem\-solving skills with the ability to assess risks and evaluate controls
* Strong communication skills with the ability to convey complex requirements clearly to diverse audiences
* Project management skills, including leading cross\-functional initiatives and delivering results within deadlines
* Proficiency in interpreting regulations and translating them into practical business processes
* Ability to work independently while effectively influencing and partnering across business functions
* Ability to manage multiple priorities, make sound decisions, and exercise professional judgment
* Ability to balance strategic thinking with hands on execution
* Ability to maintain confidentiality and handle sensitive information with integrity
**Preferred Licenses And Certifications**
 One or more professional credentials, including (but not limited to):
* Certified Safety Professional (CSP)
* Certified Industrial Hygienist (CIH)
* Certified Professional Product Steward (CPPS)
* Professional Engineer (PE) Preferred
**Physical and Cognitive Demands**
* Communicate/Hearing Frequently
* Communicate/Talking Frequently
* Learn New Tasks or Concepts Frequently
* Make Timely Decisions in the Context of a Workflow Frequently
* Complete Tasks Independently Constantly
* Maintain Focus Constantly
* Remember Processes \&amp; Procedures Constantly
* Stationary Position (Seated) Constantly
* Vision Constantly
**Travel Requirements**
* 5% This position requires minimal travel throughout the US and the potential for limited international travel. For this position, limited on\-call is required for serious injury reporting.
**Pay Transparency**
 $85,000\-$106,800\-$128,000
 The potential compensation range for this role is below. The final offer amount would be based on various factors such as candidate location (geographical labor market), experience, and skills. $85,500\.00 \- $106,800\.00</t>
        </is>
      </c>
    </row>
    <row r="24">
      <c r="A24" t="inlineStr">
        <is>
          <t>li-4374055585</t>
        </is>
      </c>
      <c r="B24" t="inlineStr">
        <is>
          <t>Group Product Manager - In-Store Digital Media &amp; ESL</t>
        </is>
      </c>
      <c r="C24" t="inlineStr">
        <is>
          <t>Avery Dennison</t>
        </is>
      </c>
      <c r="D24" t="inlineStr">
        <is>
          <t>linkedin</t>
        </is>
      </c>
      <c r="E24" t="inlineStr"/>
      <c r="F24" t="inlineStr"/>
      <c r="G24" t="inlineStr">
        <is>
          <t>Little Rock, AR</t>
        </is>
      </c>
      <c r="H24" t="inlineStr"/>
      <c r="I24" t="inlineStr">
        <is>
          <t>About Avery Dennison
 Avery Dennison Corporation (NYSE: AVY) is a global materials science and digital identification solutions company. We are Making Possible™ products and solutions that help advance the industries we serve, providing branding and information solutions that optimize labor and supply chain efficiency, reduce waste and mitigate loss, advance sustainability, circularity and transparency and better connect brands and consumers. We design and develop labeling and functional materials, radio\-frequency identification (RFID) inlays and tags, software applications that connect the physical and digital and offerings that enhance branded packaging and carry or display information that improves the customer experience. Serving industries worldwide — including home and personal care, apparel, general retail, e\-commerce, logistics, food and grocery, pharmaceuticals and automotive — we employ approximately 35,000 employees in nearly 60 countries. Our reported sales in 2025 were $8\.9 billion. Learn more at www.averydennison.com.
**Job Description**
 About the Role
 We are seeking a Group Product Manager to lead product strategy and execution for two of Vestcom's highest\-priority growth areas: In\-Store Digital Media and Electronic Shelf Labels (ESL). This role is responsible for driving business outcomes across both product lines, leading a team of product managers, and partnering closely with engineering, design, and go\-to\-market teams to deliver products that create measurable value for retailers and brands.
 The ideal candidate combines strategic thinking with hands\-on discovery practices, maintaining direct relationships with customers while coaching their team to do the same. This is a high\-visibility role at the center of Vestcom's transformation from paper\-based solutions to digital retail media, representing Vestcom not only to customers but also to partners, industry peers, and the press.
 Key Responsibilities
 Product Strategy \&amp; Outcomes
* Own product vision and roadmap for In\-Store Digital Media and ESL product lines, with accountability for business outcomes including retailer adoption, brand revenue, and margin performance
* Define and track success metrics that connect product initiatives to business results, not just feature delivery
* Make prioritization decisions based on customer value and business impact, adjusting course as you learn what works
* Identify market adjacencies that expand the addressable market and develop effective product strategies to pursue them
 Customer Discovery \&amp; Validation
* Conduct ongoing customer research, including weekly conversations with retailers, brands, and store operations teams
* Identify customer problems and opportunities through direct engagement, translating insights into product strategy
* Design and run experiments to validate product hypotheses before committing significant engineering resources
* Build evidence\-based business cases for new initiatives, including market sizing and competitive positioning
 Team Leadership
* Lead, mentor, and develop product managers, with emphasis on building discovery capabilities and strategic thinking
* Foster a team culture focused on learning and outcomes rather than output volume
* Create clarity on goals and priorities while giving team members autonomy in how they achieve results
* Advance product management rigor and productivity across the team
 Cross\-Functional Collaboration
* Partner with engineering and design as part of integrated product teams, collaborating on solutions rather than handing off requirements
* Work with sales, marketing, and customer success on go\-to\-market strategy, positioning, and sales enablement
* Partner with the commercial team to help drive client adoption of new products
* Communicate product strategy, progress, and learnings to executive leadership and stakeholders
**Qualifications**
 Required Qualifications
* 8\+ years of product management experience, including 3\+ years leading or managing other product managers
* Demonstrated track record of delivering products that achieved measurable business outcomes
* Experience with B2B products, preferably in retail, media, advertising technology, or hardware/software solutions
* Strong customer research skills with experience conducting discovery interviews and translating insights into strategy
* Experience navigating ambiguous, early\-stage product challenges where the path forward required experimentation
* Excellent communication skills, with ability to influence without authority across engineering, design, and commercial teams
* Customer\-focused product leader who approaches problems from the customer's lens
 Preferred Qualifications
* Experience with retail media networks, in\-store technology, or shelf\-edge solutions
* Background in two\-sided marketplace or platform products serving both retailers and brands
* Experience with hardware/software integrated products or IoT deployments
* Familiarity with modern product discovery practices (e.g., opportunity solution trees, continuous discovery)
* Experience working with enterprise retail customers (grocery, mass merchandise, convenience)
* Experience working in a remote environment, with offshore contractors and/or in a global environment
* Understanding of the modern tech stack, cloud, and complex data systems
* Familiarity with AI applications and frameworks (LLMs, RAG, agents)
 What Success Looks Like
 In your first year, you will be measured on business outcomes including:
* Retailer expansion and adoption metrics for In\-Store Digital Media
* Brand revenue growth and campaign retention rates
* ESL market expansion and enterprise customer acquisition
* Team development and capability building
* Quality of customer insights driving product decisions
**Additional Information**
 The salary range for this position is $128,550 \- $171,400 /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Experienced Avery Dennison employees who are interested in this position and have questions regarding how the hiring range listed above may apply to them should contact their HR representative. Avery Dennison reserves the right to modify this information at any time, subject to applicable law.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If you require accommodations to view or apply for a job, alternative methods are available to submit an application. Please contact (440\) 534\-6000 or NA.TA.Operations@averydennison.com to discuss reasonable accommodations.</t>
        </is>
      </c>
    </row>
    <row r="25">
      <c r="A25" t="inlineStr">
        <is>
          <t>li-4364579649</t>
        </is>
      </c>
      <c r="B25" t="inlineStr">
        <is>
          <t>Product Manager - Ship to Home-Fulfillment</t>
        </is>
      </c>
      <c r="C25" t="inlineStr">
        <is>
          <t>Meijer</t>
        </is>
      </c>
      <c r="D25" t="inlineStr">
        <is>
          <t>linkedin</t>
        </is>
      </c>
      <c r="E25" t="inlineStr"/>
      <c r="F25" t="inlineStr"/>
      <c r="G25" t="inlineStr">
        <is>
          <t>Grand Rapids, MI</t>
        </is>
      </c>
      <c r="H25" t="inlineStr"/>
      <c r="I25"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**About The Role**
 We are seeking a strategic, executionoriented Product Manager – ShiptoHome and Omnichannel Fulfillment Experience to own and evolve our endtoend fulfillment capabilities across ShiptoHome, instore fulfillment, and home delivery. This role operates within an established ecommerce ecosystem that already supports pickup and thirdparty delivery and is responsible for scaling and optimizing how customers receive products across channels.
 You will lead the strategy, roadmap, and execution for ShiptoHome and omnichannel fulfillment experiences, partnering deeply with digital, operations, supply chain, and third party providers to solve the most impactful problems and deliver measurable business outcomes.
**What You’ll Own \&amp; Deliver**
**EndtoEnd ShiptoHome \&amp; Omnichannel Fulfillment Leadership**
* Own the endtoend ShiptoHome and omnichannel fulfillment experience, from discovery and eligibility through delivery, tracking, and returns.
* Define and maintain business rules and guidance for fulfillment tactics, including fulfillfromstore, fulfillfromwarehouse, and hybrid fulfillment models.
* Create and govern business rules and processes for ShiptoHome item returns, ensuring clarity, consistency, and operational alignment.
* Ensure item tracking, shipment visibility, and status updates are implemented and clearly communicated to customers across digital touchpoints.
**Strategy, Roadmap \&amp; Business Impact**
* Define and own the product strategy for ShiptoHome and omnichannel fulfillment, balancing customer experience, operational constraints, and financial outcomes.
* Own and communicate the product roadmap, aligning priorities, milestones, dependencies, and risks across cross functional teams.
* Own the global catalog pricing strategy for ShiptoHome items in close partnership with digital merchandising, finance, and pricing teams.
* Identify the right problems to solve and prioritize initiatives that drive the greatest customer and business impact.
**Cross Functional \&amp; Partner Collaboration**
* Collaborate with Digital Merchandising and Merchant teams to define product eligibility rules and catalog logic for ShiptoHome and omnichannel fulfillment.
* Partner with Order Management Systems (OMS), Store Operations, Supply Chain, Voice of Customer, and 3rdParty Fulfillment providers to deliver scalable solutions.
* Partner closely with instore fulfillment teams and home delivery service providers to understand capabilities, constraints, and opportunities.
* Build business cases to ensure the largest and most critical problems are prioritized and addressed.
* Partner with Digital Customer Experience (CX) teams to ensure UI and customer messaging clearly reflect fulfillment rules, costs, timelines, tracking, and return processes.
**DataDriven Execution \&amp; Leadership Communication**
* Build product objectives and goals in collaboration with key stakeholders and partners.
* Gather data and conduct research to identify Product ROI and inform investment decisions.
* Measure adoption, usage, operational performance, and business impact of launches to validate outcomes and prove ROI.
* Communicate progress, insights, and lessons learned regularly to senior leadership.
* Serve as an enabler to your product teams, helping them deliver against planned roadmap and outcomes aligned with organizational goals.
**What You Bring**
* Experience as a Product Manager in ecommerce, retail, fulfillment, logistics, or supply chain adjacent domains.
* Proven ability to translate operational complexity into clear product rules and customer friendly experiences.
* Strong crossfunctional partnership and stakeholder influence skills.
* Datadriven mindset with a focus on outcomes and measurable impact.
* Comfort communicating strategy, progress, and tradeoffs to senior leadership.
**Why This Role Matters**
* ShiptoHome and omnichannel fulfillment are critical growth levers across digital and physical retail.
* You will directly influence customer satisfaction, fulfillment scalability, and cost to serve.
* You’ll operate at the intersection of ecommerce, store operations, supply chain, and customer experience—where product impact is highly visible and measurable.</t>
        </is>
      </c>
    </row>
    <row r="26">
      <c r="A26" t="inlineStr">
        <is>
          <t>li-4373119712</t>
        </is>
      </c>
      <c r="B26" t="inlineStr">
        <is>
          <t>Treasury Management Product Owner</t>
        </is>
      </c>
      <c r="C26" t="inlineStr">
        <is>
          <t>Veritas Partners</t>
        </is>
      </c>
      <c r="D26" t="inlineStr">
        <is>
          <t>linkedin</t>
        </is>
      </c>
      <c r="E26" t="inlineStr"/>
      <c r="F26" t="inlineStr"/>
      <c r="G26" t="inlineStr"/>
      <c r="H26" t="inlineStr"/>
      <c r="I26" t="inlineStr">
        <is>
          <t>**RESPONSIBILITIES:** 
* Drive commercial product and service strategy with a focus on meeting business customer requirements, creating operational efficiencies for businesses, and delivering best\-in\-class technology solutions that streamline processes and enhance overall client experience
* Develop and implement strategies for core deposit acquisition across customer segments, emphasizing creative solutions that reduce rate sensitivity and increase fee income through strategic partnerships, product enhancements, pricing strategies and fee structures
* Direct the use of competitive analysis, market trends, and customer feedback to inform product design, pricing and go\-to\-market strategies
* Define and develop key differentiators for business segment sales strategies
* Guide the team in translating strategy into actionable, measurable plans, fostering innovation and continuous improvement across commercial segments
* Manage product management team resources and provide direction on prioritization, effective identification of product/service gaps, and advise on new technology opportunities, ensuring sound business justifications and product review of existing offerings
* Enhance product profitability by owning profitability metrics and making data\-driven decisions on product offerings to oversee the health and performance of the commercial deposit portfolio, understanding cost of funds, the product mix and long\-term balance sheet needs
* Supervise financial reporting resources within Relationship Banking
* Collaborate closely with front, middle and back\-office leadership to align execution of sales strategies and product/service implementations/changes
* Attend high\-profile commercial client calls to gather feedback on products, technology needs, and banking challenges
* Stay current with industry trends, interface with vendors, and represent the bank at industry conferences
* Manage, mentor, and develop a team, fostering a high\-performance culture focused on innovation, setting clear goals, providing ongoing feedback, and supporting career development to build organizational capability and bench strength
**QUALIFICATIONS:** 
* Bachelor’s Degree required, preferably in business administration, or finance
* Minimum of 10\+ years of senior\-level banking experience required, reflecting progressive responsibility, executive judgement, and strategic decision\-making
* Minimum of 5 years of recent treasury management leadership experience required, with a demonstrated record of performance and deep expertise in treasury management products for middle\-market commercial customers
* Must have commercial deposit product experience
* CTP certification preferred
* Strong leadership skills to drive, influence, and motivate a team in delivery of product/service initiatives</t>
        </is>
      </c>
    </row>
    <row r="27">
      <c r="A27" t="inlineStr">
        <is>
          <t>li-4339454577</t>
        </is>
      </c>
      <c r="B27" t="inlineStr">
        <is>
          <t>Principal Product Manager - Technical</t>
        </is>
      </c>
      <c r="C27" t="inlineStr">
        <is>
          <t>IDC</t>
        </is>
      </c>
      <c r="D27" t="inlineStr">
        <is>
          <t>linkedin</t>
        </is>
      </c>
      <c r="E27" t="inlineStr"/>
      <c r="F27" t="inlineStr"/>
      <c r="G27" t="inlineStr"/>
      <c r="H27" t="inlineStr"/>
      <c r="I27" t="inlineStr">
        <is>
          <t>**About The Role \&amp; Team**
 IDC is building the next generation of intelligent, AI\-powered platforms that transform how technology decisions get made. This confidential initiative re\-imagines the way decision\-makers discover and interact with trusted research and data—and will be foundational to IDC’s future.
 We are looking for a remote
 **Principal Product Manager – Technical** 
 (PM\-T) to lead the product strategy, architecture, and execution for a core pillar of this new platform. You will operate as the single\-threaded owner for a critical domain, working across engineering, AI/ML, research, and design to deliver a seamless and scalable product experience.
 This role is a rare opportunity to define the strategy for a zero\-to\-one system—shaping how content is modeled, how user intents are recognized, and how insights flow across the IDC ecosystem. The right candidate will bring deep technical fluency, customer obsession, and a track record of delivering high\-impact platform products in fast\-paced environments.
**What You’ll Do**
* Own the product vision, long\-term strategy, and roadmap for a foundational capability within IDC’s next\-gen discovery platform.
* Define the data models, technical architecture, and platform interfaces that power intelligent, context\-aware product experiences.
* Partner with engineering to design and deliver scalable APIs, system components, and observability layers that enable extensibility and reuse.
* Collaborate with AI/ML teams to integrate capabilities such as semantic search, LLM\-powered assistants, personalization, and classification systems.
* Write PRFAQs and technical narratives that align senior leadership, drive clarity across functions, and accelerate high\-judgment decisions.
* Engage directly with CIOs, analysts, and vendor partners to validate pain points and iterate toward product\-market fit.
* Define success metrics, build telemetry strategies, and use experimentation to drive continuous learning and iteration.
* Serve as the single\-threaded owner for your domain, mentoring others and raising the quality bar across the organization.
**W hat You Bring**
* 7\+ years of product management experience, with 4\+ years in a technical or platform product role.
* Bachelor’s degree in Computer Science, Engineering, or equivalent technical experience.
* Proven track record of shipping 0→2 products or scaling platform capabilities in ambiguous, high\-accountability environments.
* Deep technical fluency—you can meaningfully shape architecture, API design, and system trade\-offs with engineering teams.
* Exceptional written and verbal communication skills; able to influence VP\- and SVP\-level stakeholders.
* Demonstrated ability to lead cross\-functional initiatives that span engineering, data science, design, and research.
* Strong business and customer orientation; experience driving adoption, engagement, and measurable business outcomes.
**Preferred Qualifications**
* Experience building or scaling AI/ML\-powered products, especially involving search, retrieval\-augmented generation (RAG), or entity extraction.
* End\-to\-end digital fulfillment experience and digital product\-like growth systems experience, a plus.
* Familiarity with knowledge graph design, semantic modeling, or enterprise data platforms.
* Background working with structured research, metadata systems, or content syndication at scale.
* Experience with enterprise SaaS, developer platforms, or B2B intelligence solutions.
* Ability to operate autonomously, manage ambiguity, and influence outcomes in a matrixed organization.
**Why This Role Stands Out**
 At IDC, your work helps shape how the world understands technology and where it goes next. You collaborate with curious, high\-caliber colleagues who value rigor, integrity, and shared success. As the premier global provider of trusted technology intelligence, IDC equips business and technology leaders with the evidence they need to make confident decisions. Our insights inform strategy, investment, and innovation across industries and regions.
 Recognized by IIAR as Analyst Firm of the Year for five consecutive years, IDC sets the standard for credibility and impact. With more than 1,000 analysts worldwide and a truly global perspective, we combine deep expertise with practical relevance. Here, your ideas matter, your voice is heard, and your contributions provide the insights leaders rely on every day. It is meaningful work, backed by a culture that supports growth, collaboration, and long\-term career development with a globally respected brand.
**What We Offer**
* 15 vacation days (prorated based on start date)
* 12 company\-paid holidays
* 6 paid sick days (prorated based on start date; may vary by state)
* Medical, dental, and vision coverage
* 2 floating holidays (prorated based on start date)
* 1 volunteer day
* 401(k) company match (IDC matches 3% on the first 6% of employee contributions)
* Company\-paid short\-term disability
* Company\-paid parental leave
**Compensation Transparency**
 At IDC, we are committed to fair and equitable pay practices. Employees are compensated equitably for their work, aligned with their skills and experience. Salary and incentive structures are determined through a rigorous process that considers experience, education, certifications, role\-specific requirements, internal equity, and verified U.S. market data from an independent third\-party partner.
**The expected total annual compensation, depending on location and experience, is between $190,000–$220,000, inclusive of base salary and variable compensation.**
**Equal Opportunity Employer**
 IDC is committed to providing equal employment opportunities for all qualified persons . Employment eligibility verification required. We participate in E\-Verify.</t>
        </is>
      </c>
    </row>
    <row r="28">
      <c r="A28" t="inlineStr">
        <is>
          <t>li-4366573745</t>
        </is>
      </c>
      <c r="B28" t="inlineStr">
        <is>
          <t>Director - Product Owner/ Agile Product Lead - New York</t>
        </is>
      </c>
      <c r="C28" t="inlineStr">
        <is>
          <t>Fitch Ratings</t>
        </is>
      </c>
      <c r="D28" t="inlineStr">
        <is>
          <t>linkedin</t>
        </is>
      </c>
      <c r="E28" t="inlineStr"/>
      <c r="F28" t="inlineStr"/>
      <c r="G28" t="inlineStr">
        <is>
          <t>New York, NY</t>
        </is>
      </c>
      <c r="H28" t="inlineStr"/>
      <c r="I28" t="inlineStr">
        <is>
          <t>As one of the world’s top three credit ratings agencies, Fitch Ratings plays a critical role in global capital markets by providing supplementary credit analysis, ratings, research, and commentary to financial market participants. For over 100 years, Fitch Ratings has been creating value for global markets through its rigorous analysis and deep expertise, which have resulted in a variety of market leading tools, methodologies, indices, research, and analytical products. Fitch Ratings is part of Fitch Group, a global leader in financial information services with operations in more than 30 countries, which also includes Fitch Solutions. With dual headquarters in London and New York, Fitch Group is owned by Hearst.
 At Fitch Ratings, credit analysts play a pivotal role in moving markets, as quality credit analysis is the lifeblood of our organization. With a legacy of over a century, our unique approach to credit ratings offers unmatched opportunities for professional growth. Embracing a “challenger mindset,” you'll join a team dedicated to innovating service to our clients. Our people\-driven analysis thrives on collaboration across all levels and locations, surpassing traditional financial modeling. Lastly, as part of our global community, you'll find inspiration, challenge, and support, with ample opportunities for visibility and influence in the global financial marketplace.
 Want to learn more about a career as a credit analyst at Fitch Ratings? Visit: https://careers.fitch.group
**Fitch Ratings is currently seeking a Director – Product Owner / Agile Product Lead based out of our New York office.**
**About The Team**
 Ratings Workflow Solutions (RWS), part of the Ratings COO organization, is a cross\-functional, agile team responsible for designing, implementing, and optimizing applications and workflows used by our Ratings staff. Our goal is to streamline processes, mitigate risks, and advance standardization and automation across Fitch’s ratings platforms and workflows. The team partners closely with analytical, business, and technology staff to ensure our systems support the needs of the Ratings organization and enable our staff to work effectively.
**How You’ll Make An Impact**
 We’re looking for an experienced and dynamic Product Owner to lead an agile delivery team supporting Fitch’s business, analytical and operational staff and their internal workflows. In this role, you’ll lead the squad, work closely with different groups to understand their needs, solve problems, and ensure we’re building solutions that advance our business objectives. You’ll work alongside analytical groups and technology teams to align priorities and deliver key outcomes. Strong leadership, communication, and organizational skills are important, and you should enjoy working with colleagues who have different levels of experience with Agile. A collaborative, customer\-first mindset is essential.
* Define overall strategy and direction of the applications covered based on understanding of organizational goals and analytical groups’ needs.
* Own the backlog, feature prioritization, roadmap, and the MVP in support of business objectives.
* Communicate and align with stakeholders to prioritize features and ensure a shared vision of sprint goals and backlogs.
* Lead the Agile squad to define and align sprint goals, ensuring "ready" user stories and supporting the squad to deliver on sprint commitments. Supports squad in identifying dependencies and other execution risks.
* Work closely with the squad to provide timely feedback and answers to their questions; ultimately accept or reject the product increments of the sprint.
* Oversee the overall squad’s quarterly delivery, ensuring that the squad meets their goals and deliver business value.
* Identify opportunities for process improvements and drive initiatives to enhance the efficiency and effectiveness of the Ratings business.
* Enhance and automate processes to improve data quality, standardize workflows, and integrate key systems.
* Analyze and break down complex workflows and system processes for both current (As\-Is) and future (To\-Be) states in support of automation and standardization.
* Oversee and guide user training, rollout, and change management processes.
**You May Be a Good Fit If**
* Bachelor’s degree and 5\+ years of product ownership experience
* Agile practitioner capabilities \&amp; experience working with or in Agile teams.
* Proven track record of delivering workflow and data\-driven solutions with a customer\-first mindset.
* See the business as a customer and translate requirements into technical solutions.
* Ability to create and maintain a backlog and roadmap, and to prioritize that backlog based on business value and technical feasibility.
* Track record of delivering results in a high\-demand, matrixed organization.
* Strong interpersonal and organizational skills, demonstrating an ability to work well with teams and stakeholders.
* Proficiency in Jira, Excel, PowerPoint, and Word
**What Would Make You Stand Out**
* Certified Scrum Product Owner (CSPO) certification
* Exceptional communication skills, with the ability to engage and influence stakeholders at all levels
* Demonstrated ability to oversee complex projects and excel in a high\-demand, matrixed organization
* Prior experience in debt capital markets, financial services or consulting
**Why Choose Fitch**
* Hybrid Work Environment: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 A collaborative workplace where all voices are valued, with Employee Resource Groups that unite and empower our colleagues around the globe
*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 qualified applicants without regard to race, color, national origin, religion, sex, sexual orientation, gender identity, disability, protected veteran status, and other statuses protected by law.
 FOR NEW YORK: Expected base pay rates for the role are between $130,000 and $170,000 per year. Actual salaries will be determined on an individual basis and may vary based on factors including, but not limited to, education, training, experience, past performance, and other job\-related considerations. Base pay is one component of Fitch’s total compensation package, which may also include commission earnings, discretionary bonuses, long\-term incentives, and other benefits sponsored by Fitch, depending on the position.</t>
        </is>
      </c>
    </row>
    <row r="29">
      <c r="A29" t="inlineStr">
        <is>
          <t>li-4375167999</t>
        </is>
      </c>
      <c r="B29" t="inlineStr">
        <is>
          <t>Product Manager</t>
        </is>
      </c>
      <c r="C29" t="inlineStr">
        <is>
          <t>Foundation Health</t>
        </is>
      </c>
      <c r="D29" t="inlineStr">
        <is>
          <t>linkedin</t>
        </is>
      </c>
      <c r="E29" t="inlineStr"/>
      <c r="F29" t="inlineStr"/>
      <c r="G29" t="inlineStr">
        <is>
          <t>Orlando, FL</t>
        </is>
      </c>
      <c r="H29" t="inlineStr"/>
      <c r="I29" t="inlineStr">
        <is>
          <t>This isn’t a role for someone focused on owning a single feature set.
 As a Product Manager at Foundation Health, you’ll work across our
 **entire product ecosyste** 
 m \- spanning patient\-facing applications, clinician workflows, AI\-driven automation and data\-heavy system integrations
 .
 You’ll be hands\-on, deeply embedded with Engineering and Design \- but comfortable operating in ambiguity. You'll enjoy doing discovery with users and high\-level vision into practical, scalable product solutions that work in the real world of healthcare deliver
 y.
 We’re early in our journey, which means you’ll have a genuine opportunity to shape product direction, influence strategy and leave a meaningful imprint on what we bui
 ld.
 You'll need to be based on the East Coast, ideally in Orlando or Ta
**mpa.
 What You’** 
* ll DoHelp shape AI\-driven and automation\-led capabilities that improve efficiency and patient out
* comesOwn the end\-to\-end product idealization and execution across multiple interconnected systems and workf
* lows.Translate complex clinical, operational and technical requirements into clear product specifica
* tionsPartner closely with Design and Engineering to craft the end\-to\-end user journey, define the solution architecture, and build scalable integrat
* ions.Work deeply with EHR data, clinical workflows and interoperability chall
* engesMap upstream and downstream dependencies across healthcare systems and third\-party integra
* tionsBalance speed and rigor in a fast\-moving startup enviro
**nment
 Required Expe** 
 rienceWe’re looking for Product Managers who
 **have built products from** 
 0 to 1, not just supported
 them.
 You shoul
* **d have:4\+ years of experience as a Product** 
 Manager building software products in a technology\-driven envi
* ro
 **nmentA healthcare technology bac** 
 kground, ideally working with clinical or operational healthcare
* **systemsHands\-on experience with Electronic Health Records** 
 (EHRs) \- Epic experience is a plus, but not r
* equiredExperience workin
 **g with clinical data, workflows, or healthcare integ**
* rationsExposure to products operating at the intersect
 **ion of EHRs, clinical systems, data**
* and AIExperienc
 **e in a startup or high\-growth envi** 
 ronment, with the ability to move fast and get s
**tuck in
 Nice** 
* to HaveExperience worki
 **ng w** 
 ith Epic, including pharmacy or medication\-related workflows (e.g. Willow, specialty pharmacy, or
* similar)Familiarity with pharmacy operations, medication management, or fulfillment w
* orkflowsExperience building AI\-enabled or automation\-driven healthcare
* productsExperience shipping products used by clinicians, care teams, or operational healthca
**re staff
 What We’re Lo** 
* oking ForA sharp, curious PM who enjoys solving hard
* problemsSomeone comfortable working across technical, clinical and operationa
* l domainsA builder mindset \- you like getting into the details, not just writin
* g ticketsSomeone who challenges assumptions and raises the bar for healthcare t
**echnology
 What** 
* You’ll GetEmployee sto
* ck optionsCompany\-issued Apple M
* acBook ProComprehensive health coverage \- medical, dental, and vision plans for
* employeesLife assuran
* ce benefit401(k) Retir
* ement PlanUnl
* imited PTOFlexible working arrangements – hybrid setup with focus time and collabora
**tion days.
 Interv** 
* iew ProcessInitial call with our Director of Produc
* t (30 mins)Technical assessment with our Director of Produ
* ct (1 hour)Final Interview with CEO and/or Snr Leade
 rship Team.</t>
        </is>
      </c>
    </row>
    <row r="30">
      <c r="A30" t="inlineStr">
        <is>
          <t>li-4375165831</t>
        </is>
      </c>
      <c r="B30" t="inlineStr">
        <is>
          <t>Product Manager, Vice President Card Co-Brand</t>
        </is>
      </c>
      <c r="C30" t="inlineStr">
        <is>
          <t>JPMorganChase</t>
        </is>
      </c>
      <c r="D30" t="inlineStr">
        <is>
          <t>linkedin</t>
        </is>
      </c>
      <c r="E30" t="inlineStr"/>
      <c r="F30" t="inlineStr"/>
      <c r="G30" t="inlineStr">
        <is>
          <t>New York, NY</t>
        </is>
      </c>
      <c r="H30" t="inlineStr"/>
      <c r="I30" t="inlineStr">
        <is>
          <t>**Job Description**
 Help shape the future of payments at JPMorganChase . Your effort and ideas will drive real change for millions of customers in client banking, automated technology and more. And working here means you have the ambition to shape the future. Where people inspire excellence, leaders invest in your growth, tools and technology amplify your skills, and our scale multiplies your impact. This is what happens when you join JPMorganChase, where ambition meets possibility.
 As a Vice President within the Card Co\-Brand team, you will contribute by leveraging your expertise in product development and optimization to make a significant impact, supported by user research and customer feedback to fuel the creation of innovative products and continuously improve existing offerings.
**Job Responsibilities**
* Help to develop and refine individual benefits, overall value propositions, marketing claims, and key reasons\-to\-believe (RTBs) for strategic initiatives, ensuring alignment with the overall co\-brand card product strategy.
* Collaborate with Commerce partners in Dining, Travel, and Shopping to define and deliver exclusive offers and experiences for strategic project workstreams.
* Conduct industry research, competitive analysis, and customer segmentation to inform the direction and prioritization of strategic projects.
* Analyze P\&amp;L dynamics, customer feedback, and behavioral data to guide decision\-making and optimize project outcomes.
* Prepare and present comprehensive project updates, business reviews, and strategic recommendations to executive leadership and other key stakeholders.
* Maintain strict confidentiality and discretion in all aspects of strategic project work.
**Required Qualifications, Capabilities, And Skills**
* Minimum of 3\+ years of experience in strategy or product development
* Strong analytical skills with a deep understanding of customer insights, P\&amp;L dynamics, and data\-driven decision\-making.
* Outstanding written and verbal communication skills, including the ability to build executive\-level presentations and present to executive audiences.
* Proven ability to manage multiple initiatives simultaneously and deliver results in a fast\-paced environment.
* Bachelor’s degree or equivalent experience required.
**Preferred Qualifications, Capabilities, And Skills**
* Experience within the credit card or payments industry is strongly preferred.
* Familiarity with analyzing P\&amp;L dynamics, customer feedback, and behavioral data to guide decision\-making and optimize project outcomes.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
      <c r="A31" t="inlineStr">
        <is>
          <t>li-4375155628</t>
        </is>
      </c>
      <c r="B31" t="inlineStr">
        <is>
          <t>Senior Product Manager</t>
        </is>
      </c>
      <c r="C31" t="inlineStr">
        <is>
          <t>Microsoft</t>
        </is>
      </c>
      <c r="D31" t="inlineStr">
        <is>
          <t>linkedin</t>
        </is>
      </c>
      <c r="E31" t="inlineStr"/>
      <c r="F31" t="inlineStr"/>
      <c r="G31" t="inlineStr">
        <is>
          <t>Redmond, WA</t>
        </is>
      </c>
      <c r="H31" t="inlineStr"/>
      <c r="I31" t="inlineStr">
        <is>
          <t>**Overview**
**Join the M365 Copilot Product team at the core of Microsoft’s AI strategy!**
 We build the foundational capabilities that power M365 Copilot—including orchestration, grounding, memory, agent collaboration, extensibility, Copilot experience hosting, and the service infrastructure that ensures these capabilities operate reliably at global scale.
 If you’re energized by big, bold challenges, high‑impact product leadership, and fast‑paced execution at the epicenter of the AI transformation, this is your team.
 As a
 **Senior Product Manager** 
 , you will define strategy and partner closely across engineering, applied science, design, product, marketing, and service operations to deliver breakthrough AI capabilities that transform the lives of hundreds of millions of users around the world.
 In this role, you will be accountable not only for product vision and delivery, but also for
 **service health, reliability, and operational readiness** 
 . You will help shape how Copilot capabilities are built, launched, monitored, and operated—ensuring high availability, strong SLAs, and rapid response to service issues. This includes partnering with Live Site, SRE, and engineering teams to drive improvements in resilience, incident management, telemetry, and customer impact reduction.
 You will help foster a culture of experimentation, inclusion, and excellence. While this is not a people‑management position, it is a role of deep product and thought leadership. You will set the standard for what great AI‑forward product management looks like—balancing strategic vision with hands‑on execution, long‑term thinking with rapid iteration, and innovation with operational rigor. You will serve as a mentor and role model to a group of high‑performing PMs and engineers.
 The future is waiting to be built.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strategy and roadmap for Microsoft’s most visible AI experiences \- defining capabilities that unlock 1P innovation and 3P extensibility, at scale.
* Deliver core AI platform capabilities (e.g., multi‑turn orchestration, grounding, memory, agent‑to‑agent collaboration, extensibility, etc.), define how we evaluate quality and trust, and scale responsibly across massive audiences.
* Provide strategic direction across divisions: define business impact, success criteria, and long‑term investment opportunities; ensure teams engage the right partners and track measurable outcomes.
* Guide customer‑centered product development: lead discussions with customers, drive scenario \&amp; product clarity, and oversee alignment of capabilities across divisions.
* Drive go‑to‑market readiness: shape roll‑out plans, ensure robust customer \&amp; developer support, and anticipate future customer needs from ongoing feedback \&amp; usage.
* Orchestrate cross‑org execution with engineering, applied science, design, and partner product teams to land complex, high impact experiences on time with clear milestones and crisp communication.
* Mentor and be a role model for a team of high‑performing PMs and engineers, fostering a culture of clarity, creativity, inclusion, and accountability; set an example for AI‑forward product leadership that balances long‑term vision with rapid iteration.
**Qualifications**
**Required Qualifications:**
* Bachelor's Degree AND 5\+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Experience \&amp; familiarity with AI/ML systems, including Gen AI orchestration, grounding, evaluation, and responsible AI practices.
* Deep familiarity with leading Gen AI products in the industry.
* Hands\-on experience on using them in day\-to\-day life.
* Hands‑on technical experience working with SDKs, APIs, developer tools, monitoring \&amp; observability, with the ability to dive into technical design and partner closely with engineering or external technical partners and customers.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li-4375188924</t>
        </is>
      </c>
      <c r="B32" t="inlineStr">
        <is>
          <t>Senior Product Manager, Care Delivery</t>
        </is>
      </c>
      <c r="C32" t="inlineStr">
        <is>
          <t>Atria Health and Research Institute</t>
        </is>
      </c>
      <c r="D32" t="inlineStr">
        <is>
          <t>linkedin</t>
        </is>
      </c>
      <c r="E32" t="inlineStr"/>
      <c r="F32" t="inlineStr"/>
      <c r="G32" t="inlineStr">
        <is>
          <t>New York, NY</t>
        </is>
      </c>
      <c r="H32" t="inlineStr"/>
      <c r="I32" t="inlineStr">
        <is>
          <t>**About Atria**
 Atria is a membership\-based preventive health care practice delivering cutting\-edge primary and specialty care in New York, South Florida, Los Angeles (2026\), and through 24/7 telemedicine globally.
 Our multi\-specialty team of 60\+ top in\-house physicians provides proactive, preventive, and precision\-based care for Atria members and their families. We aim to optimize lifespan and healthspan through meticulous screening, leading\-edge therapeutics, and tailored interventions designed to prevent disease and detect it at the earliest possible stages.
 Each member's care is led by a dedicated Chief Medical Officer who collaborates with specialists in cardiology, neurology, pediatrics, women's health, endocrinology, integrative health, performance and movement, nutrition, and more.
 Through our nonprofit Atria Research Institute and Public Health Institute, we also work to accelerate the translation of medical breakthroughs and expand access to preventive care for as many people as possible.
 Atria Health is seeking a highly experienced and execution\-oriented Senior Product Manager focus on our Care Delivery systems and internal operational tooling. As an individual contributor, you will own the strategy and execution for the platforms, workflows, and tools that power how our clinical and operational teams deliver world\-class care.
 In this pivotal role, you will design and scale systems that enable proactive, personalized, and efficient care delivery—spanning care coordination, scheduling, internal automation, and workflow management tools. You will partner deeply with care operators, engineering, data, design, and clinical teams to translate complex healthcare processes into scalable, intuitive internal tools.
 The ideal candidate has experience building and scaling internal platforms in healthcare or other highly regulated, operationally complex environments. You thrive in ambiguity, understand the nuance of clinical workflows, and are motivated by building systems that empower teams to deliver exceptional outcomes.
**Key Responsibilities**
**Product Strategy \&amp; Ownership**
* Define and drive the multi\-quarter product strategy for Atria's care delivery systems in collaboration with the rest of the Technology team (Care Delivery, Clinical Experience, and Member Experience), ensuring alignment with clinical excellence, operational efficiency, and long\-term company goals
* Identify opportunities to streamline, automate, and modernize workflows across the care continuum
**Clinical \&amp; Operational Workflow Design**
* Partner closely with clinical and operations stakeholders to deeply understand end\-to\-end care delivery processes
* Translate complex real\-world workflows into scalable product solutions, balancing usability, compliance, and technical feasibility
* Improve systems supporting scheduling, documentation, referrals, care plans, and cross\-specialty coordination with the overall goal of delivering proactive care to members
**End\-to\-End Product Execution**
* Lead high\-impact initiatives from discovery through launch and iteration
* Write detailed product requirements, define success metrics, and ensure high\-quality delivery in collaboration with engineering and design
* Continuously optimize systems post\-launch to drive adoption, efficiency, and measurable operational improvements
**Data, Automation \&amp; Intelligence**
* Leverage data and analytics to identify bottlenecks, variation, and opportunities for improvement in care delivery
* Partner with data and engineering teams to integrate automation, AI\-assisted workflows, and intelligent decision support into internal tools
* Ensure systems support proactive care models and precision\-based interventions
**Cross\-Functional Leadership \&amp; Influence**
* Serve as the connective tissue between clinical, operations, engineering, and executive teams
* Influence stakeholders without direct authority, building alignment around shared goals and measurable outcomes
* Champion a culture of operational excellence, systems thinking, and continuous improvement
**Performance \&amp; Optimization**
* Define, monitor, and act on KPIs tied to operational efficiency, care quality, etc
* Use qualitative feedback and quantitative data to iterate quickly and responsibly in a regulated healthcare environment
 Salary: $150,000 \- $190,000
 Reporting \&amp; in\-office requirements: This role reports to the VP of Product. This is a hybrid role based in New York City, with 3 days/week in the office (Tuesday\-Thursday). Travel to other Atria locations as needed.
**Requirements**
* 3\-5 years of product management experience, including significant experience building internal tools, platforms, or operational systems in healthcare, health tech, or similarly complex industries
* Strong understanding of clinical operations, care coordination, EHR systems, or healthcare workflow design preferred
* Proven track record of shipping complex, cross\-functional initiatives that drive measurable operational impact
* Experience working in regulated environments with sensitivity to compliance, privacy, and data security considerations
* Exceptional systems thinker with the ability to move fluidly between high\-level strategy and detailed execution
* Strong analytical skills, with experience using data to diagnose workflow inefficiencies and inform prioritization
* Demonstrated ability to partner effectively with senior clinical and operational leaders
* Excellent written and verbal communication skills; able to distill complex processes into clear product direction
* Bachelor's degree in a relevant field preferred (e.g., Engineering, Computer Science, Business, Health Systems)
**Benefits**
 At Atria, we are proud to offer every member of the Atria team:
* Excellent health and wellness benefits, 100% paid by Atria effective date of hire
* OneMedical membership for employees \&amp; dependents giving access to 24/7 virtual care
* Fertility \&amp; family planning
* Company\-covered preventive health screenings through partner hospitals (Calcium score)
* Fitness Perks including Wellhub \+
* 401k contributions and 4% match starting after 6 months
* Flexible Time Off
* Continuing medical education (CME) and CEU support for professional licensure
* Time to give back and make an impact in underserved communities</t>
        </is>
      </c>
    </row>
    <row r="33">
      <c r="A33" t="inlineStr">
        <is>
          <t>li-4375425153</t>
        </is>
      </c>
      <c r="B33" t="inlineStr">
        <is>
          <t>Product Manager - Engineering Systems</t>
        </is>
      </c>
      <c r="C33" t="inlineStr">
        <is>
          <t>Relativity</t>
        </is>
      </c>
      <c r="D33" t="inlineStr">
        <is>
          <t>linkedin</t>
        </is>
      </c>
      <c r="E33" t="inlineStr"/>
      <c r="F33" t="inlineStr"/>
      <c r="G33" t="inlineStr">
        <is>
          <t>Arizona, United States</t>
        </is>
      </c>
      <c r="H33" t="inlineStr"/>
      <c r="I33"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34">
      <c r="A34" t="inlineStr">
        <is>
          <t>li-4374061902</t>
        </is>
      </c>
      <c r="B34" t="inlineStr">
        <is>
          <t>Salesforce Product Manager</t>
        </is>
      </c>
      <c r="C34" t="inlineStr">
        <is>
          <t>360 Technology</t>
        </is>
      </c>
      <c r="D34" t="inlineStr">
        <is>
          <t>linkedin</t>
        </is>
      </c>
      <c r="E34" t="inlineStr"/>
      <c r="F34" t="inlineStr"/>
      <c r="G34" t="inlineStr">
        <is>
          <t>Plano, TX</t>
        </is>
      </c>
      <c r="H34" t="inlineStr"/>
      <c r="I34" t="inlineStr">
        <is>
          <t>We are actively looking for an experienced Salesforce Product Manager to join a high\-impact team in the Dallas/Plano area. This is a hybrid opportunity with a strong focus on driving Salesforce platform strategy and delivering business value.
 Key Responsibilities
 Define and manage Salesforce product roadmap aligned with business goals
 Gather and translate business requirements into clear user stories
 Collaborate with Salesforce developers, architects, and QA teams
 Drive Agile ceremonies and manage backlog prioritization
 Ensure successful delivery of Salesforce enhancements and integrations
 Partner with business stakeholders to optimize Sales, Service, or Experience Cloud capabilities
 Monitor KPIs and continuously improve platform performance
 Required Skills
 8\+ years of overall experience with 3\+ years in Salesforce Product Management
 Strong understanding of Salesforce platform (Sales Cloud / Service Cloud preferred)
 Experience working in Agile/Scrum environments
 Excellent communication and stakeholder management skills
 Ability to bridge business and technical teams effectively
 Salesforce certifications are a plus</t>
        </is>
      </c>
    </row>
    <row r="35">
      <c r="A35" t="inlineStr">
        <is>
          <t>li-4375411613</t>
        </is>
      </c>
      <c r="B35" t="inlineStr">
        <is>
          <t>Product Manager - Engineering Systems</t>
        </is>
      </c>
      <c r="C35" t="inlineStr">
        <is>
          <t>Relativity</t>
        </is>
      </c>
      <c r="D35" t="inlineStr">
        <is>
          <t>linkedin</t>
        </is>
      </c>
      <c r="E35" t="inlineStr"/>
      <c r="F35" t="inlineStr"/>
      <c r="G35" t="inlineStr">
        <is>
          <t>Oregon, United States</t>
        </is>
      </c>
      <c r="H35" t="inlineStr"/>
      <c r="I35"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36">
      <c r="A36" t="inlineStr">
        <is>
          <t>li-4374767676</t>
        </is>
      </c>
      <c r="B36" t="inlineStr">
        <is>
          <t>Product Owner, Precision Medicine Technology</t>
        </is>
      </c>
      <c r="C36" t="inlineStr">
        <is>
          <t>BioSpace</t>
        </is>
      </c>
      <c r="D36" t="inlineStr">
        <is>
          <t>linkedin</t>
        </is>
      </c>
      <c r="E36" t="inlineStr"/>
      <c r="F36" t="inlineStr"/>
      <c r="G36" t="inlineStr">
        <is>
          <t>Washington, DC</t>
        </is>
      </c>
      <c r="H36" t="inlineStr"/>
      <c r="I36"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**Product Owner, Precision Medicine Technology**
**What You Will Do**
 Lets do this. Lets change the world. In this vital role you will be responsible for defining the vision \&amp; strategy for several technology products supporting R\&amp;D Precision Medicine.
**Responsibilities**
* Collaborate with stakeholders to gather and document capability needs, user stories, and acceptance criteria
* Define and communicate product and feature vision, including both technical / architectural features and enablement, and end\-user features, ensuring alignment with business objectives across multiple solution stakeholder groups
* Create, prioritize, and maintain product roadmap(s), ensuring that it reflects the needs of the business and stakeholders
* Work closely with the business teams, Scrum Master(s) and development team(s) to plan and implement sprints, ensuring that the highest priority features are delivered
* Find opportunities to improve the product / platform / system and development process, and make data\-driven decisions to enhance the product / platform
* Oversee the day\-to\-day management of technology platforms, ensuring that they meet performance, security, and availability requirements
* Manage relationships with product / platform /system vendors, ensuring that service levels are met and that the organization derives the best value from its investments
* Ensure that platforms align with security standards, regulatory requirements, and organizational policies
* Oversee the management and operation of specific IT systems, ensuring that they meet performance, security, and availability requirements
* Manage product team Architects, Analysts and Validation Engineers and provide role\-based standards and career mentorship for these roles
* Assure that AIN team is successfully creating robust written materials, including product documentation, product backlog and user stories, and creating other need artifacts to assure efficient and effective coordination across time zones.
* Define, monitor, and handle service level agreements (SLAs) to ensure the service meets performance and availability requirements
* Oversee the resolution of service\-related incidents and problems, ensuring minimal impact on business operations
* Maintain detailed documentation of service processes, SLAs, and improvement initiatives
* Analyze product performance data, customer behavior, and market trends to inform product decisions
* Create and maintain reports and dashboards that provide insights into product performance, user engagement, and other key metrics
* Conduct market research and competitive analysis to identify opportunities and inform product strategy
* Analyze customer feedback and support data to identify pain points and opportunities for product improvement
**What We Expect Of You**
 We are all different, yet we all use our unique contributions to serve patients. The strategic professional we seek is a critical thinker with these qualifications:
**Basic Qualifications**
 Doctorate degree and 2 years of experience in Product Owner / Platform Owner / Service Owner
 Or
 Masters degree and 6 years of experience in Product Owner / Platform Owner / Service Owner
 Or
 Bachelors degree and 8 years of experience in Product Owner / Platform Owner / Service Owner
 Or
 Associates degree and 10 years of experience in Product Owner / Platform Owner / Service Owner
 Or
 High school diploma / GED and 12 years of experience in Product Owner / Platform Owner / Service Owner
**Preferred Qualifications**
* Strong knowledge of Agile methodologies and product management principles, and backlog and feature management tools including Jira and Confluence
* Strong knowledge of IT service management (ITSM) principles and methodologies
* Strong experience with development of data\-management and visibility products such as data warehouses, master data management and data visualization and knowledge management solutions
* Strong hands\-on experience with data profiling, data transformation, data mastering
* Success in mentoring and developing strong product analysts, business analysts, and data profilers
* Experience in developing differentiated and deliverable solutions
* Experience with human data, ideally human healthcare and omics data
* Familiarity with laboratory testing, patient data from clinical care, HL7, FHIR, and/or clinical trial data management
* Professional certification: SAFe Agile Practitioner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37">
      <c r="A37" t="inlineStr">
        <is>
          <t>li-4366535006</t>
        </is>
      </c>
      <c r="B37" t="inlineStr">
        <is>
          <t>Healthcare Product Owner</t>
        </is>
      </c>
      <c r="C37" t="inlineStr">
        <is>
          <t>Cognizant</t>
        </is>
      </c>
      <c r="D37" t="inlineStr">
        <is>
          <t>linkedin</t>
        </is>
      </c>
      <c r="E37" t="inlineStr"/>
      <c r="F37" t="inlineStr"/>
      <c r="G37" t="inlineStr">
        <is>
          <t>Bridgewater, NJ</t>
        </is>
      </c>
      <c r="H37" t="inlineStr"/>
      <c r="I37" t="inlineStr">
        <is>
          <t>**Product Owner**
**Work Model: Hybrid – Bridgewater, NJ**
**Employment Type: Full\-Time**
**Job ID: 00067131631**
**About The Role**
 As a Product Owner – Senior Associate, you will make an impact by providing product vision, Agile leadership, and customer advocacy to software development teams. You will be a valued member of our product and engineering organization, partnering with Product Management, stakeholders, and delivery teams to ensure high‑quality, value‑driven outcomes throughout the product lifecycle.
**In This Role, You Will**
* Provide clear product vision and direction to Agile development teams through backlog ownership, iteration planning, and user story elaboration.
* Represent the voice of the customer, translating business needs into well‑defined requirements and priorities.
* Guide teams and stakeholders in the adoption and execution of Agile and Scrum best practices, fostering strong team dynamics.
* Partner with Product Management to maintain and prioritize a backlog aligned to business value and evolving requirements.
* Actively identify and help remove impediments and risks that may impact sprint goals, product quality, or release timelines.
* Ensure high‑quality feature design, either through direct involvement or coordination with designers across teams or product portfolios.
* Mentor team members on Agile frameworks, delivery expectations, and continuous improvement practices.
**Work model**
 We believe hybrid work is the way forward as we strive to provide flexibility wherever possible. Based on this role’s business requirements, this is a hybrid position requiring 2–3 days per week in a Cognizant office in Bridgewater, NJ. Regardless of your working arrangement, we support a healthy work‑life balance through our wellbeing programs.
 The working arrangements for this role are accurate as of the date of posting. This may change based on business or client needs. We will always communicate expectations clearly.
**What You Need To Have To Be Considered**
* Experience with healthcare technology or regulated industries.
* Bachelor’s degree in Computer Science, Business Administration, or a related field.
* Certified Scrum Product Owner (CSPO) or equivalent certification.
* 5\+ years of professional software product development experience.
* 2\+ years of experience working in Agile/Scrum environments.
* Hands‑on experience documenting and elaborating software requirements, including user stories and detailed specifications.
* Experience across multiple full project lifecycles, from concept through delivery.
* Proven ability to manage large‑scale SaaS or cloud‑based Agile projects.
* Strong interpersonal, communication, and stakeholder engagement skills.
**These will help you stand out**
* Strong organizational skills with an outcome‑oriented mindset.
* Ability to work effectively with cross‑functional and geographically dispersed teams.
* Demonstrated leadership, collaboration, and relationship‑building skills.
**Salary And Other Compensation**
 Applicants will be accepted till 2/23/2026
 Cognizant will only consider applicants for this position who are legally authorized to work in the United States without company sponsorship.
* Please note, this role is not able to offer visa transfer or sponsorship now or in the future\*
 The annual salary for this position will be in the range of $93K\-$109K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Our strength is built on our ability to work together. Our diverse backgrounds offer different perspectives and new ways of thinking. It encourages lively discussions, creativity, productivity, and helps us build better solutions for our clients. We want someone who thrives in this setting and is inspired to craft meaningful solutions through true collaboration.
 If you are content with ambiguity, excited by change, and excel through autonomy, we’d love to hear from you!
 Apply Now!</t>
        </is>
      </c>
    </row>
    <row r="38">
      <c r="A38" t="inlineStr">
        <is>
          <t>li-4375414560</t>
        </is>
      </c>
      <c r="B38" t="inlineStr">
        <is>
          <t>Product Manager - Engineering Systems</t>
        </is>
      </c>
      <c r="C38" t="inlineStr">
        <is>
          <t>Relativity</t>
        </is>
      </c>
      <c r="D38" t="inlineStr">
        <is>
          <t>linkedin</t>
        </is>
      </c>
      <c r="E38" t="inlineStr"/>
      <c r="F38" t="inlineStr"/>
      <c r="G38" t="inlineStr">
        <is>
          <t>Colorado, United States</t>
        </is>
      </c>
      <c r="H38" t="inlineStr"/>
      <c r="I38"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39">
      <c r="A39" t="inlineStr">
        <is>
          <t>li-4375406902</t>
        </is>
      </c>
      <c r="B39" t="inlineStr">
        <is>
          <t>Product Manager - Engineering Systems</t>
        </is>
      </c>
      <c r="C39" t="inlineStr">
        <is>
          <t>Relativity</t>
        </is>
      </c>
      <c r="D39" t="inlineStr">
        <is>
          <t>linkedin</t>
        </is>
      </c>
      <c r="E39" t="inlineStr"/>
      <c r="F39" t="inlineStr"/>
      <c r="G39" t="inlineStr">
        <is>
          <t>Nevada, United States</t>
        </is>
      </c>
      <c r="H39" t="inlineStr"/>
      <c r="I39"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40">
      <c r="A40" t="inlineStr">
        <is>
          <t>li-4375421384</t>
        </is>
      </c>
      <c r="B40" t="inlineStr">
        <is>
          <t>Product Manager - Engineering Systems</t>
        </is>
      </c>
      <c r="C40" t="inlineStr">
        <is>
          <t>Relativity</t>
        </is>
      </c>
      <c r="D40" t="inlineStr">
        <is>
          <t>linkedin</t>
        </is>
      </c>
      <c r="E40" t="inlineStr"/>
      <c r="F40" t="inlineStr"/>
      <c r="G40" t="inlineStr">
        <is>
          <t>Illinois, United States</t>
        </is>
      </c>
      <c r="H40" t="inlineStr"/>
      <c r="I40"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41">
      <c r="A41" t="inlineStr">
        <is>
          <t>li-4375408732</t>
        </is>
      </c>
      <c r="B41" t="inlineStr">
        <is>
          <t>Product Manager - Engineering Systems</t>
        </is>
      </c>
      <c r="C41" t="inlineStr">
        <is>
          <t>Relativity</t>
        </is>
      </c>
      <c r="D41" t="inlineStr">
        <is>
          <t>linkedin</t>
        </is>
      </c>
      <c r="E41" t="inlineStr"/>
      <c r="F41" t="inlineStr"/>
      <c r="G41" t="inlineStr">
        <is>
          <t>Nebraska, United States</t>
        </is>
      </c>
      <c r="H41" t="inlineStr"/>
      <c r="I41"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42">
      <c r="A42" t="inlineStr">
        <is>
          <t>li-4358511333</t>
        </is>
      </c>
      <c r="B42" t="inlineStr">
        <is>
          <t>Logistics Product Manager, NA</t>
        </is>
      </c>
      <c r="C42" t="inlineStr">
        <is>
          <t>Nash</t>
        </is>
      </c>
      <c r="D42" t="inlineStr">
        <is>
          <t>linkedin</t>
        </is>
      </c>
      <c r="E42" t="inlineStr"/>
      <c r="F42" t="inlineStr"/>
      <c r="G42" t="inlineStr"/>
      <c r="H42" t="inlineStr"/>
      <c r="I42" t="inlineStr">
        <is>
          <t>**About The Role**
 As a
 **Logistics Product Manager** 
 , you’ll own the design, rollout, and optimization of delivery workflows for our largest and most strategic customers. You'll serve as the connective tissue between customers, our internal teams (engineering, operations, success), and third\-party delivery partners. Your goal: build scalable logistics products and infrastructure that drive delivery volume and customer satisfaction.
 This role is ideal for someone who thrives at the intersection of product, ops, and execution—someone who can think strategically, move fast, and obsess over outcomes.
**What You’ll Do**
* Design \&amp; Deploy Logistics Solutions: Collaborate with customers to understand their delivery needs, order flows, and operational constraints—and translate that into scalable product configurations.
* Drive Product Outcomes: Act as a voice of the customer, using feedback and insights to shape features, workflows, and internal tooling. Collaborate tightly with engineering to evolve our delivery platform.
* Own High\-Impact Implementations: Manage onboarding and expansion for our most important accounts—ensuring the product is deployed smoothly and optimized for performance.
* Bridge Tech \&amp; Ops: Work with our operations team and delivery partners to troubleshoot edge cases, build workflows for complex scenarios, and ensure reliability at scale.
* Influence Roadmap: Identify and advocate for features that increase volume, improve delivery reliability, and enhance the customer experience.
* Represent Nash: Lead customer conversations, demos, and strategic planning sessions, especially when launching new delivery models or regions.
**You Might Be a Fit If You:**
* Have 4\+ years of relevant experience (e.g., product management, operations strategy, logistics/supply chain, consulting, or startup experience).
* Understand marketplace dynamics, logistics systems, or API\-driven platforms.
* Communicate clearly and work cross\-functionally with technical and non\-technical teams.
* Are scrappy, resourceful, and eager to build from 0 to 1—quickly.
* Enjoy solving real\-world operations problems through systems and software.
* Bonus: Experience with delivery tech (e.g., route optimization, dispatching, fleet management), or a background in CS/engineering.
**More About Nash.AI**
**Nash is building the logistics infrastructure for the internet**
 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
**What You’ll Love About Us**
 ✅ Early\-stage, well\-funded startup – directly impact the company and grow your career!
 ✅ Quarterly broader team on\-sites to bond with teammates
 ✅ Competitive compensation and opportunity for equity
 ✅ Flexible paid time off
 ✅ Health, dental, and vision insurance</t>
        </is>
      </c>
    </row>
    <row r="43">
      <c r="A43" t="inlineStr">
        <is>
          <t>li-4375422318</t>
        </is>
      </c>
      <c r="B43" t="inlineStr">
        <is>
          <t>Product Manager - Engineering Systems</t>
        </is>
      </c>
      <c r="C43" t="inlineStr">
        <is>
          <t>Relativity</t>
        </is>
      </c>
      <c r="D43" t="inlineStr">
        <is>
          <t>linkedin</t>
        </is>
      </c>
      <c r="E43" t="inlineStr"/>
      <c r="F43" t="inlineStr"/>
      <c r="G43" t="inlineStr">
        <is>
          <t>Maine, United States</t>
        </is>
      </c>
      <c r="H43" t="inlineStr"/>
      <c r="I43"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44">
      <c r="A44" t="inlineStr">
        <is>
          <t>li-4375417522</t>
        </is>
      </c>
      <c r="B44" t="inlineStr">
        <is>
          <t>Product Manager - Engineering Systems</t>
        </is>
      </c>
      <c r="C44" t="inlineStr">
        <is>
          <t>Relativity</t>
        </is>
      </c>
      <c r="D44" t="inlineStr">
        <is>
          <t>linkedin</t>
        </is>
      </c>
      <c r="E44" t="inlineStr"/>
      <c r="F44" t="inlineStr"/>
      <c r="G44" t="inlineStr">
        <is>
          <t>Iowa, United States</t>
        </is>
      </c>
      <c r="H44" t="inlineStr"/>
      <c r="I44"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45">
      <c r="A45" t="inlineStr">
        <is>
          <t>li-4358562482</t>
        </is>
      </c>
      <c r="B45" t="inlineStr">
        <is>
          <t>Senior Technical Product Manager, Digital Assessment Platform</t>
        </is>
      </c>
      <c r="C45" t="inlineStr">
        <is>
          <t>The College Board</t>
        </is>
      </c>
      <c r="D45" t="inlineStr">
        <is>
          <t>linkedin</t>
        </is>
      </c>
      <c r="E45" t="inlineStr"/>
      <c r="F45" t="inlineStr"/>
      <c r="G45" t="inlineStr"/>
      <c r="H45" t="inlineStr"/>
      <c r="I45" t="inlineStr">
        <is>
          <t>**College Board – Digital Product**
**100% Remote, aligned to working core EST hours**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Every year, our platform delivers assessments to millions of students worldwide, providing opportunities that shape futures and open doors. Together, we are transforming College Board’s trusted assessment platform into a next\-generation digital assessment experience that is secure, user\-centered, and built to evolve with the future of learning and assessment.
**About The Opportunity**
 As the Senior Technical Product Manager, Digital Assessment Platforms, you are a technically fluent, strategic product leader who brings curiosity, creativity, and a drive to experiment. You will lead delivery of a core technical component of College Board’s digital assessment platform, which delivers secure, high\-stakes assessments to millions of students each year. You are able to bridge business priorities and technical delivery to ensure that the platform’s foundation is both resilient and future ready.
 You will blend strategic innovation with technical delivery, shaping priorities through data, research, and platform goals, while owning the reliability, scalability, and long\-term sustainability of your product area. You are accountable for delivering resilient, future\-ready platform capabilities that power secure, seamless user experiences. Partnering closely with other product leaders, engineering, and architecture teams, you will define and deliver the technical foundations that ensure College Board’s digital assessment platform continues to evolve with confidence, efficiency, and scale.
**In This Role, You Will**
 Define and Prioritize Technical Roadmap and Product Direction (30%)
* Establish and maintain a clear roadmap for your technical component so that the digital assessment platform continuously improves in reliability, scalability, and performance.
* Identify opportunities to modernize architecture, automate workflows, and introduce new modular platform capabilities that improve efficiency, scalability, extensibility, and flexibility in support of future innovation.
* Use monitoring, analytics, and feedback to refine priorities and guide evidence\-based roadmap decisions.
* Lead experimentation and technical learning cycles so that innovative ideas are validated early and inform long\-term platform direction.
* Align cross\-functional teams and stakeholders around the roadmap so that priorities are executed cohesively and with maximum impact.
 Drive Iterative Product Development (50%)
* Translate architecture goals and product strategy into a clear, iterative set of experiments and a delivery plan that delivers measurable improvements in stability, extensibility, and efficiency.
* Continuously update and refine the delivery plan as new learnings emerge to keep engineering teams focused on the highest\-value work that advances platform goals.
* Lead technical pilots and develop proofs\-of\-concept to test emerging technologies, integrations, and infrastructure improvements — accelerating learning and reducing risk before scaling.
* Define clear hypotheses and measurable success criteria so that requirements are clear, testable, and aligned with both architectural and business needs.
* Collaborate daily with engineers, product teams, and internal stakeholders to clarify requirements, resolve dependencies, and ensure secure, high\-quality delivery.
 Communicate Value and Progress (20%)
* Provide clear, outcome\-focused updates that communicate measurable impact and insights, and demonstrate how technical delivery enables and advances College Board’s strategic goals.
* Translate technical progress and requirements into business impact by clearly connecting platform investments to the value they create for users through secure, scalable, and reliable digital assessments.
* Share documentation, release notes, and updates so that internal teams understand and can leverage new capabilities.
* Lead demos and platform updates that inspire trust in the platform’s evolution and showcase measurable improvements in reliability, scalability, and innovation.
 What Success Looks Like
* Clear, measurable outcomes are defined and achieved through continuous discovery and delivery.
* Platform services and integrations are secure, reliable, and scalable, with measurable improvements in performance and developer efficiency.
* Pilots and proofs\-of\-concept validate technical solutions early, reducing risk and informing future roadmap direction.
* Delivered capabilities strengthen the foundation of the digital assessment experience, enabling faster and more reliable delivery of user\-facing features.
* Stakeholders recognize you as a trusted technical product leader who bridges business priorities and technical execution with clarity and influence.
**About You**
*To qualify for this role, you must have:*
* 8\+ years of product management or related experience, with a proven track record leading products within SaaS enterprise platforms.
* Deep understanding of secure, large\-scale, and complex systems; experience in assessments or educational technology is a strong plus.
* Technical fluency, with a strong understanding of back\-end systems, APIs, data integrations, and platform architecture.
* A proven ability to drive measurable business and user outcomes through discovery and delivery.
* Experience collaborating closely with engineers, architects, and cross\-functional stakeholders in complex technical environments.
* High attention to detail and exceptional written and verbal communication skills, with the ability to produce clear, precise documentation and ensure shared understanding across technical and non\-technical audiences.
* Strong organizational skills, with the ability to manage multiple dependencies and priorities effectively.
* Familiarity with AI\-enabled tools, automation, or data workflows (preferred).
* The ability to travel 5–7 times a year to College Board offices or on behalf of College Board business.
**All Roles At College Board Require**
*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**About College Board**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**Mission**
 Clearing a path for all students to own their future.
 Clearing a path for all students to own their future.
**What Guides Us**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**We Value and Provide Growth, Recognition, and Purpose**
 In addition to a competitive salary and benefits, we offer:
* Annual bonuses and opportunities for merit\-based raises and promotions
* A mission\-driven workplace where your impact matters
* A team that invests in your development and success
 In addition to a competitive salary and benefits, we offer:
* Annual bonuses and opportunities for merit\-based raises and promotions
* A mission\-driven workplace where your impact matters
* A team that invests in your development and success
**✨Learn More ✨**
 Learn more about College Board’s Operating Principles, Our Remote\-first Workplace Policy, Benefits, Recruiting Process and More.
 Learn more about College Board’s Operating Principles, Our Remote\-first Workplace Policy, Benefits, Recruiting Process and More.
**EEOC statement**
 College Board is proud to be an equal opportunity employer. We’re committed to equal employment opportunity regardless of race, color, ancestry, religion, sex, national origin, sexual orientation, age, citizenship, marital status, disability, gender identity, or Veteran status.
 College Board is proud to be an equal opportunity employer. We’re committed to equal employment opportunity regardless of race, color, ancestry, religion, sex, national origin, sexual orientation, age, citizenship, marital status, disability, gender identity, or Veteran status.</t>
        </is>
      </c>
    </row>
    <row r="46">
      <c r="A46" t="inlineStr">
        <is>
          <t>li-4374061801</t>
        </is>
      </c>
      <c r="B46" t="inlineStr">
        <is>
          <t>Product Manager, Pooled Plans</t>
        </is>
      </c>
      <c r="C46" t="inlineStr">
        <is>
          <t>Transamerica</t>
        </is>
      </c>
      <c r="D46" t="inlineStr">
        <is>
          <t>linkedin</t>
        </is>
      </c>
      <c r="E46" t="inlineStr"/>
      <c r="F46" t="inlineStr"/>
      <c r="G46" t="inlineStr">
        <is>
          <t>Denver, CO</t>
        </is>
      </c>
      <c r="H46" t="inlineStr"/>
      <c r="I46" t="inlineStr">
        <is>
          <t>**Job Family**
 Product and Propositioning Marketing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Drives long\-term strategy by researching and designing retirement products for from inception to launch. Manages existing product portfolios to ensure profitable sales.
**Responsibilities**
**Job Description**
* Analyze market trends and competitive landscape to discern product opportunities and translate market conditions into valid value positions.
* Research potential market opportunities; build the business case for product innovations by gathering distribution and consumer feedback, reviewing industry sales trends, and understanding demographic shifts/consumer preferences.
* Make recommendations to the product leader and team on product features, competitiveness, profitability, sales goals and launch date.
* Conduct feasibility studies, research and development, and participate in labs to evaluate ideas. Collaborate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Develop product specification documents, product guides and other product documentation.
* Serve as a subject matter expert to functional areas on product information required during the product development process.
**Qualifications**
* Bachelor’s degree in a business related field or equivalent experience.
* Two years of product development experience in the retirement industry.
* Understanding of retirement product features and riders.
* Understanding of retirement and marketing techniques.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Advanced proficiency in MS Office (Excel, PowerPoint, Word).
**Preferred Qualifications**
* Pooled plan experience for retirement products
**Working Conditions**
* Hybrid office environment: 3 days in office (Baltimore, Cedar Rapids, Philadelphia, Denver)
 The Salary for this position generally ranges between $78,000\-$88,000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of 12\.5% based on the Company Bonus Plan/Individual Performance and is at the Company’s discretion.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47">
      <c r="A47" t="inlineStr">
        <is>
          <t>li-4375410627</t>
        </is>
      </c>
      <c r="B47" t="inlineStr">
        <is>
          <t>Product Manager - Engineering Systems</t>
        </is>
      </c>
      <c r="C47" t="inlineStr">
        <is>
          <t>Relativity</t>
        </is>
      </c>
      <c r="D47" t="inlineStr">
        <is>
          <t>linkedin</t>
        </is>
      </c>
      <c r="E47" t="inlineStr"/>
      <c r="F47" t="inlineStr"/>
      <c r="G47" t="inlineStr">
        <is>
          <t>Wisconsin, United States</t>
        </is>
      </c>
      <c r="H47" t="inlineStr"/>
      <c r="I47"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48">
      <c r="A48" t="inlineStr">
        <is>
          <t>li-4373122392</t>
        </is>
      </c>
      <c r="B48" t="inlineStr">
        <is>
          <t>Data Center Product Manager</t>
        </is>
      </c>
      <c r="C48" t="inlineStr">
        <is>
          <t>Eaton</t>
        </is>
      </c>
      <c r="D48" t="inlineStr">
        <is>
          <t>linkedin</t>
        </is>
      </c>
      <c r="E48" t="inlineStr"/>
      <c r="F48" t="inlineStr"/>
      <c r="G48" t="inlineStr">
        <is>
          <t>Nashville, TN</t>
        </is>
      </c>
      <c r="H48" t="inlineStr"/>
      <c r="I48" t="inlineStr">
        <is>
          <t>Eaton’s ES AMER ARS division is currently seeking a Data Center Product Manager. This position may be based at any Eaton facility in Georgia, North Carolina, South Carolina, Tennessee, Kentucky, or Alabama, or it may be performed remotely within those states. Travel to our Nashville, TN facility will be required up to 25% of the time.
 The expected annual salary range for this role is $130000 \- $190000 a year.
 Please note the salary information shown above is a general guideline only. Salaries are based upon candidate skills, experience, and qualifications, as well as market and business considerations.
**What You’ll Do:**
 The Data Center industry is experiencing rapid scaling and technological advancements, driven by the increasing demand for AI, cloud computing, and edge computing solutions. To remain relevant and competitive, Eaton must adopt a systems\-based approach and provide comprehensive, unified solutions to our customers' global deployment challenges. In response to customer demand, Eaton is now offering a storage program serving data center project sites in North America.
 This position is fully responsible for managing the storage program for large data center customers which oversees storage of electrical power distribution equipment from multiple factories across Eaton’s Electrical Sector Americas region in accordance with product line and customer requirements. This role is a hybrid of program and product management which includes coordination across operations and functions as a liaison with customers, sales, product lines, services, finance, supply chain, and third\-party logistics companies to ensure proper alignment and program execution
****What You’ll Do:****
* Drive development of program timelines and milestones that support storage of an increasing array of types of electrical power distribution equipment.
* Coordinate all change management activities for accommodating new and different material handling, storage and shipping requirements.
* Work with plants to ensure program specific requirements are identified, deployed and implemented.
* Advocate alignment within and across product lines, finance, supply chain, and third\-party logistics to provide a consistent and seamless experience for the customers.
* Develop and deploy standard processes (process maps, RACI, and standard work).
* Innovate with digital tools to increase efficiency and effectiveness of the program as the volume scales (e.g. digital tools for inventory tracking, issue resolution, reporting).
* Work with Sales, supply chain, and finance to understand costs and establish pricing models to ensure a reasonable return for services provided.
* Work with Eaton real estate and logistics teams to secure additional warehouse indoor and outdoor storage capacity as the storage program scales.
**Qualifications:**
**Required (Basic) Qualifications:**
* Bachelor’s degree from an accredited institution.
* Minimum 7 years of experience in program management, operations, manufacturing or engineering
* Eaton will not consider applicants for employment immigration sponsorship or support for this position. This means that Eaton will not support any CPT, OPT, or STEM OPT plans, F\-1 to H\-1B, H\-1B cap registration, O\-1, E\-3, TN status, I\-485 job portability, etc.
****Preferred Qualifications:****
* Experience collaborating with and influencing distributed teams
* Experience in successful implementation of complex projects
* Program Management Certification
* Experience developing a strategic vision, business case, and roadmap
**Skills:**
* Strong communication and interpersonal skills
* Proven ability to lead, inspire, and adapt in complex environments.
* Strong customer focus, entrepreneurial mindset, and executive presence.
* Must possess project management, analytical, problem solving and facilitation skills
* Capable of leading large\-scale project work utilizing project management skills and tools
* Demonstrated comfort around technology and system solutions
* Ability to operate a wide latitude for actions and recommendations which support the business
* Ability to lead effectively in a matrix organization, in virtual teams (across different locations), and cross\-cultural environments
* Ability to effectively interact with others, establishing open, candid, and trusting relationships
* Ability to demonstrate strategic thinking, including seeing the big picture and motivating others towards common goals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row>
    <row r="49">
      <c r="A49" t="inlineStr">
        <is>
          <t>li-4375184485</t>
        </is>
      </c>
      <c r="B49" t="inlineStr">
        <is>
          <t>Senior Lead Product Manager</t>
        </is>
      </c>
      <c r="C49" t="inlineStr">
        <is>
          <t>Wells Fargo</t>
        </is>
      </c>
      <c r="D49" t="inlineStr">
        <is>
          <t>linkedin</t>
        </is>
      </c>
      <c r="E49" t="inlineStr"/>
      <c r="F49" t="inlineStr"/>
      <c r="G49" t="inlineStr">
        <is>
          <t>Irving, TX</t>
        </is>
      </c>
      <c r="H49" t="inlineStr"/>
      <c r="I49" t="inlineStr">
        <is>
          <t>**About This Role**
 Wells Fargo is seeking a Senior Lead Product Manager supporting commercial loan accounting capabilities, with primary responsibility for the LoanIQ system of record. The position partners closely with business stakeholders, technology teams, and operations to drive product vision, backlog prioritization, and delivery for syndications and related lending initiatives, including AFS\-to\-LoanIQ conversion efforts. The role leads cross\-functional work without direct people management, translating complex lending needs into actionable requirements, guiding Agile execution, and ensuring solutions deliver business value, operational efficiency, and a strong customer experience.
 This role will support the Loan Accounting and Servicing product area, partnering with Product, Line of Business, Operations, and Technology to deliver strategic initiatives related to commercial loan accounting. These include platform modernization, process improvements, regulatory reporting, new product capabilities, and portfolio migrations.
 We're looking for a dynamic, results\-driven professional who thrives in fast\-paced environments and is passionate about leading transformational change. Strong collaboration, communication, and relationship\-building skills are essential.
**In This Role, You Will**
* Own and contribute to the product vision and backlog for loan accounting capabilities, with focus on LoanIQ supporting commercial lending and syndications
* Prioritize features and work items based on business outcomes, operational needs, and conversion events (e.g., AFS to LoanIQ), balancing stakeholder priorities and dependencies
* Act as a key liaison between business partners, technology teams, and operations, coordinating with other product owners to deliver a cohesive customer and user experience
* Lead and influence cross\-functional teams (technology, risk, operations), including Business Analysts and Technical Analysts, to refine features, establish story readiness, define acceptance criteria, and accept work at the story level
* Identify, manage, and resolve dependencies and interdependencies across initiatives, taking ownership of projects end\-to\-end and driving them forward with minimal oversight
* Support Agile delivery practices while applying strong commercial lending and loan accounting knowledge to ensure solutions align with business, regulatory, and operational requirements
* Translate complex business needs into clear, actionable requirements, demonstrating strong business acumen and the ability to partner effectively with both technical and non\-technical stakeholders
**Required Qualifications:**
* 7\+ years of Product Management, product development, strategic planning, process management, change delivery, or agile product owner experience, or equivalent demonstrated through one or a combination of the following: work experience, training, military experience, education
**Desired Qualifications:**
* 7\+ years of financial services expertise in commercial lending, regulatory reporting, data \&amp; analytics, product management, business process management, and lending technology
* Demonstrated achievements with implementations across commercial lending products and loan platforms (AFS, Loan IQ, McCracken, Asset Based Lending, Supply Chain Finance, Inventory Finance, Global Receivables and Trade, etc.).
* Experience leading and supporting large\-scale commercial lending platforms and products, including LoanIQ, syndicated lending, and loan accounting; familiarity with ACBS or AFS, or Asset Based Lending (ABL) environments is a plus
* Demonstrated achievements in implementing portfolio conversions, mergers \&amp; acquisitions, platform upgrades and/or implementing new commercial lending platforms
* Knowledge of LSTA guidelines, credit agreements, and related lending concepts such as international lending and secondary loan trading
* Strong understanding of the product lifecycle, with the ability to translate business and end\-user needs into prioritized, actionable backlog items
* Experience working in Agile environments, including Scrum, SAFe, or LeSS; SAFe, Scrum, or POPM certification preferred
* Ability to lead and influence cross\-functional teams, partnering effectively with business stakeholders, technology, and risk without direct authority
* Familiarity with design thinking and customer\-centric problem\-solving approaches
* Strong executive\-level presence and communication, negotiation, and prioritization skills (written and verbal), with the ability to balance competing objectives and dependencies
* Business\-savvy mindset with enough technical understanding to effectively partner with technology teams
* Proven experience with waterfall and agile delivery methodologies
* Strong background in product strategy, establishing Objectives and Key Results (OKRs), and roadmap development
* Ability to manage multiple high\-risk, high\-priority initiatives simultaneously
* Experience with machine learning or AI is a plus
* Proficiency in MS Office, SharePoint, Confluence, and Jira
* Bachelor's degree or higher preferred
**Job Expectations:**
* This position is not eligible for Visa sponsorship
* This position offers a hybrid work schedule
* 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
* Ability to travel up to 10% of the time
* \#commercialbanking
**Locations:**
* 550 South Tryon Street \- Charlotte, North Carolina 28202
* 1525 W W T Harris Blvd \- Charlotte, North Carolina 28262
* 401 Las Colinas Blvd W \- Irving, Texas 75039
* 461 From Road \- Paramus, New Jersey 07652
* 51 John F Kennedy Pkwy \- Short Hills, New Jersey 07078
**Pay Range:**
* Charlotte \- North Carolina Pay Range: $139,000 \- $217,000 USD Annual
* Irving \- Texas Pay Range: $139,000 \- $217,000 USD Annual
* Paramus \- New Jersey Pay Range: $167,000 \- $260,000 USD Annual
* Short Hills \- New Jersey Pay Range: $167,000 \- $260,000 USD Annual
* Eligible for discretionary annual bonus
**Pay Range**
 Reflected is the base pay range offered for this position. Pay may vary depending on factors including but not limited to demonstrated examples of prior performance, skills, experience, or work location. Employees may also be eligible for incentive opportunities.
 $139,000\.00 \- $260,000\.00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21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R\-522789\-2</t>
        </is>
      </c>
    </row>
    <row r="50">
      <c r="A50" t="inlineStr">
        <is>
          <t>li-4375183596</t>
        </is>
      </c>
      <c r="B50" t="inlineStr">
        <is>
          <t>Senior Lead Product Manager</t>
        </is>
      </c>
      <c r="C50" t="inlineStr">
        <is>
          <t>Wells Fargo</t>
        </is>
      </c>
      <c r="D50" t="inlineStr">
        <is>
          <t>linkedin</t>
        </is>
      </c>
      <c r="E50" t="inlineStr"/>
      <c r="F50" t="inlineStr"/>
      <c r="G50" t="inlineStr">
        <is>
          <t>Charlotte, NC</t>
        </is>
      </c>
      <c r="H50" t="inlineStr"/>
      <c r="I50" t="inlineStr">
        <is>
          <t>**About This Role**
 Wells Fargo is seeking a Senior Lead Product Manager supporting commercial loan accounting capabilities, with primary responsibility for the LoanIQ system of record. The position partners closely with business stakeholders, technology teams, and operations to drive product vision, backlog prioritization, and delivery for syndications and related lending initiatives, including AFS\-to\-LoanIQ conversion efforts. The role leads cross\-functional work without direct people management, translating complex lending needs into actionable requirements, guiding Agile execution, and ensuring solutions deliver business value, operational efficiency, and a strong customer experience.
 This role will support the Loan Accounting and Servicing product area, partnering with Product, Line of Business, Operations, and Technology to deliver strategic initiatives related to commercial loan accounting. These include platform modernization, process improvements, regulatory reporting, new product capabilities, and portfolio migrations.
 We're looking for a dynamic, results\-driven professional who thrives in fast\-paced environments and is passionate about leading transformational change. Strong collaboration, communication, and relationship\-building skills are essential.
**In This Role, You Will**
* Own and contribute to the product vision and backlog for loan accounting capabilities, with focus on LoanIQ supporting commercial lending and syndications
* Prioritize features and work items based on business outcomes, operational needs, and conversion events (e.g., AFS to LoanIQ), balancing stakeholder priorities and dependencies
* Act as a key liaison between business partners, technology teams, and operations, coordinating with other product owners to deliver a cohesive customer and user experience
* Lead and influence cross\-functional teams (technology, risk, operations), including Business Analysts and Technical Analysts, to refine features, establish story readiness, define acceptance criteria, and accept work at the story level
* Identify, manage, and resolve dependencies and interdependencies across initiatives, taking ownership of projects end\-to\-end and driving them forward with minimal oversight
* Support Agile delivery practices while applying strong commercial lending and loan accounting knowledge to ensure solutions align with business, regulatory, and operational requirements
* Translate complex business needs into clear, actionable requirements, demonstrating strong business acumen and the ability to partner effectively with both technical and non\-technical stakeholders
**Required Qualifications:**
* 7\+ years of Product Management, product development, strategic planning, process management, change delivery, or agile product owner experience, or equivalent demonstrated through one or a combination of the following: work experience, training, military experience, education
**Desired Qualifications:**
* 7\+ years of financial services expertise in commercial lending, regulatory reporting, data \&amp; analytics, product management, business process management, and lending technology
* Demonstrated achievements with implementations across commercial lending products and loan platforms (AFS, Loan IQ, McCracken, Asset Based Lending, Supply Chain Finance, Inventory Finance, Global Receivables and Trade, etc.).
* Experience leading and supporting large\-scale commercial lending platforms and products, including LoanIQ, syndicated lending, and loan accounting; familiarity with ACBS or AFS, or Asset Based Lending (ABL) environments is a plus
* Demonstrated achievements in implementing portfolio conversions, mergers \&amp; acquisitions, platform upgrades and/or implementing new commercial lending platforms
* Knowledge of LSTA guidelines, credit agreements, and related lending concepts such as international lending and secondary loan trading
* Strong understanding of the product lifecycle, with the ability to translate business and end\-user needs into prioritized, actionable backlog items
* Experience working in Agile environments, including Scrum, SAFe, or LeSS; SAFe, Scrum, or POPM certification preferred
* Ability to lead and influence cross\-functional teams, partnering effectively with business stakeholders, technology, and risk without direct authority
* Familiarity with design thinking and customer\-centric problem\-solving approaches
* Strong executive\-level presence and communication, negotiation, and prioritization skills (written and verbal), with the ability to balance competing objectives and dependencies
* Business\-savvy mindset with enough technical understanding to effectively partner with technology teams
* Proven experience with waterfall and agile delivery methodologies
* Strong background in product strategy, establishing Objectives and Key Results (OKRs), and roadmap development
* Ability to manage multiple high\-risk, high\-priority initiatives simultaneously
* Experience with machine learning or AI is a plus
* Proficiency in MS Office, SharePoint, Confluence, and Jira
* Bachelor's degree or higher preferred
**Job Expectations:**
* This position is not eligible for Visa sponsorship
* This position offers a hybrid work schedule
* 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
* Ability to travel up to 10% of the time
* \#commercialbanking
**Locations:**
* 550 South Tryon Street \- Charlotte, North Carolina 28202
* 1525 W W T Harris Blvd \- Charlotte, North Carolina 28262
* 401 Las Colinas Blvd W \- Irving, Texas 75039
* 461 From Road \- Paramus, New Jersey 07652
* 51 John F Kennedy Pkwy \- Short Hills, New Jersey 07078
**Pay Range:**
* Charlotte \- North Carolina Pay Range: $139,000 \- $217,000 USD Annual
* Irving \- Texas Pay Range: $139,000 \- $217,000 USD Annual
* Paramus \- New Jersey Pay Range: $167,000 \- $260,000 USD Annual
* Short Hills \- New Jersey Pay Range: $167,000 \- $260,000 USD Annual
* Eligible for discretionary annual bonus
**Pay Range**
 Reflected is the base pay range offered for this position. Pay may vary depending on factors including but not limited to demonstrated examples of prior performance, skills, experience, or work location. Employees may also be eligible for incentive opportunities.
 $139,000\.00 \- $260,000\.00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21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R\-522789\-1</t>
        </is>
      </c>
    </row>
    <row r="51">
      <c r="A51" t="inlineStr">
        <is>
          <t>li-4330726123</t>
        </is>
      </c>
      <c r="B51" t="inlineStr">
        <is>
          <t>Credit Card Product Manager</t>
        </is>
      </c>
      <c r="C51" t="inlineStr">
        <is>
          <t>Gesa Credit Union</t>
        </is>
      </c>
      <c r="D51" t="inlineStr">
        <is>
          <t>linkedin</t>
        </is>
      </c>
      <c r="E51" t="inlineStr"/>
      <c r="F51" t="inlineStr"/>
      <c r="G51" t="inlineStr">
        <is>
          <t>Centralia, WA</t>
        </is>
      </c>
      <c r="H51" t="inlineStr"/>
      <c r="I51" t="inlineStr">
        <is>
          <t>**Role Summary:**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**Qualifications**
**What You Will Need:**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Centralia, WA: $80,168\.40\-$131,498\.25
 Richland, WA: $83,450\.81\-$139,084\.69
 Spokane, WA: $83,450\.81\-$139,084\.69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52">
      <c r="A52" t="inlineStr">
        <is>
          <t>li-4374064847</t>
        </is>
      </c>
      <c r="B52" t="inlineStr">
        <is>
          <t>Senior Product Manager, Retirement</t>
        </is>
      </c>
      <c r="C52" t="inlineStr">
        <is>
          <t>Transamerica</t>
        </is>
      </c>
      <c r="D52" t="inlineStr">
        <is>
          <t>linkedin</t>
        </is>
      </c>
      <c r="E52" t="inlineStr"/>
      <c r="F52" t="inlineStr"/>
      <c r="G52" t="inlineStr">
        <is>
          <t>Baltimore, MD</t>
        </is>
      </c>
      <c r="H52" t="inlineStr"/>
      <c r="I52" t="inlineStr">
        <is>
          <t>**Job Family**
 Product and Propositioning Marketing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Drives long\-term strategy by researching and designing retirement products from inception to launch. Manages existing product portfolios to ensure profitable sales.
**Responsibilities**
**Job Description**
* Analyze market trends and competitive landscape to discern product opportunities and translate market conditions into valid value positions. Assist lower level staff as needed.
* Research potential market opportunities; build the business case for product innovations by gathering distribution and consumer feedback, reviewing industry sales trends, and understanding demographic shifts/consumer preferences. Guide lower level staff as needed.
* Define product features, competitiveness, profitability, sales goals and launch date. Drive collaboration across all functional areas as needed.
* Conduct feasibility studies, research and development (R\&amp;D), and participate in labs to evaluate ideas. Drive collaboration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Ensure customer centric product ideas are efficiently sourced and prioritized. Work with margin analytics, marketing, sales and operations teams to build a strong pipeline for future product enhancements.
* Develop and deliver presentations to communicate research outcomes; provide R\&amp;D results to senior management and peers to highlight strategic recommendations for new products and enhancements.
**Qualifications**
* Bachelor’s degree in a business related field or equivalent experience.
* Four years of product development experience in the retirement industry.
* In\-depth knowledge of retirement features.
* In\-depth knowledge of retirement and marketing techniques.
* Understanding of profitability metrics.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Presentation skills to provide research data and recommendations to senior leadership.
* Coaching skills to assist team members.
* Advanced proficiency in MS Office (Excel, PowerPoint, Word).
**Working Conditions**
- Hybrid office environment: 3 days in office (Baltimore, Cedar Rapids, Philadelphia, Denver)
 Occasional Travel
 The Salary for this position generally ranges between $87,000\-$97,000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of 15% based on the Company Bonus Plan/Individual Performance and is at the Company’s discretion.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53">
      <c r="A53" t="inlineStr">
        <is>
          <t>li-4374057334</t>
        </is>
      </c>
      <c r="B53" t="inlineStr">
        <is>
          <t>Product Owner - People Center (ServiceNow)</t>
        </is>
      </c>
      <c r="C53" t="inlineStr">
        <is>
          <t>Siemens</t>
        </is>
      </c>
      <c r="D53" t="inlineStr">
        <is>
          <t>linkedin</t>
        </is>
      </c>
      <c r="E53" t="inlineStr"/>
      <c r="F53" t="inlineStr"/>
      <c r="G53" t="inlineStr">
        <is>
          <t>Orlando, FL</t>
        </is>
      </c>
      <c r="H53" t="inlineStr"/>
      <c r="I53"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We are seeking an experienced Product Owner to lead the strategic development of our People Center (ServiceNow) platform. In this pivotal role, you will be responsible for enabling the transformation of our global HR service delivery, ensuring our 300,000\+ employees worldwide receive exceptional digital HR experiences.
**In this role you will work remotely from a home office.**
 You’ll make an impact by
 As the People Center Product Owner, you will own the end\-to\-end product strategy, working closely with internal and external stakeholders (GBS, P\&amp;O/HR) to deliver innovative solutions that enhance people experience and operational efficiency. You will be the bridge between business strategy and technical execution, ensuring our ServiceNow HRSD platform evolves to meet the changing needs of our global workforce.
 As a People Center Product Owner you own the product backlog and prioritize features based on business value. You define the vision and roadmap for the product and act as the voice of the customer for the development team to deliver maximum value from the product to meet business needs.
 Product Vision \&amp; Strategy
* Define and communicate a clear product vision for related ServiceNow modules
* Align product roadmap with organizational objectives and stakeholder needs to enable tangible value
 Backlog Management
* Create, maintain, and actively prioritize the product backlog to steer platform advancement
* Support development of user stories being well\-defined, clear, and actionable for the development team.
 Stakeholder Engagement
* Regularly engage operational and customer stakeholders to shape the direction of the platform
* Gather requirements and feedback from stakeholders to refine features
* Act as the voice of the customer and business within the Agile development team
**Continuous Improvement**
* Monitor product performance and user adoption.
* Identify opportunities for enhancements and process optimization within existing functionality.
* Monitor platform releases to support active deployment and user adoption
**Basic Qualifications**
* Bachelor's degree in Business Administration, HR Management, Operations Management, or other from an accredited university
* 8\-10 years HR related business and service delivery to include digital upgrades and transformations
* Advanced working knowledge of ServiceNow
* Track record of defining, implementing and maintaining best practices and industry standards
* Manage relationships with external strategic providers on governance or service delivery level
* Drive development. Implementation, and improvement of global IT solutions.
* Proficient in English both written and verbal
* Authorized to work in the United States without corporate sponsorship now or in the future
**Preferred Qualifications**
* Influential Stakeholder Engagement: Exceptional ability to influence and align senior executives, HR leadership, and IT teams across diverse business units.
* Effective Communication: Strong presentation, communication, and facilitation skills for executive reporting, business case development, requirements gathering, and change management activities.
* Change Driver: Proven track record of driving organizational change and process optimization in large enterprise environments.
**About Siemens:**
 We are a global technology company focused on industry, infrastructure, transport, and healthcare. From more resource 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$97,691 $167,933 15%</t>
        </is>
      </c>
    </row>
    <row r="54">
      <c r="A54" t="inlineStr">
        <is>
          <t>li-4375187559</t>
        </is>
      </c>
      <c r="B54" t="inlineStr">
        <is>
          <t>Senior Product Manager,  AIP, EAM |IFS Copperleaf</t>
        </is>
      </c>
      <c r="C54" t="inlineStr">
        <is>
          <t>IFS</t>
        </is>
      </c>
      <c r="D54" t="inlineStr">
        <is>
          <t>linkedin</t>
        </is>
      </c>
      <c r="E54" t="inlineStr"/>
      <c r="F54" t="inlineStr"/>
      <c r="G54" t="inlineStr">
        <is>
          <t>Miami, FL</t>
        </is>
      </c>
      <c r="H54" t="inlineStr"/>
      <c r="I54" t="inlineStr">
        <is>
          <t>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As a
 **Senior Product Manager** 
 , you’ll lead the development of
 **AI\-powered software solutions** 
 that enable organizations to optimize long\-term asset investments with predictive insights and automation. You’ll drive product strategy, manage cross\-functional execution, and ensure our platform delivers measurable impact for clients in asset\-intensive industries through
 **machine learning, advanced analytics, and intelligent decision support** 
 .
**Key Responsibilities:** 
* **Define and execute AI\-driven product strategies** 
 that support infrastructure planning, capital investment optimization, and asset lifecycle management using predictive modeling and prescriptive analytics.
* Lead cross\-functional teams through the full product development lifecycle, from discovery and design to delivery and iteration,
 **leveraging AI to accelerate innovation and improve decision\-making** 
 .
* Translate complex customer needs into
 **scalable, intuitive features powered by AI/ML** 
 , with a focus on
 **Asset Investment Planning (AIP), Enterprise Asset Management (EAM), and intelligent decision support tools** 
 .
* Collaborate with engineering,
 **data science** 
 , and UX to deliver
 **AI\-enhanced, user\-centric solutions** 
 that improve operational efficiency and asset performance.
* **Analyze product performance using AI\-driven insights** 
 , monitor market trends, and incorporate predictive analytics to inform roadmap decisions.
* Serve as a domain expert in
 **AI\-enabled asset investment planning** 
 , engaging with clients and industry stakeholders to validate product direction and demonstrate the value of intelligent automation.
**Qualifications**
* 5\+ years of experience in product management, with a strong background in
 **enterprise software and AI\-powered solutions** 
 for AIP, EAM, or infrastructure planning.
* Proven ability to lead
 **AI\-centric product initiatives** 
 in fast\-paced, agile environments.
* Deep understanding of
 **asset lifecycle modeling, risk\-based planning, and capital prioritization frameworks** 
 , with experience applying
 **AI/ML techniques** 
 to these domains.
* Experience working with clients in sectors such as utilities, transportation, municipalities, or infrastructure, ideally with exposure to
 **AI\-driven transformation projects** 
 .
* Strong analytical, communication, and stakeholder management skills, with the ability to
 **translate AI capabilities into business value** 
 .
* Familiarity with tools and platforms used in asset\-intensive industries (e.g., GIS, ERP, AIP systems), and
 **knowledge of AI frameworks, predictive analytics, and data platforms** 
 is a plus.
**Additional Information**
**What We’re Offering**
* Salary Range: $135,000 \-$150,000 \+ Bonus
* Flexible paid time off, including sick and holiday
* Medical, dental, \&amp; vision insurance
* 401K with Company contribution
* Flexible spending accounts
* Life insurance and disability benefits
* Tuition assistance
* Community involvement and volunteering events
*We embrace flexibility and hybrid work opportunities to support diverse needs and lifestyles, while also valuing inclusive workplace experiences. By fostering a sense of community, we drive innovation, strengthen connections, and nurture belonging. Our commitment ensures you can work in a way that suits you best, while also engaging with colleagues to share ideas and build meaningful relationships.*
 All qualified applicants will receive consideration for employment without regard to race, color, religion, sex, sexual orientation, gender identity, national origin, disability, or status as a protected veteran. VEVRAA Federal Contractor, Equal Opportunity Employer
 I'm interested
 All qualified applicants will receive consideration for employment without regard to race, color, religion, sex, sexual orientation, gender identity, national origin, disability, or status as a protected veteran. VEVRAA Federal Contractor, Equal Opportunity Employer</t>
        </is>
      </c>
    </row>
    <row r="55">
      <c r="A55" t="inlineStr">
        <is>
          <t>li-4374027898</t>
        </is>
      </c>
      <c r="B55" t="inlineStr">
        <is>
          <t>'Data and Analytics - Technical Program Manager (Data Architecture Background)</t>
        </is>
      </c>
      <c r="C55" t="inlineStr">
        <is>
          <t>Sogeti</t>
        </is>
      </c>
      <c r="D55" t="inlineStr">
        <is>
          <t>linkedin</t>
        </is>
      </c>
      <c r="E55" t="inlineStr"/>
      <c r="F55" t="inlineStr"/>
      <c r="G55" t="inlineStr"/>
      <c r="H55" t="inlineStr"/>
      <c r="I55" t="inlineStr">
        <is>
          <t>**About the job:** 
 We are seeking a highly technical Project Manager with deep expertise in Master Data Management (MDM), data architecture, and modern data platforms. This role requires a unique combination of technical knowledge and project management excellence to lead complex data integration and MDM initiatives. The ideal candidate will serve as a bridge between business stakeholders, product teams, and technical teams while maintaining hands\-on understanding of the technical architecture and implementation details.
**What you will do at Sogeti:** 
**Requirements Analysis \&amp; Business Mapping** 
* Analyze source files, data structures, and system architectures to understand data lineage and dependencies
* Map technical implementations to business outcomes and strategic objectives
* Translate complex technical requirements into clear, actionable user stories and acceptance criteria
* Facilitate requirements gathering sessions with business stakeholders and translate business needs into technical specifications
* Create comprehensive requirements documentation including data flow diagrams, entity relationship diagrams, and integration specifications
**Informatica MDM Project Leadership** 
* Lead end\-to\-end Informatica MDM implementation projects including planning, execution, monitoring, and delivery
* Understand and guide MDM data models, matching and merge strategies, hierarchy management, and data quality rules
* Coordinate MDM integrations with upstream source systems and downstream consuming applications
* Oversee data stewardship workflows, data governance processes, and master data quality initiatives
* Manage MDM configuration, customization efforts, and version upgrades
**Data Vault 2\.0 \&amp; Layered Architecture Management** 
* Understand and articulate Data Vault 2\.0 methodology including hubs, links, satellites, and business vault concepts
* Define requirements for consumption layer (data marts, aggregations, dimensional models) to support analytics and reporting needs
* Collaborate on semantic layer design to enable self\-service analytics and consistent business definitions
* Ensure proper data lineage, auditability, and historization across all architectural layers
* Coordinate between data engineering teams working on raw vault, business vault, and information marts
**Snowflake Data Platform Management** 
* Create and manage technical requirements for Snowflake data warehouse implementations
* Understand Snowflake architecture including virtual warehouses, databases, schemas, stages, and data sharing capabilities
* Define requirements for Snowflake security, role\-based access control (RBAC), and data governance
* Coordinate data pipeline development including ETL/ELT processes, data integration patterns, and performance optimization
* Work with teams on Snowflake\-specific features such as time travel, zero\-copy cloning, and data masking
**360\-Degree Views \&amp; Hierarchy Management** 
* Design and articulate requirements for Customer 360, Product 360, and Account 360 views using MDM capabilities
* Define golden record creation, data consolidation strategies, and survivorship rules
* Manage complex hierarchy implementations including organizational hierarchies, product hierarchies, and location hierarchies
* Ensure relationship management across different master data domains (customer\-account, customer\-product, etc.)
* Coordinate cross\-functional efforts to ensure consistent entity definitions and relationships across the enterprise
**Stakeholder Communication \&amp; Collaboration** 
* Facilitate effective communication between business stakeholders, product management, and IT development teams
* Present technical concepts and project status to non\-technical audiences using clear, business\-focused language
* Lead cross\-functional meetings including requirements workshops, design reviews, and status update sessions
**SDLC \&amp; Agile Project Management** 
* Demonstrate comprehensive understanding of Software Development Life Cycle (SDLC) methodologies
* Manage Agile/Scrum ceremonies including sprint planning, daily stand\-ups, retrospectives, and sprint reviews
* Maintain and prioritize product backlog with clear, well\-defined user stories and technical tasks
* Identify, track, and resolve project impediments and blockers proactively
**What you will bring (Technical):** 
* **Informatica MDM:** 
 3\+ years hands\-on experience with Informatica MDM (any version) including data modeling, configuration, and integration
* **Data Vault 2\.0:** 
 Strong understanding of Data Vault methodology, raw vault concepts, business vault, and consumption/semantic layers
* **Snowflake:** 
 Working knowledge of Snowflake architecture, SQL, data loading patterns, and platform capabilities
* **Master Data Management:** 
 Deep understanding of MDM concepts including golden records, survivorship, hierarchy management, and 360\-degree views
* **Data Architecture:** 
 Ability to read and understand data models, ERDs, data lineage documentation, and integration patterns
**What you will bring (Project Management):** 
* 5\+ years of project management experience in data, analytics, or enterprise integration projects
* Proven track record managing complex, multi\-team technical projects from initiation through delivery
* Strong understanding of Agile/Scrum methodologies with experience as Scrum Master or Product Owner
* Expert proficiency with Jira including board management, reporting, and workflow configuration
* Experience managing SDLC processes including requirements, design, development, testing, and deployment phases
**Life at Sogeti:** 
 Sogeti supports all aspects of your well\-being throughout the changing stages of your life and career. For eligible employees, we offer:
* Flexible work options
* 401(k) with 150% match up to 6%
* Employee Share Ownership Plan
* Medical, Prescription, Dental \&amp; Vision Insurance
* Life Insurance
* 100% Company\-Paid Mobile Phone Plan
* 3 Weeks PTO \+ 7 Paid Holidays
* Paid Parental Leave
* Adoption, Surrogacy \&amp; Cryopreservation Assistance
* Subsidized Back\-up Child/Elder Care \&amp; Tutoring
* Career Planning \&amp; Coaching
* $5,250 Tuition Reimbursement \&amp; 20,000\+ Online Courses
* Employee Resource Groups
* Counseling \&amp; Support for Physical, Financial, Emotional \&amp; Spiritual Well\-being
* Disaster Relief Programs
**About Sogeti** 
 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Become Your Best \| www.sogeti.us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this role is located in the job posting.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56">
      <c r="A56" t="inlineStr">
        <is>
          <t>li-4375418820</t>
        </is>
      </c>
      <c r="B56" t="inlineStr">
        <is>
          <t>Principal Product Manager, Creator Experience</t>
        </is>
      </c>
      <c r="C56" t="inlineStr">
        <is>
          <t>TEGNA</t>
        </is>
      </c>
      <c r="D56" t="inlineStr">
        <is>
          <t>linkedin</t>
        </is>
      </c>
      <c r="E56" t="inlineStr"/>
      <c r="F56" t="inlineStr"/>
      <c r="G56" t="inlineStr">
        <is>
          <t>New York, NY</t>
        </is>
      </c>
      <c r="H56" t="inlineStr"/>
      <c r="I56" t="inlineStr">
        <is>
          <t>**About TEGNA**
 TEGNA Inc. (NYSE: TGNA) helps people thrive in their local communities by providing the trusted local news and services that matter most. With 64 television stations in 51 U.S. markets, TEGNA reaches more than 100 million people monthly across the web, mobile apps, streaming, and linear television. Together, we are building a sustainable future for local news.
 We’re looking for a
 **Principal Product Manager** 
 to define and lead the long\-term strategy for TEGNA’s creator experience, the central entry point where newsroom users orient their day, understand what matters now, and move seamlessly into the tools and workflows they need.
 The creator experience connects planning, creation, publishing, and performance across TEGNA’s creator tools ecosystem. This role owns the multi\-quarter roadmap and long\-term vision across web and mobile apps, ensuring it delivers clarity, focus, and momentum for diverse newsroom roles, from reporters and producers to editors and leaders.
 You will operate at both strategic and execution levels, shaping multi\-year platform direction while guiding cross\-functional teams to deliver high\-impact capabilities that transform how our newsrooms work.
 This role extends beyond a single team. You will influence architectural decisions, investment priorities, and cross\-product alignment across the Creator Tools portfolio, ensuring the ecosystem evolves as a cohesive, scalable platform rather than a collection of features.
**Who You Are**
 You are a strategic product leader who operates comfortably at both executive and tactical levels. You bring clarity to complex, cross\-functional initiatives and align diverse stakeholders around a shared product vision.
 You think in systems, not features. You identify leverage points across workflows, data, and platform capabilities to unlock meaningful improvements in efficiency, engagement, and performance.
 You are comfortable navigating ambiguity, framing problems that lack clear answers, and making principled trade\-offs grounded in user impact, business value, and technical feasibility.
 You are deeply user\-centered but equally focused on measurable outcomes. You define success clearly, hold teams accountable to impact, and continually raise the bar for product excellence.
**Scope of Responsibility**
 You will define and drive the strategic direction of the Creator Experience ecosystem while directly leading a dedicated, cross\-functional scrum team responsible for delivering key capabilities within that platform. You will translate long\-term vision into clear quarterly priorities, ensuring day\-to\-day execution aligns with multi\-year platform strategy.
 You will own the product roadmap for your area and partner closely with Engineering and Design to deliver high\-impact features and platform improvements. This includes maintaining a prioritized backlog, refining epics and user stories, and ensuring sprint work is clearly tied to defined outcomes and measurable impact.
 You will operate at both strategic and tactical levels. You will guide discovery efforts, shape architectural and data decisions in partnership with Engineering leadership and proactively identify cross\-team dependencies and risks. At the same time, you will stay closely connected to delivery, ensuring clarity of scope, quality of execution, and timely releases.
 You will also contribute to portfolio\-level planning across Creator Tools, helping align roadmap priorities across adjacent teams and ensuring the ecosystem evolves cohesively rather than as siloed initiatives.
**Top Key Activities**
* Backlog Ownership: Own and prioritize a clear, outcome\-oriented product backlog to ensure the team always works on the most valuable features.
* Requirement Gathering \&amp; Refinement: Translate business needs, customer feedback, and market trends into clear, detailed user stories and acceptance criteria.
* Sprint Planning \&amp; Delivery: Work closely with designers, engineers, and QA during sprint cycles to ensure smooth delivery, clarity of scope, and fast decision\-making.
* Stakeholder Collaboration: Act as the primary point of contact between product teams and stakeholders, ensuring clear communication of priorities, expectations, and progress.
* Customer Focus: Champion the voice of the customer in all product decisions, ensuring we build intuitive and valuable experiences.
* Strategy \&amp; Roadmap Definition: Contribute to product strategy and roadmapping in collaboration with Product Leadership.
* Continuous Improvement: Analyze product performance, gather user feedback, and iterate on features to continuously improve user experience and business outcomes.
* Communications: Leads core team and stakeholder communications. E.g., dependencies, launches, setbacks, learnings, tradeoff decisions, etc.
* Team output: Leverages team velocity and capacity planning to continually improve product delivery
**Cross\-Functional Collaboration**
* Work closely with Engineering, Data Science, Content Operations, Design, and Consumer Product teams
* Act as the primary point of alignment between platform capabilities and consumer\-facing experiences
* Communicate trade\-offs, dependencies, and platform constraints clearly to stakeholders
**Measurement \&amp; Impact**
* Define success metrics such as discovery efficiency, recommendation performance, content engagement, and reuse of platform services
* Track metadata quality metrics (coverage, freshness, accuracy)
* Use experimentation and analytics to validate platform improvements and downstream impact
**Key Professional Traits And Requirements**
* Thrives in fast\-paced environments
* Works collaboratively across all consumer domains, business partners
* Strong communicator (written \&amp; verbal) with active listening skills
* Supports and facilitates healthy team dynamics
* Professional and reflects TEGNA values
* Strong planning and organizational skills
* Proactive
* Ability to effectively negotiate
* Ability to say No (when appropriate)
* Ability to maintain a keen attention to detail, multitask and work well under pressure
**Deep Knowledge And Proficiency With The Following Tools**
* Atlassian products, Jira, Jira Product Discovery, Confluence
* UX/UI tools, Figma, Miro
* MS 365 Suite (Teams, Excel, Word, PowerPoint)
**Why Join Us?**
* Be a key voice in shaping a product used by millions of users every day.
* Work in a collaborative, user\-centered, and agile environment.
* Join a company that values ownership, transparency, and impact.
* Competitive salary and great benefits.
 Pay Range
 $150,000—$170,000 USD
**Benefits**
 TEGNA offers comprehensive benefits designed to safeguard the physical, mental and financial health of our employees and their families. TEGNA offers two medical plan options for full and part\-time employees through Blue Cross Blue Shield of Texas, as well as access to dental and eye care coverage; fertility, surrogacy and adoption assistance; disability and life insurance.
 Our 401(k) program offers full, part\-time and temporary employees the opportunity to contribute 1% \- 80% of their pay on a pre\-tax basis to TEGNA’s 401(k). Contributions made up to the first 4% of pay are eligible for a 100% match from the company and are 100% vested from day one.
 Regardless of participation in TEGNA medical plans, ALL employees and their eligible family members receive nine free virtual doctor’s appointments with a physician through Teladoc, and 12 free annual therapy sessions with a licensed clinician through Spring Health.
 TEGNA offers a generous Paid Time Off (PTO) benefit as well as nine paid holidays per year.
* Some jobs are covered by a collective bargaining agreement and thus some or all of the benefits described herein may not apply. For example, some newsroom bargaining unit employees receive health and retirement benefits under plans administered by the union.
**EEO Statement**
 TEGNA Inc. is a proud equal opportunity employer. We are proud to be an equal opportunity employer, hiring and developing individuals from diverse backgrounds and experiences to add to our collaborative culture. We value and consider applications from all qualified candidates without regard to actual or perceived race, color, religion, national origin, sex, gender, age, marital status, personal appearance, sexual orientation, gender identity or expression, family responsibilities, disability, medical condition, enrollment in college or vocational school, political affiliation, military or veteran status, citizenship status, genetic information, or any other basis protected by federal, state or local law. TEGNA will reasonably accommodate qualified individuals with disabilities in accordance with applicable law. If you are in need of an accommodation in order to submit your application, please email askhr@tegna.com
**Recruiting Fraud Alert**
 To all candidates: your personal information and online safety are important to us. Only TEGNA Recruiters or Hiring Managers will reach out to you regarding consideration of your application or background. Communications with TEGNA employees will either come from a TEGNA email address with a domain of tegna.com or one of our affiliate station domains.
 Recruiters or Hiring Managers will never request payments, ask for financial account information or sensitive information such as social security numbers.
 Privacy Notice for California Residents
 SMS Messaging Privacy Policy</t>
        </is>
      </c>
    </row>
    <row r="57">
      <c r="A57" t="inlineStr">
        <is>
          <t>li-4374052457</t>
        </is>
      </c>
      <c r="B57" t="inlineStr">
        <is>
          <t>Product Manager HPCWorks</t>
        </is>
      </c>
      <c r="C57" t="inlineStr">
        <is>
          <t>Siemens Digital Industries Software</t>
        </is>
      </c>
      <c r="D57" t="inlineStr">
        <is>
          <t>linkedin</t>
        </is>
      </c>
      <c r="E57" t="inlineStr"/>
      <c r="F57" t="inlineStr"/>
      <c r="G57" t="inlineStr">
        <is>
          <t>Livonia, MI</t>
        </is>
      </c>
      <c r="H57" t="inlineStr"/>
      <c r="I57" t="inlineStr">
        <is>
          <t>**We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At Siemens Digital Industries Software, we are shaping the future of compute\-intensive engineering, science, and AI. Our mission is to make HPC more accessible, efficient, and intelligent for users and administrators across the world’s leading industries.
 We are hiring a Product Manager to lead HPCWorks Access \- our intuitive portal for remote HPC job submission and visualization \- and HPCWorks Insight Pro \- our powerful monitoring and analytics solution for HPC system performance. Together, these tools form the user interaction and observability layer of our HPC ecosystem.
 In this role, you will define product direction, partner with customers and engineering, and ensure that HPC environments deliver exceptional usability, visibility, and operational efficiency.
**Key Responsibilities:**
* Define and own the product vision and roadmap for HPCWorks Access and HPCWorks Insight Pro \- enabling seamless user workflows and operational transparency.
* Drive intuitive user experiences for job submission, data access, visualization, and workflow interaction across distributed compute environments.
* Deliver actionable insights to HPC administrators through monitoring, analytics, and trend visualization for system health and resource efficiency.
* Lead integration efforts with workload schedulers, identity systems, storage platforms, and telemetry sources for a unified user platform.
* Engage directly with customers and end\-users to gather insights and prioritize features that drive adoption and customer success.
* Collaborate with engineering, UX, support, and go\-to\-market teams to ensure successful development and rollout of new capabilities.
**Qualifications:**
* Bachelor’s or Master’s degree in Computer Science, Engineering, Data Science, or a related technical field.
* 5\+ years of Product Management experience with ownership of complex software products \- ideally in HPC, cloud infrastructure, or enterprise IT.
* Understanding of HPC workflows and workload schedulers (e.g., PBS Professional, Slurm, Grid Engine).
* Familiarity with observability and telemetry tools (Grafana, Prometheus, Splunk, custom dashboards, etc.).
* Strong technical acumen with the ability to collaborate closely on architecture, UX, and performance.
* Excellent communication skills and comfort representing the product with customers and stakeholders.
* Passion for driving modern, user\-centric HPC experiences in hybrid and cloud\-enhanced environments.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
 109,800 197,700 5\-8</t>
        </is>
      </c>
    </row>
    <row r="58">
      <c r="A58" t="inlineStr">
        <is>
          <t>li-4375414390</t>
        </is>
      </c>
      <c r="B58" t="inlineStr">
        <is>
          <t>Product Manager</t>
        </is>
      </c>
      <c r="C58" t="inlineStr">
        <is>
          <t>HCLTech</t>
        </is>
      </c>
      <c r="D58" t="inlineStr">
        <is>
          <t>linkedin</t>
        </is>
      </c>
      <c r="E58">
        <f>HYPERLINK("https://www.linkedin.com/jobs/view/4375414390", "https://www.linkedin.com/jobs/view/4375414390")</f>
        <v/>
      </c>
      <c r="F58" t="inlineStr"/>
      <c r="G58" t="inlineStr"/>
      <c r="H58" t="inlineStr"/>
      <c r="I58" t="inlineStr">
        <is>
          <t>**Job Role: Product Manager – Data Center AI Smart Hands Service** 
**Experience: 10–12 Years Minimum** 
**Job Type: Full‑Time** 
**Job Location: Remote** 
**Company Overview** 
 HCLTech is one of the world’s fastest‑growing technology companies, home to
 **220,000\+ innovators across 60 countries** 
 , empowering digital transformation through next‑gen solutions in
 **Digital, Engineering, and Cloud** 
 .
 We are now seeking a
 **Product Manager – Data Center AI Smart Hands Service** 
 to drive the strategy, roadmap, and global adoption of our next‑generation Smart Hands offering for
 **AI and GPU‑dense data centers** 
 .
 🔍
 **About the Role** 
 This is a
 **pure product role** 
 (not operations). You’ll own the vision and lifecycle of an AI‑focused Smart Hands service designed for
 **high‑density, GPU‑based, and hyperscaler\-grade data centers** 
 .
 The focus:
 ✔ Standardized global service tiers
 ✔ AI‑rack \&amp; liquid cooling workflows
 ✔ Robotics \+ automation \+ AR/VR‑guided operations
 ✔ Remote expert models \&amp; predictive maintenance
 ✔ Differentiated, scalable delivery aligned with hyperscaler expectations
 You will collaborate with delivery, automation, GTM, and training teams to embed innovation into field operations—driving efficiency, consistency, safety, and customer value.
 🛠
 **Key Responsibilities** 
**You will:** 
* Own the end‑to‑end product lifecycle for AI DC Smart Hands—from concept to global scale.
* Define global operating models across hyperscale, enterprise, and colocation environments.
* Lead GTM readiness: enablement kits, sales playbooks, demos, customer success metrics.
* Drive product differentiation with automation, AR/VR workflows, and remote expert models.
* Establish product strategy, roadmap, SLAs, pricing, and standardized service tiers.
* Build service catalogs for GPU racks, dense cabling, liquid cooling, and lifecycle tasks.
* Integrate robotics, automation, and AR/VR guidance to enhance field operations.
* Align with hyperscaler compliance and AI\-DC infrastructure standards.
* Track operational KPIs (FTR, MTTR, SLA adherence, utilization, CSAT) and drive improvements.
* Develop technician playbooks, SOPs, and certification paths with delivery/training teams.
* Support presales with value propositions, pricing guardrails, and reusable artifacts.
* Continuously evolve the offering based on field data, customer insights, and tech shifts.
 🎯
 **What We’re Looking For** 
**Experience:** 
 10–12 years in Data Center Ops, Smart Hands, or Field Services
**Must‑have:** 
* Strong exposure to
 **hyperscalers** 
 or
 **AI data centers**
* Working knowledge of
 **GPU infrastructure** 
 (H100/H200/GB200\), liquid cooling, dense cabling
* Background in
 **service design, costing, catalogs, and product lifecycle**
* Familiarity with
 **automation tools, AR/VR workflows, robotics, digital twins, predictive maintenance**
* Strong stakeholder management and customer\-facing skills
**Success will be measured by:** 
 ⭐ Product adoption
 ⭐ Margin performance
 ⭐ Customer outcomes
 ⭐ Differentiation in the market
 🌱
 **How You’ll Grow** 
 At HCLTech, your career growth is our priority. Expect:
* Transparent communication with senior leaders
* Learning \&amp; development programs at every level
* Opportunities to explore new domains or pivot roles
* A culture that helps you discover and amplify your spark
***Disclaimer***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59">
      <c r="A59" t="inlineStr">
        <is>
          <t>li-4374089163</t>
        </is>
      </c>
      <c r="B59" t="inlineStr">
        <is>
          <t>Product Manager</t>
        </is>
      </c>
      <c r="C59" t="inlineStr">
        <is>
          <t>Courier Health</t>
        </is>
      </c>
      <c r="D59" t="inlineStr">
        <is>
          <t>linkedin</t>
        </is>
      </c>
      <c r="E59">
        <f>HYPERLINK("https://www.linkedin.com/jobs/view/4374089163", "https://www.linkedin.com/jobs/view/4374089163")</f>
        <v/>
      </c>
      <c r="F59">
        <f>HYPERLINK("https://job-boards.greenhouse.io/courierhealth/jobs/4939593007?source=linkedin&amp;urlHash=MQo0", "https://job-boards.greenhouse.io/courierhealth/jobs/4939593007?source=linkedin&amp;urlHash=MQo0")</f>
        <v/>
      </c>
      <c r="G59" t="inlineStr">
        <is>
          <t>New York, NY</t>
        </is>
      </c>
      <c r="H59" t="inlineStr"/>
      <c r="I59" t="inlineStr">
        <is>
          <t>Courier Health is on a mission to solve one of the biggest and most meaningful opportunities in healthcare: reinvent how people living with chronic and rare diseases are supported.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3\-5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100% paid employee health benefit options (including medical, dental, and vision)
* 401(k) with employer funded match
* Unlimited Vacation
* Commuter Benefits
* Paid parental leave
* Catered lunch on Fridays
* Wellness stipend
* Great Place to Work Certified
 The annual salary range for the target level for this role is $130,000 \- $150,000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60">
      <c r="A60" t="inlineStr">
        <is>
          <t>li-4375429012</t>
        </is>
      </c>
      <c r="B60" t="inlineStr">
        <is>
          <t>Product Manager</t>
        </is>
      </c>
      <c r="C60" t="inlineStr">
        <is>
          <t>HCLTech</t>
        </is>
      </c>
      <c r="D60" t="inlineStr">
        <is>
          <t>linkedin</t>
        </is>
      </c>
      <c r="E60">
        <f>HYPERLINK("https://www.linkedin.com/jobs/view/4375429012", "https://www.linkedin.com/jobs/view/4375429012")</f>
        <v/>
      </c>
      <c r="F60" t="inlineStr"/>
      <c r="G60" t="inlineStr"/>
      <c r="H60" t="inlineStr"/>
      <c r="I60" t="inlineStr">
        <is>
          <t>**🚀Job Title: Product Manager – DC Facility Management Services** 
**📍Job Type : Fulltime** 
**📍Job Location : Remote** 
**📍Experience: 10–12 Years Minimum** 
**Company Overview** 
 HCLTech is one of the world’s fastest‑growing technology organizations, with 220,000\+ employees across 60 countries. We’re expanding our Data Center Design \&amp; Build portfolio and are looking for a
 **Product Manager** 
 who can transform deep engineering capabilities into
 **scalable, repeatable, modular offerings** 
 .
 If you enjoy building standardized solutions, driving portfolio strategy, and influencing GTM at a global scale—this role is for you.
 🌟
 **Role Overview** 
 As a Product Manager, you will
 **own the vision and end\-to\-end lifecycle** 
 of standardized facility management offerings across global data centers. You’ll translate deep operational knowledge into
 **scalable, modular, SLA\-driven services** 
 —ensuring high availability, optimized performance, and strong customer value.
 This is a
 **product design \&amp; strategy role** 
 , not day\-to\-day operations.
 🔑
 **Key Responsibilities** 
* Lead the
 **end\-to\-end product lifecycle** 
 for DC Facility Management offerings.
* Define global
 **service catalogues** 
 for operations, maintenance, monitoring, compliance, and energy management.
* Standardize
 **SLAs, KPIs, governance** 
 , and reporting models for consistent global delivery.
* Build
 **pricing, costing, and packaging frameworks** 
 aligned to scalable service models.
* Integrate
 **sustainability \&amp; energy optimization** 
 practices, including PUE and carbon\-aware operations.
* Enable automation\-driven operations through DCIM/BMS, analytics, and command\-center capabilities.
* Develop
 **SOP libraries, delivery playbooks** 
 , and transition methodologies.
* Drive
 **continuous improvement** 
 based on performance trends and customer insights.
* Support
 **presales \&amp; GTM** 
 with standardized artefacts and value propositions.
 🎓
 **Qualifications** 
* Bachelor’s degree in
 **Electrical/Mechanical Engineering** 
 or related field.
* **10–12 years** 
 in Data Center Operations or Facility Management.
* Proven experience in
 **service/product portfolio ownership** 
 for critical environments.
* Strong understanding of
 **power, cooling, compliance, and maintenance** 
 processes.
* Experience with
 **service design, SLA/KPI frameworks** 
 , and cost modelling.
* Exposure to
 **DCIM/BMS** 
 and energy management preferred.
* Ability to operate across
 **strategy, GTM, and executive discussions** 
 .
 🌍
 **Why HCLTech?** 
* At HCLTech, we help you
 **find your spark** 
 . Expect continuous learning, transparent career pathways, and opportunities to reimagine your growth journey. With employees from
 **165 nationalities** 
 , we are proud to be an
 **Equal Opportunity Employer** 
 .
***Disclaimer***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61">
      <c r="A61" t="inlineStr">
        <is>
          <t>li-4371376251</t>
        </is>
      </c>
      <c r="B61" t="inlineStr">
        <is>
          <t>Senior Product Manager</t>
        </is>
      </c>
      <c r="C61" t="inlineStr">
        <is>
          <t>Vcheck</t>
        </is>
      </c>
      <c r="D61" t="inlineStr">
        <is>
          <t>linkedin</t>
        </is>
      </c>
      <c r="E61">
        <f>HYPERLINK("https://www.linkedin.com/jobs/view/4371376251", "https://www.linkedin.com/jobs/view/4371376251")</f>
        <v/>
      </c>
      <c r="F61">
        <f>HYPERLINK("https://ats.rippling.com/vcheck/jobs/4c44c1b9-df56-44b5-be90-d37d56c09431&amp;urlHash=GSFw", "https://ats.rippling.com/vcheck/jobs/4c44c1b9-df56-44b5-be90-d37d56c09431&amp;urlHash=GSFw")</f>
        <v/>
      </c>
      <c r="G61" t="inlineStr">
        <is>
          <t>New York, NY</t>
        </is>
      </c>
      <c r="H61" t="inlineStr"/>
      <c r="I61" t="inlineStr">
        <is>
          <t>**About Vcheck**
 We started in 2012, in an era when due diligence was still largely manual, opaque, and inconsistent. Financial institutions needed reliable intelligence but faced a frustrating choice: slow, expensive boutique firms or fast, superficial automated checks. We saw an opportunity to bring the investigative rigor of boutique firms to scale through technology.
 From our early days conducting background checks for commercial real estate lenders and private equity deals to building a best\-in\-class portfolio monitoring platform and what is arguably the industry's most advanced investigations platform, our vision remains unchanged: help businesses see clearly through complexity and make decisions with confidence.
****Where We Are Today****
* Based in New York City with global operations spanning the US, Romania, India, and soon\-to\-be London
* 25,000\+ investigations annually across six continents
* Five consecutive appearances on the Inc. 5000 list of fastest\-growing companies
* Backed by Sunstone Partners, a leading private equity firm supporting our next phase of growth
* Trusted by top\-tier financial institutions, private equity firms, and Fortune 500 companies
 Vcheck has a talented and collaborative team. While many of our team members come from backgrounds in compliance, law enforcement, journalism, or intelligence, many others have built successful careers here without prior investigative experience. What unites us is intellectual curiosity, attention to detail, and a commitment to getting it right.
 We're building something different: a comprehensive portfolio risk management platform that operates with the rigor of a top\-tier investigative shop and the efficiency of a modern technology company. If you're excited about that combination and ready to build learning programs that scale operational excellence, we'd love to hear from you.
**About The Role**
 We are seeking a strategic and experienced Senior Product Manager to own and drive the vision for the Vcheck platform. This role will lead the product team responsible for our client portal, continuous monitoring, and ID verification solutions—products that are trusted by over 3,000 companies including leading financial institutions, private equity firms, and Fortune 500 corporations. You will be at the forefront of building and scaling our B2B SaaS platform as we rapidly expand our product roadmap with innovative features that redefine background checks and business intelligence. The ideal candidate thrives in fast\-paced environments, thinks strategically about product vision while executing tactically, and has a proven track record of delivering enterprise\-grade products that drive meaningful business outcomes.
**What You'll Be Doing**
* Define and execute the product strategy and multi\-year roadmap for the Vcheck platform, including client portal, continuous monitoring, and ID verification products
* Lead end\-to\-end product development from discovery through launch, iteration, and scale, ensuring alignment with company objectives and market opportunities
* Collaborate closely with engineering, design, sales, customer success, and operations teams to prioritize features and deliver high\-impact solutions
* Conduct customer interviews, competitive analysis, and market research to identify opportunities and translate insights into actionable product requirements
* Own product metrics and KPIs, leveraging data analytics to measure adoption, usage, and business impact while driving continuous improvement
* Partner with sales and customer success teams to understand enterprise client needs, support complex deals, and gather ongoing feedback from key accounts
* Develop go\-to\-market strategies for new features and product launches in collaboration with marketing and sales leadership
* Manage product backlog, write detailed product requirements documents (PRDs), and guide sprint planning with engineering teams
* Act as the voice of the customer internally, advocating for user experience improvements and ensuring our platform delivers exceptional value
* Present product vision, strategy, and progress to executive leadership and key stakeholders with clarity and confidence
**About You**
****Key requirements:****
 We're looking for someone who is passionate about joining a diverse team and is driven to achieve results through ownership, process optimization, and upstanding character. If this describes you, we encourage you to apply, even if you don't meet every requirement listed.
* 5\+ years of product management experience in B2B SaaS, with a proven track record of shipping successful enterprise products
* Bachelor's degree in Business, Computer Science, Engineering, or related field (MBA or advanced degree is a plus)
* Strong technical acumen with the ability to work effectively with engineering teams and understand complex platform architecture
* Demonstrated success leading products through the full lifecycle—from ideation and 0\-to\-1 development through growth and optimization
* Experience building products for enterprise clients with an understanding of complex stakeholder management and procurement processes
* Deep understanding of product analytics, A/B testing, and data\-driven decision making
* Excellent communication and presentation skills with the ability to influence cross\-functional teams and executive stakeholders
* Strategic thinker with strong business acumen and the ability to balance user needs with commercial viability
* Self\-starter who thrives in ambiguous environments and can manage multiple priorities simultaneously
* Experience with Agile methodologies and product management tools (JIRA, Asana, Productboard, etc.)
* Bonus points for experience in background screening, compliance, fintech, identity verification, high\-growth startups, AI/ML products, or API/platform integrations
**Physical Requirements**
 The ideal candidate must be able to complete all physical requirements of the job with or without a reasonable accommodation:
* While performing the duties of this job, the employee may be regularly required to stand, sit, talk, hear, and use hands and fingers to operate a computer, telephone, and keyboard.
* Specific vision abilities required by this job include close vision requirements due to computer work.
****Why us?****
 You Will Be Joining a Cutting\-edge Company, Where You Will Tackle Complex Challenges And Work With The Very Best In The Industry. In Addition, We Offer
* Competitive compensation package, including equity
* Comprehensive benefits, including medical, dental, \&amp; vision insurance coverage for you \&amp; your loved ones
* 401k plan with a 4% employer match
* Flexible vacation policy, encouraging you to take the time you need
* Annual wellness allowance to support your health and well\-being
* Quarterly team events to keep us connected in a hybrid environment
* Play a vital role in shaping our company's future
* A fun and collaborative work environment where you'll be supported by a team of dedicated and collaborative colleagues
 Please be aware that Vcheck uses AI\-powered note\-taking, interview recording, and transcription tools to ensure accuracy and efficiency during our talent acquisition processes. By participating in the application and interview stages, you acknowledge and consent to the use of these technologies.
**Vcheck is proud to be an equal opportunity employer. We are committed to providing equal employment opportunities to all employees and applicants without regard to race, color, ancestry, religion, sex, age, national origin, sexual orientation, gender identity, disability, genetic information, veteran status, or any other factor protected by applicable law. This policy applies to all employment practices within our organization, including hiring, recruiting, promotion, termination, layoff, recall, transfer, leave of absence, compensation, benefits, and training.**
**Vcheck expressly prohibits discrimination and harassment of any kind based on race, color, ancestry, religion, sex, age, national origin, sexual orientation, gender identity, disability, genetic information, pregnancy, or any other protected characteristic as outlined by federal, state, or local laws.**
**No matter what background you bring with you, if you are committed to excellence and good at what you do, we welcome you to apply to join us and encourage you to come as you are.**
**The Pay Range For This Role Is**
 160,000 \- 180,000 USD per year (NY)</t>
        </is>
      </c>
    </row>
    <row r="62">
      <c r="A62" t="inlineStr">
        <is>
          <t>li-4375406171</t>
        </is>
      </c>
      <c r="B62" t="inlineStr">
        <is>
          <t>Product Manager - Comet Mobile</t>
        </is>
      </c>
      <c r="C62" t="inlineStr">
        <is>
          <t>Swooped</t>
        </is>
      </c>
      <c r="D62" t="inlineStr">
        <is>
          <t>linkedin</t>
        </is>
      </c>
      <c r="E62">
        <f>HYPERLINK("https://www.linkedin.com/jobs/view/4375406171", "https://www.linkedin.com/jobs/view/4375406171")</f>
        <v/>
      </c>
      <c r="F62">
        <f>HYPERLINK("https://app.swooped.co/job-postings/32531a4a-44c1-412d-ad23-747604520747?utm_source=linkedin&amp;utm_medium=job_posting&amp;utm_campaign=32531a4a-44c1-412d-ad23-747604520747&amp;sl=linkedin-job-posting&amp;urlHash=XC-s", "https://app.swooped.co/job-postings/32531a4a-44c1-412d-ad23-747604520747?utm_source=linkedin&amp;utm_medium=job_posting&amp;utm_campaign=32531a4a-44c1-412d-ad23-747604520747&amp;sl=linkedin-job-posting&amp;urlHash=XC-s")</f>
        <v/>
      </c>
      <c r="G62" t="inlineStr"/>
      <c r="H62" t="inlineStr"/>
      <c r="I62" t="inlineStr">
        <is>
          <t>**About The Role** 
 Our client is looking for an experienced product manager to join a small team revolutionizing the way people search and interact with the internet. This role will be trusted to envision the future of the mobile experience, working on mobile apps from ideation to execution.
 The individual will work closely with design, engineering, and AI on the product team, focusing on delivering world\-class mobile experiences across platforms. The ideal candidate should have strong technical depth from past coding experience, deep understanding of mobile app constraints, and empathy for users. A passion for building the best browser for the curious and strong ideas on how to innovate on mobile are essential.
**Key Responsibilities** 
* Stay on top of both qualitative and quantitative user feedback to understand how to make strong data\-driven decisions.
* Develop a roadmap for the mobile apps in collaboration with mobile engineering leads and the product management group.
* Anticipate mobile user needs and opportunities for innovation and value.
* Develop deep expertise in mobile UX patterns and platform\-specific nuances of iOS and Android.
* Experience building and delivering a long\-term mobile product vision.
* Understanding of levers for mobile\-led growth and retention.
* Work closely with engineering and design to align mobile product expectations and capabilities.
* Have conviction to make difficult product decisions that balance performance, usability, familiarity, and innovation.
* Come up with creative new ways to make the product the best browser for the curious. Be ready to evangelize, excite, and build a vision for the future.
**Required Qualifications** 
* Highly technical with demonstrated coding experience in the past, either as a software engineer or with equivalent computer science background.
* Strong experience with consumer mobile products (iOS and Android).
* Has worked on consumer software before—ideally mobile or desktop apps. Knows the constraints of binaries that are shipped on user devices.
* Can build vibe\-coded prototypes and dig into bugs in code.
* Ability to envision innovative technology and articulate a compelling product vision.
* Strong experience with product management in small, rapid\-paced teams.
* Strong experience working with data and user research metrics.
* Has initiative and ownership.
* 5\+ years of consumer product management experience, ideally with a focus on mobile.
**Compensation** 
**$210K – $275K •** 
 Offers Equity
**U.S. Benefits** 
 Full\-time U.S. employees enjoy a comprehensive benefits program including equity, health, dental, vision, retirement, fitness, commuter and dependent care accounts, and more.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63">
      <c r="A63" t="inlineStr">
        <is>
          <t>li-4372843046</t>
        </is>
      </c>
      <c r="B63" t="inlineStr">
        <is>
          <t>Product Manager, Business Aviation SaaS</t>
        </is>
      </c>
      <c r="C63" t="inlineStr">
        <is>
          <t>Portside</t>
        </is>
      </c>
      <c r="D63" t="inlineStr">
        <is>
          <t>linkedin</t>
        </is>
      </c>
      <c r="E63">
        <f>HYPERLINK("https://www.linkedin.com/jobs/view/4372843046", "https://www.linkedin.com/jobs/view/4372843046")</f>
        <v/>
      </c>
      <c r="F63" t="inlineStr"/>
      <c r="G63" t="inlineStr"/>
      <c r="H63" t="inlineStr"/>
      <c r="I63" t="inlineStr">
        <is>
          <t>**About Portside, Inc.**
 Portside is a leading provider of modern software solutions for the global aviation industry. As a fast\-growing SaaS company, we operate across three key verticals: business aviation, regional commercial aviation, and aircraft leasing \&amp; finance. With nearly 300 team members spread across five continents, we support over 1,000 enterprise customers, helping them streamline and manage all aspects of their day\-to\-day operations.
**Job Summary**
 We are seeking an experienced, hands\-on Product Manager to support the ongoing development and delivery of Horizon. This is a highly execution\-focused role at the center of customer engagement and engineering delivery.
 You will work directly with customers to understand operational requirements, advise on best practices, and translate high\-level requests into clear product specifications and detailed JIRA tickets. You will partner closely with engineering to ensure features are delivered efficiently, with quality, and in a way that remains scalable across a multi\-tenant enterprise SaaS platform.
 This role requires strong ownership and follow\-through. You will be deeply involved in customer onboarding, integrations, data imports, feature enhancements, bug resolution, and continuous improvement — ensuring that customers are successfully implemented and supported as the product evolves.
 The ideal candidate brings 5\+ years of experience building complex enterprise SaaS products, strong technical fluency (including APIs and data flows), exceptional communication skills, and a genuine interest (and, ideally, experience) in aviation. This role requires someone who can think systemically, balance immediate customer demands with long\-term platform scalability, and take full ownership of outcomes in a fast\-moving, customer\-centric environment.
**About Horizon**
 Portside Horizon is a modern flight operations management platform for business aviation operators. It serves as the system of record for scheduling and dispatch, crew legality compliance, charter quoting, regulatory reporting, and operational analytics. Horizon centralizes operational workflows to enable safe, compliant, and efficient flight operations.
**Key Responsibilities**
****Product Execution \&amp; Delivery****
* Translate customer requirements into structured product specifications and detailed JIRA tickets
* Prioritize and manage backlog in partnership with engineering
* Participate in sprint planning, standups, and release coordination
* Ensure timely, high\-quality delivery of features and improvements
* Allocate attention to technical debt, test coverage, monitoring, and performance
****Customer Engagement****
* Engage directly with charter operators and corporate flight departments
* Advise customers on system configuration and best practices
* Support successful onboarding, including complex data imports and workflow alignment
* Attend industry conferences and represent Horizon in customer discussions
****Integrations \&amp; Data****
* Work with third\-party vendors and API partners on integrations
* Define integration requirements and oversee API enhancements
* Help improve and streamline customer data migration and onboarding processes
****Continuous Improvement \&amp; Innovation****
* Identify opportunities to enhance scalability and operational efficiency
* Explore practical AI\-driven features that support automation and decision support
* Ensure product improvements reflect real\-world aviation workflows
**Qualifications**
* 5\+ years building and delivering complex enterprise SaaS applications
* Experience working closely with engineering teams in an agile environment
* Proven ability to translate customer needs into detailed specifications and engineering tickets
* Experience with API\-driven systems and third\-party integrations
* Exposure to enterprise onboarding and data migration processes
**Skills \&amp; Attributes**
* Strong interest in aviation; prior experience in business aviation is a significant plus
* Deep systems thinking — ability to balance immediate customer needs with long\-term scalability
* Strong technical fluency (you don’t need to code, but you must understand data schemas and APIs)
* Exceptional communication skills — able to engage pilots, schedulers, executives, and engineers alike
* High ownership mindset: willing to do what it takes to ensure customer success
* Excellent project management and organizational skills
* Ability to supervise engineering execution while maintaining collaborative relationships
* Comfort operating in a fast\-paced, evolving SaaS environment
**What Success Looks Like**
* Customer implementations completed successfully and on time
* Clear, well\-structured backlog aligned with delivery priorities
* Improved onboarding speed and reduced integration friction
* Consistent, high\-quality engineering execution
* Integrations are stable and well\-documented
* Horizon continues to evolve as a reliable, mission\-critical platform for business aviation
**What We Offer**
* Competitive base salary
* Fully remote work
* Generous time off policy
* Health, dental, and vision insurance
* Opportunities for professional development and career advancement.
* Dynamic, collaborative, and fast\-growing work environment.</t>
        </is>
      </c>
    </row>
    <row r="64">
      <c r="A64" t="inlineStr">
        <is>
          <t>li-4375407267</t>
        </is>
      </c>
      <c r="B64" t="inlineStr">
        <is>
          <t>Product Manager- Lisle, IL/Watertown, WI</t>
        </is>
      </c>
      <c r="C64" t="inlineStr">
        <is>
          <t>GLORY</t>
        </is>
      </c>
      <c r="D64" t="inlineStr">
        <is>
          <t>linkedin</t>
        </is>
      </c>
      <c r="E64">
        <f>HYPERLINK("https://www.linkedin.com/jobs/view/4375407267", "https://www.linkedin.com/jobs/view/4375407267")</f>
        <v/>
      </c>
      <c r="F64" t="inlineStr"/>
      <c r="G64" t="inlineStr">
        <is>
          <t>Lisle, IL</t>
        </is>
      </c>
      <c r="H64" t="inlineStr"/>
      <c r="I64" t="inlineStr">
        <is>
          <t>**Department:** 
 Product Mgmt \- Retail Product Management
**Location:** 
 United States/Lisle, IL
**Compensation:** 
 $92,000 \- $122,000 / year
**Description**
 The Glory Americas Retail Product Manager is responsible for aligning the North American team to ensure successful product launches, enhancements, and market execution for owned hardware and software solutions in the retail sector. Functional responsibilities include ensuring owned products meet the needs of the market, evangelizing the products to the market and internal audiences, and ensuring all go\-to\-market elements are in place and operating as needed. This role is accountable for achieving product line goals including revenue and profitability targets, customer value delivered, and scalable, efficient solution delivery.
**Key Responsibilities**
**Product Strategy \&amp; Expertise**
* Research market needs and identify product opportunities.
* Define product strategy aligned with company goals.
* Serve as a subject‑matter expert for all product categories and North America requirements.
* Provide analysis, quality inputs, and business process requirements.
* Communicate risks, issues, and market insights to global stakeholders.
* Assess competitive offerings to guide differentiation and sales strategy.
**Solution Innovation**
* Develop product positioning, value propositions, and business cases.
* Manage product roadmaps, enhancements, defects, and launch plans.
* Lead cross‑functional teams through product development and launch.
* Communicate the economic justification for product changes and new releases.
**Sales Readiness \&amp; Support**
* Establish pricing, packaging, and product positioning.
* Lead sales enablement and develop supporting tools and materials.
* Partner with marketing on collateral and customer‑facing content.
* Assist sales with opportunity qualification, RFPs, and customer requirements.
* Deliver product demos and represent the company at industry events.
**Ongoing Product Management**
* Oversee full product lifecycle from concept through end‑of‑life.
* Drive go‑to‑market execution and continuous improvement.
* Monitor product performance and conduct win/loss and SWOT analyses.
**Business Leadership \&amp; Project Management**
* Improve product\-related processes and lead strategic initiatives.
* Manage project plans, timelines, teams, resources, and budgets.
* Collaborate with stakeholders across all organizational levels.
**Education Level**
**Skills, Knowledge \&amp; Expertise**
* Bachelor’s degree or equivalent work experience.
**Qualifications**
* 5\+ years of progressive experience in Product Management, Technical Solution Support, Software Product Development, Product Ownership, and/or Program Management
**Required Skills And Competencies**
* Excellent collaborative and problem\-solving skills, ability to create and implement innovative solutions to problems.
* Experience with IoT products and SaaS solutions.
* Understanding of Agile development principles.
* Must possess outstanding verbal and written communication skills and proficiency in time management to handle deadline pressures and multiple assignment and clients simultaneously.
* Self\-disciplined, self\-starter, high motivated, strong ability to develop effective teams and be a significant contributing member through hands\-on execution.
* Ability to develop and communicate conceptual ideas including design rationale and business cases to all levels of the organization, from Board / C\-Level to new first\-job employees.
* Ability to assess a situation with multiple viewpoints, identify priorities, create a plan, and execute on the plan which delivers on company objectives.
* Must be process\-focused. Must be able to take accountability for projects and issues and drive to completion or resolution (through direct ownership or cross\-functional collaboration as appropriate).
**Prefered Experience**
* Knowledge of Pragmatic Institute principles.
* Experience working with global teams and/or 3rd party solution or delivery partners.
* Experience in Financial and Retail industries.
* Demonstrated history in successfully bringing products to market.
**Job Benefits**
***Glory is proud to share that our benefit package ranks in the top 25% across the country!***
**Benefits**
* 401(k) Retirement Plan with Fidelity – 2\.5% Base contribution paid toward your retirement by Glory even if you do not participate. Plus, Glory matches 3% up to 6% of your contribution
* Health insurance – 3 medical plans to choose from. High, Medium and Low deductible through Blue Cross Blue Shield
* MDLive – 24/7 Virtual Doctor plus a Nurse Line
* Dental insurance
* Vision insurance
* FSA / Dependent Care
* Voluntary Life Insurance
* Basic Life insurance and AD\&amp;D – Company paid
* Short Term Disability / Long Term Disability / Employee Assistance Program – Company paid
* Paid Vacation – start with a prorated amount of hours your first year depending on start date. 80 vacation hours earning your first full year and vacation hours increase based on years of service
* Paid Sick days based on City/State requirements
* Paid Holidays – 9 to 11 days based on start date
* Professional development assistance
* Education assistance
* Adoption Assistance
* Legal and ID Theft plans
* Annual Bonus opportunity
* Opportunities for internal promotions/career advancement</t>
        </is>
      </c>
    </row>
    <row r="65">
      <c r="A65" t="inlineStr">
        <is>
          <t>li-4367944240</t>
        </is>
      </c>
      <c r="B65" t="inlineStr">
        <is>
          <t>Sr. Digital Product Manager</t>
        </is>
      </c>
      <c r="C65" t="inlineStr">
        <is>
          <t>Petco</t>
        </is>
      </c>
      <c r="D65" t="inlineStr">
        <is>
          <t>linkedin</t>
        </is>
      </c>
      <c r="E65">
        <f>HYPERLINK("https://www.linkedin.com/jobs/view/4367944240", "https://www.linkedin.com/jobs/view/4367944240")</f>
        <v/>
      </c>
      <c r="F65" t="inlineStr"/>
      <c r="G65" t="inlineStr">
        <is>
          <t>San Diego, CA</t>
        </is>
      </c>
      <c r="H65" t="inlineStr"/>
      <c r="I65"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**Principle Duties and Responsibilities: (approximate percentage of time spent)**
* Studies end\-user needs, defines product features and coordinates activities across teams to meet quality standards, project deadlines and business objectives. Activities include: gathering and writing requirements for medium and large application features; conducting competitive analyses; and using product discovery techniques to aid in prioritization of features (e.g., A/B, surveys, interviews, etc.). (60%)
* Develops long\-term product plans (i.e., roadmaps), and leads stakeholders through the roadmap process for assigned product(s). Activities include: conferring with engineering, marketing, clients, prospects, operations, legal and others, and developing financial models to aid in prioritization. (20%)
* Monitors and reports on product utilization and identifies trends. (10%)
* Provides guidance to less\-experienced staff. (10%)
**Minimum Qualifications**
* Bachelor’s degree in information technology, computer science, marketing, business administration or related field, 4\+ years of experience as a Product Manager or a similar role in an Agile, Scrum, Kanban or similar software application development and/or project management team environment, or an equivalent combination of education, experience and/or training.
* Strong customer facing digital subject matter expertise with experience working on medium complexity features and/or an entire software application.
**Note:** 
 Current responsibilities are impacted by company and team priorities that may have evolved from what is displayed in the Workday job profile. The description provides general job duties and requirements, but the partner’s manager may assign additional responsibilities or tasks depending on business needs.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66">
      <c r="A66" t="inlineStr">
        <is>
          <t>li-4373129374</t>
        </is>
      </c>
      <c r="B66" t="inlineStr">
        <is>
          <t>Product Manager, Business AI Enterprise</t>
        </is>
      </c>
      <c r="C66" t="inlineStr">
        <is>
          <t>Meta</t>
        </is>
      </c>
      <c r="D66" t="inlineStr">
        <is>
          <t>linkedin</t>
        </is>
      </c>
      <c r="E66">
        <f>HYPERLINK("https://www.linkedin.com/jobs/view/4373129374", "https://www.linkedin.com/jobs/view/4373129374")</f>
        <v/>
      </c>
      <c r="F66" t="inlineStr"/>
      <c r="G66" t="inlineStr">
        <is>
          <t>Menlo Park, CA</t>
        </is>
      </c>
      <c r="H66" t="inlineStr"/>
      <c r="I66" t="inlineStr">
        <is>
          <t>Join us in revolutionizing interactions for over 200\+ million businesses using Meta's platform through Business AI Agents. These agents operate across Meta platforms like WhatsApp, Messenger, Facebook/Instagram ads, and on third\-party platforms such as business websites. Messaging is a starting point for millions of businesses, as there are over a billion active threads every day between people and businesses across our messaging platforms. We are looking for a Product Manager to work on our Enterprise Business AI initiatives, bringing Business AI to the world's largest businesses through differentiated value only Meta can provide. This is an opportunity to define, build, iterate, and partner with strategic partner customers as we define AI solutions across various lines of business and channels \- from WhatsApp to Third\-party websites and everything in between. This is a unique early stage opportunity to help build and develop our enterprise motion and product offering, built on top of existing AI solutions leveraged by thousands of businesses. In this high\-impact position, you'll make a real difference by streamlining how businesses discover, understand, and achieve results with our Business AI solutions as well as define the future growth, monetization, and go\-to\-market motions.
 Product Manager, Business AI Enterprise Responsibilities:
* Understand Meta’s strategic positioning and deliver products that are aligned with our mission and drive value for the the largest businesses that rely on Meta each day
* Incorporate data, research, and market analysis to inform product strategies and roadmaps
* Drive product development with teams of Industry\-leading engineers and designers, while maintaining team health
* Work closely with cross\-functional teams to drive product strategy, define product requirements, coordinate resources from other groups (design, legal, GTM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Partner with early enterprise customers to design, build, iterate, and bring to market AI solutions at scale
* Work directly with Alpha customers to define, build, and scale new agentic enterprise product offerings to 1,000s of customers \- with a demonstrated experience in GTM success
 Minimum Qualifications:
* Experience building and bring to market Enterprise solutions at scale
* Experience with bespoke 1:1 customer engagements while horizontally scaling those requirements to meet broader industry wide needs
* Demonstrated experience in customer facing experience and go\-to\-market experience
* 8 \+ years product management or related industry experience with domain\-specific experience leading AI products
* Bachelor's degree (or relevant degree equivalent): STEM subject ideal but not essential (Computer Science, Engineering, Information Systems, Analytics, Mathematics, Physics, Applied Sciences)
* Can navigate ambiguity of 0 to 1 and manage the time\-critical demands of a high\-priority workstream
* Experience using AI to build software products and building AI and agents in production
* Customer\-centric product and design intuition
* Experience navigating through the full product life\-cycle, integrating customer feedback into product requirements, driving prioritization, and pre/post\-launch execution
* Critical thinking/analytical leadership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7">
      <c r="A67" t="inlineStr">
        <is>
          <t>li-4375413483</t>
        </is>
      </c>
      <c r="B67" t="inlineStr">
        <is>
          <t>Product Manager</t>
        </is>
      </c>
      <c r="C67" t="inlineStr">
        <is>
          <t>Samsung HVAC America</t>
        </is>
      </c>
      <c r="D67" t="inlineStr">
        <is>
          <t>linkedin</t>
        </is>
      </c>
      <c r="E67">
        <f>HYPERLINK("https://www.linkedin.com/jobs/view/4375413483", "https://www.linkedin.com/jobs/view/4375413483")</f>
        <v/>
      </c>
      <c r="F67">
        <f>HYPERLINK("https://workforcenow.adp.com/mascsr/default/mdf/recruitment/recruitment.html?cid=a0ce028d-40de-42bc-a167-3935b2d5f591&amp;ccId=19000101_000001&amp;lang=en_US&amp;selectedMenuKey=CareerCenter&amp;jobId=545479&amp;source=LI&amp;urlHash=2pLS", "https://workforcenow.adp.com/mascsr/default/mdf/recruitment/recruitment.html?cid=a0ce028d-40de-42bc-a167-3935b2d5f591&amp;ccId=19000101_000001&amp;lang=en_US&amp;selectedMenuKey=CareerCenter&amp;jobId=545479&amp;source=LI&amp;urlHash=2pLS")</f>
        <v/>
      </c>
      <c r="G67" t="inlineStr">
        <is>
          <t>Roanoke, TX</t>
        </is>
      </c>
      <c r="H67" t="inlineStr"/>
      <c r="I67" t="inlineStr">
        <is>
          <t>**About The Role**
 The Product Manager will play a crucial role in driving the development and success of our HVAC product line within the retail trade sector. This position is responsible for overseeing the entire product lifecycle, from market research and product development to launch and post\-launch analysis. The ideal candidate will collaborate with cross\-functional teams, including engineering, marketing, and sales, to ensure that our HVAC products meet customer needs and align with market trends. By analyzing sales data and customer feedback, the Product Manager will make informed decisions to enhance product offerings and maximize profitability. Ultimately, this role aims to position our HVAC products as leaders in the market, ensuring customer satisfaction and driving business growth.
**Minimum Qualifications**
* Bachelor's degree in Business, Engineering, or a related field.
* 3\+ years of experience in product management, preferably in the HVAC or related industry.
* Strong understanding of HVAC systems and market dynamics.
**Preferred Qualifications**
* Master's degree in Business Administration or a related field.
* Experience with retail trade and consumer products.
* Familiarity with project management tools and methodologies.
**Responsibilities**
* Conduct market research to identify customer needs and industry trends related to HVAC products.
* Develop and manage product roadmaps, ensuring timely delivery of new products and features.
* Collaborate with engineering teams to define product specifications and oversee the development process.
* Work closely with marketing to create effective product positioning and promotional strategies.
* Analyze sales performance and customer feedback to make data\-driven decisions for product improvements.
**Skills**
 The required skills for this role include strong analytical abilities, which will be utilized to interpret market data and customer feedback to inform product decisions. Excellent communication skills are essential for collaborating with various teams and presenting product strategies to stakeholders. Project management skills will be crucial in overseeing product development timelines and ensuring that all teams are aligned. Additionally, a solid understanding of HVAC technology will enable the Product Manager to make informed decisions about product features and specifications. Preferred skills, such as experience in retail marketing, will enhance the ability to effectively position products in a competitive market.</t>
        </is>
      </c>
    </row>
    <row r="68">
      <c r="A68" t="inlineStr">
        <is>
          <t>li-4374066407</t>
        </is>
      </c>
      <c r="B68" t="inlineStr">
        <is>
          <t>Senior Product Manager</t>
        </is>
      </c>
      <c r="C68" t="inlineStr">
        <is>
          <t>Velocity Mortgage Capital</t>
        </is>
      </c>
      <c r="D68" t="inlineStr">
        <is>
          <t>linkedin</t>
        </is>
      </c>
      <c r="E68">
        <f>HYPERLINK("https://www.linkedin.com/jobs/view/4374066407", "https://www.linkedin.com/jobs/view/4374066407")</f>
        <v/>
      </c>
      <c r="F68" t="inlineStr"/>
      <c r="G68" t="inlineStr">
        <is>
          <t>Westlake Village, CA</t>
        </is>
      </c>
      <c r="H68" t="inlineStr"/>
      <c r="I68" t="inlineStr">
        <is>
          <t>Senior Product Manager
**Location:** 
 Hybrid or Remote
**Reports to:** 
 Chief Information Officer
 About Velocity Financial
 Velocity Financial, Inc. (NYSE: VEL) is a vertically integrated real estate finance company founded in 2004 and headquartered in Westlake Village, California. We originate, securitize, and manage investor loans secured by 1\-4 unit residential rental and small commercial properties. With a loan portfolio exceeding $3\.5 billion and a nationwide network of 2,500\+ independent mortgage brokers across 46 states, Velocity has established itself as a market leader in investor real estate lending.
 Our management team averages more than 25 years of experience in financial services and real estate lending, and we've successfully navigated multiple economic cycles since our founding. We are a stable, rapidly growing, national company that offers meaningful opportunities for professional development and career advancement.
 Position Summary
 We are looking for a Senior Product Manager to join our team and play a central role in shaping the technology products that power Velocity's lending operations. In this role, you will report directly to the CIO and partner closely with Operations, Capital Markets, Finance, and Special Servicing to define requirements, drive delivery, and ensure that our technology investments align with business priorities.
 This is a high\-impact role for someone who thrives at the intersection of business and technology, enjoys translating complex operational needs into clear product requirements, and can drive execution through agile delivery practices.
 Responsibilities
 \-       
 Partner with Operations, Capital Markets, Finance, and Special Servicing stakeholders to deeply understand business workflows, pain points, and strategic priorities.
 \-       
 Define product vision and roadmaps for internal platforms and tools that support loan origination, securitization, servicing, and capital markets activities.
 \-       
 Write clear, detailed product requirements documents (PRDs), user stories, and acceptance criteria that engineering teams can build against.
 \-       
 Own and facilitate agile ceremonies including sprint planning, daily standups, backlog grooming, sprint reviews, and retrospectives.
 \-       
 Prioritize the product backlog based on business value, technical feasibility, and strategic alignment, making tradeoffs transparent to stakeholders and leadership.
 \-       
 Drive cross\-functional alignment across business and technology teams, ensuring shared understanding of goals, timelines, and dependencies.
 \-       
 Define and track key product metrics to measure adoption, efficiency, and business impact of delivered solutions.
 \-       
 Serve as the primary point of contact between business stakeholders and engineering, translating between business context and technical implementation.
 \-       
 Identify opportunities to streamline processes, reduce manual work, and improve data quality across lending operations.
 \-       
 Stay current on trends in lending technology, fintech, and real estate finance to inform product strategy.
 Qualifications
 \-       
 5\+ years of product management experience, with a meaningful portion in lending, mortgage, fintech, or financial services.
 \-       
 Demonstrated experience writing product requirements, user stories, and acceptance criteria.
 \-       
 Strong track record of running agile ceremonies and delivering software through iterative development processes.
 \-       
 Experience working with operational and financial stakeholders to translate complex business processes into product solutions.
 \-       
 Ability to prioritize effectively across competing demands and communicate rationale clearly to both technical and non\-technical audiences.
 \-       
 Familiarity with loan origination systems, servicing platforms, or capital markets workflows is a strong plus.
 \-       
 Experience with data\-driven decision making, including defining and tracking product and operational metrics.
 \-       
 Strong written and verbal communication skills.
 \-       
 Self\-directed and comfortable operating with autonomy in a remote environment.
 Nice to Have
 \-       
 Experience at a publicly traded financial services company.
 \-       
 Background in real estate finance, investor lending, or structured finance.
 \-       
 Familiarity with securitization processes and special servicing workflows.
 \-       
 Experience with business intelligence tools and reporting platforms.
 Benefits
 Benefits become effective on the first day of the month following 30 days of employment and include: 
 ·      401(k) with 3% matching contribution
**·      Dental Insurance** 
**·      Employee Stock Purchasing Program** 
**·      Health Insurance** 
**·      Life Insurance** 
**·      Paid Time Off (PTO)** 
**·      Paid Holidays** 
**·      Pet Insurance** 
**·      Vision Insurance** 
**·      Flexible Spending Account (FSA)** 
**·      Health Savings Account (HSA)** 
*Velocity Mortgage Capital is an equal opportunity employer. All applicants will be considered for employment without attention to race, color, religion, sex, sexual orientation, gender identity, national origin, veteran or disability status.* 
*Know Your Rights*</t>
        </is>
      </c>
    </row>
    <row r="69">
      <c r="A69" t="inlineStr">
        <is>
          <t>li-4375444325</t>
        </is>
      </c>
      <c r="B69" t="inlineStr">
        <is>
          <t>Product Manager</t>
        </is>
      </c>
      <c r="C69" t="inlineStr">
        <is>
          <t>Miller Zell</t>
        </is>
      </c>
      <c r="D69" t="inlineStr">
        <is>
          <t>linkedin</t>
        </is>
      </c>
      <c r="E69">
        <f>HYPERLINK("https://www.linkedin.com/jobs/view/4375444325", "https://www.linkedin.com/jobs/view/4375444325")</f>
        <v/>
      </c>
      <c r="F69" t="inlineStr"/>
      <c r="G69" t="inlineStr">
        <is>
          <t>Atlanta, GA</t>
        </is>
      </c>
      <c r="H69" t="inlineStr"/>
      <c r="I69" t="inlineStr">
        <is>
          <t>***This role will be in the South Atlanta office. Only candidates that are located in that area will be considered.***
***POSITION SUMMARY:***
 The Product Manager is responsible for the strategy, roadmap, and execution of assigned products. This role partners with cross\-functional stakeholders to deliver customer\-centric solutions aligned with business objectives, enterprise systems, and operational standards. The Product Manager drives outcomes through data\-informed decision\-making, Agile delivery practices, and strong stakeholder collaboration.
***ESSENTIAL JOB FUNCTIONS:***
* Define and communicate product vision, strategy, and roadmap aligned with organizational goals.
* Collaborate with engineering, design, operations, sales, marketing, and other internal teams to translate business needs into prioritized product requirements.
* Partner with internal system owners to ensure solutions align with enterprise architecture, integrations, and governance standards.
* Engage with external customers, vendors, and partners to gather insights, validate requirements, and ensure market relevance.
* Manage and prioritize the product backlog within an Agile framework, facilitating sprint planning, reviews, and iterative delivery. Analyze product performance metrics and user feedback to drive continuous improvement and measurable business outcomes.
* Identify risks, manage tradeoffs, and communicate progress and decisions to stakeholders and leadership.
* Other responsibilities and duties as assigned
***POSITION REQUIREMENTS/QUALIFICATIONS:***
**Education:** 
 Bachelor’s degree in Business, Computer Science, Engineering, Marketing, Economics, or a related field
**Experience**
* 3–5\+ years of experience in product management or related role.
* Experience working in Agile or iterative delivery environments.
* Demonstrated ability to manage cross\-functional stakeholders and drive alignment.
* Strong analytical, problem\-solving, and communication skills.
**Special Skills/Qualifications**
* Strong understanding of enterprise systems, integrations, and cross\-functional process dependencies.
* Ability to manage competing priorities and make data\-informed tradeoff decisions.
* Advanced written and verbal communication skills, including executive\-level presentations.
* Familiarity with UX principles</t>
        </is>
      </c>
    </row>
    <row r="70">
      <c r="A70" t="inlineStr">
        <is>
          <t>li-4375401429</t>
        </is>
      </c>
      <c r="B70" t="inlineStr">
        <is>
          <t>CX - Product Manager</t>
        </is>
      </c>
      <c r="C70" t="inlineStr">
        <is>
          <t>SPECTRAFORCE</t>
        </is>
      </c>
      <c r="D70" t="inlineStr">
        <is>
          <t>linkedin</t>
        </is>
      </c>
      <c r="E70">
        <f>HYPERLINK("https://www.linkedin.com/jobs/view/4375401429", "https://www.linkedin.com/jobs/view/4375401429")</f>
        <v/>
      </c>
      <c r="F70" t="inlineStr"/>
      <c r="G70" t="inlineStr">
        <is>
          <t>Seattle, WA</t>
        </is>
      </c>
      <c r="H70" t="inlineStr"/>
      <c r="I70" t="inlineStr">
        <is>
          <t>**Job Title: CX \- Product Manager IV** 
**Duration: 12 Months** 
**Location: Onsite (Austin, TX/Seattle, WA)** 
**Job Description:** 
 Support client’s Worldwide Operations, as well as affiliate and retail businesses, by creating and maintaining a work environment that is both prepared and secure through global security centers of excellence staffed by subject matter experts in people and asset protection. accomplishes this by building innovative, highly scalable services \&amp; technologies that that eliminate subjectivity, complexity, and variation: identifying, preparing for, and mitigating risk; and auditing our practices to ensure compliance. As part of, we build exciting software technology products that help with security and loss prevention for client operations. We are looking for a passionate, results\-oriented, and inventive Principal Product Manager \- Technical \- to drive our suite of critical software to deliver world\-class value for risk, resilience, and investigation management.
 The right candidate possesses a strong background in customer\-experience and product and program management, combined with solid understanding of current cloud\-based software and web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 Lead a set of products to develop and execute the product roadmap using client’s working backwards process, including identifying customer pain points and new opportunities
* Establish best practices to define, prioritize, and communicate product requirements to cross\-functional teams using client’s working backwards process
* Reinforce a team's ability to analyze emerging industry trends in Security \&amp; Loss prevention that can contribute to the long\-term product strategy
* Work with multiple engineering teams to design and deliver high\-quality software products that meet customer needs and business objectives
* Collaborate with user experience teams, data engineering, and solution architects to create intuitive and user\-friendly interfaces for complex workflows
* Create foundational mechanisms to analyze user feedback and data to continuously improve product performance and user experience across the organization and suite of products
* Monitor the execution of projects in the portfolio, providing project progress to stakeholders when needed, identify and mitigating risks, and pushing for appropriate levels of quality to maintain the overall integrity of the project
* Work closely with various teams to ensure scalability and maintainability of the products
**Must haves:** 
* Ability to monitor the execution of projects in the portfolio, providing project progress to stakeholders when needed, identify and mitigating risks, and pushing for appropriate levels of quality to maintain the overall integrity of the project
* Experience with working closely with various teams to ensure scalability and maintainability of the products
* Experience creating foundational mechanisms to analyze user feedback and data to continuously improve product performance and user experience across the organization and suite of products</t>
        </is>
      </c>
    </row>
    <row r="71">
      <c r="A71" t="inlineStr">
        <is>
          <t>li-4375424504</t>
        </is>
      </c>
      <c r="B71" t="inlineStr">
        <is>
          <t>Product Manager</t>
        </is>
      </c>
      <c r="C71" t="inlineStr">
        <is>
          <t>HCLTech</t>
        </is>
      </c>
      <c r="D71" t="inlineStr">
        <is>
          <t>linkedin</t>
        </is>
      </c>
      <c r="E71">
        <f>HYPERLINK("https://www.linkedin.com/jobs/view/4375424504", "https://www.linkedin.com/jobs/view/4375424504")</f>
        <v/>
      </c>
      <c r="F71" t="inlineStr"/>
      <c r="G71" t="inlineStr"/>
      <c r="H71" t="inlineStr"/>
      <c r="I71" t="inlineStr">
        <is>
          <t>**🚀Job Title : Product Manager – Lab Services** 
**📍Job Type : Fulltime** 
**📍Job Location : Remote** 
**📍Experience: 10–12 Years Minimum** 
**Company Overview** 
**HCLTech** 
 is one of the fastest\-growing global tech companies with
 **220,000\+ employees across 60 countries** 
 , driving innovation across Digital, Engineering, and Cloud.
 We’re looking for a dynamic
 **Product Manager – Lab Services** 
 to help us shape the future of
 **standardized lab operations** 
 and
 **Lab‑as‑a‑Service** 
 offerings for engineering and OEM environments.
 If you thrive in high\-impact roles where productization, automation, and engineering excellence meet—this is the place for you.
 🔍
 **Role Overview** 
 You will own the strategy, definition, and evolution of scalable, automated, and cost\-efficient lab services.
 This includes building service catalogs, developing automation\-first workflows, driving commercialization, and enabling our presales \&amp; delivery teams.
 🎯
 **Key Responsibilities** 
* Build and maintain
 **Lab\-as\-a\-Service** 
 product offerings and service tiers
* Enable presales with
 **solution kits, sizing models, proposal templates, and GTM content**
* Develop pricing, consumption, and cost recovery models (on\-demand \&amp; subscription)
* Define standardized
 **lab service catalogs** 
 for provisioning, configuration, testing, lifecycle management \&amp; teardown
* Own the
 **end\-to\-end product lifecycle** 
 —definition to global rollout
* Create
 **automation\-led workflows** 
 for rapid setup, reconfiguration, and teardown
* Drive
 **virtualization, consolidation** 
 , and asset utilization improvement
* Define strong
 **governance, access control** 
 , and compliance frameworks
* Build
 **reference architectures and blueprints** 
 for hybrid/cloud\-integrated labs
* Track \&amp; optimize metrics such as utilization, quality, TAT, and defect rates
* Collaborate closely with
 **OEMs, cloud providers, automation teams, presales \&amp; delivery**
 🧠
 **Skills \&amp; Experience** 
* Bachelor’s degree in Engineering or Computer Science
* 10–12 years of experience in
 **lab/testbed** 
 or
 **infrastructure operations**
* Strong understanding of
 **networking, Linux, virtualization, servers, storage, firmware lifecycle**
* Experience with
 **orchestration/automation tools** 
 and lab management platforms
* Exposure to
 **cloud‑integrated or hybrid lab environments** 
 (preferred)
* Ability to convert engineering needs into
 **standardized commercial offerings**
* Comfortable engaging in
 **product strategy, GTM discussions \&amp; executive forums**
- 
 🌟
 **Why Join HCLTech?** 
* Endless opportunities to
 **learn, innovate, and grow**
* Transparent, supportive, and inclusive work culture
* Career mobility across roles, industries, and technologies
* Work with diverse teams representing
 **165 nationalities**
- 
 🤝
 **Equal Opportunity Employer** 
 HCLTech is committed to creating an inclusive workplace regardless of race, gender, age, nationality, orientation, disability, or any protected category.
***Disclaimer***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72">
      <c r="A72" t="inlineStr">
        <is>
          <t>li-4375410126</t>
        </is>
      </c>
      <c r="B72" t="inlineStr">
        <is>
          <t>Senior Product Manager, Enterprise Stablecoins</t>
        </is>
      </c>
      <c r="C72" t="inlineStr">
        <is>
          <t>M0</t>
        </is>
      </c>
      <c r="D72" t="inlineStr">
        <is>
          <t>linkedin</t>
        </is>
      </c>
      <c r="E72">
        <f>HYPERLINK("https://www.linkedin.com/jobs/view/4375410126", "https://www.linkedin.com/jobs/view/4375410126")</f>
        <v/>
      </c>
      <c r="F72" t="inlineStr"/>
      <c r="G72" t="inlineStr">
        <is>
          <t>New York, NY</t>
        </is>
      </c>
      <c r="H72" t="inlineStr"/>
      <c r="I72" t="inlineStr">
        <is>
          <t>Intro
 M0 is building the universal stablecoin platform.
 With M0, builders can create application\-specific digital dollars, customizing everything from branding and compliance logic to yield distribution and transfer behavior. We provide the infrastructure, standards, and operational foundation that allow stablecoins to move from a crypto\-native asset class into real\-world money rails.
 Stablecoins have already surpassed $300B in circulation, and are on a clear path to becoming a trillion\-dollar category. We are now starting to see real enterprise adoption: stablecoins embedded directly into payments, rewards, treasury workflows, cross\-border settlement, and programmable financial products.
 That is where this role comes in.
 We are looking for an
 **Sr. Product Manager, Enterprise Stablecoins** 
 to define and deliver stablecoin products purpose\-built for large enterprise partners. This is a highly cross\-functional role that blends product strategy, customer engagement, systems thinking, and execution. You will work directly with some of the largest fintech, payments, and consumer platforms in the world to help them launch stablecoin products that feel seamless, compliant, and production\-ready.
 What you will do
 As Sr. Product Manager, Enterprise Stablecoins, you will own the product vision and execution for M0's enterprise stablecoin offerings. Your work will span product design, partner launches, and core platform evolution.
 Key responsibilities include:
* Own the product strategy and roadmap for enterprise stablecoin deployments on M0
* Work directly with enterprise partners to scope, design, and launch stablecoin\-powered products
* Translate enterprise needs into clear product requirements and execution plans across engineering, design, and operations
* Design solutions for enterprise use cases such as payments, rewards, treasury management, settlement rails, and programmable money flows
* Drive alignment across product, engineering, legal, and business development to ensure successful enterprise launches
* Define enterprise\-ready integration patterns, APIs, and platform primitives that reduce time\-to\-launch for future partners
* Identify repeatable product patterns across deployments, and feed them back into M0 Core to improve scalability and standardization
* Serve as the internal expert on enterprise stablecoin requirements, including reliability, compliance constraints, security expectations, and operational workflows
 What we are looking for
 The ideal candidate is a highly capable product leader with strong enterprise instincts. You can engage directly with sophisticated partners, build trust quickly, and convert messy requirements into clean product direction.
 You likely have:
* 6–10\+ years of experience in product, strategy, solutions, or platform roles serving enterprise customers
* Deep familiarity with payments, financial infrastructure, fintech APIs, or large\-scale platform integrations
* Experience building products that sit close to regulated workflows or money movement
* Strong customer\-facing presence, comfortable leading complex partner engagements end\-to\-end
* Ability to operate at both the strategic and tactical level, from product vision down to detailed execution
* High ownership mindset, comfortable driving outcomes in ambiguous and fast\-moving environments
* Strong written and verbal communication skills, with the ability to simplify complexity and align stakeholders
 Experience in stablecoins, crypto, or blockchain is a plus, but not required. What matters most is that you are excited about the future of digital money infrastructure, and capable of shipping enterprise\-grade products into the world.
 Why this role matters
 Stablecoins are becoming real financial infrastructure. The next wave of adoption will not be driven by crypto\-native teams. It will be driven by large enterprises integrating stablecoins directly into their workflows and products.
 This role will define how M0 wins that market.
 You will be responsible for building repeatable enterprise stablecoin playbooks, launching flagship partners, and shaping the platform capabilities that make M0 the default stablecoin infrastructure layer for the world's largest businesses.
**Benefits**
* Competitive compensation including token grant
* Comprehensive health benefits: medical, dental, and vision insurance fully sponsored by the company
* Flexible work environment with a global team; work remotely or from our NYC or Berlin hub
* Wellbeing allowance to support your physical and mental health
* IT equipment stipend to set up your ideal workspace
* Annual professional development budget to invest in your growth and skills
* Unlimited paid time off to take the time you need, when you need it</t>
        </is>
      </c>
    </row>
    <row r="73">
      <c r="A73" t="inlineStr">
        <is>
          <t>li-4365356484</t>
        </is>
      </c>
      <c r="B73" t="inlineStr">
        <is>
          <t>Process Product Owner Manager</t>
        </is>
      </c>
      <c r="C73" t="inlineStr">
        <is>
          <t>SpeedX</t>
        </is>
      </c>
      <c r="D73" t="inlineStr">
        <is>
          <t>linkedin</t>
        </is>
      </c>
      <c r="E73">
        <f>HYPERLINK("https://www.linkedin.com/jobs/view/4365356484", "https://www.linkedin.com/jobs/view/4365356484")</f>
        <v/>
      </c>
      <c r="F73" t="inlineStr"/>
      <c r="G73" t="inlineStr">
        <is>
          <t>Los Angeles, CA</t>
        </is>
      </c>
      <c r="H73" t="inlineStr"/>
      <c r="I73" t="inlineStr">
        <is>
          <t>**Process Product Owner** 
 As the Process Product Owner, you will bridge the gap between business users and technologists, facilitating clear and concise communication within the product team. Your role is crucial for continuously exploring and analyzing business performance to inform strategic planning. You will leverage your expertise in the Order to Cash and your deep understanding of the B2C parcel logistics industry to drive product development and optimization.
**Responsibilities** 
* Define and scope complex project systems and facilitate communication between business leaders, OPS and IT.
* Consult with users and clients to resolve complex system issues by evaluating business processes, systems, and industry standards, and recommend solutions.
* Support internal process changes from requirements through implementation, providing input based on detailed analysis.
* Determine standard functional process flow in consultation with business clients and provide user and operational support.
* Identify and communicate risks and impacts, considering the business implications of functional teams and technology applications.
* Take end\-to\-end process ownership, working across engineering, operations, and business leads to set strategy, define the SOP, and make high\-judgment feature delivery and trade\-offs.
* Create documents related to the process life cycle, including product roadmap, business requirements, end\-to\-end process diagram and functional specifications.
* Drive process development across teams (Order to Cash) through business requirements, design, implementation, and continuous improvement.
* Advocate for the needs of customers and operations when working collaboratively with functional representatives/subject matter experts.
* Analyze and interpret data to drive business decisions and influence stakeholders.
* Provide mentorship and guidance to front line staff and other team members as needed.
**Qualifications** 
* 8\+ years of experience in Product/Finance Management within the B2C last mile.
* Extensive experience and expertise in the parcel shipment lifecycle, including order creation, shipment handling, billing, invoicing, and revenue recognition.
* Strong analytical skills with the ability to leverage data to drive business decisions and use metrics to influence stakeholders and measure outcomes.
* Experience with software implementations within finance operations
* Certified Agile or Scrum Product Owner is preferred.
* Proficient experience in using software such as Visio and Notion is preferred.</t>
        </is>
      </c>
    </row>
    <row r="74">
      <c r="A74" t="inlineStr">
        <is>
          <t>li-4375429566</t>
        </is>
      </c>
      <c r="B74" t="inlineStr">
        <is>
          <t>Product Manager – IMS Corporate Modules</t>
        </is>
      </c>
      <c r="C74" t="inlineStr">
        <is>
          <t>Logile, Inc.</t>
        </is>
      </c>
      <c r="D74" t="inlineStr">
        <is>
          <t>linkedin</t>
        </is>
      </c>
      <c r="E74">
        <f>HYPERLINK("https://www.linkedin.com/jobs/view/4375429566", "https://www.linkedin.com/jobs/view/4375429566")</f>
        <v/>
      </c>
      <c r="F74" t="inlineStr"/>
      <c r="G74" t="inlineStr"/>
      <c r="H74" t="inlineStr"/>
      <c r="I74" t="inlineStr">
        <is>
          <t>**About the Company** 
 Logile is the leading retail labor planning, workforce management, inventory management and store execution provider deployed in thousands of retail locations across North America, Europe, Australia, and Oceania. Our proven AI, machine\-learning technology, and industrial engineering accelerate ROI and enable operational excellence with improved performance and empowered employees. Retailers worldwide rely on Logile solutions to boost profitability and competitive advantage by delivering the best service and products at optimal cost. From labor standards development and modeling to unified forecasting, storewide scheduling, and time and attendance, to inventory management, task management, food safety, and employee self\-service, we transform retail operations with a unified store\-level solution. Gain the Advantage with The Logic of Retail. One Platform for store planning, scheduling and execution. For more information, visit logile.com.
**About the Role** 
 The Product Manager – IMS Corporate Modules owns and evolves the roadmap for Logile’s corporate\-level inventory and merchandising capabilities, serving the needs of centralized retail teams responsible for enterprise\-wide inventory decisions. You will lead product design, functionality, and usability for corporate IMS modules, partnering closely with Engineering and UX through agile delivery. As a subject matter expert, you will collaborate with Corporate Merchandising, Supply Chain, Pricing, and Planning stakeholders, as well as internal Sales, Pre\-Sales, Implementation, Customer Support, and Product Marketing teams. This role requires strong experience in corporate retail environments and a deep understanding of enterprise ordering, allocation, vendor management, category and assortment management, seasonal merchandising, and pricing and promotions. You will ensure tight integration across Logile’s IMS, WFM, and Store Execution Management platforms to deliver scalable solutions that align corporate strategy with store\-level execution.
**Responsibilities** 
**Product Strategy and Ownership** 
* Own the product vision, roadmap, and lifecycle for corporate IMS modules, including corporate ordering, allocation, assortment management, pricing, and forecasting and replenishment.
* Translate corporate retail workflows into scalable, configurable product capabilities that drive measurable customer value.
* Identify root business problems beneath surface requests and design forward\-looking solutions that improve efficiency, usability, and competitive differentiation.
* Ensure tight integration across IMS, WFM, and Store Execution platforms to support end\-to\-end retail workflows.
**Execution and Delivery** 
* Define clear functional requirements, user stories, and acceptance criteria to guide engineering and UX teams.
* Prioritize initiatives based on customer impact, business value, and technical dependencies.
* Operate effectively within agile delivery models, managing shifting priorities while maintaining momentum.
* Track multiple workstreams, dependencies, and risks to ensure high\-quality, timely releases.
**Cross\-Functional Partnership** 
* Partner closely with Engineering, UX, Sales, Pre\-Sales, Implementation, Customer Support, and Product Marketing.
* Collaborate with corporate retail stakeholders across merchandising, supply chain, pricing, and planning functions.
* Communicate evolving requirements clearly to prevent misalignment across teams.
* Support customer engagements, demos, and solution positioning for corporate retail use cases.
**Customer and Market Insight** 
* Engage directly with enterprise retail customers and industry experts to uncover explicit and unspoken pain points.
* Apply strong user empathy to design solutions that are intuitive, practical, and drive adoption.
* Monitor trends across merchandising, pricing, allocation, and assortment planning.
* Anticipate downstream impacts of design decisions across interconnected modules.
**Continuous Improvement** 
* Challenge legacy approaches and reimagine workflows that elevate Logile’s platform to industry\-leading standards.
* Balance strategic corporate objectives with real\-world store execution realities.
* Contribute to product management best practices, governance, and documentation standards.
**Qualifications** 
* Significant experience in corporate retail environments, ideally within grocery or multi\-unit retail.
* Deep understanding of enterprise inventory, merchandising, pricing, and planning workflows.
* Proven ability to translate complex business needs into scalable product or system designs.
* Strong systems thinking combined with deep user empathy.
* Excellent organizational discipline and ability to manage multiple parallel initiatives.
* Strong analytical and problem\-solving capabilities.
* Executive\-level communication and stakeholder influence skills.
* Comfort operating in fast\-paced, high\-change, agile environments.
* Experience partnering cross\-functionally across technical and business teams.
* Bachelor’s degree or equivalent practical experience preferred.
**Required Skills** 
* Experience in demand planning, forecasting, or replenishment strategy.
* Background in corporate ordering, allocation, or inventory optimization.
* Exposure to pricing strategy, promotions, or margin management.
* Experience working with merchandising or category management teams.
* Hands\-on experience with ERP, forecasting, replenishment, or pricing systems.
* Experience supporting retail technology implementations.
* Familiarity with inventory control concepts such as shrink, waste, and turnover.
* Experience in multi\-banner or multi\-format retail environments.
* Experience with Jira, Figma, or similar product development tools.
* Experience working in global or distributed teams.
**Why Work at Logile** 
 Logile operates at the intersection of advanced AI, retail operations, and real\-world impact. Our work helps some of the world’s largest retailers run better stores, reduce waste, empower employees, and operate with greater confidence. At Logile, you will:
* Solve complex, meaningful problems in a highly specialized retail SaaS environment.
* Work with global retailers across grocery, convenience, and specialty formats.
* Influence how labor, inventory, and store execution are planned and optimized at scale.
* Collaborate with experienced operators, technologists, and retail experts.
* Join a growing global organization where expertise and impact matter.
**Equal Opportunity Employer** 
 Logile is an equal opportunity employer. We are committed to creating an inclusive environment for all employees and applicants. All qualified applicants will receive consideration for employment without regard to race, color, religion, sex, sexual orientation, gender identity or expression, national origin, age, disability, veteran status, or any other legally protected characteristic.</t>
        </is>
      </c>
    </row>
    <row r="75">
      <c r="A75" t="inlineStr">
        <is>
          <t>li-4374027969</t>
        </is>
      </c>
      <c r="B75" t="inlineStr">
        <is>
          <t>Product Manager (Energy Software Platforms)</t>
        </is>
      </c>
      <c r="C75" t="inlineStr">
        <is>
          <t>THG Energy Solutions</t>
        </is>
      </c>
      <c r="D75" t="inlineStr">
        <is>
          <t>linkedin</t>
        </is>
      </c>
      <c r="E75">
        <f>HYPERLINK("https://www.linkedin.com/jobs/view/4374027969", "https://www.linkedin.com/jobs/view/4374027969")</f>
        <v/>
      </c>
      <c r="F75" t="inlineStr"/>
      <c r="G75" t="inlineStr"/>
      <c r="H75" t="inlineStr"/>
      <c r="I75" t="inlineStr">
        <is>
          <t>Location: Dallas, TX (required)
 Experience: 10–15\+ years
 Reports to: VP Product
 Type of contract: full\-time, long\-term.
**About THG Energy** 
 THG Energy Solutions provides energy management technology and services that help organizations measure, manage, and respond to energy consumption and grid events. The company delivers energy\-intelligence software, utility data services, and demand\-response solutions to enterprise customers across the commercial, institutional, government, and industrial sectors. THG serves some of the largest energy providers in the United States and countless enterprises.
**Role Summary** 
* THG Energy Solutions is seeking a Product Manager with deep experience at the intersection of software platforms and the energy industry.
* This is a senior, highly autonomous individual contributor role responsible for defining product direction, prioritizing development work, and ensuring THG’s energy software platforms continue to deliver measurable customer value.
* The ideal candidate has experience building or managing energy software products, utility data platforms, or grid\-interactive solutions, and can quickly operate independently with minimal onboarding.
* This role requires strong collaboration across engineering, customer success, sales, and energy operations, as well as interfacing directly with key customers.
**Responsibilities** 
*Product Strategy \&amp; Ownership* 
* Own roadmap development for THG software platforms
* Interface with key customers and define product strategy aligned with customer needs
* Translate business and customer requirements into product features
* Maintain product documentation and requirements
*Cross\-Functional Leadership* 
* Work closely with engineering to plan and deliver releases
* Partner with customer success and sales to prioritize enhancements
* Collaborate with energy domain experts to ensure technical accuracy
* Act as the internal subject\-matter expert for assigned products
*Customer \&amp; Market Insight* 
* Engage directly with customers to gather feedback
* Identify opportunities for product expansion and innovation
* Monitor energy market, utility, and grid\-technology trends
* Evaluate competitive products and positioning
*Execution \&amp; Delivery* 
* Manage backlog prioritization and sprint planning support
* Define success metrics for product features
* Support product launches and feature adoption
* Ensure alignment between product development and customer value
 Required Qualifications
* Dallas\-based (mandatory)
* 10 \- 15\+ years of experience in product management, software delivery, or technical solution leadership
* Experience in energy software, utility technology, or energy data platforms is a major plus
* AI literacy
* Experience working with SaaS platforms
* Strong ability to operate independently with minimal supervision
* Experience working with engineering teams and agile development processes
* Strong analytical and problem\-solving skills
* Excellent communication and stakeholder management skills
**Preferred Background** 
 Candidates are especially attractive if they have experience with:
* Energy Intelligence Systems (EIS)
* Demand response platforms
* Utility data integration platforms
* DER or grid\-services software
* Building energy management systems
* Sustainability or decarbonization software
 Industry experience may include:
* Energy technology companies
* Utilities or ISOs
* Energy analytics companies
* Energy SaaS providers
* Energy consulting organizations
**Success Profile** 
 The right candidate will be:
* Comfortable working in both technical and energy\-domain environments
* Highly autonomous and execution\-focused
* Able to balance customer needs, engineering constraints, and business priorities
* Data\-driven and pragmatic
* Curious about energy markets, grid modernization, and software innovation
**Compensation \&amp; Benefits** 
 THG Energy offers a competitive compensation package designed for senior product professionals.
*Compensation* 
* Base salary: 100\-175k depending on seniority and qualifications
* Performance bonuses
* Potential equity or long\-term incentive participation, depending on experience
*Benefits* 
* Comprehensive medical insurance
* Paid time off
* Dallas\-based role with some hybrid flexibility
* Professional development support
* Collaborative, mission\-driven culture focused on energy innovation
*Equal Opportunity Employer* 
 THG Energy Solutions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disability, veteran status, age, or any other protected characteristic under applicable law.</t>
        </is>
      </c>
    </row>
    <row r="76">
      <c r="A76" t="inlineStr">
        <is>
          <t>li-4375403897</t>
        </is>
      </c>
      <c r="B76" t="inlineStr">
        <is>
          <t>Product Manager</t>
        </is>
      </c>
      <c r="C76" t="inlineStr">
        <is>
          <t>HCLTech</t>
        </is>
      </c>
      <c r="D76" t="inlineStr">
        <is>
          <t>linkedin</t>
        </is>
      </c>
      <c r="E76">
        <f>HYPERLINK("https://www.linkedin.com/jobs/view/4375403897", "https://www.linkedin.com/jobs/view/4375403897")</f>
        <v/>
      </c>
      <c r="F76" t="inlineStr"/>
      <c r="G76" t="inlineStr"/>
      <c r="H76" t="inlineStr"/>
      <c r="I76" t="inlineStr">
        <is>
          <t>**🚀Job Role: Product Manager – DC Design \&amp; Build Services** 
**📍Experience: 10–12 Year Minimum** 
**📍Job Type : Full\-Time** 
**📍Job Location : Remote** 
**Company Overview** 
 HCLTech is one of the world’s fastest‑growing technology companies, home to 220,000\+ innovators across 60 countries—driving progress through cutting‑edge Digital, Engineering, and Cloud solutions.
 We are expanding our
 **Data Center (DC) Design \&amp; Build** 
 portfolio and looking for a
 **Product Manager** 
 who can transform engineering\-heavy solutions into
 **scalable, modular, and sustainability\-embedded offerings** 
 .
 If you thrive in strategic roles, love building repeatable products, and want to influence global DC services, this role is for you.
 🔍
 **Role Overview** 
 As the Product Manager for DC Design \&amp; Build Services, you will lead the
 **end\-to\-end product lifecycle** 
 —from vision and standardization to GTM execution. You will shape modular service offerings across greenfield, brownfield, and AI\-ready data centers by aligning engineering depth with customer and market needs.
 🎯
 **Key Responsibilities** 
* Own the
 **product lifecycle** 
 for DC Design \&amp; Build offerings—from ideation to continuous improvement
* Define product
 **vision and multi\-year roadmap** 
 for standardized DC services
* Build
 **service catalogues, pricing models, and modular design/build packages**
* Develop
 **reference architectures** 
 across MEP, ICT, automation, sustainability \&amp; high\-density compute
* Convert deep engineering capabilities into
 **repeatable, scalable offerings**
* Enable presales through
 **solution kits, SOW templates, estimation and proposal frameworks**
* Collaborate with customers and stakeholders to refine offerings
* Build business cases; drive
 **cost optimization** 
 through standardization
* Define
 **delivery playbooks, quality benchmarks, and global training material**
* Support
 **GTM, messaging, and competitive positioning** 
 for DC services
 🧩
 **What You Bring** 
* 10–12 years of experience productizing engineering\-led solutions
* Strong background in
 **Data Center Design** 
 (MEP, Power, Cooling, ICT, White Space Build, Fire Safety)
* Proven experience in
 **offering/portfolio management** 
 for DC or infrastructure services
* Understanding of
 **DCIM/BMS** 
 , sustainability practices, AI/HPC infrastructure
* Strong product management skills—roadmapping, pricing, GTM strategy, competitive analysis
* Exceptional cross\-functional leadership \&amp; customer engagement skills
* Experience working with engineering, presales, delivery, automation, and procurement teams
 📌
 **Role Specifics** 
* Focused on
 **scalable and repeatable services** 
 — not a project delivery role
* Measured on
 **adoption, scalability, margins, and GTM success**
* High strategic ownership with global impact
 🌱
 **Why Join HCLTech?** 
 At HCLTech, your growth matters. We offer:
* Clear career pathways \&amp; leadership access
* Continuous learning and development
* Opportunities to experiment and explore roles
* A culture of innovation, inclusion, and empowerment
***Disclaimer***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77">
      <c r="A77" t="inlineStr">
        <is>
          <t>li-4375429575</t>
        </is>
      </c>
      <c r="B77" t="inlineStr">
        <is>
          <t>Sr. Product Manager, Megapack Software &amp; Firmware</t>
        </is>
      </c>
      <c r="C77" t="inlineStr">
        <is>
          <t>Tesla</t>
        </is>
      </c>
      <c r="D77" t="inlineStr">
        <is>
          <t>linkedin</t>
        </is>
      </c>
      <c r="E77">
        <f>HYPERLINK("https://www.linkedin.com/jobs/view/4375429575", "https://www.linkedin.com/jobs/view/4375429575")</f>
        <v/>
      </c>
      <c r="F77" t="inlineStr"/>
      <c r="G77" t="inlineStr">
        <is>
          <t>Palo Alto, CA</t>
        </is>
      </c>
      <c r="H77" t="inlineStr"/>
      <c r="I77" t="inlineStr">
        <is>
          <t>**What To Expect**
 We are looking for an experienced Product Manager to support the development and commercialization of software and firmware features for Megapack. This role will work closely with engineering to ensure features are clearly scoped and effectively launched to support market needs. Supporting devices include the whole system comprising of electrical and networking equipment, battery pack, inverter \&amp; thermal controllers. This role will support new and sustaining software and firmware features across industrial energy products while collaborating with hardware product \&amp; application engineering teams.
 This position requires technical expertise, commercial acumen, and a strong ability to collaborate across teams. Experience in software/firmware product management, development, and the renewable energy sector will set you apart. Attention to detail, curiosity, and the ability to prioritize many features are essential to success.
 This role is part of the Industrial Product team which oversees the hardware, software, firmware, and services powering Megapack and other industrial energy products.
**What You'll Do**
- Discovery \&amp; Requirements: Create crisp feature requests by seeking to understand the problem that needs to be solved by whatever means necessary (user/stakeholder interviews, reading published grid or compliance requirements, contracts, etc.)
- Roadmap Prioritization: Create business cases, define product requirements, and prioritize features to meet market and customer needs
- Collaborative Development: Work alongside world\-class engineers and professionals to design and deliver software solutions
- Technical Enablement: Develop technical content such as manuals, application notes, and marketing collateral to support both internal teams and external stakeholders
- Education \&amp; Advocacy: Educate internal teams, customers, and partners on critical product features and best practices
**What You'll Bring**
- Degree in Computer Engineering, Computer Science, Electrical Engineering, or equivalent experience
- 5\+ years in engineering, software product management, or a related field
- Strong preference for experience as a software or firmware engineer working in Utilities industry
- General understanding of cybersecurity and network monitoring as it applies to electric grid
- Ability to qualify and quantify variety of time series data to turn them into operational insights
- Familiarity with energy storage products and the challenges with grid connected systems
- Deep understanding of software development processes, tools, and best practices
- Blend of technical and commercial expertise, with strong analytical and decision\-making skills
- Excellent communication and interpersonal skills to build and maintain strong relationships across stakeholders
- Strong passion for advancing renewable energy and grid transformation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$112,000 \- $204,000/annual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78">
      <c r="A78" t="inlineStr">
        <is>
          <t>li-4373138061</t>
        </is>
      </c>
      <c r="B78" t="inlineStr">
        <is>
          <t>Program Manager - Content</t>
        </is>
      </c>
      <c r="C78" t="inlineStr">
        <is>
          <t>Academian Inc</t>
        </is>
      </c>
      <c r="D78" t="inlineStr">
        <is>
          <t>linkedin</t>
        </is>
      </c>
      <c r="E78">
        <f>HYPERLINK("https://www.linkedin.com/jobs/view/4373138061", "https://www.linkedin.com/jobs/view/4373138061")</f>
        <v/>
      </c>
      <c r="F78" t="inlineStr"/>
      <c r="G78" t="inlineStr"/>
      <c r="H78" t="inlineStr"/>
      <c r="I78" t="inlineStr">
        <is>
          <t>**Role Overview:** 
 The Program Manager will lead the planning, execution, and delivery of large\-scale content and learning development initiatives across the organization’s portfolio. This role is responsible for driving alignment across content strategy, production, instructional design, editorial, and stakeholder teams to ensure programs are delivered on time, within scope, and meet quality standards.
 The ideal candidate brings strong program governance, experience managing complex content pipelines, and the ability to translate strategic objectives into executable delivery plans. The primary objective is to ensure content programs achieve desired outcomes, quality benchmarks, and business goals.
**Key Responsibilities:** 
* Plan and manage content programs, ensuring alignment with strategic goals, timelines, and quality standards.
* Oversee the end\-to\-end content lifecycle, from planning through development, review, and delivery.
* Coordinate cross\-functional teams including instructional design, content, editorial, production, and SMEs.
* Manage program timelines, resources, risks, and dependencies across multiple projects.
* Monitor program performance, track milestones, and address issues impacting delivery.
* Provide regular status updates and reporting to stakeholders and leadership.
* Drive process improvements to enhance efficiency and program outcomes.
**Required Qualifications:** 
* 7–10 years of Program Management experience, preferably in content development, publishing, education, or EdTech environments.
* Bachelor’s degree in Education, Communications, Business, Project Management, or related field.
* Demonstrated experience managing large\-scale content or curriculum development programs.
* Proven ability to manage multiple concurrent projects and cross\-functional teams.
* Strong understanding of content production workflows and lifecycle management.
**Preferred Qualifications** 
* Experience working with learning or curriculum development teams.
* Familiarity with digital learning or content platforms.
* Program or project management certification (PMP, PgMP, or equivalent).
* Experience with Smartsheet, Asana, Jira, or similar project management tools.</t>
        </is>
      </c>
    </row>
    <row r="79">
      <c r="A79" t="inlineStr">
        <is>
          <t>li-4374079182</t>
        </is>
      </c>
      <c r="B79" t="inlineStr">
        <is>
          <t>Product Manager</t>
        </is>
      </c>
      <c r="C79" t="inlineStr">
        <is>
          <t>Jobs via Dice</t>
        </is>
      </c>
      <c r="D79" t="inlineStr">
        <is>
          <t>linkedin</t>
        </is>
      </c>
      <c r="E79">
        <f>HYPERLINK("https://www.linkedin.com/jobs/view/4374079182", "https://www.linkedin.com/jobs/view/4374079182")</f>
        <v/>
      </c>
      <c r="F79" t="inlineStr"/>
      <c r="G79" t="inlineStr">
        <is>
          <t>Austin, TX</t>
        </is>
      </c>
      <c r="H79" t="inlineStr"/>
      <c r="I79" t="inlineStr">
        <is>
          <t>Dice is the leading career destination for tech experts at every stage of their careers. Our client, Horizontal Talent, is seeking the following. Apply via Dice today!
 Join our dynamic team in driving innovation within security and loss prevention technology by becoming a Principal Product Manager \- Technical. This role focuses on creating value and enhancing user experiences through cutting\-edge software solutions.
**Responsibilities**
* Lead product development and roadmap execution utilizing backward working processes to pinpoint customer pain points and opportunities.
* Establish and communicate best practices for product requirements with cross\-functional teams using customer\-focused methods.
* Analyze industry trends, specifically in Security \&amp; Loss prevention, to inform and evolve long\-term product strategies.
* Collaborate with engineering teams to design and deliver high\-quality software meeting customer expectations and business goals.
* Work closely with user experience, data engineering, and solution architects to develop user\-friendly interfaces for complex workflow interactions.
* Develop mechanisms to gather user feedback, consistently improving product performance and user experience across products.
* Monitor project execution, managing risks, project progress, and ensuring quality to maintain the integrity of initiatives.
* Ensure the scalability and maintainability of products through collaboration with diverse teams.
 \&lt;\&gt;Skills\&lt;/\&gt;
* Deep understanding of customer\-experience, product management, and program management.
* Strong grasp of cloud\-based software and web technologies.
* Proven track record in timely project delivery with a knack for proactive problem\-solving and decision\-making.
 \&lt;\&gt;Preferred Skills\&lt;/\&gt;
* Experience in analyzing and applying industry trends within product strategy contexts.
* Background in fostering innovative solutions for complex security and operational challenges.
* Aptitude for working in fast\-paced, entrepreneurial environments with a results\-oriented approach.
 At Horizontal, we champion diversity, equity, and inclusion as core pillars of our organizational culture, welcoming candidates from all backgrounds to bring their unique strengths and perspectives to our team.
 Once you apply for this position, you may receive a phone call, SMS or email at the time of application from our Virtual AI Recruiter, Alex, to conduct an initial interview.</t>
        </is>
      </c>
    </row>
    <row r="80">
      <c r="A80" t="inlineStr">
        <is>
          <t>li-4373154490</t>
        </is>
      </c>
      <c r="B80" t="inlineStr">
        <is>
          <t>Senior Product Manager, Retirement</t>
        </is>
      </c>
      <c r="C80" t="inlineStr">
        <is>
          <t>Aegon</t>
        </is>
      </c>
      <c r="D80" t="inlineStr">
        <is>
          <t>linkedin</t>
        </is>
      </c>
      <c r="E80">
        <f>HYPERLINK("https://www.linkedin.com/jobs/view/4373154490", "https://www.linkedin.com/jobs/view/4373154490")</f>
        <v/>
      </c>
      <c r="F80" t="inlineStr"/>
      <c r="G80" t="inlineStr"/>
      <c r="H80" t="inlineStr"/>
      <c r="I80" t="inlineStr">
        <is>
          <t>Drives long\-term strategy by researching and designing retirement products from inception to launch. Manages existing product portfolios to ensure profitable sales.
**Responsibilities**
* Analyze market trends and competitive landscape to discern product opportunities and translate market conditions into valid value positions. Assist lower level staff as needed.
* Research potential market opportunities; build the business case for product innovations by gathering distribution and consumer feedback, reviewing industry sales trends, and understanding demographic shifts/consumer preferences. Guide lower level staff as needed.
* Define product features, competitiveness, profitability, sales goals and launch date. Drive collaboration across all functional areas as needed.
* Conduct feasibility studies, research and development (R\&amp;D), and participate in labs to evaluate ideas. Drive collaboration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Ensure customer centric product ideas are efficiently sourced and prioritized. Work with margin analytics, marketing, sales and operations teams to build a strong pipeline for future product enhancements.
* Develop and deliver presentations to communicate research outcomes; provide R\&amp;D results to senior management and peers to highlight strategic recommendations for new products and enhancements.
**Qualifications**
* Bachelor’s degree in a business related field or equivalent experience.
* Four years of product development experience in the retirement industry.
* In\-depth knowledge of retirement features.
* In\-depth knowledge of retirement and marketing techniques.
* Understanding of profitability metrics.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Presentation skills to provide research data and recommendations to senior leadership.
* Coaching skills to assist team members.
* Advanced proficiency in MS Office (Excel, PowerPoint, Word).
 Working Conditions
- Hybrid office environment: 3 days in office (Baltimore, Cedar Rapids, Philadelphia, Denver)
 Occasional Travel
 The Salary for this position generally ranges between $87,000\-$97,000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of 15% based on the Company Bonus Plan/Individual Performance and is at the Company’s discretion.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Apply</t>
        </is>
      </c>
    </row>
    <row r="81">
      <c r="A81" t="inlineStr">
        <is>
          <t>li-4360777062</t>
        </is>
      </c>
      <c r="B81" t="inlineStr">
        <is>
          <t>Product Manager, Streaming Video Engineering</t>
        </is>
      </c>
      <c r="C81" t="inlineStr">
        <is>
          <t>NBCUniversal</t>
        </is>
      </c>
      <c r="D81" t="inlineStr">
        <is>
          <t>linkedin</t>
        </is>
      </c>
      <c r="E81">
        <f>HYPERLINK("https://www.linkedin.com/jobs/view/4360777062", "https://www.linkedin.com/jobs/view/4360777062")</f>
        <v/>
      </c>
      <c r="F81">
        <f>HYPERLINK("https://jobs.smartrecruiters.com/NBCUniversal3/744000103164930-product-manager-streaming-video-engineering&amp;urlHash=-2i8", "https://jobs.smartrecruiters.com/NBCUniversal3/744000103164930-product-manager-streaming-video-engineering&amp;urlHash=-2i8")</f>
        <v/>
      </c>
      <c r="G81" t="inlineStr">
        <is>
          <t>Stamford, CT</t>
        </is>
      </c>
      <c r="H81" t="inlineStr"/>
      <c r="I81"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Media Group at NBCU supports a powerhouse collection of consumer\-first brands including Peacock, NBC, Bravo, NBC Sports, and NBCU International.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The Product Manager, Streaming Video Engineering, will play a critical role in driving innovation across Digital Network Operations Center (DNOC) tooling and monitoring platforms. This position is responsible for identifying opportunities to enhance operational efficiency, leveraging data and ROI analysis to prioritize initiatives, and shaping product roadmaps. By introducing and integrating emerging technologies such as generative AI, automation, and machine learning, the role ensures NBCUniversal remains at the forefront of streaming video operations and delivers reliable, scalable solutions to support global distribution.
* Work across DNOC tools and monitoring systems to identify opportunities for innovation and ecosystem improvement
* Use data analysis and ROI metrics to prioritize initiatives and guide product roadmaps
* Partner with engineering, operations, and leadership teams to evaluate and implement emerging technologies including generative AI, automation, and machine learning
* Lead integration of new tools and workflows into existing systems, ensuring scalability, compliance, and operational excellence
* Develop dashboards and reporting frameworks to measure adoption, performance, and financial impact of technology investment
* Drive change management efforts to ensure smooth rollout and adoption of innovative solutions across global teams
* Deliver enablement workshops and training to foster understanding and adoption of new technologies
* Act as a trusted advisor to stakeholders, balancing innovation with resource constraints and helping to establish long‑term strategic goals and roadmaps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$150,000**
**Qualifications**
* Minimum five (5\) years’ experience working with Operations teams
* Minimum five (5\) years of experience in Product Support or DevOps
* Minimum five (5\) years of experience in staff management with a proven track record of effective leadership, high energy, and strong team collaboration
* Minimum three (3\) years of experience leading a support team to successful issue resolution
* Knowledge of common persistence frameworks and languages including Python, JavaScript, SQL.
**Desired Characteristics**
* BA/BS in a related field or equivalent professional experience
* Extensive background in product management, customer success, and technical leadership across AI, IoT, and streaming platforms
* Experience designing, delivering, and auditing training programs and enablement workshops for global teams
* Familiarity with large language models (LLMs), retrieval\-augmented generation (RAG) based solution patterns, including prompt design, model evaluation, and retrieval pipeline optimization.
* Experience designing and delivering API\-based integrations and interoperability across enterprise platforms and systems.
* Experience working in modern cloud environments, including but not limited to AWS and Azure.
* Demonstrated success leading complex projects, managing change initiatives, and optimizing operations workflows and monitoring systems in high\-availability environments
* Deep technical expertise with digital video and audio systems, SDK integrations, telemetry, troubleshooting workflows, and test techniques
* Strong foundation in data engineering and statistics, with ability to apply financial and performance analysis to guide decisions and measure ROI
* Exceptional interpersonal and communication skills with the ability to coach, mentor, and influence diverse teams and executive stakeholders
* Flexible and resilient, able to respond effectively under pressure and thrive in fast\-paced environments
* Track record of delivering measurable impact, including driving adoption, retention, and securing multimillion\-dollar renewals with vendors and related service providers
**Eligibility Requirements**
* Interested candidate must submit a resume/CV through www.nbcunicareers.com to be considered
* Hybrid 4\-day position (domestic NBC\-based facility) with 20% travel requirements, often to core team in Stamford, CT
* Must have unrestricted work authorization to work in the United States
* Must be 18 years or older
* Willingness and ability to work or be on call at any time, sometimes on short notice in order to support a 24/7/365 operation
* It is the policy of NBCUniversal and NBCUniversal’ s affiliated businesses to consider all qualified applicants for employment without regard to race, color, religion, national origin, sex (including pregnancy) sexual orientation, age, disability, veteran status or other characteristics protected by law.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82">
      <c r="A82" t="inlineStr">
        <is>
          <t>li-4375184728</t>
        </is>
      </c>
      <c r="B82" t="inlineStr">
        <is>
          <t>Sr Product Owner</t>
        </is>
      </c>
      <c r="C82" t="inlineStr">
        <is>
          <t>Apex Systems</t>
        </is>
      </c>
      <c r="D82" t="inlineStr">
        <is>
          <t>linkedin</t>
        </is>
      </c>
      <c r="E82">
        <f>HYPERLINK("https://www.linkedin.com/jobs/view/4375184728", "https://www.linkedin.com/jobs/view/4375184728")</f>
        <v/>
      </c>
      <c r="F82" t="inlineStr"/>
      <c r="G82" t="inlineStr">
        <is>
          <t>Chicago, IL</t>
        </is>
      </c>
      <c r="H82" t="inlineStr"/>
      <c r="I82" t="inlineStr">
        <is>
          <t>**Job\#: 3022936**
**Job Description:**
**Job Title: Sr. Product Owner**
**Location: Chicago IL / Charlotte NC (5 days onsite)**
**Duration: 8 months**
**Payrate: $75\.00 \- 80\.13/hr**
**Description:**
 Only open in Charlotte, NC and Chicago, IL. This specific role is required to be fulfilled onsite 5 days a week.
 The Cyber Security Technology (CST) function within Global Information Security is responsible for innovation and architecture, engineering, solutions and capabilities development, deployment maintenance and support of information technology security controls. The CST team is also responsible for the management of the program/project management teams.
**Responsibilities**
 Collaborate with cross\-functional teams including software developers, designers, quality assurance, and stakeholders to define, prioritize, and communicate product vision, strategy, and roadmap.
 Own and maintain the product backlog, ensuring that it is well\-organized, up\-to\-date, and aligned with the overall product vision and business goals.
 Translate high\-level business requirements into clear and actionable user stories, ensuring that they contain well\-defined acceptance criteria and align with technical capabilities.
 Act as the primary point of contact between business stakeholders and the development team, ensuring that communication flows seamlessly and that stakeholder needs are effectively addressed.
 Regularly engage with stakeholders to gather feedback, capture user insights, and validate that the product is meeting their expectations.
 Make informed decisions on scope, priorities, and trade\-offs while considering factors such as project timelines, technical constraints, and market trends.
 Conduct sprint planning, backlog refinement, and sprint review sessions, collaborating with the development team to ensure a clear understanding of the work to be done.
 Provide guidance and support to the development team, clarifying requirements, resolving queries, and ensuring a shared understanding of the user stories.
 Continuously monitor project progress, track key performance indicators (KPIs), and ensure that the product is delivering the intended value to customers.
 Actively participate in retrospectives to identify areas for improvement within the development process and take actions to enhance team efficiency and effectiveness.
 Stay current with industry trends, emerging technologies, and best practices, leveraging this knowledge to identify opportunities for product enhancement and innovation.
 Manage stakeholder expectations, anticipating and addressing concerns, and ensuring a positive collaborative working environment.
**Qualifications**
 Bachelor's degree in Computer Science, Engineering, Business, or related field (or equivalent experience).
 Proven track record as a Software Product Owner or in a similar product management role in a software development environment.
 In\-depth understanding of Agile methodologies, particularly Scrum, and a strong track record of successful collaboration in Agile teams.
 Exceptional communication and interpersonal skills, with the ability to convey complex technical concepts to non\-technical stakeholders effectively.
 Strong analytical and problem\-solving skills to make informed decisions, prioritize effectively, and drive continuous improvement.
 Detail\-oriented mindset with a focus on delivering high\-quality software products and exceptional user experiences.
 Proficiency in using project management and collaboration tools, such as JIRA, Confluence, or similar.
**Preferred Qualifications**
 Certification(s) related to Agile methodologies (e.g., Certified Scrum Product Owner) is a plus.
 Previous experience in cyber security, specifically vulnerability management or application security testing is advantageous.
 Experience with Jira, Datawarehouse product with Oracle, Data Governance or Data Architecture is a strong asset.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83">
      <c r="A83" t="inlineStr">
        <is>
          <t>li-4375442738</t>
        </is>
      </c>
      <c r="B83" t="inlineStr">
        <is>
          <t>Founding Product Manager - WorkHero</t>
        </is>
      </c>
      <c r="C83" t="inlineStr">
        <is>
          <t>Workshop Venture Partners</t>
        </is>
      </c>
      <c r="D83" t="inlineStr">
        <is>
          <t>linkedin</t>
        </is>
      </c>
      <c r="E83">
        <f>HYPERLINK("https://www.linkedin.com/jobs/view/4375442738", "https://www.linkedin.com/jobs/view/4375442738")</f>
        <v/>
      </c>
      <c r="F83">
        <f>HYPERLINK("https://jobs.ashbyhq.com/workshop-ventures/bf0774cc-0876-4f49-8b43-546a6b22283f/application?utm_source=xqlekM7jZb&amp;urlHash=WsK3", "https://jobs.ashbyhq.com/workshop-ventures/bf0774cc-0876-4f49-8b43-546a6b22283f/application?utm_source=xqlekM7jZb&amp;urlHash=WsK3")</f>
        <v/>
      </c>
      <c r="G83" t="inlineStr">
        <is>
          <t>Boston, MA</t>
        </is>
      </c>
      <c r="H83" t="inlineStr"/>
      <c r="I83" t="inlineStr">
        <is>
          <t>**About WorkHero**
 Tens of thousands of small HVAC contractors who keep our homes comfortable and enable the climate transition, are drowning in administrative work. Legacy software is clunky, full\-time admins are expensive, and owners spend 20\+ hours per week on paperwork.
 WorkHero changes that.
 Our platform combines agentic AI with human\-in\-the\-loop operations to autonomously handle back\-office workflows like invoicing, permits, rebates, pricebooks, warranty registration and a whole lot more. Instead of asking contractors to learn new tools, our AI agents
 *do the work* 
 , with expert office managers providing oversight and operational coaching.
 The result: real work gets done autonomously, helping small contractors grow profitable, resilient businesses while accelerating heat pump adoption nationwide.
 We've raised over $6\.5M to date and are backed by Navitas Capital, Workshop Ventures, York IE, and strategic angels including a former ServiceTitan executive. Our advisors include Chad Laurans (Founder of SimpliSafe) and Gerald Chertavian (Founder of Year Up).
 The Role
 You'll be the first PM at WorkHero, working directly with the founders on the strategic decisions that shape the company.
 You'll lead discovery, design, and delivery across our product including the tools contractors use to run their businesses, the internal systems our dedicated Office Managers use to serve them, and the automation engine that ties it all together.
 This role blends user research, product strategy, and design. You'll spend real time with our customers, who are small business owners in the skilled trades. You'll then translate what you learn into mockups and product direction and collaborate closely with engineering to ship. If wearing many hats and operating with high autonomy sounds like your jam, keep reading.
 What You'll Do
**Deep User Discovery.** 
 Interview and shadow our operations team to understand their routines, workflows, and friction points. Interview and shadow contractors to understand their daily operations and unmet needs. Build real empathy for both sides and surface patterns across diverse businesses.
**Product Strategy and Solution Design.** 
 Synthesize user insights, operational context, and technical constraints into clear product opportunities. Identify strategic points of leverage. Study best\-in\-class tools (Field Service Management software, automation builders, AI assistants) and adapt what works to our domain.
**Rapid Prototyping.** 
 Use modern AI and design tools to quickly mock up concepts and gather user feedback. Mockups are often more effective than specs—you'll use them to align with engineering and validate ideas before committing resources.
**Collaboration and Delivery.** 
 Work closely with engineering to scope, plan, and ship. You're the bridge between users, operations, and the engineering team, ensuring shared context and efficient execution.
**Shape Product Vision.** 
 Use what you learn from discovery, usage data, and delivery to inform where we go next. Work directly with the co\-founders on strategy and prioritization.
 Who We're Looking For
 We're looking for someone entrepreneurial, empathetic, and strategic—someone who wants to be the first PM at a fast\-moving startup, working side\-by\-side with the founders to build something that matters.
**You've done zero\-to\-one product work.** 
 Whether your title was PM, product designer, founder, or something else, you've taken products from ambiguity through shipped features. You've operated in environments without a playbook.
**You're deeply empathetic and good at user research.** 
 You know how to run interviews that surface real insights. You can empathize and connect with blue collar workers and glean insights. You've observed users in their actual environment and translated that into product direction.
**You have design instincts.** 
 You don't need to be a trained designer, but you can look at an interface and know when something's off. You can rapidly prototype ideas using modern tools.
**You collaborate effectively with engineers.** 
 You know how to communicate product needs clearly—through mockups, conversation, and whatever format gets the team aligned. You don't hide behind documentation.
**You think strategically.** 
 You can zoom out to see the bigger picture and identify what matters most. You're not just executing, you're helping define what we should build and why.
 What Would Make You Exceptional
* Former founder or early employee at a startup
* Experience with contractors, small businesses, or home services
* Familiarity with FSM software (HouseCall Pro, ServiceTitan, Jobber) or the HVAC industry
* Experience building or shipping AI\-powered products
 We are committed to creating a diverse and inclusive work environment. We welcome applicants from all backgrounds and experiences.
 Compensation Range: $120K \- $160K</t>
        </is>
      </c>
    </row>
    <row r="84">
      <c r="A84" t="inlineStr">
        <is>
          <t>li-4375416211</t>
        </is>
      </c>
      <c r="B84" t="inlineStr">
        <is>
          <t>Product Owner</t>
        </is>
      </c>
      <c r="C84" t="inlineStr">
        <is>
          <t>Experior Financial Group</t>
        </is>
      </c>
      <c r="D84" t="inlineStr">
        <is>
          <t>linkedin</t>
        </is>
      </c>
      <c r="E84">
        <f>HYPERLINK("https://www.linkedin.com/jobs/view/4375416211", "https://www.linkedin.com/jobs/view/4375416211")</f>
        <v/>
      </c>
      <c r="F84" t="inlineStr"/>
      <c r="G84" t="inlineStr"/>
      <c r="H84" t="inlineStr"/>
      <c r="I84" t="inlineStr">
        <is>
          <t>**Product Owner** 
 "Building financial foundations for families to empower them today and leave a legacy for tomorrow".
 Experior Financial Group Inc. is looking for a dynamic Product Owner to join our small, collaborative team focused on the strategy, development, and continuous improvement of our core platform and CRM products. This role requires strong expertise in Agile methodologies, stakeholder engagement, and cross\-functional collaboration. The ideal candidate thrives in a fast\-paced environment and is passionate about aligning product initiatives with evolving business needs.
 As a member of our team, you will enjoy a positive work environment and be part of a dynamic group that values dedication and enthusiasm. We offer excellent opportunities for career advancement to those who are committed and strive for excellence.
**Responsibilities:** 
* Define and execute the product roadmap, aligning features, enhancements, and issue resolution with business goals and measurable value.
* Prioritize the product backlog (features, bugs, enhancements) based on business urgency and stakeholder impact.
* Maintain ownership of the CRM and specialized product areas (e.g., Scoreboard and Promotions), driving ongoing strategy and improvements.
* Partner with stakeholders (Head Office, Agents, Admins, Executives) to gather feedback, validate requirements, and ensure alignment.
* Coordinate weekly releases, stakeholder communications, release “Pushes,” and pre\-release feature demonstrations.
* Collaborate closely with offshore development teams, and third\-party vendors to ensure high\-quality, on\-time delivery.
* Review and approve product requirements and evaluate releases for quality, timeline adherence, and business value.
* Drive product adoption and continuous improvement through CRM training, QA support, analytics insights, and ongoing product evaluation.
**Qualifications:** 
* 3–5 years of experience as a Product Owner, Product Manager, or similar role.
* Proven experience in Agile/Scrum environments, including backlog management and sprint planning.
* Demonstrated ability to align product development with business objectives and deliver measurable value.
* Experience working with cross\-functional and off\-shore development teams.
* Strong stakeholder communication, presentation, analytical, and problem\-solving skills.
* Strategic thinker with strong business acumen and decisive prioritization and scope management abilities.
* Detail\-oriented with a focus on quality and timely delivery in fast\-paced environments.
* Financial services industry, SaaS product, and project management experience are considered assets.
* Must reside in and be authorized to work in the USA.
**What Experior Financial Group Inc. can offer you:** 
* Work\-life balance with paid vacation and sick days
* Competitive compensation
* Comprehensive medical, dental, and vision benefits
* Flexible work options
* Career growth and development opportunities
* Diverse team environment
* Straight day shifts with no weekends
* Company events and celebrations
* Tuition reimbursement
* Company\-provided equipment
**Pay Range \- $100,000 \- $110,00/yr USD** 
 The compensation range reflects a data\-driven estimate of starting base pay for full\-time (40 hours per week) employment. Individual pay may vary based on geographic location, job related skills, knowledge, experience, education etc.
**Experior Financial Group Inc. has been certified a Great Place to Work 2025\-2026!**</t>
        </is>
      </c>
    </row>
    <row r="85">
      <c r="A85" t="inlineStr">
        <is>
          <t>li-4375422611</t>
        </is>
      </c>
      <c r="B85" t="inlineStr">
        <is>
          <t>Associate Product Manager - Marketing Operations</t>
        </is>
      </c>
      <c r="C85" t="inlineStr">
        <is>
          <t>StubHub</t>
        </is>
      </c>
      <c r="D85" t="inlineStr">
        <is>
          <t>linkedin</t>
        </is>
      </c>
      <c r="E85">
        <f>HYPERLINK("https://www.linkedin.com/jobs/view/4375422611", "https://www.linkedin.com/jobs/view/4375422611")</f>
        <v/>
      </c>
      <c r="F85">
        <f>HYPERLINK("https://job-boards.eu.greenhouse.io/stubhubinc/jobs/4784900101?gh_src=47e65a22teu&amp;urlHash=zmnO", "https://job-boards.eu.greenhouse.io/stubhubinc/jobs/4784900101?gh_src=47e65a22teu&amp;urlHash=zmnO")</f>
        <v/>
      </c>
      <c r="G85" t="inlineStr">
        <is>
          <t>Los Angeles, CA</t>
        </is>
      </c>
      <c r="H85" t="inlineStr"/>
      <c r="I8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a driven, data\-fluent and user\-obsessed
 **Associate Product Manager** 
 to join the Consumer Experience team and be a part of the engine driving event discovery for fans across the world. You will own the execution and scaling of features and campaigns that connect millions of fans to live events globally. This is a rare opportunity to drive impact at the intersection of personalization, marketing, and technology while developing critical skills.
**Location:** 
 Hybrid (3 days in office / 2 days remote) – New York, NY or Century City,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over 60 regions and 30 languages interact with every day. We are obsessed with understanding our users’ needs and delivering feature innovations, both short\-term and long\-term, that are as effective as they are enjoyable.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Own the execution, scaling, and continuous improvement of marketing workflows and operational processes, partnering closely with product, engineering, and marketing teams.
* Analyze campaign performance, experimentation results, and marketing data to surface insights and recommendations that inform product and marketing decisions.
* Manage marketing data integrity, reporting frameworks, and key performance indicators that enable teams to measure impact and performance.
* Identify and drive opportunities to build tools, automate workflows, and improve processes that increase scale, efficiency, and reliability.
* Develop deep fluency in the underlying architecture, codebase, and technologies that power StubHub’s messaging and marketing platforms.
**What You've Done**
* You are a new college graduate or have less than two years of experience in ad operations, marketing operations, marketing technology, or a related field.
* You’re an extraordinary teammate with strong organizational skills, attention to detail, and the ability to manage multiple priorities and deadlines.
* You’re a self\-starter with a bias for action and a willingness to learn by doing.
* You communicate clearly and confidently in both written and verbal settings, and can present insights to technical and non\-technical audiences using data.
* You’re curious about systems, tools, and automation, and are excited to explore and adopt emerging technologies, including AI\-powered solutions, to improve efficiency and solve meaningful problems.
* You have experience using data analytics and reporting tools to analyze performance and inform decisions.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$120,000—$140,000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86">
      <c r="A86" t="inlineStr">
        <is>
          <t>li-4343227606</t>
        </is>
      </c>
      <c r="B86" t="inlineStr">
        <is>
          <t>Sr, Product Manager Customer Care</t>
        </is>
      </c>
      <c r="C86" t="inlineStr">
        <is>
          <t>Petco</t>
        </is>
      </c>
      <c r="D86" t="inlineStr">
        <is>
          <t>linkedin</t>
        </is>
      </c>
      <c r="E86">
        <f>HYPERLINK("https://www.linkedin.com/jobs/view/4343227606", "https://www.linkedin.com/jobs/view/4343227606")</f>
        <v/>
      </c>
      <c r="F86" t="inlineStr"/>
      <c r="G86" t="inlineStr">
        <is>
          <t>San Diego, CA</t>
        </is>
      </c>
      <c r="H86" t="inlineStr"/>
      <c r="I86"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**About The Role**
 Petco is modernizing how we support pet parents across voice, chat, email, and self\-service. We’re hiring a product manager who can bring structure, data discipline, and cross\-company alignment to a fast\-changing space. Customer Care is also one of the clearest areas where smart technology investments translate directly into lower cost\-to\-serve and measurable operational improvements.
 In this role, you’ll connect Customer Support, IT, engineering, and other product teams around a shared roadmap for Salesforce Service Cloud, Amazon Connect, and next\-generation AI capabilities. This is a highly visible role with significant impact on Petco’s efficiency, customer experience, and bottom line.
 What You’ll Do
 Product Ownership \&amp; Strategy
* Own the roadmap for Salesforce Service Cloud, Amazon Connect, and emerging AI\-enabled capabilities.
* Drive a data\-informed strategy for agent assist, automated routing, conversational AI, generative responses, and customer self\-service.
* Turn operational insights from Customer Support into clear, aligned product requirements that IT and engineering can execute on.
* Ensure customer care considerations are represented across broader product and platform decisions.
 Platform \&amp; Technical Expertise
* Develop deep expertise in Service Cloud (case management, omni\-channel, routing, knowledge, macros, agent workspace).
* Build strong working knowledge of Amazon Connect (IVR, call flows, Contact Lens, analytics, AI integrations).
* Stay ahead of rapid developments in AI, identifying practical, high\-value opportunities Petco can deploy quickly.
 Cross\-Functional Leadership \&amp; Orchestration
* Act as the connective tissue between Customer Support, IT, enterprise architecture, and peer product teams.
* Translate business needs into technical plans and ensure Customer Care is included in system\-wide planning and platform strategy.
* Coordinate timelines, dependencies, and priorities so work lands cleanly and consistently.
* Partner with vendors and engineering teams to deliver solutions end\-to\-end.
 Execution \&amp; Delivery
* Write clear user stories, acceptance criteria, and functional requirements.
* Lead delivery using Scrum/Agile, while being comfortable operating in hybrid or waterfall structures when needed.
* Use qualitative and quantitative data to guide prioritization and demonstrate impact.
* Work with analytics teams to ensure we have the right instrumentation and operational visibility—without owning reporting directly.
* Deliver improvements that reduce support volume, improve resolution times, and raise CSAT/NPS.
 What Success Looks Like
* Faster, more efficient support operations powered by automation and AI.
* Lower handle time and reduced contact rates.
* Strong, predictable coordination between Customer Support, IT, and Product.
* Customer Care represented clearly in engineering planning cycles and cross\-functional decision making.
* A credible, forward\-looking AI roadmap grounded in measurable value.
* A stable, long\-term product owner who builds deep domain expertise and drives continuity in this high\-turnover area.
 Who You Are
* Bachelor’s degree or equivalent practical experience.
* 5\+ years of product management experience in customer service, CRM, contact center technologies, or support operations.
* Hands\-on experience working with customer support teams, ideally with Salesforce Service Cloud or Amazon Connect.
* Strong understanding of how AI can improve support efficiency, quality, and cost\-to\-serve.
* Experienced in Scrum/Agile delivery with comfort across hybrid and waterfall models.
* Proficient with Jira for backlog management and Figma for collaborating on flows and interaction design.
* Analytical thinker with strong data\-driven decision\-making skills.
* Clear, concise communicator who aligns stakeholders and drives outcomes.
**Nice to Have**
* Experience with a national retailer or direct\-to\-consumer ecommerce company.
* Background in analytics, workflow automation, knowledge management, or conversational AI/VOC tools.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87">
      <c r="A87" t="inlineStr">
        <is>
          <t>li-4375432655</t>
        </is>
      </c>
      <c r="B87" t="inlineStr">
        <is>
          <t>Product Owner -All Verticals</t>
        </is>
      </c>
      <c r="C87" t="inlineStr">
        <is>
          <t>Togetherwork</t>
        </is>
      </c>
      <c r="D87" t="inlineStr">
        <is>
          <t>linkedin</t>
        </is>
      </c>
      <c r="E87">
        <f>HYPERLINK("https://www.linkedin.com/jobs/view/4375432655", "https://www.linkedin.com/jobs/view/4375432655")</f>
        <v/>
      </c>
      <c r="F87">
        <f>HYPERLINK("https://grnh.se/yan4lf862us?gh_src=763aedf62us&amp;urlHash=Hm1l", "https://grnh.se/yan4lf862us?gh_src=763aedf62us&amp;urlHash=Hm1l")</f>
        <v/>
      </c>
      <c r="G87" t="inlineStr">
        <is>
          <t>Austin, TX</t>
        </is>
      </c>
      <c r="H87" t="inlineStr"/>
      <c r="I87" t="inlineStr">
        <is>
          <t>Product Owner
 Department: Product
 Reports To: Vice President, Product \&amp; Strategy
 Location: Austin, TX
 Schedule: Full\-time \| Hybrid (2–3 days in office)
**Work Authorization Notice:** 
 At this time, we are unable to provide immigration sponsorship for this position. Candidates must have current, unrestricted authorization to work in the country where the role is based.
**Overview**
 At Togetherwork, we set a high bar for clarity, collaboration, and execution. While our Product \&amp; Strategy leaders own portfolio outcomes, our individual contributors are equally essential—bringing curiosity, precision, and a commitment to excellence to every initiative. We work in deep partnership with Engineering, Revenue, CX, Operations, and Support, sharing accountability for delivering stable, modern, insight\-driven products that help our customers thrive.
 We expect ICs to bring strong analytical thinking, operational rigor, and a willingness to roll up their sleeves to solve complex problems. Hard work is the norm—not for recognition, but for the greater good of our customers and the long\-term health of our company. We embrace innovation, including responsible AI usage, to deepen insight, improve execution, and accelerate impact.
 This role reflects those expectations: collaborative, data\-informed, customer\-centered, delivery\-oriented, and grounded in professionalism and positive intent.
**Role Summary**
 The Product Owner is the connective tissue between customers and engineering. This role is responsible for deeply understanding customer problems, translating them into clear, testable requirements, and driving predictable delivery through disciplined backlog management and proactive risk mitigation.
 The PO serves as both customer\-facing and engineering\-facing—partnering with Product Managers to absorb voice\-of\-customer insights while working side\-by\-side with Engineering to clarify scope, remove ambiguity, reduce risk, and ensure high\-quality releases.
 Product Owners support two Scrum teams as their standard operating model and are accountable for backlog health, sprint readiness, prioritization discipline, and delivery outcomes. This role requires strong hands\-on prototyping skills, including AI\-assisted prototype generation, to rapidly validate concepts and accelerate engineering clarity.
**Customer \&amp; Engineering Partnership**
* Act as a primary conduit between customer insight and engineering execution.
* Participate in customer discovery conversations, VOC reviews, and usability sessions to gather direct requirements.
* Translate qualitative and quantitative insights into structured epics, user stories, workflows, and acceptance criteria.
* Partner daily with engineering teams to clarify intent, answer questions, and reduce ambiguity before and during sprints.
* Ensure engineering understands the 'why' behind the work—not just the 'what.'
* Escalate and proactively remove delivery risks related to scope, dependencies, unclear requirements, or sequencing.
**Backlog Ownership, Prioritization \&amp; Risk Mitigation**
* Own and continuously groom a strategically prioritized backlog aligned to customer value and roadmap outcomes.
* Apply structured prioritization frameworks (value, risk, effort, impact) to ensure teams are always working on the highest\-leverage initiatives.
* Ensure sprint readiness through detailed story refinement, clear acceptance criteria, and dependency mapping.
* Identify delivery risks early (technical, operational, sequencing, or scope\-related) and proactively mitigate or escalate.
* Maintain backlog hygiene across multiple product areas and two Scrum teams simultaneously.
* Drive clarity to eliminate rework and reduce sprint spillover.
**Prototyping, AI Fluency \&amp; Rapid Validation**
* Create detailed workflows, wireframes, and interactive prototypes using Figma and AI\-assisted design tools.
* Use AI to rapidly generate prototype variations, refine acceptance criteria, simulate workflows, and accelerate iteration.
* Translate prototypes into engineering\-ready documentation with precision.
* Leverage AI tools to accelerate story writing, backlog refinement, research synthesis, and edge\-case identification.
* Promote responsible AI usage to improve velocity without sacrificing quality.
**Cross\-Functional Delivery Alignment**
* Work with Product Managers to ensure backlog aligns with roadmap strategy and customer outcomes.
* Partner with Delivery Managers to ensure releases are on track and on time.
* Support GTM planning by clarifying feature functionality and expected customer value.
* Coordinate with CX, Support, and Revenue teams to incorporate operational considerations.
**Qualifications**
**Required Qualifications**
* 2–4\+ years of Product Owner or equivalent experience in Agile software development.
* Demonstrated ability to gather and synthesize customer requirements from direct conversations and feedback channels.
* Proven experience prioritizing complex backlogs across multiple teams and product areas.
* Strong experience writing user stories, acceptance criteria, and managing backlogs.
* Hands\-on experience creating mockups and prototypes in Figma.
* Experience proactively identifying and removing delivery risks.
* Experience supporting two or more Scrum teams simultaneously.
* Ability to work with both onshore and offshore development teams.
* Strong communication and facilitation skills across cross\-functional groups.
* Understanding of product lifecycle, UX principles, and technical delivery constraints.
* Strong ability to create AI\-assisted prototypes and leverage generative tools for requirement development.
**Why This Role Matters**
 Product Owners ensure that customer problems are solved—not just features shipped. By serving as both customer advocate and engineering partner, this role removes ambiguity, reduces risk, and drives disciplined prioritization. Supporting two Scrum teams, the PO is directly accountable for delivery predictability, backlog clarity, and the translation of strategy into shipped, customer\-impacting outcomes.
**The Company offers a comprehensive employee benefits program, including:**
 Medical, dental, and vision insurance options
* 100% Employer paid short/long term disability
* Basic Life
* 401(k) option with 100% company match up to 4%
* Flexible paid personal/vacation time built on mutual trust and accountability
* 10 sick days annually
* 10 company paid holidays
* 6 weeks paid parental leave
* Pet Insurance
* Medical Travel Benefits
* Infertility Benefits
* Teladoc
* Employee Assistance Program
* Wellness Benefits \&amp; Engagement Platform
**Interview Process \&amp; Expectations**
 Our interviews are designed to be interactive and conversational. Candidates are expected to respond based on their own experience and thinking during live interviews.
 To ensure a fair and consistent interview experience, the use of real\-time AI tools or other external assistance to generate or guide interview responses is not permitted. Interviews are intended to reflect an individual's judgment, problem\-solving approach, and communication.
 CCPA Disclosure Notice: Click Here</t>
        </is>
      </c>
    </row>
    <row r="88">
      <c r="A88" t="inlineStr">
        <is>
          <t>li-4374085475</t>
        </is>
      </c>
      <c r="B88" t="inlineStr">
        <is>
          <t>Product Manager</t>
        </is>
      </c>
      <c r="C88" t="inlineStr">
        <is>
          <t>Vertafore</t>
        </is>
      </c>
      <c r="D88" t="inlineStr">
        <is>
          <t>linkedin</t>
        </is>
      </c>
      <c r="E88">
        <f>HYPERLINK("https://www.linkedin.com/jobs/view/4374085475", "https://www.linkedin.com/jobs/view/4374085475")</f>
        <v/>
      </c>
      <c r="F88">
        <f>HYPERLINK("https://recruit.hirebridge.com/v3/Jobs/JobDetails.aspx?cid=7743&amp;jid=608354&amp;source=LinkedIn&amp;urlHash=hodB", "https://recruit.hirebridge.com/v3/Jobs/JobDetails.aspx?cid=7743&amp;jid=608354&amp;source=LinkedIn&amp;urlHash=hodB")</f>
        <v/>
      </c>
      <c r="G88" t="inlineStr">
        <is>
          <t>Denver, CO</t>
        </is>
      </c>
      <c r="H88" t="inlineStr"/>
      <c r="I88" t="inlineStr">
        <is>
          <t>$85,000 \- $115,000 / year \+ Bonus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Product Manager, you will own creating and executing against your product roadmap. You will operate both strategically and tactically by creating a product vision, defining the problems your products will solve, and aligning development teams to solve them by creating and maintaining a backlog of well\-prepared features aligned with the roadmap. You may also partner closely with Go\-To\-Market and Product Operations teams to ensure successful launches for your products and releases. Your objectives are directly linked to business metrics of your product such as, retention, adoption, new feature adoption, and customer satisfaction.
**Core Requirements And Responsibilities**
 Essential job functions included but are not limited to the following:
* Conduct primary and secondary market and customer research to create product vision and strategy.
* Create product roadmap aligned to vision and strategy; communicate product roadmap and vision internally and externally
* Create and maintain the product backlog of features and partner with Product Owners to ensure backlog of user stories is created, maintained, and thoughtfully prioritized.
* Own product release planning
* When applicable, be accountable for the successful launch of new products and releases partnering with Go\-To\-Market and Product Operations leaders to manage the cross\-functional implementation of the Go\-To\-Market plan
* When applicable, partner with Go\-To\-Market team on product positioning, messaging, and sales enablement; support creation of enablement artifacts leveraged by internal teams
* Partner and communicate with customers on strategic direction, roadmap, progress against roadmap, and issue resolution.
* Product/Customer feedback – Support special interest groups/customer feedback forums
* Product Evangelism \- Contributing to necessary and relevant communication forums and supporting product leaders in various speaking engagements
* Other duties as assigned
**Qualifications**
* 3\+ years of experience as a product manager for a B2B SaaS product
* Experience working within a cross functional organization
* Experience navigating and communicating complex concepts to all levels of an organization and customers
* Experience in Agile software practices
* Demonstrated ability to exercise judgment within generally defined practices and select methods to obtain solutions.
* Demonstrated experience distilling business drivers, future customer needs, and competitive challenges to an actionable strategy.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89">
      <c r="A89" t="inlineStr">
        <is>
          <t>li-4374053539</t>
        </is>
      </c>
      <c r="B89" t="inlineStr">
        <is>
          <t>Product Owner</t>
        </is>
      </c>
      <c r="C89" t="inlineStr">
        <is>
          <t>Togetherwork</t>
        </is>
      </c>
      <c r="D89" t="inlineStr">
        <is>
          <t>linkedin</t>
        </is>
      </c>
      <c r="E89">
        <f>HYPERLINK("https://www.linkedin.com/jobs/view/4374053539", "https://www.linkedin.com/jobs/view/4374053539")</f>
        <v/>
      </c>
      <c r="F89">
        <f>HYPERLINK("https://grnh.se/h158jl3q2us&amp;urlHash=wR2e", "https://grnh.se/h158jl3q2us&amp;urlHash=wR2e")</f>
        <v/>
      </c>
      <c r="G89" t="inlineStr">
        <is>
          <t>Austin, Texas Metropolitan Area</t>
        </is>
      </c>
      <c r="H89" t="inlineStr"/>
      <c r="I89" t="inlineStr">
        <is>
          <t>**We’re Hiring: Product Owner \| Austin, TX (Hybrid 2–3 Days In\-Office)** 
 We’re looking for a customer\-obsessed, delivery\-driven Product Owner who thrives at the intersection of customer insight and engineering execution.
 This is not a backlog administrator role.
 This is a customer\-facing \+ engineering\-facing product guru who knows how to move teams forward and ship meaningful outcomes.
**You’ll be a strong fit if you have:** 
 🔹 Experience supporting a minimum of two Scrum teams simultaneously
 🔹 Proven ability to gather and synthesize real customer requirements
 🔹 Expert\-level backlog prioritization skills
 🔹 A track record of proactively removing delivery risks
 🔹 Hands\-on experience performing Product Owner / Product Management work using AI tools (prototyping, story writing, refinement, research synthesis, workflow optimization, etc.)
**We expect our Product Owners to:** 
 ✔ Translate ambiguity into clear, testable requirements
 ✔ Use AI to accelerate clarity and validate concepts quickly
 ✔ Ensure engineering understands both the
 *what* 
 and the
 *why* 
 ✔ Drive predictable, high\-quality releases
 ✔ Own outcomes, not just tickets
**📍 Location:** 
 Austin, TX — Hybrid model (
 **2–3 days per week in office** 
 ).
**🎯 Culture:** 
 Fun, collaborative, and professional. We work hard, hold a high bar for excellence, and deliver for our customers — together.
 At Togetherwork, POs are the connective tissue between strategy and shipped value. If you love turning complexity into clarity and helping teams deliver with confidence, we’d love to connect.
**📩 Learn more and apply today.** 
**\#Hiring \#ProductOwner \#Agile \#ProductManagement \#AIinProduct \#AustinJobs \#NowHiring**</t>
        </is>
      </c>
    </row>
    <row r="90">
      <c r="A90" t="inlineStr">
        <is>
          <t>li-4374055682</t>
        </is>
      </c>
      <c r="B90" t="inlineStr">
        <is>
          <t>Product Manager, Frameworks and Languages</t>
        </is>
      </c>
      <c r="C90" t="inlineStr">
        <is>
          <t>Google</t>
        </is>
      </c>
      <c r="D90" t="inlineStr">
        <is>
          <t>linkedin</t>
        </is>
      </c>
      <c r="E90">
        <f>HYPERLINK("https://www.linkedin.com/jobs/view/4374055682", "https://www.linkedin.com/jobs/view/4374055682")</f>
        <v/>
      </c>
      <c r="F90" t="inlineStr"/>
      <c r="G90" t="inlineStr">
        <is>
          <t>Seattle, WA</t>
        </is>
      </c>
      <c r="H90" t="inlineStr"/>
      <c r="I9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New York, NY, USA; Seattle, WA, USA** 
 .
 **Minimum qualifications:**
* Bachelor's degree or equivalent practical experience.
* Experience building Developer Facing products.
* 5 years of experience in product management or related technical role.
* 2 years of experience taking technical products from conception to launch (e.g., ideation to execution, end\-to\-end, 0 to 1, etc).
**Preferred qualifications:**
* Master's degree in a technology or business related field.
* 3 years of experience in a business function or role (e.g., strategic marketing, business operations, consulting).
* 2 years of experience in software development or engineering.
* Experience building frameworks for Generative AI.
* Experience building frameworks or tools for software developers, UI frameworks, programming languages, or developer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looking for a product leader who can drive the strategy and evolution of our frameworks. In this role, you will have the unique opportunity to influence the development of our two key strategic frameworks, Genkit and Flutter.
 You will work with customers both inside and outside the company, contribute to open source, align strategic interests of Google in the developer space, and redefine experiences and software development is, in a world of artificial intelligence.
 You will have experience with developer Software Development Kits (SDKs), and have experience and interest in getting building solutions with our frameworks and SDKs.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app trends and associated developer and builder needs and requirements.
* Drive framework product development, collaborating closely with Engineering, Outbound Product Management (OPM), Developer Relations (DevRel), and Marketing teams.
* Evolve our frameworks to match the rapidly evolving needs during an industry shift to Generative AI.
* Interact with our open\-source communities to build an excellent understanding of our customers, and ensure we have product with excellent market fit.
* Evolve the developer facing UI tools that support our frameworks.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li-4374053761</t>
        </is>
      </c>
      <c r="B91" t="inlineStr">
        <is>
          <t>Product Manager, Frameworks and Languages</t>
        </is>
      </c>
      <c r="C91" t="inlineStr">
        <is>
          <t>Google</t>
        </is>
      </c>
      <c r="D91" t="inlineStr">
        <is>
          <t>linkedin</t>
        </is>
      </c>
      <c r="E91">
        <f>HYPERLINK("https://www.linkedin.com/jobs/view/4374053761", "https://www.linkedin.com/jobs/view/4374053761")</f>
        <v/>
      </c>
      <c r="F91">
        <f>HYPERLINK("https://careers.google.com/jobs/results/101616900563182278-product-manager/?src=Online/LinkedIn/linkedin_us&amp;utm_source=linkedin&amp;utm_medium=jobposting&amp;utm_campaign=contract&amp;urlHash=GAKn", "https://careers.google.com/jobs/results/101616900563182278-product-manager/?src=Online/LinkedIn/linkedin_us&amp;utm_source=linkedin&amp;utm_medium=jobposting&amp;utm_campaign=contract&amp;urlHash=GAKn")</f>
        <v/>
      </c>
      <c r="G91" t="inlineStr">
        <is>
          <t>Kirkland, WA</t>
        </is>
      </c>
      <c r="H91" t="inlineStr"/>
      <c r="I9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New York, NY, USA; Seattle, WA, USA** 
 .
 **Minimum qualifications:**
* Bachelor's degree or equivalent practical experience.
* Experience building Developer Facing products.
* 5 years of experience in product management or related technical role.
* 2 years of experience taking technical products from conception to launch (e.g., ideation to execution, end\-to\-end, 0 to 1, etc).
**Preferred qualifications:**
* Master's degree in a technology or business related field.
* 3 years of experience in a business function or role (e.g., strategic marketing, business operations, consulting).
* 2 years of experience in software development or engineering.
* Experience building frameworks for Generative AI.
* Experience building frameworks or tools for software developers, UI frameworks, programming languages, or developer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looking for a product leader who can drive the strategy and evolution of our frameworks. In this role, you will have the unique opportunity to influence the development of our two key strategic frameworks, Genkit and Flutter.
 You will work with customers both inside and outside the company, contribute to open source, align strategic interests of Google in the developer space, and redefine experiences and software development is, in a world of artificial intelligence.
 You will have experience with developer Software Development Kits (SDKs), and have experience and interest in getting building solutions with our frameworks and SDKs.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app trends and associated developer and builder needs and requirements.
* Drive framework product development, collaborating closely with Engineering, Outbound Product Management (OPM), Developer Relations (DevRel), and Marketing teams.
* Evolve our frameworks to match the rapidly evolving needs during an industry shift to Generative AI.
* Interact with our open\-source communities to build an excellent understanding of our customers, and ensure we have product with excellent market fit.
* Evolve the developer facing UI tools that support our frameworks.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li-4335628628</t>
        </is>
      </c>
      <c r="B92" t="inlineStr">
        <is>
          <t>Staff Product Manager, ML Enablement</t>
        </is>
      </c>
      <c r="C92" t="inlineStr">
        <is>
          <t>Etsy</t>
        </is>
      </c>
      <c r="D92" t="inlineStr">
        <is>
          <t>linkedin</t>
        </is>
      </c>
      <c r="E92">
        <f>HYPERLINK("https://www.linkedin.com/jobs/view/4335628628", "https://www.linkedin.com/jobs/view/4335628628")</f>
        <v/>
      </c>
      <c r="F92">
        <f>HYPERLINK("https://etsy.wd5.myworkdayjobs.com/Etsy_Careers/job/Brooklyn-New-York/Staff-Product-Manager\u002d\u002dML-Enablement_JR5182?source=LinkedIn&amp;urlHash=sxSo", "https://etsy.wd5.myworkdayjobs.com/Etsy_Careers/job/Brooklyn-New-York/Staff-Product-Manager\u002d\u002dML-Enablement_JR5182?source=LinkedIn&amp;urlHash=sxSo")</f>
        <v/>
      </c>
      <c r="G92" t="inlineStr">
        <is>
          <t>Brooklyn, NY</t>
        </is>
      </c>
      <c r="H92" t="inlineStr"/>
      <c r="I92"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$194,000\.00 \- $252,000\.00
**What’s the role?**
 We are looking for a Staff Product Manager to join our Machine Learning Enablement (MLE) organization. MLE builds the tools, platforms and developer experiences that power every machine learning system at Etsy enabling hundreds of scientists and engineers to train, evaluate and deploy models that deliver value across Search, Ads and Recommendations.
 As a Staff PM on this team, you’ll help build the next generation of Etsy’s ML platform: enabling faster ML developer velocity, improved reliability and more cohesive developer experience ensuring our platform investments deliver measurable impact for ML practitioners.
 This is a full\-time position reporting to the Group Product Manager and the base salary range will be 194,000 \- 252,000 USD per year. In addition to salary, you will also be eligible for an equity package, an annual performance bonus, and our competitive benefits that support you and your family as part of your total rewards package at Etsy.
 This role requires your presence in Etsy’s Brooklyn office in an in\-person or flex capacity. Candidates living within commutable distance of the Brooklyn Hub, may be the first to be considered.
 Etsy offers different work modes to meet the variety of needs and preferences of our team. Learn more about our Flex and Office\-based work modes and workplace safety policies here.
**What’s this team like at Etsy?**
 The ML Enablement initiative owns the systems and infrastructure that support ML ecosystem end\-to\-end. Teams within MLE focus on:
* Feature and embeddings infrastructure: Delivering reliable, consistent, high\-quality feature and embedding data for training and serving ML models.
* Model development and training: Building standardized PyTorch development and training workflows that enable fast iteration for ML practitioners.
* Orchestration and integration testing: Powering online experimentation and offline evaluation, model deployment and developer velocity.
 This role will flex across these problem spaces depending on business needs giving you the opportunity to define strategy and deliver impact across multiple high\-leverage areas.
**What does the day\-to\-day look like?**
* Product Strategy: Define the strategy and roadmap for a cohesive ML development experience at Etsy, ensuring consistency across data, training and serving.
* Product Execution: Partner with engineering leads to simplify ML workflows and reduce friction in model development and deployment.
* Product Collaboration: Collaborate with ML product teams to understand their problems and prioritize platform investments that maximize impact.
* Quality Craft: Translate technical opportunities into clear customer outcomes and measurable success metrics.
* Product Leadership: Represent ML Enablement in cross\-org planning with teams in Search, Ads, Recs, Data Enablement and Experimentation.
* Of course, this is just a sample of the work this role will require! You should assume that your role will encompass other tasks as needed and that your job duties and responsibilities may evolve over time.
**Qualities that will help you thrive in this role**
* Technical fluency and 5\+ years of product management experience, with at least 2–3 years in ML, data or infrastructure\-focused platform teams (e.g. model training and inferencing, feature stores, orchestration frameworks).
* Proven track record of working effectively with engineering in defining strategy and drive execution in complex, cross\-functional technical spaces.
* Strong communication and collaboration skills to align stakeholders across engineering, data science and infrastructure teams.
* Comfort navigating ambiguity and change in a dynamic, evolving organizational context.
* Strong bias for action and impact: A proactive demeanor with a passion for creative problem solving. Comfortable navigating ambiguity while maintaining focus on delivering results that matter to buyers and the business.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93">
      <c r="A93" t="inlineStr">
        <is>
          <t>li-4374070361</t>
        </is>
      </c>
      <c r="B93" t="inlineStr">
        <is>
          <t>Product Manager II, Camera and Photos, XR Apps</t>
        </is>
      </c>
      <c r="C93" t="inlineStr">
        <is>
          <t>Google</t>
        </is>
      </c>
      <c r="D93" t="inlineStr">
        <is>
          <t>linkedin</t>
        </is>
      </c>
      <c r="E93">
        <f>HYPERLINK("https://www.linkedin.com/jobs/view/4374070361", "https://www.linkedin.com/jobs/view/4374070361")</f>
        <v/>
      </c>
      <c r="F93">
        <f>HYPERLINK("https://careers.google.com/jobs/results/131870031720915654-product-manager-ii/?src=Online/LinkedIn/linkedin_us&amp;utm_source=linkedin&amp;utm_medium=jobposting&amp;utm_campaign=contract&amp;urlHash=hiCp", "https://careers.google.com/jobs/results/131870031720915654-product-manager-ii/?src=Online/LinkedIn/linkedin_us&amp;utm_source=linkedin&amp;utm_medium=jobposting&amp;utm_campaign=contract&amp;urlHash=hiCp")</f>
        <v/>
      </c>
      <c r="G93" t="inlineStr">
        <is>
          <t>San Jose, CA</t>
        </is>
      </c>
      <c r="H93" t="inlineStr"/>
      <c r="I93"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Experience building or shipping camera, photos, or media\-related products.
* Experience in camera systems, high\-fidelity imaging, or media pipelines across multiple device form factors.
* Experience building products that leverage computer vision, machine learning, or AI\-driven media technologies.
* Experience delivering zero\-to\-one products and technologies (i.e., new technology introduction) and developing consumer electronics hardware products.
* Familiarity with XR, ambient computing, or wearable devices.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Camera and Photos XR Apps Product Manager, you will lead first\-person capture and media experiences across Google’s XR devices. You will define how users capture, relive, and share their world through heads\-up and hands\-free interactions. This role is part of the XR Apps team responsible for building the core applications that define why users put on an XR device every day, enable users to get value from XR devices, and shape the next\-generation immersive computing platform for Google.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definition and delivery of media creation and viewing apps, translating user behaviors into engaging XR experiences. Apply knowledge of photography and videography to push the boundaries of the camera stack on XR devices.
* Partner with cross\-functional teams to define our Camera hardware roadmap for XR products, ensuring hardware capabilities align with ambitious media experience goals. Partner on strategy that can adapt to multiple types of XR devices.
* Understand user point\-of\-view content capture and interaction needs and behaviors, translating insights into engaging and effective XR experiences. Drive a quality\-first culture, ensuring that the camera and photos app are performant, stable, and battery\-efficient.
* Collaborate with User Experience (UX) and UX Research teams to define delightful, functional, and intuitive XR apps that set the standard for privacy and responsible wearable capture.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li-4362167767</t>
        </is>
      </c>
      <c r="B94" t="inlineStr">
        <is>
          <t>Senior Outbound Product Manager, Generative AI</t>
        </is>
      </c>
      <c r="C94" t="inlineStr">
        <is>
          <t>Google</t>
        </is>
      </c>
      <c r="D94" t="inlineStr">
        <is>
          <t>linkedin</t>
        </is>
      </c>
      <c r="E94">
        <f>HYPERLINK("https://www.linkedin.com/jobs/view/4362167767", "https://www.linkedin.com/jobs/view/4362167767")</f>
        <v/>
      </c>
      <c r="F94" t="inlineStr"/>
      <c r="G94" t="inlineStr">
        <is>
          <t>Sunnyvale, CA</t>
        </is>
      </c>
      <c r="H94" t="inlineStr"/>
      <c r="I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San Francisco, CA, USA** 
 .
 **Minimum qualifications:**
* Bachelor's degree or equivalent practical experience.
* 8 years of experience in product management or related technical role.
* 3 years of experience taking technical products from conception to launch (e.g., ideation to execution,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5 years of experience building Cloud products, with 3 years of experience working with AI.
* Excellent cross\-functional or cross\-organizational relationship\-building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Cloud AI Outbound Product Management (OPM) organization's mission is to scale business growth and adoption of the Cloud AI portfolio by designing and executing with cross\-functional go\-to\-market teams.
 The portfolio includes the Vertex AI platform for AI developers and data scientists, as well as the Gemini Enterprise and Google Search for enterprises.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Shape the direction of the Cloud AI product roadmap and go\-to\-market strategy.
* Partner with Product Management, Engineering, Product Marketing, AI Sales Specialists, and key GTM cross\-functional teams. Provide user and market insights to help product teams make more informed roadmap decisions.
* Develop differentiated product positioning and messaging, and define and drive go\-to\-market activities that accelerate business performance and customer satisfaction.
* Engage with customers and partners, gathering feedback and infusing insights back into the organization, influencing product strategy, advocating differentiated features, and ensuring effective product launches.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li-4345422296</t>
        </is>
      </c>
      <c r="B95" t="inlineStr">
        <is>
          <t>Sr. Digital Product Manager, Petco.com Search &amp; Discovery</t>
        </is>
      </c>
      <c r="C95" t="inlineStr">
        <is>
          <t>Petco</t>
        </is>
      </c>
      <c r="D95" t="inlineStr">
        <is>
          <t>linkedin</t>
        </is>
      </c>
      <c r="E95">
        <f>HYPERLINK("https://www.linkedin.com/jobs/view/4345422296", "https://www.linkedin.com/jobs/view/4345422296")</f>
        <v/>
      </c>
      <c r="F95" t="inlineStr"/>
      <c r="G95" t="inlineStr">
        <is>
          <t>San Diego, CA</t>
        </is>
      </c>
      <c r="H95" t="inlineStr"/>
      <c r="I95" t="inlineStr">
        <is>
          <t>Want to help pets live their best lives?
 We’re proud to be where the pets go and where the
 *pet people* 
 go. If you want to make a real difference, create an exciting career path, feel welcome to be your whole self and nurture your wellbeing,
 **Petco is the place for you** 
 .
 Our core values capture that spirit as we work to improve lives by doing what’s right for pets and people.
* Pet First – Protect \&amp; Empower. All pets should Live their Best Life. We put the needs of pets and pet parents at the center of everything we do.
* Foster the Fun – Connect \&amp; Bond. Our Passion for pets brings us together! We celebrate the journey of pet parenthood through district experiences, products, and services.
*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**Job Title:** 
 Sr. Digital Product Manager, Petco.com Search \&amp; Discovery
**General Summary**
 Responsible for driving the vision and execution of digital products (i.e., software applications), with a specific focus on enhancing search and discovery experiences, ensuring customers can easily find and engage with products across Petco.com. Generally, works under minimal supervision on 1\-3 features of medium complexity and/or an entire application. Working collaboratively with cross\-functional teams to design, develop, and optimize solutions that drive innovation, improve customer satisfaction, and align with business goals.
**Principle Duties and Responsibilities:** 
*(approximate percentage of time spent)*
* Studies end\-user needs, defines product features and coordinates activities across teams to meet quality standards, project deadlines and business objectives. Activities include: gathering and writing requirements for medium and large application features; conducting competitive analyses; and using product discovery techniques to aid in prioritization of features (e.g., A/B, surveys, interviews, etc.). (60%)
* Develops long\-term product plans (i.e., roadmaps), and leads stakeholders through the roadmap process for assigned product(s). Activities include: conferring with engineering, marketing, clients, prospects, operations, legal and others, and developing financial models to aid in prioritization. (20%)
* Monitors and reports on product utilization and identifies trends. (10%)
* Provides guidance to less\-experienced staff. (10%)
**Minimum Qualifications**
* Bachelor’s degree in information technology, computer science, marketing, business administration or related field, 4\+ years of experience as a Product Manager, preferably in e\-commerce, search, or related digital products, or a similar role in an Agile, Scrum, Kanban or similar software application development and/or project management team environment, or an equivalent combination of education, experience and/or training.
* Strong customer facing digital subject matter expertise with experience working on medium complexity features and/or an entire software application.
* Experience with search technologies and platforms (e.g., Constructor.io, Solr, Algolia, or similar) is required.
* Experience reviewing vendors and RFP processes for enterprise search platforms is preferred.
* Proven track record of launching a search platform, from initial discovery through execution and successful launch.
* Knowledge of A/B testing methodologies and experimentation platforms.
* Familiarity with taxonomy design, product categorization, and search filtering.
**Disclaimer**
 The above information on this description has been designed to indicate the general nature and level of work performed by employees assigned to this job (within this classification). It is not intended to contain or be interpreted as a comprehensive inventory of all duties, responsibilities, and qualifications required for employees assigned to this job.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96">
      <c r="A96" t="inlineStr">
        <is>
          <t>li-4345648294</t>
        </is>
      </c>
      <c r="B96" t="inlineStr">
        <is>
          <t>Partner Product Manager</t>
        </is>
      </c>
      <c r="C96" t="inlineStr">
        <is>
          <t>TicketNetwork</t>
        </is>
      </c>
      <c r="D96" t="inlineStr">
        <is>
          <t>linkedin</t>
        </is>
      </c>
      <c r="E96">
        <f>HYPERLINK("https://www.linkedin.com/jobs/view/4345648294", "https://www.linkedin.com/jobs/view/4345648294")</f>
        <v/>
      </c>
      <c r="F96" t="inlineStr"/>
      <c r="G96" t="inlineStr">
        <is>
          <t>South Windsor, CT</t>
        </is>
      </c>
      <c r="H96" t="inlineStr"/>
      <c r="I96" t="inlineStr">
        <is>
          <t>**Position Summary**
 Since 2002, TicketNetwork has served the ticketing and event industry as the go\-to platform team for promoters, venues, and resale operators looking to manage and grow their ticketing business. Offering cutting edge e\-commerce technology, affiliate marketing, and unrivaled expertise in the entertainment industry, TicketNetwork has been providing top\-tier, customizable solutions to provide great service to consumers and clients alike.
 TicketNetwork is redefining how brokers and partners interact with our technology ecosystem. As Product Manager, Partner Solutions, you'll contribute to the vision, strategy, and execution for products and services that create measurable value for our broker partners and retail customers across our TicketNetwork's sites and mobile apps.
 You will be a core contributor the broker experience and partner enablement layer of our platform, ensuring TicketNetwork remains the most trusted, data\-rich, and frictionless marketplace in the ticketing ecosystem.
**Key Responsibilities** 
 include but are not limited to
* Product Strategy \&amp; Roadmap
* Define and execute the roadmap for Seatics, our interactive seating map experience used by TicketNetwork and external partners.
* Partner with brokers to identify value gaps, pain points, and product opportunities that enhance their competitiveness.
* Collaborate with business development teams to identify, assess, and execute on key revenue opportunities that drive value for TicketNetwork and our partners.
* Prioritize initiatives based on ROI, partner needs \&amp; adoption, and platform scalability.
* Translate partner needs into a long\-term Platform\-as\-a\-Service vision that integrates seamlessly with broker workflows and APIs.
* Work closely with the Retail Product team to balance roadmap priorities against shared resources where applicable
* Broker Experience \&amp; Engagement
* Serve as the primary product liaison for key brokers, acting as a voice of the customer inside the company.
* Run structured feedback loops and monthly product reviews and quarterly business reviews with top\-tier brokers.
* Develop KPIs for broker engagement, product adoption, and satisfaction.
* Cross\-Functional Leadership
* Work closely with Engineering, Design, and Data teams to deliver high\-quality, scalable releases.
* Collaborate with Sales, Marketing, and Operations to support go\-to\-market and adoption strategies.
* Ensure partner feedback is effectively represented in sprint planning and roadmap discussions.
* Platform Enablement
* Help define the technical and operational framework for brokers consuming Seatics as a service (APIs, SDKs, documentation).
* Partner with engineering to establish SLAs, support models, and platform reliability metrics.
* Lead discovery around monetization, licensing, and revenue\-sharing models for PaaS offerings.
**Required Skills**
* Product Ownership: Ability to define and prioritize product requirements, maintain a clear product roadmap, and manage a backlog.
* Customer\-Centric Approach: Strong focus on understanding customer needs and behaviors to create intuitive, engaging solutions.
* Technical Acumen: Ability to communicate effectively with development teams, including understanding APIs, front\-end/back\-end development concepts, and interactive tools.
* Collaboration: Proven ability to work effectively with designers, engineers, and stakeholders to achieve shared goals.
* Analytical Thinking: Strong analytical skills to assess performance metrics, identify trends, and drive data\-informed decisions.
* Communication: Excellent written and verbal communication skills to articulate product vision, requirements, and updates to stakeholders at all levels.
**Preferred Skills**
* Deep understanding of product lifecycle management from discovery to delivery, to optimization.
* Experience with B2B or enterprise platforms, particularly those offering APIs or SDKs
* Demonstrated ability to translate external needs into scalable solutions.
* Experience leveraging analytics tools for product insights.
**Experience**
* 5\+ years of experience as a Product Manager
* Experience with interactive mapping technologies and/or data visualization
* Familiarity with ecommerce platforms and ticketing systems.
* Knowledge of A/B testing, data analytics, and using metrics to inform decision\-making.
* Background in customer journey mapping and usability testing.
* Experience working in an environment with a focus on conversion rate optimization.
* Experience with machine learning, personalization, and/or AI
**Work Schedule**
 Monday\-Friday : 9am\-6pm EST ; will be required to work additional hours as needed for milestone completion</t>
        </is>
      </c>
    </row>
    <row r="97">
      <c r="A97" t="inlineStr">
        <is>
          <t>li-4375426651</t>
        </is>
      </c>
      <c r="B97" t="inlineStr">
        <is>
          <t>Product Manager Vice President</t>
        </is>
      </c>
      <c r="C97" t="inlineStr">
        <is>
          <t>JPMorganChase</t>
        </is>
      </c>
      <c r="D97" t="inlineStr">
        <is>
          <t>linkedin</t>
        </is>
      </c>
      <c r="E97">
        <f>HYPERLINK("https://www.linkedin.com/jobs/view/4375426651", "https://www.linkedin.com/jobs/view/4375426651")</f>
        <v/>
      </c>
      <c r="F97" t="inlineStr"/>
      <c r="G97" t="inlineStr">
        <is>
          <t>Columbus, OH</t>
        </is>
      </c>
      <c r="H97" t="inlineStr"/>
      <c r="I97" t="inlineStr">
        <is>
          <t>**Job Description**
 At JPMorgan Chase, we offer a dynamic opportunity to advance your career while contributing to our mission of data excellence. As a Vice President in Regulatory External Data Services, you will play a crucial role in driving data quality and process optimization impacting critical bank filings. Our team values collaboration, innovation, and professional growth, providing you with the tools and support to excel.
 As a Product Manager Vice President in the Regulatory External Data Services team, you will be entrusted with upholding the highest standards of data accuracy, completeness, and transparency, which is mission\-critical to JPMorgan Chase External Reporting Controllers. Your role will be pivotal in managing reporting that is materially accurate, complete, and timely for external data filings required to comply with and fulfill regulatory, financial, external, and legal obligations impacting critical bank filings/submissions. You will be tasked with developing and executing the product vision, strategy, and roadmap, as well as maintaining documentation on data governance and change control procedures. You will ensure successful product delivery by collaborating closely with business owners, other products, and cross\-functional teams, including developers, design/architecture, and data owners.
**Job Responsibilities**
* Oversee the development and management of regulatory data and external reporting services
* Collaborate and work closely with stakeholders to define product vision, prioritize features, and ensure alignment with business goals
* Lead process optimization and cost efficiencies for the product
* Manage product backlog and ensure timely delivery of product and reporting requirements
* Analyze large datasets to generate actionable insights to create reports or provide recommendations
* Collaborate with Controls, Risk, Compliance, Legal, and Business Owners to understand data requirements, ensure data quality, and support strategic decision and delivery of regulatory data demands
* Serve as a reporting or data subject matter expert for banking operations such as mortgage lending, credit cards, auto, and/or small businesses
**Required Qualifications, Capabilities, And Skills**
* Bachelor's degree
* 7\+ years of experience as a Product Owner, Reporting and Data Analytics, or similar role
* Strong understanding of agile development methodologies and principles
* Executive communication, collaboration, and strong leadership skills
* Proficiency in data solutions and technology tools like SQL, Python, AWS
* Ability to lead and manage projects independently
* Flexibility to adapt to change
**Preferred Qualifications, Capabilities, And Skills**
* Experience in financial industry services
* Strong business analytics background
* Self\-starter with strong critical thinking and problem\-solving skills
**Additional Information**
*Applicants must be authorized to work for any employer in the U.S. We are not able to provide immigration sponsorship or take over sponsorship of an employment Visa at this time. Final Job Grade level and corporate title will be determined at time of offer and may differ from this posting. This role does not provide relocation assistance so all candidates must be local to the work locations listed in the job posting or willing to relocate on their own immediately upon hiring*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is>
      </c>
    </row>
    <row r="98">
      <c r="A98" t="inlineStr">
        <is>
          <t>li-4373154555</t>
        </is>
      </c>
      <c r="B98" t="inlineStr">
        <is>
          <t>Product Manager, Pooled Plans</t>
        </is>
      </c>
      <c r="C98" t="inlineStr">
        <is>
          <t>Aegon</t>
        </is>
      </c>
      <c r="D98" t="inlineStr">
        <is>
          <t>linkedin</t>
        </is>
      </c>
      <c r="E98">
        <f>HYPERLINK("https://www.linkedin.com/jobs/view/4373154555", "https://www.linkedin.com/jobs/view/4373154555")</f>
        <v/>
      </c>
      <c r="F98">
        <f>HYPERLINK("https://www.aegon.com/careers/vacancies/united-states/denver/sales-and-marketing/product-manager-pooled-plans&amp;urlHash=Jd4Q", "https://www.aegon.com/careers/vacancies/united-states/denver/sales-and-marketing/product-manager-pooled-plans&amp;urlHash=Jd4Q")</f>
        <v/>
      </c>
      <c r="G98" t="inlineStr"/>
      <c r="H98" t="inlineStr"/>
      <c r="I98" t="inlineStr">
        <is>
          <t>Drives long\-term strategy by researching and designing retirement products for from inception to launch. Manages existing product portfolios to ensure profitable sales.
**Responsibilities**
* Analyze market trends and competitive landscape to discern product opportunities and translate market conditions into valid value positions.
* Research potential market opportunities; build the business case for product innovations by gathering distribution and consumer feedback, reviewing industry sales trends, and understanding demographic shifts/consumer preferences.
* Make recommendations to the product leader and team on product features, competitiveness, profitability, sales goals and launch date.
* Conduct feasibility studies, research and development, and participate in labs to evaluate ideas. Collaborate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Develop product specification documents, product guides and other product documentation.
* Serve as a subject matter expert to functional areas on product information required during the product development process.
**Qualifications**
* Bachelor’s degree in a business related field or equivalent experience.
* Two years of product development experience in the retirement industry.
* Understanding of retirement product features and riders.
* Understanding of retirement and marketing techniques.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Advanced proficiency in MS Office (Excel, PowerPoint, Word).
**Preferred Qualifications**
* Pooled plan experience for retirement products
 Working Conditions
* Hybrid office environment: 3 days in office (Baltimore, Cedar Rapids, Philadelphia, Denver)
 The Salary for this position generally ranges between $78,000\-$88,000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of 12\.5% based on the Company Bonus Plan/Individual Performance and is at the Company’s discretion.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Apply</t>
        </is>
      </c>
    </row>
    <row r="99">
      <c r="A99" t="inlineStr">
        <is>
          <t>li-4375413583</t>
        </is>
      </c>
      <c r="B99" t="inlineStr">
        <is>
          <t>Product Manager - Engineering Systems</t>
        </is>
      </c>
      <c r="C99" t="inlineStr">
        <is>
          <t>Relativity</t>
        </is>
      </c>
      <c r="D99" t="inlineStr">
        <is>
          <t>linkedin</t>
        </is>
      </c>
      <c r="E99">
        <f>HYPERLINK("https://www.linkedin.com/jobs/view/4375413583", "https://www.linkedin.com/jobs/view/4375413583")</f>
        <v/>
      </c>
      <c r="F99">
        <f>HYPERLINK("https://kcura.wd1.myworkdayjobs.com/External_Career_Site/job/Illinois/Product-Manager\u002d\u002d-Engineering-Systems_26-0082?source=LinkedIn&amp;urlHash=UlDU", "https://kcura.wd1.myworkdayjobs.com/External_Career_Site/job/Illinois/Product-Manager\u002d\u002d-Engineering-Systems_26-0082?source=LinkedIn&amp;urlHash=UlDU")</f>
        <v/>
      </c>
      <c r="G99" t="inlineStr">
        <is>
          <t>Ohio, United States</t>
        </is>
      </c>
      <c r="H99" t="inlineStr"/>
      <c r="I99"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100">
      <c r="A100" t="inlineStr">
        <is>
          <t>li-4375403940</t>
        </is>
      </c>
      <c r="B100" t="inlineStr">
        <is>
          <t>Product Manager - Engineering Systems</t>
        </is>
      </c>
      <c r="C100" t="inlineStr">
        <is>
          <t>Relativity</t>
        </is>
      </c>
      <c r="D100" t="inlineStr">
        <is>
          <t>linkedin</t>
        </is>
      </c>
      <c r="E100">
        <f>HYPERLINK("https://www.linkedin.com/jobs/view/4375403940", "https://www.linkedin.com/jobs/view/4375403940")</f>
        <v/>
      </c>
      <c r="F100" t="inlineStr"/>
      <c r="G100" t="inlineStr">
        <is>
          <t>Idaho, United States</t>
        </is>
      </c>
      <c r="H100" t="inlineStr"/>
      <c r="I100"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101">
      <c r="A101" t="inlineStr">
        <is>
          <t>li-4374061801</t>
        </is>
      </c>
      <c r="B101" t="inlineStr">
        <is>
          <t>Product Manager, Pooled Plans</t>
        </is>
      </c>
      <c r="C101" t="inlineStr">
        <is>
          <t>Transamerica</t>
        </is>
      </c>
      <c r="D101" t="inlineStr">
        <is>
          <t>linkedin</t>
        </is>
      </c>
      <c r="E101">
        <f>HYPERLINK("https://www.linkedin.com/jobs/view/4374061801", "https://www.linkedin.com/jobs/view/4374061801")</f>
        <v/>
      </c>
      <c r="F101">
        <f>HYPERLINK("https://transamerica.wd5.myworkdayjobs.com/en-US/US/job/Baltimore-Maryland/Product-Manager\u002d\u002dPooled-Plans_R20060841?source=web_LinkedIn&amp;urlHash=WBBR", "https://transamerica.wd5.myworkdayjobs.com/en-US/US/job/Baltimore-Maryland/Product-Manager\u002d\u002dPooled-Plans_R20060841?source=web_LinkedIn&amp;urlHash=WBBR")</f>
        <v/>
      </c>
      <c r="G101" t="inlineStr">
        <is>
          <t>Denver, CO</t>
        </is>
      </c>
      <c r="H101" t="inlineStr"/>
      <c r="I101" t="inlineStr">
        <is>
          <t>**Job Family**
 Product and Propositioning Marketing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Drives long\-term strategy by researching and designing retirement products for from inception to launch. Manages existing product portfolios to ensure profitable sales.
**Responsibilities**
**Job Description**
* Analyze market trends and competitive landscape to discern product opportunities and translate market conditions into valid value positions.
* Research potential market opportunities; build the business case for product innovations by gathering distribution and consumer feedback, reviewing industry sales trends, and understanding demographic shifts/consumer preferences.
* Make recommendations to the product leader and team on product features, competitiveness, profitability, sales goals and launch date.
* Conduct feasibility studies, research and development, and participate in labs to evaluate ideas. Collaborate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Develop product specification documents, product guides and other product documentation.
* Serve as a subject matter expert to functional areas on product information required during the product development process.
**Qualifications**
* Bachelor’s degree in a business related field or equivalent experience.
* Two years of product development experience in the retirement industry.
* Understanding of retirement product features and riders.
* Understanding of retirement and marketing techniques.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Advanced proficiency in MS Office (Excel, PowerPoint, Word).
**Preferred Qualifications**
* Pooled plan experience for retirement products
**Working Conditions**
* Hybrid office environment: 3 days in office (Baltimore, Cedar Rapids, Philadelphia, Denver)
 The Salary for this position generally ranges between $78,000\-$88,000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of 12\.5% based on the Company Bonus Plan/Individual Performance and is at the Company’s discretion.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102">
      <c r="A102" t="inlineStr">
        <is>
          <t>li-4375182372</t>
        </is>
      </c>
      <c r="B102" t="inlineStr">
        <is>
          <t>Senior Product Manager</t>
        </is>
      </c>
      <c r="C102" t="inlineStr">
        <is>
          <t>Company Confidential</t>
        </is>
      </c>
      <c r="D102" t="inlineStr">
        <is>
          <t>linkedin</t>
        </is>
      </c>
      <c r="E102">
        <f>HYPERLINK("https://www.linkedin.com/jobs/view/4375182372", "https://www.linkedin.com/jobs/view/4375182372")</f>
        <v/>
      </c>
      <c r="F102" t="inlineStr"/>
      <c r="G102" t="inlineStr">
        <is>
          <t>Cleveland, OH</t>
        </is>
      </c>
      <c r="H102" t="inlineStr"/>
      <c r="I102" t="inlineStr">
        <is>
          <t>The Senior Product Manager will be responsible for the overall profit and loss (EBITDA) of the business segment.
 The primary responsibilities of the Product Manager is to:
**Manage the Product Line Team** 
 · Monitor business results. Initiates and updates actions to achieve or exceed annual EBITDA targets in the AOP.
 · Ensures products sales records are analyzed and performance is evaluated against sales targets. Supports and is committed to Lean Six Sigma improvement process.
 · Works with production to ensure product availability meets customer needs.
 · Coordination, support, and participation in the Stage Gate process and the situational analysis system.
**Deliver Profitable growth** 
 · Responsible for delivering overall EBITDA for assigned product line platforms.
 · Expand profit margins through effective pricing strategies and cost controls
 · Manages and reviews the product pricing process including approving price deviations, discontinues unprofitable products, and implements price increases
 · Monitors product gross margins and profitability against control standards.
 · Takes customer and market trends, feedback, and opportunities to create technology focus.
 · Drives measurement and tracking activities including market size, market share, and ROI.
 · Oversees the product management function to set/negotiate goals and budgets, develop pricing strategies to achieve in\-market category positions; sets parameters around category investment mix.
 · Creates value proposition for the products and industry, focusing on the customer and ensuring product quality and consistency.
**Manage and optimize the current product offering** 
 · Develop and implement a product line strategy to support strategic plan
 · Oversee new product launches.
 · Ensures that product introductions support the specialization strategy and meet the launch requirements of the Stage Gate process.
 · Establish clear measurement and management of product profitability, and proactive management of product mix.
 · Directs or monitors a supporting staff in the management of existing product groups, new product development and programs.
 · Generates and monitors effectiveness of sales campaigns, advertising programs and technical literature.
 · Develops or reviews product forecasts for management approval.
 · Supervise or monitor the development of technical literature, advertising campaigns, definitions, specification, and performance standards.
 · Work closely with Environmental Health \&amp; Safety to ensure products meet local, state, and federal/country regulations.
 · Direct or oversee the development and introduction of new products with sales, research, manufacturing, and distribution.
 · Develop, review and coordinate product promotion, technical presentations, and advertising through marketing staff and Marketing Communications.
 · Ensure customer and sales personnel receive continuous technical support in the form of up\-to\-date product application technology, training, and problem solving.
 · Develop contacts with major customers and suppliers.
 · Conduct executive marketing / sales calls to maintain customer contact, promotes sales efforts, evaluates market trends, and develop business at target accounts.
 · Coordinates and attends various trade/organization functions to develop business contacts and gather market information.
**Qualifications** 
* Bachelor’s degree essential. MBA highly desirable.
* 7\-10\+ years’ experience in Product, Brand, or Marketing Management in a B2B industrial products industry.
* Experience in sales/marketing/management of polymers or related materials referred
* Demonstrated project management skills and experience
**Desired Skills** 
 · Successful track record of effective goal setting to achieve strategic business objectives
 · Complex thinking skills in translating customer needs into solutions
 · Effective communication skills; oral, written and presentation
 · Self\-motivated
 · Excellent cross functional collaboration skills
 · Effective change management experience
 · Budgeting experience
 · Product pricing experience
 · Strong computer skills in Excel/PowerPoint/Access with Tableau proficiency a plus</t>
        </is>
      </c>
    </row>
    <row r="103">
      <c r="A103" t="inlineStr">
        <is>
          <t>li-4347161636</t>
        </is>
      </c>
      <c r="B103" t="inlineStr">
        <is>
          <t>IT Martech Product Owner III</t>
        </is>
      </c>
      <c r="C103" t="inlineStr">
        <is>
          <t>Texas Roadhouse</t>
        </is>
      </c>
      <c r="D103" t="inlineStr">
        <is>
          <t>linkedin</t>
        </is>
      </c>
      <c r="E103">
        <f>HYPERLINK("https://www.linkedin.com/jobs/view/4347161636", "https://www.linkedin.com/jobs/view/4347161636")</f>
        <v/>
      </c>
      <c r="F103">
        <f>HYPERLINK("https://click.jobsplice.com/redirect/NDcyNDM1NS4xNjY3LjI1?&amp;urlHash=kBLF", "https://click.jobsplice.com/redirect/NDcyNDM1NS4xNjY3LjI1?&amp;urlHash=kBLF")</f>
        <v/>
      </c>
      <c r="G103" t="inlineStr">
        <is>
          <t>Louisville, KY</t>
        </is>
      </c>
      <c r="H103" t="inlineStr"/>
      <c r="I103" t="inlineStr">
        <is>
          <t>**Ready to Love Your Job?**
 Texas Roadhouse is looking for legendary, passionate Roadies to join our Support Center team in Louisville, KY. If you’re ready to bring your energy, partnership, and heart to a place where fun meets purpose, you’ve come to the right place. Come see why our Roadies love their jobs!
**Why This Role Rocks**
 The IT Martech Product Owner III provides strategic leadership for Martech products, shaping long\-term vision and aligning initiatives with enterprise objectives. This role oversees complex integrations, validates business requirements, and ensures products deliver measurable value across the organization.
**What's On Your Plate**
* Develop long\-term product vision and strategic roadmap.
* Align product strategy with enterprise objectives and market trends.
* Possess deep understanding of CDP, CEP, and Loyalty Martech ecosystems and how they integrate with enterprise architecture.
* Oversee gathering and validation of business requirements for complex Martech initiatives.
* Oversee backlog prioritization across multiple initiatives.
* Ensure roadmap reflects strategic priorities and resource allocation.
* Direct the implementation of integrations between Martech systems for enterprise scalability.
* Define success metrics and monitor performance against KPIs.
* Incorporate market and user feedback into strategic decisions.
* Direct delivery of complex features and cross\-functional initiatives.
* Ensure rollout plans maximize adoption and business impact.
**Skills \&amp; Abilities**
* Strong analytical skills and attention to detail.
* Effective communication and documentation skills.
* Ability to work collaboratively with cross\-functional teams.
* Basic project management skills.
* Problem\-solving skills and ability to troubleshoot technical issues.
* Ability to conduct market research and analyze data.
**Your Recipe for Success**
 Education: Bachelor’s degree in computer science or equivalent experience
* Effective communication and presentation skills, with experience presenting concepts to various audiences required
* Strong technical skills in marketing technology platforms, including CRM systems, and marketing automation platforms
* Experience with system integration techniques, such as API integrations, data mapping, and middleware solutions.
* Project management skills, including the ability to prioritize tasks, manage timelines, and coordinate resources effectively to achieve project objectives.
**Other Requirements**
* Ability to get along with others, form positive working relationships, and function well as a member of a team.
* Ability to anticipate needs, questions, or problems, and think quickly.
* Ability to multi\-task and resource efficiently and effectively
* Must be able to work independently with little or no supervision
* Must be available for overtime as needed on evenings and occasional weekends
**Why You'll Love Your Job**
 As our founder Kent Taylor said, “We’re a people\-first company that just happens to serve steaks.” We believe in taking care of the whole Roadie: from professional development opportunities to a robust benefits package. Our culture is just one reason why many of our leaders started as servers, managers, and line cooks, and have grown Legendary careers with us. Here’s a taste of what we offer:
* Best\-in\-class benefits including medical, dental, vision, and 100% paid maternity leave
* Generous time off including vacation, parental, donor, and bereavement leave
* Wellness perks like on\-site personal trainers, massages, a full gym, and a registered nurse
* Convenience services like car detailing, dry cleaning, and even spray tans
* Financial support with 401(k), tuition reimbursement, stock units, and holiday bonuses
* Delicious perks from Willie’s Joynt—our full\-service café serving up legendary meals
 Support Center employees who meet benefit eligibility receive a comprehensive total rewards package starting the first day of the month after 31 days of employment.
 This job description includes essential functions and basic duties and is intended to provide guidelines for job expectations and the employee's ability to perform the position described. It is not an exhaustive list of all functions, responsibilities, skills, and abilities. Additional functions and requirements may be assigned by supervisors as appropriate. This document is not a contract of employment, and the Company reserves the right to change this job description and/or assign tasks for the employee to perform, as the Company may deem appropriate.
 We are proud to be an equal opportunity employer. We are committed to providing equal employment opportunities to all employees and applicants for employment without regard to race, color, religion, age, gender, pregnancy, gender identity, disability, veteran status, sexual orientation, citizenship, national origin, or any other legally\-protected status. We encourage and welcome all applicants to apply.</t>
        </is>
      </c>
    </row>
    <row r="104">
      <c r="A104" t="inlineStr">
        <is>
          <t>li-4375425156</t>
        </is>
      </c>
      <c r="B104" t="inlineStr">
        <is>
          <t>Product Manager - Engineering Systems</t>
        </is>
      </c>
      <c r="C104" t="inlineStr">
        <is>
          <t>Relativity</t>
        </is>
      </c>
      <c r="D104" t="inlineStr">
        <is>
          <t>linkedin</t>
        </is>
      </c>
      <c r="E104">
        <f>HYPERLINK("https://www.linkedin.com/jobs/view/4375425156", "https://www.linkedin.com/jobs/view/4375425156")</f>
        <v/>
      </c>
      <c r="F104" t="inlineStr"/>
      <c r="G104" t="inlineStr">
        <is>
          <t>Pennsylvania, United States</t>
        </is>
      </c>
      <c r="H104" t="inlineStr"/>
      <c r="I104"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105">
      <c r="A105" t="inlineStr">
        <is>
          <t>li-4374069213</t>
        </is>
      </c>
      <c r="B105" t="inlineStr">
        <is>
          <t>Associate Product Manager</t>
        </is>
      </c>
      <c r="C105" t="inlineStr">
        <is>
          <t>Uline</t>
        </is>
      </c>
      <c r="D105" t="inlineStr">
        <is>
          <t>linkedin</t>
        </is>
      </c>
      <c r="E105">
        <f>HYPERLINK("https://www.linkedin.com/jobs/view/4374069213", "https://www.linkedin.com/jobs/view/4374069213")</f>
        <v/>
      </c>
      <c r="F105" t="inlineStr"/>
      <c r="G105" t="inlineStr">
        <is>
          <t>Waukegan, IL</t>
        </is>
      </c>
      <c r="H105" t="inlineStr"/>
      <c r="I105" t="inlineStr">
        <is>
          <t>**Associate Product Manager
 Corporate Headquarters
 12575 Uline Drive, Pleasant Prairie, WI 53158**
 We're passionate about our products because our customers rely on them to run their businesses. Manage your own product line and watch it grow!
**Careers Packed with Potential.** 
 Backed by 45\+ years of success, Uline offers opportunities to grow your career with stability you can count on.
**Position Responsibilities**
* Become an expert in a given product category.
* Research and source new products from domestic and international vendors.
* Visit vendors and attend product tradeshows to increase knowledge of manufacturing processes and market trends.
* Provide product recommendations after reviewing competitors’ offerings, customer comments, and market trends.
* Participate in vendor meetings and lead some negotiation sessions.
* Assist in the catalog layout preparation processes and strategize with Product Manager on new product placement within the catalog.
* Seek creative methods to increase company profitability, product quality, and efficiency.
* Collaboratively work with the Purchasing, Creative, Quality Control, Compliance, and Pricing teams.
* Mentor and train Marketing Associates.
**Minimum Requirements**
* Bachelor's degree.
* 2 to 5 years of experience in Product Management, Supply Chain, or Marketing.
* Proficient in Microsoft Office, especially Excel.
* Persuasive written and verbal communicator.
* Organized and analytical, with relentless attention to detail.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(\#IN\-PPMER)
 \#ZR\-HQMER
 Our employees make the difference and we are committed to offering exceptional benefits and perks! Explore https://www.uline.jobs/\#working\-here\_blankUline.jobs to learn more!</t>
        </is>
      </c>
    </row>
    <row r="106">
      <c r="A106" t="inlineStr">
        <is>
          <t>li-4375417521</t>
        </is>
      </c>
      <c r="B106" t="inlineStr">
        <is>
          <t>Product Manager - Engineering Systems</t>
        </is>
      </c>
      <c r="C106" t="inlineStr">
        <is>
          <t>Relativity</t>
        </is>
      </c>
      <c r="D106" t="inlineStr">
        <is>
          <t>linkedin</t>
        </is>
      </c>
      <c r="E106">
        <f>HYPERLINK("https://www.linkedin.com/jobs/view/4375417521", "https://www.linkedin.com/jobs/view/4375417521")</f>
        <v/>
      </c>
      <c r="F106" t="inlineStr"/>
      <c r="G106" t="inlineStr">
        <is>
          <t>Kansas, United States</t>
        </is>
      </c>
      <c r="H106" t="inlineStr"/>
      <c r="I106"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107">
      <c r="A107" t="inlineStr">
        <is>
          <t>li-4375404932</t>
        </is>
      </c>
      <c r="B107" t="inlineStr">
        <is>
          <t>Product Manager - Engineering Systems</t>
        </is>
      </c>
      <c r="C107" t="inlineStr">
        <is>
          <t>Relativity</t>
        </is>
      </c>
      <c r="D107" t="inlineStr">
        <is>
          <t>linkedin</t>
        </is>
      </c>
      <c r="E107">
        <f>HYPERLINK("https://www.linkedin.com/jobs/view/4375404932", "https://www.linkedin.com/jobs/view/4375404932")</f>
        <v/>
      </c>
      <c r="F107">
        <f>HYPERLINK("https://kcura.wd1.myworkdayjobs.com/External_Career_Site/job/Illinois/Product-Manager\u002d\u002d-Engineering-Systems_26-0082?source=LinkedIn&amp;urlHash=UlDU", "https://kcura.wd1.myworkdayjobs.com/External_Career_Site/job/Illinois/Product-Manager\u002d\u002d-Engineering-Systems_26-0082?source=LinkedIn&amp;urlHash=UlDU")</f>
        <v/>
      </c>
      <c r="G107" t="inlineStr">
        <is>
          <t>Michigan, United States</t>
        </is>
      </c>
      <c r="H107" t="inlineStr"/>
      <c r="I107"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whose collaborative nature and strong communication skills complement experience with identifying and driving organization\-level outcomes through platform products. As a Product Manager, you will craft and shape the strategy for internal developer experience tied to our cloud transformation for the entire organization. You will also work with a team of Product Managers to align roadmaps and overall strategy to ensure a complete and cohesive solution for our Developer Experience. A successful candidate must be energized by building deep, data\-driven customer empathy, collaborating with Design and Engineering, discovering opportunities through data analysis, and creating and communicating progress through clear leading indicators.
 As a Product Manager in Engineering Systems, you will oversee key aspects of the internal and external developer experience, including:
 Transforming our internal developer experience, leveraging the power of AI to change how developers get information, design systems, and develop code.
 Re\-thinking and transforming how teams release and experiment with their latest ideas \&amp; innovations via advanced feature management capabilities and experimentation techniques
 Serving as the tip\-of\-the\-spear for cloud transformation to create faster, automated, and turnkey pathways for internal teams to increase their efficiency and automate away toil
**About Product Management Within Engineering Systems**
 Our Engineering Systems Product Management team focuses on three key principles – delivering tangible value to customers iteratively and frequently, having a bias to action, and leading collaboratively. We believe that innovation comes from research and expertise being paired with data\-driven experimentation and iterative development. If you have working experience in building great platform capabilities, scaling adoption for game\-changing innovation, and love delivering real value to users through frequent iterations, you’ll be right at home in Engineering Systems!
**Role Responsibilities**
***Job Description and Requirements***
* Craft and shape the product strategy and portfolio pertaining to a company\-wide cloud transformation.
* Clearly communicate your product vision roadmap to internal/external stakeholders, senior leaders, and customers with varying levels of technical acumen.
* Lead with a data\-driven approach with the voice of the customer, utilizing both qualitative and quantitative data from user, customer, market, competitive insight and data to articulate clear, long\-term product vision, identify new strategic opportunities, and gain organizational buy\-in.
* Manage effectively via Objectives and Key Results alongside measurable leading indicators of product health and project success; drive tactics based on insights from portfolio metrics and reporting.
* Discover and understand internal engineering customer needs to identify approaches to superpower their productivity in critical build, test, deployment, and release workflows.
* Lead collaboratively and evangelize best practices related to feature management, experimentation, releases, cloud development, and testing practices while building consensus and influence.
* Own the operation of their portfolio. Create and revise roadmaps based on real\-time signals. Facilitate and work with teams to scope and prioritize issues and tickets and deliver great outcomes to customers.
**Preferred Qualifications**
* Understanding of how developers can leverage AI to achieve higher value, quality, and speed.
* Ability to find and reduce organizational bottlenecks by working with engineering teams to automate manual processes.
* A team player with proven ability to validate solutions and deliver features from inception to delivery
* Strong tactical execution with the ability to handle multiple projects simultaneously
* Championing, creating, and delivering value via incentive\-based adoption strategies for features and platform capabilities
* You focus on the details, but focus your strategy on the big picture objectives
* Excellent communication and presentation skills
**Minimum Qualifications**
* 3\+ years of experience in product management
* Solid understanding of software development lifecycle and agile practices
* Experience and results with delivering value to internal customers
* Demonstrated practical experience and application of AI tools for PM practices
* Familiarity and comfort with data, including ability to use data to analyze and monitor product health, set goals, back up assumptions, and track success.
* You are excited and curious about highly complex problems, systems, and interactions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Cross\-Functional Teamwork, Market Research, Market Strategy, Product Lifecycle, Product Lifecycle Management (PLM), Product Management, Product Strategies, Stakeholder Management, Team Leadership</t>
        </is>
      </c>
    </row>
    <row r="108">
      <c r="A108" t="inlineStr">
        <is>
          <t>li-4374071097</t>
        </is>
      </c>
      <c r="B108" t="inlineStr">
        <is>
          <t>Associate Product Manager</t>
        </is>
      </c>
      <c r="C108" t="inlineStr">
        <is>
          <t>Uline</t>
        </is>
      </c>
      <c r="D108" t="inlineStr">
        <is>
          <t>linkedin</t>
        </is>
      </c>
      <c r="E108">
        <f>HYPERLINK("https://www.linkedin.com/jobs/view/4374071097", "https://www.linkedin.com/jobs/view/4374071097")</f>
        <v/>
      </c>
      <c r="F108" t="inlineStr"/>
      <c r="G108" t="inlineStr">
        <is>
          <t>Pleasant Prairie, WI</t>
        </is>
      </c>
      <c r="H108" t="inlineStr"/>
      <c r="I108" t="inlineStr">
        <is>
          <t>**Associate Product Manager
 Corporate Headquarters
 12575 Uline Drive, Pleasant Prairie, WI 53158**
 We're passionate about our products because our customers rely on them to run their businesses. Manage your own product line and watch it grow!
**Careers Packed with Potential.** 
 Backed by 45\+ years of success, Uline offers opportunities to grow your career with stability you can count on.
**Position Responsibilities**
* Become an expert in a given product category.
* Research and source new products from domestic and international vendors.
* Visit vendors and attend product tradeshows to increase knowledge of manufacturing processes and market trends.
* Provide product recommendations after reviewing competitors’ offerings, customer comments, and market trends.
* Participate in vendor meetings and lead some negotiation sessions.
* Assist in the catalog layout preparation processes and strategize with Product Manager on new product placement within the catalog.
* Seek creative methods to increase company profitability, product quality, and efficiency.
* Collaboratively work with the Purchasing, Creative, Quality Control, Compliance, and Pricing teams.
* Mentor and train Marketing Associates.
**Minimum Requirements**
* Bachelor's degree.
* 2 to 5 years of experience in Product Management, Supply Chain, or Marketing.
* Proficient in Microsoft Office, especially Excel.
* Persuasive written and verbal communicator.
* Organized and analytical, with relentless attention to detail.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(\#IN\-PPMER)
 \#ZR\-HQMER
 Our employees make the difference and we are committed to offering exceptional benefits and perks! Explore https://www.uline.jobs/\#working\-here\_blankUline.jobs to learn more!</t>
        </is>
      </c>
    </row>
    <row r="109">
      <c r="A109" t="inlineStr">
        <is>
          <t>li-4375434572</t>
        </is>
      </c>
      <c r="B109" t="inlineStr">
        <is>
          <t>IT Product Owner - Platform Engineering - Costco Travel</t>
        </is>
      </c>
      <c r="C109" t="inlineStr">
        <is>
          <t>Costco Wholesale</t>
        </is>
      </c>
      <c r="D109" t="inlineStr">
        <is>
          <t>linkedin</t>
        </is>
      </c>
      <c r="E109">
        <f>HYPERLINK("https://www.linkedin.com/jobs/view/4375434572", "https://www.linkedin.com/jobs/view/4375434572")</f>
        <v/>
      </c>
      <c r="F109">
        <f>HYPERLINK("https://phf.tbe.taleo.net/phf02/ats/careers/v2/viewRequisition?org=COSTCO&amp;cws=41&amp;rid=10315&amp;urlHash=ySpc", "https://phf.tbe.taleo.net/phf02/ats/careers/v2/viewRequisition?org=COSTCO&amp;cws=41&amp;rid=10315&amp;urlHash=ySpc")</f>
        <v/>
      </c>
      <c r="G109" t="inlineStr">
        <is>
          <t>Seattle, WA</t>
        </is>
      </c>
      <c r="H109" t="inlineStr"/>
      <c r="I109" t="inlineStr">
        <is>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Travel IT family** 
 . Costco IT is a dynamic, fast\-paced environment, working through exciting transformation efforts. We are building the next generation retail environment where you will be surrounded by dedicated and highly professional employees.
**Product Owners** 
 are responsible for defining requirements, assisting with the overall product roadmap /vision, and driving value at the scrum team level. Product Owners work closely with teams and are the “voice of the customer”, ensuring the needs of the end\-user are incorporated into the product from design to deployment. Product owners are responsible for the authoring of functional user stories which are used to support the day to day development of new features and capabilities.
 The Platform Enablement team’s vision at Costco Travel is to provide tools, products, and design patterns to improve application agility, resilience, and the overall engineering experience. The IT Product Owner will partner with the IT Product Manager, Delivery Manager, and stakeholders to translate platform strategy into a detailed, prioritized backlog. The IT Product Owner will collaborate with an agile delivery team to prioritize, implement, measure, iterate, and learn from the tools they have built and improvements they have made.
 If you want to be a part of one of the worldwide
 **BEST companies “to work for”,** 
 simply apply and let your career be reimagined.
**ROLE**
* Supports business strategy by forming a backlog of features and user stories for use by the delivery team.
* Articulates requirements for each user story with detailed acceptance criteria.
* Executes and effectively uses data and insights from multiple sources that benefit the business and our members.
* Constantly pursues incremental delivery by looking for ways to meet business goals and learn from members and end users through frequent, measurable enhancements.
* Works collaboratively and uses best practices with the delivery team to support backlog refinement, sprint planning, and long\-term release planning.
* Monitors and improves product health.
* Ensures completed stories meet acceptance criteria by reviewing test plans, the output of automated testing or, where necessary, contributing to manual testing efforts.
* Prioritizes and collaborates in resolution of issues and defects.
* Identifies, seeks and improves processes across the entire product team.
* Seeks and improves processes across the delivery team by using retrospectives to inspect and adapt.
* Communicates with team members, stakeholders and levels of management effectively.
* Provides direction, mentorship, and coaching to junior Product Owners.
* Stays current on Product Ownership and applies product development and agile delivery practices.
**Required**
* 3\+ years’ current experience working on a Scrum and/or Agile team.
* 3\+ years’ current experience working on a Services Oriented or Microservice development platform.
* 3\+ years’ experience with creating documentation for communication with varied audiences.
* 2\+ years’ experience working on technical development projects.
* Deep understanding of business requirements elicitation.
* Proficient in business modeling, project scoping, and use case creation.
* Expertise in utilizing standard documentation tools/utilities.
**Recommended**
* Experience leading a Platform Engineering or Internal Developer Portal (IDP) or Platform Tooling team.
* Familiar with: Java, JavaScript, Hibernate, MS SQL, No SQL, REST, Docker, Kubernetes, Swagger, Helm, Istio, TKG, SRE, Python, DevOps, SonarQube, Feature Flagging Systems, IDP development, etc.
* Deadline oriented and capable of self\-management.
* Strong work ethic, demonstrated attention to detail, excellent time management and organizational skills.
* Ability to work both independently and within a close team environment.
* Ability to listen to and understand business needs. (Experience with a travel technology organization is a plus).
* Proficient in Google Workspace applications, including Sheets, Docs, Slides, and Gmail
**Required Documents**
* Cover Letter
* Resume
 California applicants, please click here to review the Costco Applicant Privacy Notice.
**Pay Ranges**
 Level 2 \- $105,000 \- $135,000
 Level 3 \- $130,000 \- $160,000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t>
        </is>
      </c>
    </row>
    <row r="110">
      <c r="A110" t="inlineStr">
        <is>
          <t>li-4374064847</t>
        </is>
      </c>
      <c r="B110" t="inlineStr">
        <is>
          <t>Senior Product Manager, Retirement</t>
        </is>
      </c>
      <c r="C110" t="inlineStr">
        <is>
          <t>Transamerica</t>
        </is>
      </c>
      <c r="D110" t="inlineStr">
        <is>
          <t>linkedin</t>
        </is>
      </c>
      <c r="E110">
        <f>HYPERLINK("https://www.linkedin.com/jobs/view/4374064847", "https://www.linkedin.com/jobs/view/4374064847")</f>
        <v/>
      </c>
      <c r="F110">
        <f>HYPERLINK("https://transamerica.wd5.myworkdayjobs.com/en-US/US/job/Baltimore-Maryland/Senior-Product-Manager\u002d\u002dRetirement_R20060881-1?source=web_LinkedIn&amp;urlHash=h\u002d\u002ds", "https://transamerica.wd5.myworkdayjobs.com/en-US/US/job/Baltimore-Maryland/Senior-Product-Manager\u002d\u002dRetirement_R20060881-1?source=web_LinkedIn&amp;urlHash=h\u002d\u002ds")</f>
        <v/>
      </c>
      <c r="G110" t="inlineStr">
        <is>
          <t>Baltimore, MD</t>
        </is>
      </c>
      <c r="H110" t="inlineStr"/>
      <c r="I110" t="inlineStr">
        <is>
          <t>**Job Family**
 Product and Propositioning Marketing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Drives long\-term strategy by researching and designing retirement products from inception to launch. Manages existing product portfolios to ensure profitable sales.
**Responsibilities**
**Job Description**
* Analyze market trends and competitive landscape to discern product opportunities and translate market conditions into valid value positions. Assist lower level staff as needed.
* Research potential market opportunities; build the business case for product innovations by gathering distribution and consumer feedback, reviewing industry sales trends, and understanding demographic shifts/consumer preferences. Guide lower level staff as needed.
* Define product features, competitiveness, profitability, sales goals and launch date. Drive collaboration across all functional areas as needed.
* Conduct feasibility studies, research and development (R\&amp;D), and participate in labs to evaluate ideas. Drive collaboration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Ensure customer centric product ideas are efficiently sourced and prioritized. Work with margin analytics, marketing, sales and operations teams to build a strong pipeline for future product enhancements.
* Develop and deliver presentations to communicate research outcomes; provide R\&amp;D results to senior management and peers to highlight strategic recommendations for new products and enhancements.
**Qualifications**
* Bachelor’s degree in a business related field or equivalent experience.
* Four years of product development experience in the retirement industry.
* In\-depth knowledge of retirement features.
* In\-depth knowledge of retirement and marketing techniques.
* Understanding of profitability metrics.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Presentation skills to provide research data and recommendations to senior leadership.
* Coaching skills to assist team members.
* Advanced proficiency in MS Office (Excel, PowerPoint, Word).
**Working Conditions**
- Hybrid office environment: 3 days in office (Baltimore, Cedar Rapids, Philadelphia, Denver)
 Occasional Travel
 The Salary for this position generally ranges between $87,000\-$97,000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of 15% based on the Company Bonus Plan/Individual Performance and is at the Company’s discretion.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111">
      <c r="A111" t="inlineStr">
        <is>
          <t>li-4375434427</t>
        </is>
      </c>
      <c r="B111" t="inlineStr">
        <is>
          <t>Senior Product Manager - Control4 Software</t>
        </is>
      </c>
      <c r="C111" t="inlineStr">
        <is>
          <t>ADI Global Distribution</t>
        </is>
      </c>
      <c r="D111" t="inlineStr">
        <is>
          <t>linkedin</t>
        </is>
      </c>
      <c r="E111">
        <f>HYPERLINK("https://www.linkedin.com/jobs/view/4375434427", "https://www.linkedin.com/jobs/view/4375434427")</f>
        <v/>
      </c>
      <c r="F111" t="inlineStr"/>
      <c r="G111" t="inlineStr">
        <is>
          <t>Lehi, UT</t>
        </is>
      </c>
      <c r="H111" t="inlineStr"/>
      <c r="I111" t="inlineStr">
        <is>
          <t>**Job Description**
 The
 **Senior Product Manager for Control4 Software** 
 reports to the Director of Product for Control4 Software and is responsible for defining, delivering, and evolving software experiences across the Control4 platform. This includes customer\-facing interfaces, supporting cloud services, and core platform capabilities that enable automation, control, and connected\-device experiences.
 This role leads product development across distributed software systems that span devices, mobile applications, and cloud infrastructure. The Senior Product Manager partners closely with engineering, UX, and go\-to\-market teams to deliver cohesive experiences that are reliable, scalable, and intuitive for both integrators and end customers.
 The position plays a key role in shaping product direction, managing roadmap execution, and ensuring software capabilities evolve to meet customer needs, business goals, and technology trends across the full product lifecycle
**Job Duties:**
**Product Strategy \&amp; Roadmap**
* Define and maintain product roadmaps for assigned Control4 software experiences and platform capabilities.
* Translate business objectives, customer needs, and technical constraints into clear product direction through voice\-of\-customer feedback, market insight, and data analysis.
* Partner with engineering, UX, sales, support, and marketing to prioritize features and enhancements based on market fit, impact, feasibility, and strategic alignment.
* Continuously evaluate market trends, competitive offerings, and platform performance to inform and guide roadmap decisions.
**Product Development, Delivery \&amp; Lifecycle Management**
* Own end\-to\-end product delivery from concept through release, including requirements definition, backlog management, and success criteria.
* Manage products and features throughout their full lifecycle, including launch, adoption, optimization, maintenance, and long\-term evolution.
* Collaborate with engineering and UX to design scalable, high\-quality software solutions across device, application, and cloud environments.
* Coordinate cross\-functional execution to support successful product launches, including positioning, release planning, internal enablement, and go\-to\-market readiness.
* Monitor post\-release performance and drive iterative improvements based on usage data, feedback, and operational insights.
**Data \&amp; Performance Management**
* Establish and track product metrics related to adoption, engagement, reliability, and system performance.
* Use analytics, experimentation, and field feedback to guide prioritization and continuous improvement.
* Identify opportunities to improve usability, operational efficiency, and product performance across the platform.
**You Must Have:**
* 5\+ years of product management experience in software platforms such as mobile, SaaS, or connected\-device ecosystems.
* Experience delivering complex software products across multiple platforms or system components.
* Strong analytical and problem\-solving skills with a data\-driven approach to decision making.
* Experience using data and analytics tools (e.g., SQL, Databricks, or comparable platforms) to evaluate product performance and inform decisions.
* Proficiency with productivity and presentation tools such as Excel, PowerPoint, or similar business applications.
* Demonstrated ability to manage multiple priorities simultaneously and operate effectively in a fast\-paced environment.
**We Value:**
* Experience with smart home, IoT, or device\-based software platforms.
* Familiarity with mobile applications, cloud services, or distributed systems.
* Experience working within Agile product development environments.
* Familiarity with tools such as Jira, Confluence, or similar collaboration platforms.
* Experience supporting product launches, lifecycle planning, or platform evolution.
* Experience with surveillance, video, or physical security technology platforms.
* Familiarity with software release distribution and release management processes, including experience with deployment, rollout control, or feature management tools.
* Demonstrated passion for continuous improvement and delivering high\-quality customer experiences.
**About Us**
 Resideo Technologies has announced its intention to spin off ADI Global Distribution and establish it as a separate, publicly traded company. Under this plan, ADI will continue its role as a leading global wholesale distributor serving commercial and residential markets, while Resideo will retain its manufacturing and product\-solutions business. Upon separation, both companies will operate independently to better serve their respective markets and customers. The spin\-off is currently targeted for completion in the second half of 2026, subject to customary conditions.
 Resideo is a $6\.76 billion global manufacturer, developer, and distributor of technology\-driven sensing and control solutions that help homeowners and businesses stay connected and in control of their comfort, security, energy use, and smart living. We focus on the professional channel, serving over 100,000 contractors, installers, dealers, and integrators across the HVAC, security, fire, electrical, and home comfort markets. Our products are found in more than 150 million residential and commercial spaces worldwide, with tens of millions of new devices sold annually. Trusted brands like Honeywell Home, First Alert, and Resideo power connected living for over 12\.8 million customers through our Products \&amp; Solutions segment. Our ADI \| Snap One segment spans 200\+ stocking locations in 17 countries, offering a catalog of over 500,000 products from more than 1,000 manufacturers. With a global team of more than 14,000 employees, we offer the opportunity to make a real impact in a fast\-growing, purpose\-driven industry. Learn more at www.resideo.com .
 At Resideo, we bring together diverse individuals to build the future of homes. Resideo is an equal opportunity employer. Qualified applicants will be considered without regard to age, race, creed, color, national origin, ancestry, marital status, affectional or sexual orientation, gender identity or expression, disability, nationality, sex, religion, or veteran status. For more information on applicable U.S. equal employment regulations, refer to the "EEO is the Law" poster , "EEO is the Law" Supplement Poster and the Pay Transparency Nondiscrimination Provision . Resideo complies with applicable equal employment laws in all countries where we do business. For more information on how we process your information in the job application process, please refer to Recruitment Privacy Notice . If you require a reasonable accommodation to apply for a job, please use Contact Us form for assistance.
**JOB INFO**
 Job Identification : 17916
 Job Category : Product Management
 Posting Date : 2026\-02\-19T16:04:41\+00:00
 Degree Level : No Formal Education
 Job Schedule : Full time
 Locations : 1355 W Innovation Way Suite 125, Lehi, 84043, US; 14819 Ballantyne Village Way,, Charlotte, 28277, US
 (Hybrid)
 Incentive Eligible : N/A
 Business : ADI Global Distribution
 Hiring Salary Range : The typical hiring salary for this role, ranges from USD $92570\.0 to $157630\.0 per year but varies by specific work location. Within a range, Resideo determines base pay for an individual based on various factors, including market conditions, skills, and experience.
 Benefits : Resideo provides comprehensive benefits, including life and health insurance, life assistance program, accidental death and dismemberment insurance, disability insurance, 401k Plan, vacation \&amp; holidays.</t>
        </is>
      </c>
    </row>
    <row r="112">
      <c r="A112" t="inlineStr">
        <is>
          <t>li-4375435257</t>
        </is>
      </c>
      <c r="B112" t="inlineStr">
        <is>
          <t>Vice President Senior AI Product Manager</t>
        </is>
      </c>
      <c r="C112" t="inlineStr">
        <is>
          <t>U.S. Bank</t>
        </is>
      </c>
      <c r="D112" t="inlineStr">
        <is>
          <t>linkedin</t>
        </is>
      </c>
      <c r="E112">
        <f>HYPERLINK("https://www.linkedin.com/jobs/view/4375435257", "https://www.linkedin.com/jobs/view/4375435257")</f>
        <v/>
      </c>
      <c r="F112">
        <f>HYPERLINK("https://careers.usbank.com/global/en/job/UBNAGLOBAL20260003736EXTERNALENGLOBAL/Vice-President-Senior-AI-Product-Manager?utm_source=linkedin&amp;utm_medium=phenom-feeds&amp;urlHash=phn_", "https://careers.usbank.com/global/en/job/UBNAGLOBAL20260003736EXTERNALENGLOBAL/Vice-President-Senior-AI-Product-Manager?utm_source=linkedin&amp;utm_medium=phenom-feeds&amp;urlHash=phn_")</f>
        <v/>
      </c>
      <c r="G112" t="inlineStr">
        <is>
          <t>Minneapolis, MN</t>
        </is>
      </c>
      <c r="H112" t="inlineStr"/>
      <c r="I11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Corporate Payment Systems team is currently seeking a Vice President, Senior AI Product Manager to own and oversee the strategic product management of agentic AI\-powered products that support B2B clients and their payments of goods and services.
 The incumbent will bring an “AI\-first” mindset to their job, evaluating, designing, and developing agentic AI\-powered products. They will also help champion an AI\-first mindset across the product teams, and in doing so will work with a variety of business partners within and outside the bank to identify, define, and cultivate opportunities to meet customer needs.
 As a Senior Product Manager, you will shape the vision and strategy for this emerging domain and lead the execution that brings agentic AI payment experiences to life. This role demands a blend of strategic thinking and hands\-on delivery to turn cutting\-edge concepts into scalable, trusted solutions. CPS seeks a self\-starter, self\-learner, internal bridge\-builder and technology sponge interested in absorbing all that is happening and transforming that information into insights and ideas for new agentic AI\-powered product offerings, product positioning, product development and pricing philosophy. You’ll need the ability to ideate as well as execute.
**Responsibilities**
* Define the product strategy, vision, and roadmap for agentic AI use cases
* Define and deliver MVPs/pilots for AI use cases, then scale to production across multiple products
* Conduct discovery sessions to identify high\-impact use cases and evolve business strategy to achieve desired business goals
* Define product requirements in collaboration with cross functional teams across payments, and other teams
* Collaborate with engineering to translate product requirements into executable plans and deliver features in a timely manner.
* Evangelize product internally and externally, to craft compelling narratives and drive product usage.
**Basic Qualifications**
* Bachelor's degree, or equivalent work experience
* 10\+ years’ experience in product management, including experience with AI products.
* Proven success in launching AI\-driven features or products.
**Preferred Skills/Experience**
* Familiarity with ML workflows, LLMs, and agentic AI frameworks (e.g., LangChain, AutoGPT).
* Understanding of SaaS architecture and API integrations.
* Ability to take ownership of complex, multi\-faceted problems and drive successful outcomes
* Considerable knowledge of product/program development, pricing, implementation and roadmap management
* Excellent communication skills, able to document/educate diverse audiences and drive consensus
* Well\-developed analytical, decision\-making and problem\-solving skills
* Strong financial and competitive analysis skills
* Demonstrated project management, leadership and interpersonal skills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$133,365\.00 \- $156,900\.00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13">
      <c r="A113" t="inlineStr">
        <is>
          <t>li-4375196157</t>
        </is>
      </c>
      <c r="B113" t="inlineStr">
        <is>
          <t>Personal Care Product Manager</t>
        </is>
      </c>
      <c r="C113" t="inlineStr">
        <is>
          <t>City Personnel</t>
        </is>
      </c>
      <c r="D113" t="inlineStr">
        <is>
          <t>linkedin</t>
        </is>
      </c>
      <c r="E113">
        <f>HYPERLINK("https://www.linkedin.com/jobs/view/4375196157", "https://www.linkedin.com/jobs/view/4375196157")</f>
        <v/>
      </c>
      <c r="F113" t="inlineStr"/>
      <c r="G113" t="inlineStr">
        <is>
          <t>Smithfield, RI</t>
        </is>
      </c>
      <c r="H113" t="inlineStr"/>
      <c r="I113" t="inlineStr">
        <is>
          <t>A rapidly expanding consumer goods company is looking to hire a strategic and detail\-driven
 **Personal Care Product Manager** 
 to support partnerships with nationally recognized retailers. This role focuses on the development of beauty, personal care, and health products and offers hands\-on ownership of bringing trend\-forward ideas from initial concept through successful retail launch.
 This opportunity is well\-suited for a product development professional who excels in high\-energy environments, can juggle multiple projects at once, and understands the structure, speed, and precision required within retail\-driven beauty and personal care pipelines.
**Company \&amp; Position Highlights:** 
* Category Focus: Beauty, personal care, and health products created for leading national retail accounts
* End\-to\-End Ownership: Drive products from concept development through commercialization and ongoing lifecycle management
* Cross\-Functional Collaboration: Work closely with R\&amp;D, formulation, packaging, quality, marketing, sales teams, and retail partners
* Career Growth: Join a fast\-growing organization offering strong long\-term advancement potential
* Compensation \&amp; Benefits: Competitive salary and comprehensive benefits package
* Salary Range: $75,000–$95,000 annually, commensurate with experience
**Key Responsibilities of the Personal Care Product Manager:** 
* Manage the complete product development lifecycle for beauty, personal care, and health products from ideation through post\-launch support
* Create and maintain comprehensive product documentation, including formulations, specifications, packaging details, testing protocols, and project timelines
* Lead new product introductions, line extensions, and SKU rationalization efforts
* Partner with internal departments and external manufacturing vendors to ensure regulatory compliance, quality standards, and on\-time commercialization
* Conduct trend research, market analysis, and competitive reviews to guide innovation initiatives
* Oversee retailer onboarding requirements, compliance documentation, and item setup processes
* Evaluate product performance and point\-of\-sale data using platforms such as Nielsen, Retail Link, or comparable analytics tools to inform product and assortment strategies
* Collaborate with sales and marketing teams on packaging execution, sampling, presentations, and go\-to\-market strategies
* Develop polished business materials, including line reviews, product proposals, launch summaries, and Quarterly Business Reviews
**Qualifications of the Personal Care Product Manager:** 
* Bachelor’s degree from an accredited institution strongly preferred
* 5–8\+ years of product development experience within beauty, personal care, health, or consumer packaged goods industries
* Demonstrated success launching beauty or personal care products into national retail channels
* Strong understanding of formulation coordination, packaging development, regulatory compliance, and retail timelines
* Experience managing multiple SKUs in fast\-paced retail environments
* Familiarity with POS, sales analytics, and trend platforms such as Nielsen, Retail Link, or similar systems
* Advanced Microsoft Office proficiency, particularly strong Excel capabilities
* Highly organized with exceptional attention to detail and the ability to manage competing priorities
* Excellent communication and cross\-functional collaboration skills
* Experience supporting mass, drug, grocery, or specialty retail product development processes strongly preferred
***Submit your resume today for immediate consideration!***
***Want to explore more exciting job opportunities?***
 Click here.
***Please note:***
 City Personnel offers extended interview hours from 7 AM–7 PM upon request.
**Join a Top Workplace in Rhode Island!** 
 Recognized as one of The Providence Journal’s Top Workplaces, City Personnel, Inc. is your trusted local recruitment partner based in Providence, RI. For 20 years, we’ve been connecting top talent with leading companies across Rhode Island and Southern Massachusetts.
 At City Personnel, we don’t just match talent with opportunity — we invest in your growth and success.
**When you work with us, you’ll enjoy:** 
**Dedicated Career Coaching** 
 (resumes, interviews, career planning)
**Referral Program rewards** 
**Temp Employee Benefits:** 
 Paid Sick Time, Holiday Pay, Health Insurance, Weekly Pay
 City Personnel isn’t just a staffing agency — we’re a team that values you, celebrates your wins, and supports your career every step of the way.
 Ready to take the next step in your career?
 Apply today and experience why we’ve been voted a Top Workplace in Rhode Island!</t>
        </is>
      </c>
    </row>
    <row r="114">
      <c r="A114" t="inlineStr">
        <is>
          <t>li-4374080148</t>
        </is>
      </c>
      <c r="B114" t="inlineStr">
        <is>
          <t>RxCLAIM Product Owner with PBM-Remote</t>
        </is>
      </c>
      <c r="C114" t="inlineStr">
        <is>
          <t>Jobs via Dice</t>
        </is>
      </c>
      <c r="D114" t="inlineStr">
        <is>
          <t>linkedin</t>
        </is>
      </c>
      <c r="E114">
        <f>HYPERLINK("https://www.linkedin.com/jobs/view/4374080148", "https://www.linkedin.com/jobs/view/4374080148")</f>
        <v/>
      </c>
      <c r="F114">
        <f>HYPERLINK("https://click.appcast.io/t/z0wF2r_rnjhDJlvvLckF98yhVFQtOCmOAOHChUbbqag=&amp;urlHash=LhB2", "https://click.appcast.io/t/z0wF2r_rnjhDJlvvLckF98yhVFQtOCmOAOHChUbbqag=&amp;urlHash=LhB2")</f>
        <v/>
      </c>
      <c r="G114" t="inlineStr"/>
      <c r="H114" t="inlineStr"/>
      <c r="I114" t="inlineStr">
        <is>
          <t>Dice is the leading career destination for tech experts at every stage of their careers. Our client, mProgen, is seeking the following. Apply via Dice today!
**Job Description**
 We are seeking a highly experienced RxCLAIM Product Owner to lead the product vision, roadmap, and delivery for enterprise PBM solutions.
 The ideal candidate will have deep hands\-on expertise in RxCLAIM, strong exposure to other PBM platforms, and a proven ability to work with business, clinical, and technology stakeholders to deliver scalable, compliant, and high\-performing pharmacy solutions.
 This role requires strong domain knowledge, strategic thinking, and the ability to translate complex PBM requirements into actionable product backlogs while driving continuous value delivery.
**Qualifications**
 10\+ years of experience in RxCLAIM or any other Pharmacy Benefit Management (PBM) systems Product Ownership
 Own and drive the product vision, roadmap, and backlog for RxCLAIM\-based solutions
 Align product strategy with PBM business goals, regulatory requirements, and client needs
 Define and prioritize features, enhancements, and technical initiatives based on business value RxCLAIM \&amp; PBM Domain Accountability
 Act as subject matter expert (SME) for RxCLAIM modules including:\- Claims adjudication \- Plan setup \&amp; benefit configuration \- Pricing, accumulators, and edits
 Prior authorization \&amp; DUR \- Eligibility, formularies, and networks</t>
        </is>
      </c>
    </row>
    <row r="115">
      <c r="A115" t="inlineStr">
        <is>
          <t>li-4373139179</t>
        </is>
      </c>
      <c r="B115" t="inlineStr">
        <is>
          <t>Product Manager II (Customer Operations)</t>
        </is>
      </c>
      <c r="C115" t="inlineStr">
        <is>
          <t>Cencora</t>
        </is>
      </c>
      <c r="D115" t="inlineStr">
        <is>
          <t>linkedin</t>
        </is>
      </c>
      <c r="E115">
        <f>HYPERLINK("https://www.linkedin.com/jobs/view/4373139179", "https://www.linkedin.com/jobs/view/4373139179")</f>
        <v/>
      </c>
      <c r="F115">
        <f>HYPERLINK("https://careers.cencora.com/us/en/job/CHKCENUSR262064EXTERNALENUS/Product-Manager-II-Customer-Operations?utm_source=linkedin&amp;utm_medium=phenom-feeds&amp;urlHash=InAx", "https://careers.cencora.com/us/en/job/CHKCENUSR262064EXTERNALENUS/Product-Manager-II-Customer-Operations?utm_source=linkedin&amp;utm_medium=phenom-feeds&amp;urlHash=InAx")</f>
        <v/>
      </c>
      <c r="G115" t="inlineStr">
        <is>
          <t>United, PA</t>
        </is>
      </c>
      <c r="H115" t="inlineStr"/>
      <c r="I115"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**Role Summary**
 As a Technical Product Manager specializing in AI Solutions, this team member will play a pivotal role in driving the development of generative AI products and solutions that transform how Cencora serves and engages with customers. This role requires a seasoned product management professional with deep expertise in customer service operations and customer\-facing digital platforms who can independently own and drive AI initiatives across our customer experience portfolio, including AI integration into customer facing tools and platforms, as well as enablement of AI solutions for customer facing support personnel using a variety of technology stacks. They will collaborate with cross\-functional teams to define product vision, prioritize features, and deliver innovative AI\-enabled tools that meet business needs.
 The Technical Product Manager will bring critical customer operations domain expertise to pursue AI solutions that enhance customer service tool efficiency and elevate the customer experience through AI\-powered platform capabilities in our customer facing tools. In this role, they will lead product discovery, define and document requirements, manage product development cycles with internal and external vendor resources, engage with stakeholders and users to elicit and document requirements, and oversee and/or execute on testing and support.
 The successful candidate will have a deep knowledge of and passion for AI technology, particularly its application in enterprise environments to drive impactful business outcomes. This position requires an experienced product manager who can work independently while collaborating with the broader AI, IT and business stakeholders. This role resides within our Global Data and Technology Services organization (GDATS) as part of the Data, Analytics and AI domain at Cencora.
**Primary Duties And Responsibilities**
* Build and maintain strong relationships with business partners and the broader IT organization to deliver impactful AI solutions.
* Conduct analysis and gather insights to identify and prioritize high\-value use cases for AI\-enabled tools.
* Advise and consult stakeholders on build vs buy decisions, employing a strategic, data\-driven approach to decision\-making.
* Collaborate with the team to define product goals, align with business priorities, and ensure product roadmaps reflect stakeholder needs.
* Develop detailed product requirements documents (PRDs), write user stories, and create functional specifications to guide the development of AI\-driven business solutions.
* Oversee the creation of test plans, perform system integration testing, validate test results, and address any issues during testing phases.
* Work closely with end users to optimize product adoption, provide training, and offer support for prompt engineering and tool usage.
* Create, test, iterate, and publish production\-ready prompts for customer operations use cases, ensuring optimal performance and accuracy.
* Mentor product specialists and business analysts, with potential to build and lead a team as the portfolio grows.
**Experience And Educational Requirements**
* Bachelor's degree in Computer Science, Information Systems, Business, or a related field.
* 7\-10 years of relevant product management or related work experience required.
* Demonstrated experience defining and executing on AI products in an enterprise or B2B/B2C product environment.
**Minimum Skills, Knowledge, And Ability Requirements**
* Strong leadership and collaboration skills within cross\-functional teams.
* Excellent verbal and written communication skills.
* Strong problem\-solving and analytical skills, with a passion for exploring the capabilities of AI in enterprise environments.
* Enthusiasm for AI technology and its innovative application in enterprise settings, including a functional understanding of AI language models, APIs, and software tools.
**Required Domain Expertise**
* 5\+ years of product management experience in customer service, enterprise e\-commerce, or customer platform domains
* Familiarity with enterprise CRM platforms; Salesforce strongly preferred
* Demonstrated success implementing AI/ML solutions, customer operations context preferred
* Proven experience with customer\-facing digital platforms and portals in B2B environments
* Hands\-on prompt engineering experience, including creating, testing, and optimizing prompts and conversational flows for customer\-facing applications
* Enterprise AI platform experience (Azure OpenAI Services preferred, but experience with OpenAI, Anthropic, AWS Bedrock, or similar platforms acceptable)
* Experience with and understanding of customer service operations, including contact center technologies, case management, and service metrics (CSAT, NPS, FCR, AHT)
* Track record of improving customer satisfaction and operational efficiency through technology initiatives
**Experience And Educational Requirements**
 Requires broad training in fields such as healthcare, information technology, computer science, business administration, or similar vocations generally obtained through completion of a four\-year bachelor’s degree program. Generally requires a minimum of four (4\) years related and progressively responsible experience as a Product Owner or Product Manager. Should understand the basics of business process modeling, software development lifecycle planning, and Agile software development. Experience in Healthcare or Pharmaceutical industry is desirable.
**Minimum Skills, Knowledge And Ability Requirements**
* Ability to communicate at all levels of the organization (directors, managers, engineers, quality assurance analysts, end users, etc…)
* Proven ability to work with and influence cross\-functional teams without formal authority
* Ability to self\-learn and seek out knowledge to improve understanding of technology solutions
* Excellent verbal and written communication skills, strong attention to detail
* Strong problem solving, planning, analysis, teamwork, and organizational skills
* Confident presentation skills in small and large groups
* Excellent discovery and active listening skills
* Ability to use good judgment in conveying status and problem escalation
* Provides coaching and mentoring to team members
* Must be comfortable working on a team with daily accountability for keeping commitments
* Demonstrated working knowledge of product management and Agile software lifecycle methodologies
**Work Environment**
 The work environment characteristics described here are representative of those an associate may encounter while performing the essential functions of this job. Reasonable accommodations may be made to enable individuals with disabilities to perform the essential functions:
 The noise level in the work environment is generally quiet.
**Physical And Mental Requirements**
 The physical demands described here are representative of those that must be met by an associate to successfully perform the essential functions of this job. Reasonable accommodations may be made to enable individuals with disabilities to perform the essential functions: Sedentary physical activity requiring reaching, sifting, lifting, finger dexterity, grasping, feeling, repetitive motions, talking and hearing. Visual requirement is for close vision, distance vision, peripheral vision and ability to adjust focus. 75% or more time is spent looking directly at a computer. Associate is frequently required to stand, walk (or otherwise be mobile). Ability to deal with stressful situations as they arise.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2026-02-19T20:34:59Z</dcterms:created>
  <dcterms:modified xsi:type="dcterms:W3CDTF">2026-02-19T20:34:59Z</dcterms:modified>
</cp:coreProperties>
</file>