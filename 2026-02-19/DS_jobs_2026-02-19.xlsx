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in-75e74f6a4b7bcb61</t>
        </is>
      </c>
      <c r="B2" t="inlineStr">
        <is>
          <t>Product Data Scientist</t>
        </is>
      </c>
      <c r="C2" t="inlineStr">
        <is>
          <t>Fusion Risk Management</t>
        </is>
      </c>
      <c r="D2" t="inlineStr">
        <is>
          <t>indeed</t>
        </is>
      </c>
      <c r="E2" t="inlineStr"/>
      <c r="F2" t="inlineStr"/>
      <c r="G2" t="inlineStr">
        <is>
          <t>US</t>
        </is>
      </c>
      <c r="H2" s="1" t="n">
        <v>46071</v>
      </c>
      <c r="I2" t="inlineStr">
        <is>
          <t>Fusion Risk Management is a fast\-growing, innovative company committed to fostering a supportive, inclusive environment and recognized by the Chicago Tribune and Built in Chicago for its culture!
Fusion is a leading provider of cloud\-based software solutions for operational resilience, encompassing risk management, third\-party risk management, information technology and security risk, business continuity and disaster recovery, and crisis and incident management. Recognized by Gartner, Forrester, Deloitte, and more, we seek to build a more resilient world by empowering organizations to make data\-driven decisions and helping them achieve greater overall resilience.
Our flagship product, The Fusion Framework® System™, delivered on the Salesforce Lightning Platform, provides companies a North Star for operational resilience. Fusion serves mid\-size organizations to Fortune 50 companies across various verticals including financial services, manufacturing, energy and utilities, retail, pharmaceuticals, and education.
We are looking to add talented individuals to our team who are passionate about our vision to build a resilient world together and inspired by the challenge of solving key business problems. We seek can\-do people who fit the culture, align with our core values, and prioritize continued personal and professional development. If this sounds like you, read on!
**Core Values**
Our values are at the center of our company. They are the core ethics and principles that help define our personality as an organization and help give us focus and purpose. They are overarching, building blocks of our culture and can always be used as a consistent reference point our company\-wide ethics.
* **Trust:** Earn teammates’ trust and assume positive intent; act with integrity; respect diversity of thought, skills, and background
* **Passion:** Make a difference; don’t wait until you’re asked or instructed; maintain a bias to action and impact
* **Collaboration:** Think systematically and see your role within the bigger picture; be accountable for your part of team success; put your teammates in a position to thrive
* **Customer Centricity:** Demonstrate a solid commitment to customer success by providing positive and consistent customer experiences (exhibiting professionalism, patience, respect, and knowledge); Proactively engage our customer community, seek customer feedback – be open to listening – and actively incorporate the voice of the customer into daily activities
* **Growth:** Strive for excellence; embrace change; prioritize continuous improvement
**The Role**
We’re looking for a full\-stack, product\-minded data scientist to help build a new greenfield product at Fusion. This work will unify resilience data from some of the world’s largest and most systemically important organizations—and help define the future research and analytics for an entire industry.
This is a high\-ownership role for someone who wants to work close to customers, shape product direction, and apply advanced analytics and modeling techniques to real\-world, high\-impact problems.
**Key Responsibilities**
* Partner closely with customers and internal product teams to design and build the first in a new line of data products, using technologies such as Snowflake, dbt, Salesforce, and Streamlit.
* Own and evolve existing analytical products involving Monte Carlo simulation, Bayesian networks, optimization (linear and constraint programming), and generative capabilities.
* Contribute to internal analytics initiatives, including maintaining and improving our predictive churn model and supporting product and usage analytics.
* Help influence product direction by identifying opportunities where data, modeling, or automation can meaningfully improve customer outcomes
Knowledge, Skills, and Abilities
* Product\-minded approach with the ability to learn new domains quickly, develop deep empathy for customer problems, and translate those needs into impactful data solutions.
* Strong data storytelling skills, with the ability to turn complex analyses into clear, compelling dashboards and visualizations for both technical and non\-technical audiences.
* Comfort working across the data science stack, including production\-grade SQL, dbt pipelines, simulation, optimization, machine learning, and emerging intelligent functionality.
* Technical generalist mindset with enthusiasm for learning new tools, languages, and platforms, and comfort leveraging modern AI\-assisted tools to accelerate work.
* Strong SQL skills and familiarity with Java, or the motivation and ability to ramp up quickly.
* Experience collaborating closely with customers or customer\-facing teams and taking ownership of translating real\-world problems into data\-driven solutions.
Qualifications (Education and Experience)
* Bachelor’s degree in Computer Science, Data Science, Statistics, or a related field.
* Experience working with Salesforce data or platforms (nice to have).
* Exposure to simulation, optimization, or operations research techniques (nice to have).
* Experience building or maintaining machine learning models, including customer churn or retention models (nice to have).
**Milestones for the First Six Months**
*In one month, you will:*
Complete all HR and onboarding requirements  
Become familiar with Fusion’s industry, strategy, data, tools and products
Begin contributing to existing analytics or product initiatives with guidance
*In three months, you will:*
Being agile development of our new greenfield product in concert with our partners  
Collaborate with customers and partners to effectively iterate and enhance the product
Commit tightly scoped enhancements to existing data science products
*In six months, you will:*
 Own and deliver the first version of our new data product
Directly manage and incorporate feedback from customers and function as a product owner  
Consistently meet delivery expectations with minimal oversight
Propose new enhancements and products to our growing line of data products
**Compensation \&amp; Benefits**
The annual base salary range for this position is $115,000\-$135,000, depending on the candidate’s experience, qualifications, and relevant skill set. The position is also eligible for an annual bonus. Fusion offers a comprehensive benefits package including medical, dental, vision, and a 401(k) plan.
**Disclaimers**
Fusion is an Equal Opportunity Employer. All qualified applicants will receive consideration for employment without regard to race, color, religion, disability, age, pregnancy, military service or discharge status, genetic information, sex, sexual orientation, gender identity, or national origin. Nothing in this job posting should be construed as an offer or guarantee of employment.</t>
        </is>
      </c>
    </row>
    <row r="3">
      <c r="A3" t="inlineStr">
        <is>
          <t>in-a860317f791c6df9</t>
        </is>
      </c>
      <c r="B3" t="inlineStr">
        <is>
          <t>Senior Data Scientist</t>
        </is>
      </c>
      <c r="C3" t="inlineStr">
        <is>
          <t>Twilio</t>
        </is>
      </c>
      <c r="D3" t="inlineStr">
        <is>
          <t>indeed</t>
        </is>
      </c>
      <c r="E3" t="inlineStr"/>
      <c r="F3" t="inlineStr"/>
      <c r="G3" t="inlineStr">
        <is>
          <t>Remote, US</t>
        </is>
      </c>
      <c r="H3" s="1" t="n">
        <v>46051</v>
      </c>
      <c r="I3"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Twilio’s next Senior Data Scientist, R\&amp;D.
**About the job**
This position is needed to uncover analytical insights that quantify product performance and shape product strategy. Our Data Science and Analytics team seeks to empower R\&amp;D to make data\-backed decisions that accelerate innovation and improve product performance. We work closely with Product Managers to define product metrics and build self\-serve reporting; measure the impact of product releases; and do analyses to shape strategic decisions.
**Responsibilities**
In this role, you’ll:
* Drive the definition and development of data science solutions to business problem statements from beginning to end: build relationships with partner teams, collect and analyze data, and develop recommendations to inform strategic decisions
* Generate insights and recommendations through exploratory analysis, A/B testing, and statistical modeling
* Work with product managers to design and analyze experiments to measure the impact of new features and develop a data\-driven narrative on how their product is performing for use in monthly reviews
* Collaborate with data producers and consumers during the product development lifecycle to ensure consistent data quality and availability for reporting post launch.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2\+ years of professional experience in an analytics or data science role
* Advanced expertise using SQL to derive insights and in using dashboarding tools like Looker or Tableau to create compelling self\-serve reports for product or business stakeholders
* Intermediate expertise in Python (e.g. pandas, numpy, scikit\-learn) for data manipulation, analysis, and statistical modeling (e.g., clustering, forecasting, or decision trees)
* Familiarity with causal inference techniques such as A/B testing, propensity matching, or synthetic control
* Demonstrated ability to map business problem statements to an appropriate data science technique
* Answer\-first, succinct communication; ability to communicate across technical and non\-technical audiences
**Desired:**
* 4\+ years of professional experience in a product\-focused analytics or data science role, with 2\+ years of experience in a B2B SaaS context
* Bachelor’s and Master’s in a quantitative
* Familiarity with machine learning techniques
* Experience with data warehousing and/or ETL processes, including distributed computing technologies such as Hive, Presto, or Spark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$141,520\.00 to $176,900\.00
* Based in New York, New Jersey, Washington State, or California (outside of the San Francisco Bay area): $149,840\.00 to $187,300\.00
* Based in the San Francisco Bay area, California: $166,400\.00 to $208,000\.00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2/28/2026,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4">
      <c r="A4" t="inlineStr">
        <is>
          <t>in-6af94783280991d2</t>
        </is>
      </c>
      <c r="B4" t="inlineStr">
        <is>
          <t>Business Data Scientist, Trust and Safety</t>
        </is>
      </c>
      <c r="C4" t="inlineStr">
        <is>
          <t>Google</t>
        </is>
      </c>
      <c r="D4" t="inlineStr">
        <is>
          <t>indeed</t>
        </is>
      </c>
      <c r="E4" t="inlineStr"/>
      <c r="F4" t="inlineStr"/>
      <c r="G4" t="inlineStr">
        <is>
          <t>Austin, TX, US</t>
        </is>
      </c>
      <c r="H4" s="1" t="n">
        <v>46071</v>
      </c>
      <c r="I4" t="inlineStr">
        <is>
          <t>###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 **Preferred qualifications:**
* 4 years of experience using analytics to solve product or business problems, coding (e.g., Python, R, SQL), querying databases or statistical analysis, or a relevant PhD degree.
* Industry experience utilizing data pipelines (SQL), statistical analysis, and visualization tools (Tableau, Qlik) to achieve business objectives.
* Experience managing high\-level technical projects and influencing cross\-functional partners.
* Excellent communication and problem\-solving abilities, specifically the skill to convey complex technical findings as actionable insights for non\-technical stakeholders.
**About the job**
-----------------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Google's Trust and Safety team protects users and partners from abuse across products like Search, Gmail, Maps, and Ads. By combining technical expertise with user insights, team members address challenges to ensure ecosystem integrity.
Protecting the experience of partners in more than 40 languages is a priority. We defend Google's integrity by developing product policies and combating fraud, spam, and abuse. This involves collaborating with Legal, Engineering, and Public Policy teams to create scalable solutions. Driven by safety, team members use technical know how to maintain user trust.  
In this role, you will design metrics to support Trust and Safety for Search, Ads, Shopping, and YouTube. You will ensure stakeholders have the data needed for business decisions and lead the development of predictive analytics and segmentation models for user experience strategies. Working with Product Managers and Data Engineers, you will transform data into actionable insights to meet user needs, enhance satisfaction, and decrease escalations. You will manage complex, end\-to\-end projects with excellence. We need someone with strong communication and investigative skills, with a track record of converting technical data into business narratives and strategic initiatives.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Acquire an understanding of product, Trust and Safety manual and automated processes, tools and customer expectations and design and develop scalable measurements to support reporting needs.
* Manage the full life\-cycle of complex data projects, from initial requirement gathering and data collection to analysis and the delivery of strategic presentations.
* Design and implement scalable analysis pipelines to uncover actionable insights. Gain expertise in Google's data architecture and influence metric improvements to support both product growth and abuse prevention efforts.
* Collaborate with and influence business and engineering stakeholders to ensure our data is telling the right story and is helping stakeholders make data backed decisions.
* Work collaboratively with teammates around the globe and deliver projects from end\-to\-end. Present your findings and business recommendations to multiple levels of stakeholders and leadership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in-24627209ca3a2779</t>
        </is>
      </c>
      <c r="B5" t="inlineStr">
        <is>
          <t>Data Scientist, AWS Infrastructure Services Science</t>
        </is>
      </c>
      <c r="C5" t="inlineStr">
        <is>
          <t>Amazon.com</t>
        </is>
      </c>
      <c r="D5" t="inlineStr">
        <is>
          <t>indeed</t>
        </is>
      </c>
      <c r="E5" t="inlineStr"/>
      <c r="F5" t="inlineStr"/>
      <c r="G5" t="inlineStr">
        <is>
          <t>Herndon, VA, US</t>
        </is>
      </c>
      <c r="H5" s="1" t="n">
        <v>46065</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6">
      <c r="A6" t="inlineStr">
        <is>
          <t>in-f085a9285a50cb1c</t>
        </is>
      </c>
      <c r="B6" t="inlineStr">
        <is>
          <t>Data Scientist, AWS Infrastructure Services Science</t>
        </is>
      </c>
      <c r="C6" t="inlineStr">
        <is>
          <t>Amazon.com</t>
        </is>
      </c>
      <c r="D6" t="inlineStr">
        <is>
          <t>indeed</t>
        </is>
      </c>
      <c r="E6" t="inlineStr"/>
      <c r="F6" t="inlineStr"/>
      <c r="G6" t="inlineStr">
        <is>
          <t>Seattle, WA, US</t>
        </is>
      </c>
      <c r="H6" s="1" t="n">
        <v>46065</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7">
      <c r="A7" t="inlineStr">
        <is>
          <t>in-d46aec80fc593a4e</t>
        </is>
      </c>
      <c r="B7" t="inlineStr">
        <is>
          <t>Principal Data Scientist</t>
        </is>
      </c>
      <c r="C7" t="inlineStr">
        <is>
          <t>Valkyrie Intelligence</t>
        </is>
      </c>
      <c r="D7" t="inlineStr">
        <is>
          <t>indeed</t>
        </is>
      </c>
      <c r="E7" t="inlineStr"/>
      <c r="F7" t="inlineStr"/>
      <c r="G7" t="inlineStr">
        <is>
          <t>Austin, TX, US</t>
        </is>
      </c>
      <c r="H7" s="1" t="n">
        <v>46072</v>
      </c>
      <c r="I7" t="inlineStr">
        <is>
          <t>**Principal Scientist (Scientist IV) Job Description**
**Location:** Based in Austin, TX
 **About Us:**
Valkyrie is an applied science firm that builds industry\-defining custom AI, Machine Learning and Knowledge Engineering solutions. Our interdisciplinary applied science teams support our clients end\-to\-end—from data normalization through model deployment—solving complex, high\-impact problems across commercial and government sectors. Our work spans industries and institutions including SiriusXM, Activision, Chubb Insurance, and the U.S. Department of Defense. We operate at the intersection of deep technical rigor, operational excellence, and real\-world impact.
 **Principal Scientist Position:**
Principal Scientists serve as senior technical leaders responsible for shaping, scoping, and delivering applied AI and advanced analytics solutions for client organizations. They lead small cross\-functional project teams (typically 1–3 scientists and engineers per project) and ensure that solutions are technically sound, aligned with client needs, and delivered with high quality.
This role combines hands\-on technical contribution, technical leadership, and client interaction. Principal Scientists are expected to remain deeply engaged in modeling, analysis, and development while guiding teams through ambiguity, evolving requirements, and complex stakeholder environments.
This is not a pure individual contributor role and not a solely people\-management role; it is a technical leadership position centered on project execution, client trust, and scientific rigor.
 **Principal Scientist Key Responsibilities:**
*Technical Leadership \&amp; Project Execution*
* Translate ambiguous business problems into structured technical approaches
* Architect, build, and validate ML models, experiments, and analytical pipelines
* Maintain high standards of code quality, experimentation rigor, and documentation
* Evaluate and integrate new tools or methods as projects require
*Client Engagement \&amp; Advisory*
* Serve as a trusted technical partner to client stakeholders
* Lead technical discussions and guide expectation\-setting
* Communicate complex technical concepts clearly to non\-technical audiences
* Contribute to strategic deliverables (AI roadmaps, data maturity assessments, and data architecture redesigns)
* Build long\-term client trust through thoughtful execution and pragmatic guidance
*Team Leadership \&amp; Mentorship*
* Lead and mentor small teams of data scientists and engineers
* Provide technical direction, feedback, and mentorship
* Guide teams through ambiguity, evolving requirement and delivery milestones
* Ensure quality control across modeling, code, and deliverables
* Foster a culture of scientific curiosity and disciplined execution
*Strategic Contribution \&amp; Business Support*
* Collaborate with business development teams on new opportunities
* Contribute to proposal development and drafting Statements of Work (SOWs)
* Provide insight into emerging technologies and methods relevant to client needs
 **Principal Scientist Qualifications:**
We encourage candidates to apply even if they don’t have 100% of the below qualifications. We believe in a holistic approach when evaluating talent for our team and post new roles often, so even if this role isn’t quite right, we want to meet you!
* Bachelor’s or higher in Computer Science, STEM, or related field
* 8\+ years of relevant professional experience
* 5\+ years delivering applied AI/ML or advanced analytics solutions in consulting (preferred) or centralized enterprise AI/data science teams
* Demonstrated ability to translate ambiguous business problems into structured technical solutions
* Proven ability to independently engage clients while leading small technical teams
* Experience designing and validating machine learning models, experiments, and analytical pipelines.
* Strong Python proficiency with common data science and ML ecosystems (e.g. scikit\-learn, Pandas, Polars, seaborn, Plotly, Jupyter, PySpark, PyTorch/Tensor Flow, Hugging Face)
* Familiarity with SQL and enterprise database environments (relational, cloud\-native, or hybrid) (e.g. Snowflake, PostgresSQL, Oracle)
* Working knowledge of cloud deployment patterns and modern data/ML infrastructure (e.g. AWS, Azure, GCP, Dask, Airflow, Prefect, Databricks, Sagemaker)
* Ability to evaluate unfamiliar techniques quickly and integrate them pragmatically
* Demonstrated experience across 2\+ industry verticals/domains
* Strong mentorship and team leadership experience
**Like\-to\-Have Qualifications:**
* Familiarity with graph theory, graph databases (Neptune, Neo4j)
* Experience collaborating with business development teams to secure new engagements
* Experience leading or directing multiple projects simultaneously
* Experience managing junior scientists or small technical teams
 **Perks:**
* Tremendous growth potential
* Open and unlimited PTO \&amp; Sick time
* Medical, dental, vision, \&amp; HSA options
* 401K
* Parking Included
* Onsite gym \&amp; showers
* Stocked kitchen with healthy snacks, drinks, coffee, etc
* Team events including happy hours, catered lunches, and other fun outings
* Innovative, collaborative, and fun work environment that fosters a positive and supportive culture for growth
**The pay range for this role is:**  
140,000 \- 170,000 USD per year(Austin)</t>
        </is>
      </c>
    </row>
    <row r="8">
      <c r="A8" t="inlineStr">
        <is>
          <t>in-271b1e7e067f8e64</t>
        </is>
      </c>
      <c r="B8" t="inlineStr">
        <is>
          <t>Senior Data Scientist</t>
        </is>
      </c>
      <c r="C8" t="inlineStr">
        <is>
          <t>Monogram Health</t>
        </is>
      </c>
      <c r="D8" t="inlineStr">
        <is>
          <t>indeed</t>
        </is>
      </c>
      <c r="E8" t="inlineStr"/>
      <c r="F8" t="inlineStr"/>
      <c r="G8" t="inlineStr">
        <is>
          <t>Brentwood, TN, US</t>
        </is>
      </c>
      <c r="H8" s="1" t="n">
        <v>46072</v>
      </c>
      <c r="I8" t="inlineStr">
        <is>
          <t>### **Position:** ***Senior Data Scientist***
The **Senior** **Data** **Scientist** will be responsible for owning the development and deployment of machine learning models to support operational and clinical use cases at Monogram. This work will be carried out with minimal supervision, contributing to the advancement of Monogram’s data science initiatives. These models will be developed using open\-source tools and libraries and may be operationalized as batch or real\-time model inference endpoints. The models will utilize a variety of data sources, including healthcare claims, operational data from care management platforms, and EHRs. This position will report to the VP, Data Science with future direct reporting to the Director, Data Science.
#### **Responsibilities**
* Independently develop and deploy machine learning models to support Monogram’s operational and clinical objectives.
* Conduct data analyses related to model outputs or explore alternative use cases for existing models to enhance reporting and decision\-making processes.
* Engage with program owners to understand program goals, key performance indicators, and operational details to ensure that machine learning models are effectively aligned with program intentions.
* Create and present machine learning solution proposals to program owners, aiming to secure buy\-in and facilitate the implementation of data\-driven solutions.
* Adhere to and promote best practices in software development, data engineering, and machine learning to ensure high\-quality and maintainable code.
* Stay updated with the latest advancements in machine learning and data science, applying new techniques and methodologies to improve model performance and reliability.
* Maintain and update deployed models, ensuring their accuracy and efficiency over time, and troubleshoot any issues that arise during deployment.
#### **Position Requirements**
* Bachelor’s degree in data science, Computer Science, Statistics, or a related field; Master’s degree preferred
* Minimum of five (5\) years of experience performing quantitative analyses, preferably within the healthcare claims domain, including experience using Python for machine learning model development and deployment, and SQL, Databricks \&amp; PySpark to extract and manipulate data for data engineering tasks.
* Proficient in developing code and analyses following good software development practices.
* Experience with version control systems (GIT), CI/CD pipelines, and test\-driven development.
* Familiarity with cloud computing platforms, preferably Azure, for deploying and managing data science solutions.
* Proven problem\-solving abilities and a proactive approach to identifying and addressing business challenges through data\-driven solutions, as well as experience presenting technical concepts and models to business and executive stakeholders effectively.
* Demonstrated teamwork and collaboration skills, with the ability to work effectively in cross\-functional teams.
####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 **About Monogram Health**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9">
      <c r="A9" t="inlineStr">
        <is>
          <t>in-e22252a2f65e9691</t>
        </is>
      </c>
      <c r="B9" t="inlineStr">
        <is>
          <t>Data Scientist</t>
        </is>
      </c>
      <c r="C9" t="inlineStr">
        <is>
          <t>Workwhile</t>
        </is>
      </c>
      <c r="D9" t="inlineStr">
        <is>
          <t>indeed</t>
        </is>
      </c>
      <c r="E9" t="inlineStr"/>
      <c r="F9" t="inlineStr"/>
      <c r="G9" t="inlineStr">
        <is>
          <t>San Francisco, CA, US</t>
        </is>
      </c>
      <c r="H9" s="1" t="n">
        <v>46071</v>
      </c>
      <c r="I9" t="inlineStr">
        <is>
          <t>Location
San Francisco, New York, Toronto, Seattle
Employment Type
Full time
Location Type
Hybrid
Department
R\&amp;D
Data Science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**About the Role**
WorkWhile is looking for a data scientist to help us develop the models and algorithms core to our product and operational systems. You will help shape all aspects of our data culture and have a hand in key company decisions. You will be responsible for core product initiatives such as matching workers to shifts, dynamic pricing, and supply\-demand optimization. You will partner closely with our engineering and product teams to implement and refine your work, which will be seen by every user of the WorkWhile product.
WorkWhile has a diverse, mission\-driven, and supportive culture – we look for people who want to take ownership, are energized by ambiguity, and strive to make a lasting impact. If this resonates with you, we’d love to chat!
**What you’ll do**
* Develop a thorough understanding of our data
* Build predictive models and optimization algorithms to capture opportunities and solve problems. Common applications include modeling the optimal number of workers to acquire in a given market, dynamic pricing recommendations, and worker\-shift recommendation and matching algorithms.
* Collaborate with other members of the Data Science, Economics, and Engineering teams on ways to approach problems, augment code, and share new techniques
* Work with functional team leads (in Product, Operations, Marketing, etc.) to explain your analysis, findings, and recommendations
* Find opportunities for improvement across the business and assist in decision\-making across teams
**What we’re looking for**
* At least 2 years of experience with machine learning, predictive modeling, and/or optimization techniques
* Proficient knowledge of Python and SQL, with the ability to automate data workflows and write production\-ready code for offline and online inference
* Working knowledge of statistics, probability, and experiment design
* Self\-starter able to drive projects to completion who is excited to be on a startup’s founding team
* Communicates effectively with both technical and non\-technical colleagues
* Passion for using data science to solve real\-world problems and improving economic opportunities for hourly workers
**Data Science \&amp; Economics Team**
* We’re a team with deep tenure at WorkWhile and also broader experience at other leading marketplace companies
* We value user\-centricity, competence, speed, and having fun
* We embrace independence and take ownership of our projects, yet are also great team players
* We deal in outcomes, not projects
**Benefits \&amp; Perks**
* Hybrid work culture with office hubs in SF, NY, Seattle \&amp; Toronto
* In\-person company off\-sites
* Medical, dental, \&amp; vision coverage
* Flexible time off
* 401(k) with employer match
* WFH stipend to support your home office needs
WorkWhile is an Equal Opportunity Employer. Women, minorities, individuals with disabilities and protected veterans are encouraged to apply.</t>
        </is>
      </c>
    </row>
    <row r="10">
      <c r="A10" t="inlineStr">
        <is>
          <t>in-6e6c6a6c59f32df6</t>
        </is>
      </c>
      <c r="B10" t="inlineStr">
        <is>
          <t>Staff Data Scientist (Director) - Miami</t>
        </is>
      </c>
      <c r="C10" t="inlineStr">
        <is>
          <t>Atlas Air, Inc.</t>
        </is>
      </c>
      <c r="D10" t="inlineStr">
        <is>
          <t>indeed</t>
        </is>
      </c>
      <c r="E10" t="inlineStr"/>
      <c r="F10" t="inlineStr"/>
      <c r="G10" t="inlineStr">
        <is>
          <t>Miami, FL, US</t>
        </is>
      </c>
      <c r="H10" s="1" t="n">
        <v>46071</v>
      </c>
      <c r="I10" t="inlineStr">
        <is>
          <t>**Join Atlas Air Worldwide. Move the World with Us!**
At Atlas Air Worldwide, we're not just an airline, we're a global engine powering cargo, passenger, and leasing operations across more than 70 countries. As a leader in outsourced aviation logistics, we're built on a foundation of **safety**, **service excellence**, **integrity**, **innovation**, **teamwork**, and **responsibility**. With over 30 years of history, a modern all\-Boeing fleet, and nearly 5,000 teammates collaborating across operations, technical, and corporate functions, we're driven by purpose.
**If you're ready to grow, innovate, and help us deliver excellence every single day, you belong here.**
**Position Summary:** We are looking for a brilliant and highly motivated **Staff** **Data Scientist** to join our innovative Data Analytics and Optimization team! This isn't just another analytics role – you'll be at the forefront of transforming Atlas Air through the power of data.
In this position, you will develop data\-driven technology solutions for a variety of high\-dimensional resource management problems in aviation involving complex trade\-offs under uncertainty. You will collaborate with leaders across our organization to uncover hidden opportunities, tackle challenging data puzzles, and build sophisticated predictive and prescriptive models that drive real\-world impact. Your insights won't just live in dashboards – the fruits of your work will shape our strategic direction, be operationalized in our processes, and will fuel our competitive advantage.
The perfect candidate brings a powerful blend of programming prowess, machine learning mastery, and operations research skillfulness, along with the rare ability to translate complex technical concepts into compelling stories that inspire action among non\-technical leaders.
If you're passionate about using cutting\-edge science and technology to solve meaningful problems and want to be part of a team that values your analytical superpowers, this role is your next adventure!
**Major Accountabilities:**
* Collaborate with cross\-functional teams including engineering, product, and business stakeholders to identify opportunities for leveraging data to drive business solutions around airline operations.
* Lead complex data science projects from conception to implementation, working with various stakeholders (e.g., global control center, pilots, sales, etc.) to define objectives, timelines and success metrics.
* Translate business requirements into data science or analytics projects with well\-defined deliverables and timelines.
* Design and conduct experiments to test hypotheses and measure the impact of work against objectives.
* Collect, process, clean, and analyze structured and unstructured data from various internal and external sources.
* Extract, transform, and analyze large datasets from various sources.
* Perform exploratory data analysis to uncover patterns, trends, and relationships within large datasets.
* Design, develop, and maintain sophisticated decision support tools leveraging machine learning and optimization models and algorithms to solve business challenges and unlock value.
* Create clear data visualizations and compelling narratives to communicate findings to technical and non\-technical audiences.
* Mentor less experienced data scientists, providing technical guidance, setting clear objectives, and fostering professional growth.
* Stay current with emerging techniques and technologies in data science and machine learning.
* Collaborate with data engineering to implement production\-ready solutions.
* Monitor model performance and iterate on solutions as needed.
* Establish best practices and methodologies for the data science function.
* Research and implement new methodologies and technologies to improve Atlas Air's data and AI/ML
**Qualifications:**
**Must\-Have:**
* Master's degree or Ph.D. in Operations Research, Machine Learning, Computer Science, Data Science, Statistics, Mathematics, or a related quantitative field.
* 5\+ years of hands\-on experience in a data science or similar analytical role, with a track record of impact.
* Expertise in programming languages such as Python, R, or similar programming languages for data analysis.
* Proficiency with data manipulation tools (e.g., SQL, Pandas, Spark) and machine learning libraries (e.g., scikit\-learn, PyTorch, TensorFlow, etc.).
* Strong knowledge of statistical analysis and hypothesis testing.
* Strong understanding of statistical modeling, machine learning algorithms, hypothesis testing, and optimization.
* Excellent communication, presentation, and interpersonal skills with the ability to translate complex technical concepts to non\-technical audiences.
* Proven ability to translate business requirements into technical solutions.
* Proven ability to apply software engineering best practices.
* Experience working in production\-grade Python code including proficiency with git, testing, and other software engineering best practices.
**Nice\-to\-Have:**
* Master's degree or Ph.D. in Operations Research, Machine Learning, Computer Science, Data Science, Statistics, Mathematics, or a related quantitative field.
* Domain expertise in aviation, transportation, or logistics.
* History of technical leadership on significant data science initiatives.
* Contributions to related research publications and/or open\-source projects.
* Experience with big data platforms (e.g., Spark/Databricks).
* Experience with cloud platforms (AWS, GCP, or Azure) and MLOps practices.
* Experience with optimization libraries (OR\-Tools, Gurobi, or CPLEX)
At **Atlas Air Worldwide**, we believe in the power of people, the promise of innovation, and the responsibility we hold to each other, to our customers, and to the planet. Join us and be part of a team that lifts more than cargo; we lift ambition.</t>
        </is>
      </c>
    </row>
    <row r="11">
      <c r="A11" t="inlineStr">
        <is>
          <t>in-e6f147f0554df239</t>
        </is>
      </c>
      <c r="B11" t="inlineStr">
        <is>
          <t>Applied Scientist</t>
        </is>
      </c>
      <c r="C11" t="inlineStr">
        <is>
          <t>KOAH</t>
        </is>
      </c>
      <c r="D11" t="inlineStr">
        <is>
          <t>indeed</t>
        </is>
      </c>
      <c r="E11" t="inlineStr"/>
      <c r="F11" t="inlineStr"/>
      <c r="G11" t="inlineStr">
        <is>
          <t>San Francisco, CA, US</t>
        </is>
      </c>
      <c r="H11" s="1" t="n">
        <v>46071</v>
      </c>
      <c r="I11"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**Example Projects**
* Design efficient algorithms for real\-time bidding systems, building upon the current pricing literature
* Create and productionize regression models to predict end conversions based on demographic, audience, and semantic data
* Apply privacy\-preserving clustering methods to categorize conversational data to improve advertiser outreach
* Analyze and pore over data to find alpha that can improve the core ad matching system balancing publisher and advertiser outcomes
**You might be a fit if**
* You have an advanced degree in Physics, Computer Science, Mathematics, Statistics, Engineering, or a related field
* You enjoy identifying and owning challenging problems, forming testable hypotheses, and conducting impactful research to drive significant business impact
* You have a relentless focus on continuous learning and making an impact with an ability to question the status quo
* You have strong mathematical and statistical modeling skills
* You enjoy communicating conclusions to both technical and non\-technical audiences alike
Compensation Range: $200K \- $300K</t>
        </is>
      </c>
    </row>
    <row r="12">
      <c r="A12" t="inlineStr">
        <is>
          <t>in-7931cc30ec6308b9</t>
        </is>
      </c>
      <c r="B12" t="inlineStr">
        <is>
          <t>Sr AI/ML Scientist - Remote</t>
        </is>
      </c>
      <c r="C12" t="inlineStr">
        <is>
          <t>Optum</t>
        </is>
      </c>
      <c r="D12" t="inlineStr">
        <is>
          <t>indeed</t>
        </is>
      </c>
      <c r="E12" t="inlineStr"/>
      <c r="F12" t="inlineStr"/>
      <c r="G12" t="inlineStr">
        <is>
          <t>Eden Prairie, MN, US</t>
        </is>
      </c>
      <c r="H12" s="1" t="n">
        <v>46071</v>
      </c>
      <c r="I1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You'll be rewarded and recognized for your performance in an environment that will challenge you and give you clear direction on what it takes to succeed in your role as well as provide development for other roles you may be interested in.
**Required Qualifications:**
* PhD in Statistics, Mathematics, Computer Science or related field
* 3\+ years of AI/ML experience (LLM, NLP)
* 3\+ years of experience with Python, classical ML methods and deep learning, including deep learning frameworks such as PyTorch or Tensorflow
* Proven publication track record in top ML/NLP conferences/journals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
      <c r="A13" t="inlineStr">
        <is>
          <t>in-f6db3ef07b7c91d6</t>
        </is>
      </c>
      <c r="B13" t="inlineStr">
        <is>
          <t>Senior Data Scientist</t>
        </is>
      </c>
      <c r="C13" t="inlineStr">
        <is>
          <t>Symbotic</t>
        </is>
      </c>
      <c r="D13" t="inlineStr">
        <is>
          <t>indeed</t>
        </is>
      </c>
      <c r="E13" t="inlineStr"/>
      <c r="F13" t="inlineStr"/>
      <c r="G13" t="inlineStr">
        <is>
          <t>Wilmington, MA, US</t>
        </is>
      </c>
      <c r="H13" s="1" t="n">
        <v>46071</v>
      </c>
      <c r="I13"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seeking a self\-driven, analytical, and strategic Senior Data Scientist to serve as a foundational individual contributor within our warehouse automation organization.
This role is highly impactful and hands\-on. You will own deep performance analysis across our rapidly scaling automation systems and partner closely with engineering, operations, software, and leadership to uncover patterns, drive improvements, and scale performance monitoring from one site to many.
What you’ll do
You will operate as a technical leader—shaping analytics frameworks, influencing system design, and translating complex operational data into actionable insight.
The ideal candidate thrives in ambiguity, enjoys working across data and engineering boundaries, and brings strong technical depth paired with clear business communication. You’ll apply advanced analytics (and AI/ML where appropriate) to move beyond surface\-level metrics and expose hidden inefficiencies that materially impact system performance.* Independently analyze and model performance across robotic and non\-robotic automation systems (e.g., conveyors, sorters, robotic arms, WES/WCS software).
* Dive deeply into data to uncover inefficiencies, bottlenecks, and root causes—going well beyond standard dashboards.
* Identify gaps in telemetry and partner with software teams to define new data contracts and instrumentation within a microservice\-based, event\-driven architecture.
* Design and implement foundational data models and KPIs for automation system performance.
* Build dashboards, visualizations, and analytical tools that clearly communicate trends, patterns, and performance drivers.
* Translate complex analytical findings into clear recommendations for engineering, operations, and leadership.
* Collaborate closely with engineering teams to influence automation behavior, system rules, and architectural decisions based on analytical insights.
* Establish scalable frameworks for performance monitoring, data governance, and cross\-site analytics.
* Apply advanced analytics or AI/ML techniques where appropriate to identify leading indicators of degradation, bottlenecks, or systemic inefficiencies.
* Launch repeatable analysis processes across multiple warehouse deployments.
* Maintain a regular communication cadence with stakeholders to ensure insights translate into operational improvements.
* Act as a subject\-matter expert in automation performance analytics, mentoring peers informally and raising analytical standards across the organization.
What you’ll need* Bachelor’s degree or higher in Data Science, Engineering, Applied Mathematics, or a related technical field.
* Minimum of 8 years of experience in data analytics, performance engineering, or automation systems analysis—ideally in logistics, manufacturing, or warehousing environments.
* Strong proficiency with SQL and Python (or similar), with experience using platforms such as Snowflake, BigQuery, or equivalent.
* Experience with data visualization tools such as Tableau, or Grafana.
* Solid understanding of microservices and event\-driven architectures (e.g., Kafka, RabbitMQ) and extracting insight from distributed systems.
* Proven ability to operate independently in ambiguous, data\-scarce environments and build analytical structure from scratch.
* Strong written and verbal communication skills, with experience presenting complex insights to senior technical and operational audiences.
* Exposure to structured logging and telemetry pipelines (e.g., ELK, Loki, Prometheus).
* Experience applying AI/ML techniques for predictive analytics, anomaly detection, or system modeling (e.g., scikit\-learn, TensorFlow, Azure ML).
* Understanding of queuing theory, simulation modeling, or performance benchmarking in automated environments.
Our environment* Up to 10% of travel may be required. Employees must have a valid driver’s license and the ability to drive and/or fly to client and other customer locations.
* The employee is responsible for owning a credit card and managing expenses personally to be reimbursed on a bi\-weekly basis.
\#LI\-GJ1
\#LI\-Hybrid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The base range for this position in the posted location is $125,000\.00 \- $171,600\.00 however, base pay offered may vary depending on job\-related knowledge, skills, and experience. The compensation package includes medical, dental, vision, disability, 401K, PTO and/or other benefits.</t>
        </is>
      </c>
    </row>
    <row r="14">
      <c r="A14" t="inlineStr">
        <is>
          <t>in-7513097cf0518868</t>
        </is>
      </c>
      <c r="B14" t="inlineStr">
        <is>
          <t>Principal Data Scientist</t>
        </is>
      </c>
      <c r="C14" t="inlineStr">
        <is>
          <t>Northrop Grumman</t>
        </is>
      </c>
      <c r="D14" t="inlineStr">
        <is>
          <t>indeed</t>
        </is>
      </c>
      <c r="E14" t="inlineStr"/>
      <c r="F14" t="inlineStr"/>
      <c r="G14" t="inlineStr">
        <is>
          <t>Melbourne, FL, US</t>
        </is>
      </c>
      <c r="H14" s="1" t="n">
        <v>46069</v>
      </c>
      <c r="I14"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Northrop Grumman Aeronautics Systems Sector is seeking a qualified and innovative **Principal Data Scientist** to join our Model Based Test \&amp; Evaluation (MBTE) team. This role is pivotal in driving advancements in cutting\-edge technology, and we are looking for a creative thinker who thrives in a dynamic environment. This position will be located in **Melbourne, Florida.**
***Note****: Due to the classified nature of the work being performed, this position does not offer any virtual or telecommute working options.*
**Responsibilities may include but are not limited to:**
* Developing and implementing a Digital Engineering strategy that utilizes Digital Twin technology for validating software and hardware modifications, test regression, and airworthiness verification tests.
* Identifying and solving complex problems to showcase high\-fidelity, multi\-level vehicle performance virtually.
* Developing and implementing a Digital Engineering strategy that utilizes Digital Twin technology for validating software and hardware modifications, test regression, and airworthiness verification tests.
* Proactively identifying and solving complex problems to showcase high\-fidelity, multi\-level vehicle performance virtually.
* Collaborating regularly with Program Management, external suppliers, and government customers.
* Leveraging technical expertise to address complex integration challenges.
**Basic Qualifications for Principal Data Scientist:**
* Bachelor of Science degree in a STEM (Science, Technology, Engineering or Mathematics) discipline with 5 years of relevant experience; OR Master of Science degree in a STEM (Science, Technology, Engineering or Mathematics) discipline with 3 years of relevant experience; OR PhD in a Science, Technology, Engineering or Mathematics discipline with 1 year of relevant experience.
* Your ability to transfer and maintain the final adjudicated government **Secret** clearance (DoD must be in\-scope or enrolled in Continuous Evaluation) and any program access(es) required for the position within a reasonable period of time, as determined by the Company.
* Demonstrated knowledge and experience in model uncertainty analysis, error modeling, and/or error propagation
* Proficiency in statistical software.
**Preferred Qualifications:**
* Knowledgeable in Python or MATLAB.
* Practical experience with Modern C\+\+ in an Agile development environment.
* Familiarity with Design of Experiments (DOE) and design optimization techniques.
* Published work on advanced algorithms or mathematics.
* Active Top\-Secret clearance.
**\#AS\-FA3**
Primary Level Salary Range: $108,200\.00 \- $162,400\.00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5">
      <c r="A15" t="inlineStr">
        <is>
          <t>in-194b31e5d67889e0</t>
        </is>
      </c>
      <c r="B15" t="inlineStr">
        <is>
          <t>Sr. Applied Scientist, Sponsored Products Off-Search Sourcing</t>
        </is>
      </c>
      <c r="C15" t="inlineStr">
        <is>
          <t>Amazon.com</t>
        </is>
      </c>
      <c r="D15" t="inlineStr">
        <is>
          <t>indeed</t>
        </is>
      </c>
      <c r="E15" t="inlineStr"/>
      <c r="F15" t="inlineStr"/>
      <c r="G15" t="inlineStr">
        <is>
          <t>Palo Alto, CA, US</t>
        </is>
      </c>
      <c r="H15" s="1" t="n">
        <v>46049</v>
      </c>
      <c r="I15"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6">
      <c r="A16" t="inlineStr">
        <is>
          <t>in-d9619413c3d7ebfd</t>
        </is>
      </c>
      <c r="B16" t="inlineStr">
        <is>
          <t>Sr. Applied Scientist, Sponsored Products Off-Search Sourcing</t>
        </is>
      </c>
      <c r="C16" t="inlineStr">
        <is>
          <t>Amazon.com</t>
        </is>
      </c>
      <c r="D16" t="inlineStr">
        <is>
          <t>indeed</t>
        </is>
      </c>
      <c r="E16" t="inlineStr"/>
      <c r="F16" t="inlineStr"/>
      <c r="G16" t="inlineStr">
        <is>
          <t>Seattle, WA, US</t>
        </is>
      </c>
      <c r="H16" s="1" t="n">
        <v>46049</v>
      </c>
      <c r="I16"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7">
      <c r="A17" t="inlineStr">
        <is>
          <t>in-6783c2cda9d8e70b</t>
        </is>
      </c>
      <c r="B17" t="inlineStr">
        <is>
          <t>Sr. Applied Scientist, Sponsored Products Off-Search Sourcing</t>
        </is>
      </c>
      <c r="C17" t="inlineStr">
        <is>
          <t>Amazon.com</t>
        </is>
      </c>
      <c r="D17" t="inlineStr">
        <is>
          <t>indeed</t>
        </is>
      </c>
      <c r="E17" t="inlineStr"/>
      <c r="F17" t="inlineStr"/>
      <c r="G17" t="inlineStr">
        <is>
          <t>New York, NY, US</t>
        </is>
      </c>
      <c r="H17" s="1" t="n">
        <v>46049</v>
      </c>
      <c r="I1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8">
      <c r="A18" t="inlineStr">
        <is>
          <t>in-0c94d4359f466be3</t>
        </is>
      </c>
      <c r="B18" t="inlineStr">
        <is>
          <t>Principal Applied Scientist, AWS Science of Security</t>
        </is>
      </c>
      <c r="C18" t="inlineStr">
        <is>
          <t>Amazon.com</t>
        </is>
      </c>
      <c r="D18" t="inlineStr">
        <is>
          <t>indeed</t>
        </is>
      </c>
      <c r="E18" t="inlineStr"/>
      <c r="F18" t="inlineStr"/>
      <c r="G18" t="inlineStr">
        <is>
          <t>New York, NY, US</t>
        </is>
      </c>
      <c r="H18" s="1" t="n">
        <v>46049</v>
      </c>
      <c r="I18"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19">
      <c r="A19" t="inlineStr">
        <is>
          <t>in-e57a97a358e74c7b</t>
        </is>
      </c>
      <c r="B19" t="inlineStr">
        <is>
          <t>Principal Applied Scientist, AWS Science of Security</t>
        </is>
      </c>
      <c r="C19" t="inlineStr">
        <is>
          <t>Amazon.com</t>
        </is>
      </c>
      <c r="D19" t="inlineStr">
        <is>
          <t>indeed</t>
        </is>
      </c>
      <c r="E19" t="inlineStr"/>
      <c r="F19" t="inlineStr"/>
      <c r="G19" t="inlineStr">
        <is>
          <t>Arlington, VA, US</t>
        </is>
      </c>
      <c r="H19" s="1" t="n">
        <v>46049</v>
      </c>
      <c r="I19"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20">
      <c r="A20" t="inlineStr">
        <is>
          <t>in-9f708a793557347c</t>
        </is>
      </c>
      <c r="B20" t="inlineStr">
        <is>
          <t>Principal Applied Scientist, AWS Science of Security</t>
        </is>
      </c>
      <c r="C20" t="inlineStr">
        <is>
          <t>Amazon.com</t>
        </is>
      </c>
      <c r="D20" t="inlineStr">
        <is>
          <t>indeed</t>
        </is>
      </c>
      <c r="E20" t="inlineStr"/>
      <c r="F20" t="inlineStr"/>
      <c r="G20" t="inlineStr">
        <is>
          <t>Seattle, WA, US</t>
        </is>
      </c>
      <c r="H20" s="1" t="n">
        <v>46049</v>
      </c>
      <c r="I20" t="inlineStr">
        <is>
          <t>**DESCRIPTION**
---------------
Principal Applied Scientists in AWS Science of Security are dedicated to making AWS the best computing service in the world for customers who require advanced and rigorous solutions for security, privacy, and sovereignty.
Key job responsibilities  
The successful candidate will:
* Solve large or significantly complex problems that require deep knowledge and understanding of your domain and scientific innovation.
* Own strategic problem solving, and take the lead on the design, implementation, and delivery for solutions that have a long\-term quantifiable impact.
* Povide cross\-organizational technical influence, increasing productivity and effectiveness by sharing your deep knowledge and experience.
* Develop strategic plans to identify fundamentally new solutions for business problems.
* Assist in the career development of others, actively mentoring individuals and the community on advanced technical issues.
A day in the life  
This is a unique and rare opportunity to get in early on a fast\-growing segment of AWS and help shape the technology, product and the business. You will have a chance to utilize your deep technical experience within a fast moving, start\-up environment and make a large business and customer impact.**BASIC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\- 218,800\.00 \- 295,900\.00 USD annually  
USA, VA, Arlington \- 198,900\.00 \- 269,000\.00 USD annually  
USA, WA, Seattle \- 198,900\.00 \- 269,000\.00 USD annually</t>
        </is>
      </c>
    </row>
    <row r="21">
      <c r="A21" t="inlineStr">
        <is>
          <t>in-be8b41ea00877f9d</t>
        </is>
      </c>
      <c r="B21" t="inlineStr">
        <is>
          <t>Applied Scientist II, Prime Video Personalization and Discovery Science</t>
        </is>
      </c>
      <c r="C21" t="inlineStr">
        <is>
          <t>Amazon.com</t>
        </is>
      </c>
      <c r="D21" t="inlineStr">
        <is>
          <t>indeed</t>
        </is>
      </c>
      <c r="E21" t="inlineStr"/>
      <c r="F21" t="inlineStr"/>
      <c r="G21" t="inlineStr">
        <is>
          <t>New York, NY, US</t>
        </is>
      </c>
      <c r="H21" s="1" t="n">
        <v>46047</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
      <c r="A22" t="inlineStr">
        <is>
          <t>in-60100845be02abf4</t>
        </is>
      </c>
      <c r="B22" t="inlineStr">
        <is>
          <t>Applied Scientist II, Prime Video Personalization and Discovery Science</t>
        </is>
      </c>
      <c r="C22" t="inlineStr">
        <is>
          <t>Amazon.com</t>
        </is>
      </c>
      <c r="D22" t="inlineStr">
        <is>
          <t>indeed</t>
        </is>
      </c>
      <c r="E22" t="inlineStr"/>
      <c r="F22" t="inlineStr"/>
      <c r="G22" t="inlineStr">
        <is>
          <t>Seattle, WA, US</t>
        </is>
      </c>
      <c r="H22" s="1" t="n">
        <v>46047</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
      <c r="A23" t="inlineStr">
        <is>
          <t>in-bbf8eb6f547a3f4b</t>
        </is>
      </c>
      <c r="B23" t="inlineStr">
        <is>
          <t>Applied Scientist II, Prime Video Personalization and Discovery Science</t>
        </is>
      </c>
      <c r="C23" t="inlineStr">
        <is>
          <t>Amazon.com</t>
        </is>
      </c>
      <c r="D23" t="inlineStr">
        <is>
          <t>indeed</t>
        </is>
      </c>
      <c r="E23" t="inlineStr"/>
      <c r="F23" t="inlineStr"/>
      <c r="G23" t="inlineStr">
        <is>
          <t>Sunnyvale, CA, US</t>
        </is>
      </c>
      <c r="H23" s="1" t="n">
        <v>46047</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
      <c r="A24" t="inlineStr">
        <is>
          <t>in-1b8180a310d59f89</t>
        </is>
      </c>
      <c r="B24" t="inlineStr">
        <is>
          <t>Applied Scientist, Amazon Connect</t>
        </is>
      </c>
      <c r="C24" t="inlineStr">
        <is>
          <t>Amazon Web Services</t>
        </is>
      </c>
      <c r="D24" t="inlineStr">
        <is>
          <t>indeed</t>
        </is>
      </c>
      <c r="E24" t="inlineStr"/>
      <c r="F24" t="inlineStr"/>
      <c r="G24" t="inlineStr">
        <is>
          <t>New York, NY, US</t>
        </is>
      </c>
      <c r="H24" s="1" t="n">
        <v>46047</v>
      </c>
      <c r="I2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5">
      <c r="A25" t="inlineStr">
        <is>
          <t>in-073b34f412b10e1e</t>
        </is>
      </c>
      <c r="B25" t="inlineStr">
        <is>
          <t>Applied Scientist, Amazon Connect</t>
        </is>
      </c>
      <c r="C25" t="inlineStr">
        <is>
          <t>Amazon Web Services</t>
        </is>
      </c>
      <c r="D25" t="inlineStr">
        <is>
          <t>indeed</t>
        </is>
      </c>
      <c r="E25" t="inlineStr"/>
      <c r="F25" t="inlineStr"/>
      <c r="G25" t="inlineStr">
        <is>
          <t>Seattle, WA, US</t>
        </is>
      </c>
      <c r="H25" s="1" t="n">
        <v>46047</v>
      </c>
      <c r="I2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6">
      <c r="A26" t="inlineStr">
        <is>
          <t>in-41b39fd2348362ca</t>
        </is>
      </c>
      <c r="B26" t="inlineStr">
        <is>
          <t>Applied Scientist, Safety ML</t>
        </is>
      </c>
      <c r="C26" t="inlineStr">
        <is>
          <t>Amazon.com</t>
        </is>
      </c>
      <c r="D26" t="inlineStr">
        <is>
          <t>indeed</t>
        </is>
      </c>
      <c r="E26" t="inlineStr"/>
      <c r="F26" t="inlineStr"/>
      <c r="G26" t="inlineStr">
        <is>
          <t>San Francisco, CA, US</t>
        </is>
      </c>
      <c r="H26" s="1" t="n">
        <v>46037</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7">
      <c r="A27" t="inlineStr">
        <is>
          <t>in-8d29689f617b00f5</t>
        </is>
      </c>
      <c r="B27" t="inlineStr">
        <is>
          <t>Applied Scientist, Safety ML</t>
        </is>
      </c>
      <c r="C27" t="inlineStr">
        <is>
          <t>Amazon.com</t>
        </is>
      </c>
      <c r="D27" t="inlineStr">
        <is>
          <t>indeed</t>
        </is>
      </c>
      <c r="E27" t="inlineStr"/>
      <c r="F27" t="inlineStr"/>
      <c r="G27" t="inlineStr">
        <is>
          <t>Seattle, WA, US</t>
        </is>
      </c>
      <c r="H27" s="1" t="n">
        <v>46037</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28">
      <c r="A28" t="inlineStr">
        <is>
          <t>in-97a981a282ffbb27</t>
        </is>
      </c>
      <c r="B28" t="inlineStr">
        <is>
          <t>Applied Scientist, LLM Code Agents, Kiro Science</t>
        </is>
      </c>
      <c r="C28" t="inlineStr">
        <is>
          <t>Amazon.com</t>
        </is>
      </c>
      <c r="D28" t="inlineStr">
        <is>
          <t>indeed</t>
        </is>
      </c>
      <c r="E28" t="inlineStr"/>
      <c r="F28" t="inlineStr"/>
      <c r="G28" t="inlineStr">
        <is>
          <t>Santa Clara, CA, US</t>
        </is>
      </c>
      <c r="H28" s="1" t="n">
        <v>46035</v>
      </c>
      <c r="I2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29">
      <c r="A29" t="inlineStr">
        <is>
          <t>in-f8d6725bb3d531a0</t>
        </is>
      </c>
      <c r="B29" t="inlineStr">
        <is>
          <t>Applied Scientist, LLM Code Agents, Kiro Science</t>
        </is>
      </c>
      <c r="C29" t="inlineStr">
        <is>
          <t>Amazon.com</t>
        </is>
      </c>
      <c r="D29" t="inlineStr">
        <is>
          <t>indeed</t>
        </is>
      </c>
      <c r="E29" t="inlineStr"/>
      <c r="F29" t="inlineStr"/>
      <c r="G29" t="inlineStr">
        <is>
          <t>Seattle, WA, US</t>
        </is>
      </c>
      <c r="H29" s="1" t="n">
        <v>46035</v>
      </c>
      <c r="I2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0">
      <c r="A30" t="inlineStr">
        <is>
          <t>in-87983d0809b72dca</t>
        </is>
      </c>
      <c r="B30" t="inlineStr">
        <is>
          <t>Applied Scientist II, Prime Video Personalization and Discovery Science</t>
        </is>
      </c>
      <c r="C30" t="inlineStr">
        <is>
          <t>Amazon.com</t>
        </is>
      </c>
      <c r="D30" t="inlineStr">
        <is>
          <t>indeed</t>
        </is>
      </c>
      <c r="E30" t="inlineStr"/>
      <c r="F30" t="inlineStr"/>
      <c r="G30" t="inlineStr">
        <is>
          <t>Seattle, WA, US</t>
        </is>
      </c>
      <c r="H30" s="1" t="n">
        <v>46034</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1">
      <c r="A31" t="inlineStr">
        <is>
          <t>in-84178450830353e1</t>
        </is>
      </c>
      <c r="B31" t="inlineStr">
        <is>
          <t>Applied Scientist II, Prime Video Personalization and Discovery Science</t>
        </is>
      </c>
      <c r="C31" t="inlineStr">
        <is>
          <t>Amazon.com</t>
        </is>
      </c>
      <c r="D31" t="inlineStr">
        <is>
          <t>indeed</t>
        </is>
      </c>
      <c r="E31" t="inlineStr"/>
      <c r="F31" t="inlineStr"/>
      <c r="G31" t="inlineStr">
        <is>
          <t>Sunnyvale, CA, US</t>
        </is>
      </c>
      <c r="H31" s="1" t="n">
        <v>46034</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2">
      <c r="A32" t="inlineStr">
        <is>
          <t>in-d442bfeb1bf5bcc7</t>
        </is>
      </c>
      <c r="B32" t="inlineStr">
        <is>
          <t>Applied Scientist, Alexa Smart Home</t>
        </is>
      </c>
      <c r="C32" t="inlineStr">
        <is>
          <t>Amazon.com</t>
        </is>
      </c>
      <c r="D32" t="inlineStr">
        <is>
          <t>indeed</t>
        </is>
      </c>
      <c r="E32" t="inlineStr"/>
      <c r="F32" t="inlineStr"/>
      <c r="G32" t="inlineStr">
        <is>
          <t>Seattle, WA, US</t>
        </is>
      </c>
      <c r="H32" s="1" t="n">
        <v>46033</v>
      </c>
      <c r="I3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3">
      <c r="A33" t="inlineStr">
        <is>
          <t>in-fe9093a8d469b577</t>
        </is>
      </c>
      <c r="B33" t="inlineStr">
        <is>
          <t>Applied Scientist, Alexa Smart Home</t>
        </is>
      </c>
      <c r="C33" t="inlineStr">
        <is>
          <t>Amazon.com</t>
        </is>
      </c>
      <c r="D33" t="inlineStr">
        <is>
          <t>indeed</t>
        </is>
      </c>
      <c r="E33" t="inlineStr"/>
      <c r="F33" t="inlineStr"/>
      <c r="G33" t="inlineStr">
        <is>
          <t>Sunnyvale, CA, US</t>
        </is>
      </c>
      <c r="H33" s="1" t="n">
        <v>46033</v>
      </c>
      <c r="I3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4">
      <c r="A34" t="inlineStr">
        <is>
          <t>in-4da9ca256af822e5</t>
        </is>
      </c>
      <c r="B34" t="inlineStr">
        <is>
          <t>Applied Scientist, AWS Applied AI Solutions</t>
        </is>
      </c>
      <c r="C34" t="inlineStr">
        <is>
          <t>Amazon Web Services</t>
        </is>
      </c>
      <c r="D34" t="inlineStr">
        <is>
          <t>indeed</t>
        </is>
      </c>
      <c r="E34" t="inlineStr"/>
      <c r="F34" t="inlineStr"/>
      <c r="G34" t="inlineStr">
        <is>
          <t>New York, NY, US</t>
        </is>
      </c>
      <c r="H34" s="1" t="n">
        <v>46030</v>
      </c>
      <c r="I3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5">
      <c r="A35" t="inlineStr">
        <is>
          <t>in-b30611feb6579891</t>
        </is>
      </c>
      <c r="B35" t="inlineStr">
        <is>
          <t>Applied Scientist, AWS Applied AI Solutions</t>
        </is>
      </c>
      <c r="C35" t="inlineStr">
        <is>
          <t>Amazon Web Services</t>
        </is>
      </c>
      <c r="D35" t="inlineStr">
        <is>
          <t>indeed</t>
        </is>
      </c>
      <c r="E35" t="inlineStr"/>
      <c r="F35" t="inlineStr"/>
      <c r="G35" t="inlineStr">
        <is>
          <t>Seattle, WA, US</t>
        </is>
      </c>
      <c r="H35" s="1" t="n">
        <v>46030</v>
      </c>
      <c r="I3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6">
      <c r="A36" t="inlineStr">
        <is>
          <t>in-df24411b2c6833c3</t>
        </is>
      </c>
      <c r="B36" t="inlineStr">
        <is>
          <t>Applied Scientist, Last Mile Delivery Automation</t>
        </is>
      </c>
      <c r="C36" t="inlineStr">
        <is>
          <t>Amazon.com</t>
        </is>
      </c>
      <c r="D36" t="inlineStr">
        <is>
          <t>indeed</t>
        </is>
      </c>
      <c r="E36" t="inlineStr"/>
      <c r="F36" t="inlineStr"/>
      <c r="G36" t="inlineStr">
        <is>
          <t>Bellevue, WA, US</t>
        </is>
      </c>
      <c r="H36" s="1" t="n">
        <v>46026</v>
      </c>
      <c r="I3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in-616c5bdf0feb2f22</t>
        </is>
      </c>
      <c r="B37" t="inlineStr">
        <is>
          <t>Applied Scientist, Last Mile Delivery Automation</t>
        </is>
      </c>
      <c r="C37" t="inlineStr">
        <is>
          <t>Amazon.com</t>
        </is>
      </c>
      <c r="D37" t="inlineStr">
        <is>
          <t>indeed</t>
        </is>
      </c>
      <c r="E37" t="inlineStr"/>
      <c r="F37" t="inlineStr"/>
      <c r="G37" t="inlineStr">
        <is>
          <t>Santa Clara, CA, US</t>
        </is>
      </c>
      <c r="H37" s="1" t="n">
        <v>46026</v>
      </c>
      <c r="I3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in-01945f69eb5ea687</t>
        </is>
      </c>
      <c r="B38" t="inlineStr">
        <is>
          <t>Senior Applied Scientist, Sponsored Products and Brands, Off-Search</t>
        </is>
      </c>
      <c r="C38" t="inlineStr">
        <is>
          <t>Amazon.com</t>
        </is>
      </c>
      <c r="D38" t="inlineStr">
        <is>
          <t>indeed</t>
        </is>
      </c>
      <c r="E38" t="inlineStr"/>
      <c r="F38" t="inlineStr"/>
      <c r="G38" t="inlineStr">
        <is>
          <t>Seattle, WA, US</t>
        </is>
      </c>
      <c r="H38" s="1" t="n">
        <v>46017</v>
      </c>
      <c r="I3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in-1c2c4fb9dd3ce117</t>
        </is>
      </c>
      <c r="B39" t="inlineStr">
        <is>
          <t>Senior Applied Scientist, Sponsored Products and Brands, Off-Search</t>
        </is>
      </c>
      <c r="C39" t="inlineStr">
        <is>
          <t>Amazon.com</t>
        </is>
      </c>
      <c r="D39" t="inlineStr">
        <is>
          <t>indeed</t>
        </is>
      </c>
      <c r="E39" t="inlineStr"/>
      <c r="F39" t="inlineStr"/>
      <c r="G39" t="inlineStr">
        <is>
          <t>New York, NY, US</t>
        </is>
      </c>
      <c r="H39" s="1" t="n">
        <v>46017</v>
      </c>
      <c r="I3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in-a38b6475b2ccb6ab</t>
        </is>
      </c>
      <c r="B40" t="inlineStr">
        <is>
          <t>Senior Applied Scientist, Sponsored Products and Brands, Off-Search</t>
        </is>
      </c>
      <c r="C40" t="inlineStr">
        <is>
          <t>Amazon.com</t>
        </is>
      </c>
      <c r="D40" t="inlineStr">
        <is>
          <t>indeed</t>
        </is>
      </c>
      <c r="E40" t="inlineStr"/>
      <c r="F40" t="inlineStr"/>
      <c r="G40" t="inlineStr">
        <is>
          <t>Palo Alto, CA, US</t>
        </is>
      </c>
      <c r="H40" s="1" t="n">
        <v>46017</v>
      </c>
      <c r="I4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in-d81cb3550ce6afa4</t>
        </is>
      </c>
      <c r="B41" t="inlineStr">
        <is>
          <t>Applied Scientist II, Prime Video - Personalization and Discovery Science</t>
        </is>
      </c>
      <c r="C41" t="inlineStr">
        <is>
          <t>Amazon.com</t>
        </is>
      </c>
      <c r="D41" t="inlineStr">
        <is>
          <t>indeed</t>
        </is>
      </c>
      <c r="E41" t="inlineStr"/>
      <c r="F41" t="inlineStr"/>
      <c r="G41" t="inlineStr">
        <is>
          <t>Seattle, WA, US</t>
        </is>
      </c>
      <c r="H41" s="1" t="n">
        <v>46012</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2">
      <c r="A42" t="inlineStr">
        <is>
          <t>in-886c5151503881c9</t>
        </is>
      </c>
      <c r="B42" t="inlineStr">
        <is>
          <t>Applied Scientist II, Prime Video - Personalization and Discovery Science</t>
        </is>
      </c>
      <c r="C42" t="inlineStr">
        <is>
          <t>Amazon.com</t>
        </is>
      </c>
      <c r="D42" t="inlineStr">
        <is>
          <t>indeed</t>
        </is>
      </c>
      <c r="E42" t="inlineStr"/>
      <c r="F42" t="inlineStr"/>
      <c r="G42" t="inlineStr">
        <is>
          <t>Sunnyvale, CA, US</t>
        </is>
      </c>
      <c r="H42" s="1" t="n">
        <v>46012</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3">
      <c r="A43" t="inlineStr">
        <is>
          <t>in-385689637c8a7fd3</t>
        </is>
      </c>
      <c r="B43" t="inlineStr">
        <is>
          <t>Applied Scientist, Delivery Foundation Model</t>
        </is>
      </c>
      <c r="C43" t="inlineStr">
        <is>
          <t>Amazon.com</t>
        </is>
      </c>
      <c r="D43" t="inlineStr">
        <is>
          <t>indeed</t>
        </is>
      </c>
      <c r="E43" t="inlineStr"/>
      <c r="F43" t="inlineStr"/>
      <c r="G43" t="inlineStr">
        <is>
          <t>Santa Clara, CA, US</t>
        </is>
      </c>
      <c r="H43" s="1" t="n">
        <v>46009</v>
      </c>
      <c r="I4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44">
      <c r="A44" t="inlineStr">
        <is>
          <t>in-eac1a73c4419a10d</t>
        </is>
      </c>
      <c r="B44" t="inlineStr">
        <is>
          <t>Applied Scientist, Delivery Foundation Model</t>
        </is>
      </c>
      <c r="C44" t="inlineStr">
        <is>
          <t>Amazon.com</t>
        </is>
      </c>
      <c r="D44" t="inlineStr">
        <is>
          <t>indeed</t>
        </is>
      </c>
      <c r="E44" t="inlineStr"/>
      <c r="F44" t="inlineStr"/>
      <c r="G44" t="inlineStr">
        <is>
          <t>Bellevue, WA, US</t>
        </is>
      </c>
      <c r="H44" s="1" t="n">
        <v>46009</v>
      </c>
      <c r="I4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45">
      <c r="A45" t="inlineStr">
        <is>
          <t>in-0943f0b4d77c0e31</t>
        </is>
      </c>
      <c r="B45" t="inlineStr">
        <is>
          <t>Principal Applied Scientist, Kiro Science</t>
        </is>
      </c>
      <c r="C45" t="inlineStr">
        <is>
          <t>Amazon Web Services</t>
        </is>
      </c>
      <c r="D45" t="inlineStr">
        <is>
          <t>indeed</t>
        </is>
      </c>
      <c r="E45" t="inlineStr"/>
      <c r="F45" t="inlineStr"/>
      <c r="G45" t="inlineStr">
        <is>
          <t>Santa Clara, CA, US</t>
        </is>
      </c>
      <c r="H45" s="1" t="n">
        <v>45999</v>
      </c>
      <c r="I4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6">
      <c r="A46" t="inlineStr">
        <is>
          <t>in-e74993c3f8d0f30b</t>
        </is>
      </c>
      <c r="B46" t="inlineStr">
        <is>
          <t>Principal Applied Scientist, Kiro Science</t>
        </is>
      </c>
      <c r="C46" t="inlineStr">
        <is>
          <t>Amazon Web Services</t>
        </is>
      </c>
      <c r="D46" t="inlineStr">
        <is>
          <t>indeed</t>
        </is>
      </c>
      <c r="E46" t="inlineStr"/>
      <c r="F46" t="inlineStr"/>
      <c r="G46" t="inlineStr">
        <is>
          <t>New York, NY, US</t>
        </is>
      </c>
      <c r="H46" s="1" t="n">
        <v>45999</v>
      </c>
      <c r="I4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47">
      <c r="A47" t="inlineStr">
        <is>
          <t>in-14cda893360df2f7</t>
        </is>
      </c>
      <c r="B47" t="inlineStr">
        <is>
          <t>Sr. Applied Scientist, Amazon Ads</t>
        </is>
      </c>
      <c r="C47" t="inlineStr">
        <is>
          <t>Amazon.com</t>
        </is>
      </c>
      <c r="D47" t="inlineStr">
        <is>
          <t>indeed</t>
        </is>
      </c>
      <c r="E47" t="inlineStr"/>
      <c r="F47" t="inlineStr"/>
      <c r="G47" t="inlineStr">
        <is>
          <t>Sunnyvale, CA, US</t>
        </is>
      </c>
      <c r="H47" s="1" t="n">
        <v>45998</v>
      </c>
      <c r="I4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8">
      <c r="A48" t="inlineStr">
        <is>
          <t>in-27c7a3c8de7f03b9</t>
        </is>
      </c>
      <c r="B48" t="inlineStr">
        <is>
          <t>Sr. Applied Scientist, Amazon Ads</t>
        </is>
      </c>
      <c r="C48" t="inlineStr">
        <is>
          <t>Amazon.com</t>
        </is>
      </c>
      <c r="D48" t="inlineStr">
        <is>
          <t>indeed</t>
        </is>
      </c>
      <c r="E48" t="inlineStr"/>
      <c r="F48" t="inlineStr"/>
      <c r="G48" t="inlineStr">
        <is>
          <t>Brooklyn, NY, US</t>
        </is>
      </c>
      <c r="H48" s="1" t="n">
        <v>45998</v>
      </c>
      <c r="I4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9">
      <c r="A49" t="inlineStr">
        <is>
          <t>in-f5c248a4e7f76445</t>
        </is>
      </c>
      <c r="B49" t="inlineStr">
        <is>
          <t>Sr. Applied Scientist, Amazon Ads</t>
        </is>
      </c>
      <c r="C49" t="inlineStr">
        <is>
          <t>Amazon.com</t>
        </is>
      </c>
      <c r="D49" t="inlineStr">
        <is>
          <t>indeed</t>
        </is>
      </c>
      <c r="E49" t="inlineStr"/>
      <c r="F49" t="inlineStr"/>
      <c r="G49" t="inlineStr">
        <is>
          <t>New York, NY, US</t>
        </is>
      </c>
      <c r="H49" s="1" t="n">
        <v>45998</v>
      </c>
      <c r="I4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0">
      <c r="A50" t="inlineStr">
        <is>
          <t>in-9fc2dab049d19396</t>
        </is>
      </c>
      <c r="B50" t="inlineStr">
        <is>
          <t>Sr. Applied Scientist, Amazon Ads</t>
        </is>
      </c>
      <c r="C50" t="inlineStr">
        <is>
          <t>Amazon.com</t>
        </is>
      </c>
      <c r="D50" t="inlineStr">
        <is>
          <t>indeed</t>
        </is>
      </c>
      <c r="E50" t="inlineStr"/>
      <c r="F50" t="inlineStr"/>
      <c r="G50" t="inlineStr">
        <is>
          <t>Boston, MA, US</t>
        </is>
      </c>
      <c r="H50" s="1" t="n">
        <v>45998</v>
      </c>
      <c r="I5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1">
      <c r="A51" t="inlineStr">
        <is>
          <t>in-82771f0ebe3403cd</t>
        </is>
      </c>
      <c r="B51" t="inlineStr">
        <is>
          <t>Sr. Applied Scientist, Amazon Ads</t>
        </is>
      </c>
      <c r="C51" t="inlineStr">
        <is>
          <t>Amazon.com</t>
        </is>
      </c>
      <c r="D51" t="inlineStr">
        <is>
          <t>indeed</t>
        </is>
      </c>
      <c r="E51" t="inlineStr"/>
      <c r="F51" t="inlineStr"/>
      <c r="G51" t="inlineStr">
        <is>
          <t>Santa Monica, CA, US</t>
        </is>
      </c>
      <c r="H51" s="1" t="n">
        <v>45998</v>
      </c>
      <c r="I5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2">
      <c r="A52" t="inlineStr">
        <is>
          <t>in-8d761b02cc588457</t>
        </is>
      </c>
      <c r="B52" t="inlineStr">
        <is>
          <t>Sr. Applied Scientist, Amazon Ads</t>
        </is>
      </c>
      <c r="C52" t="inlineStr">
        <is>
          <t>Amazon.com</t>
        </is>
      </c>
      <c r="D52" t="inlineStr">
        <is>
          <t>indeed</t>
        </is>
      </c>
      <c r="E52" t="inlineStr"/>
      <c r="F52" t="inlineStr"/>
      <c r="G52" t="inlineStr">
        <is>
          <t>Corvallis, OR, US</t>
        </is>
      </c>
      <c r="H52" s="1"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in-24188cb4646c8fb9</t>
        </is>
      </c>
      <c r="B53" t="inlineStr">
        <is>
          <t>Sr. Applied Scientist, Amazon Ads</t>
        </is>
      </c>
      <c r="C53" t="inlineStr">
        <is>
          <t>Amazon.com</t>
        </is>
      </c>
      <c r="D53" t="inlineStr">
        <is>
          <t>indeed</t>
        </is>
      </c>
      <c r="E53" t="inlineStr"/>
      <c r="F53" t="inlineStr"/>
      <c r="G53" t="inlineStr">
        <is>
          <t>Tukwila, WA, US</t>
        </is>
      </c>
      <c r="H53" s="1"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in-8f4beadcd362d0ce</t>
        </is>
      </c>
      <c r="B54" t="inlineStr">
        <is>
          <t>Sr. Applied Scientist, Amazon Ads</t>
        </is>
      </c>
      <c r="C54" t="inlineStr">
        <is>
          <t>Amazon.com</t>
        </is>
      </c>
      <c r="D54" t="inlineStr">
        <is>
          <t>indeed</t>
        </is>
      </c>
      <c r="E54" t="inlineStr"/>
      <c r="F54" t="inlineStr"/>
      <c r="G54" t="inlineStr">
        <is>
          <t>Palo Alto, CA, US</t>
        </is>
      </c>
      <c r="H54" s="1"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in-38d9dd9c39274368</t>
        </is>
      </c>
      <c r="B55" t="inlineStr">
        <is>
          <t>Sr. Applied Scientist, Amazon Ads</t>
        </is>
      </c>
      <c r="C55" t="inlineStr">
        <is>
          <t>Amazon.com</t>
        </is>
      </c>
      <c r="D55" t="inlineStr">
        <is>
          <t>indeed</t>
        </is>
      </c>
      <c r="E55" t="inlineStr"/>
      <c r="F55" t="inlineStr"/>
      <c r="G55" t="inlineStr">
        <is>
          <t>Seattle, WA, US</t>
        </is>
      </c>
      <c r="H55" s="1"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in-0dda2979185c958e</t>
        </is>
      </c>
      <c r="B56" t="inlineStr">
        <is>
          <t>Sr. Applied Scientist, Amazon Ads</t>
        </is>
      </c>
      <c r="C56" t="inlineStr">
        <is>
          <t>Amazon.com</t>
        </is>
      </c>
      <c r="D56" t="inlineStr">
        <is>
          <t>indeed</t>
        </is>
      </c>
      <c r="E56" t="inlineStr"/>
      <c r="F56" t="inlineStr"/>
      <c r="G56" t="inlineStr">
        <is>
          <t>Boulder, CO, US</t>
        </is>
      </c>
      <c r="H56" s="1"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in-db1cf17045a094e6</t>
        </is>
      </c>
      <c r="B57" t="inlineStr">
        <is>
          <t>Principal Applied Scientist, Sponsored Products and Brands</t>
        </is>
      </c>
      <c r="C57" t="inlineStr">
        <is>
          <t>Amazon.com</t>
        </is>
      </c>
      <c r="D57" t="inlineStr">
        <is>
          <t>indeed</t>
        </is>
      </c>
      <c r="E57" t="inlineStr"/>
      <c r="F57" t="inlineStr"/>
      <c r="G57" t="inlineStr">
        <is>
          <t>New York, NY, US</t>
        </is>
      </c>
      <c r="H57" s="1"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in-5ad1a37083ed296e</t>
        </is>
      </c>
      <c r="B58" t="inlineStr">
        <is>
          <t>Principal Applied Scientist, Sponsored Products and Brands</t>
        </is>
      </c>
      <c r="C58" t="inlineStr">
        <is>
          <t>Amazon.com</t>
        </is>
      </c>
      <c r="D58" t="inlineStr">
        <is>
          <t>indeed</t>
        </is>
      </c>
      <c r="E58" t="inlineStr"/>
      <c r="F58" t="inlineStr"/>
      <c r="G58" t="inlineStr">
        <is>
          <t>Seattle, WA, US</t>
        </is>
      </c>
      <c r="H58" s="1"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in-69caebac170ab1b1</t>
        </is>
      </c>
      <c r="B59" t="inlineStr">
        <is>
          <t>Applied Scientist, Personalization, DTx Science</t>
        </is>
      </c>
      <c r="C59" t="inlineStr">
        <is>
          <t>Amazon.com</t>
        </is>
      </c>
      <c r="D59" t="inlineStr">
        <is>
          <t>indeed</t>
        </is>
      </c>
      <c r="E59" t="inlineStr"/>
      <c r="F59" t="inlineStr"/>
      <c r="G59" t="inlineStr">
        <is>
          <t>New York, NY, US</t>
        </is>
      </c>
      <c r="H59" s="1" t="n">
        <v>45979</v>
      </c>
      <c r="I5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in-c346b08f2df009bc</t>
        </is>
      </c>
      <c r="B60" t="inlineStr">
        <is>
          <t>Applied Scientist, Personalization, DTx Science</t>
        </is>
      </c>
      <c r="C60" t="inlineStr">
        <is>
          <t>Amazon.com</t>
        </is>
      </c>
      <c r="D60" t="inlineStr">
        <is>
          <t>indeed</t>
        </is>
      </c>
      <c r="E60" t="inlineStr"/>
      <c r="F60" t="inlineStr"/>
      <c r="G60" t="inlineStr">
        <is>
          <t>Seattle, WA, US</t>
        </is>
      </c>
      <c r="H60" s="1" t="n">
        <v>45979</v>
      </c>
      <c r="I6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1">
      <c r="A61" t="inlineStr">
        <is>
          <t>in-908cc5f38f397e0c</t>
        </is>
      </c>
      <c r="B61" t="inlineStr">
        <is>
          <t>Senior Applied Scientist, Sponsored Products and Brands</t>
        </is>
      </c>
      <c r="C61" t="inlineStr">
        <is>
          <t>Amazon.com</t>
        </is>
      </c>
      <c r="D61" t="inlineStr">
        <is>
          <t>indeed</t>
        </is>
      </c>
      <c r="E61" t="inlineStr"/>
      <c r="F61" t="inlineStr"/>
      <c r="G61" t="inlineStr">
        <is>
          <t>Seattle, WA, US</t>
        </is>
      </c>
      <c r="H61" s="1" t="n">
        <v>45979</v>
      </c>
      <c r="I6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2">
      <c r="A62" t="inlineStr">
        <is>
          <t>in-ab7bed1fd02634e2</t>
        </is>
      </c>
      <c r="B62" t="inlineStr">
        <is>
          <t>Senior Applied Scientist, Sponsored Products and Brands</t>
        </is>
      </c>
      <c r="C62" t="inlineStr">
        <is>
          <t>Amazon.com</t>
        </is>
      </c>
      <c r="D62" t="inlineStr">
        <is>
          <t>indeed</t>
        </is>
      </c>
      <c r="E62" t="inlineStr"/>
      <c r="F62" t="inlineStr"/>
      <c r="G62" t="inlineStr">
        <is>
          <t>New York, NY, US</t>
        </is>
      </c>
      <c r="H62" s="1" t="n">
        <v>45979</v>
      </c>
      <c r="I6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63">
      <c r="A63" t="inlineStr">
        <is>
          <t>in-0780b8365a6ed384</t>
        </is>
      </c>
      <c r="B63" t="inlineStr">
        <is>
          <t>Applied Scientist II, Prime Video Personalization and Discovery Science</t>
        </is>
      </c>
      <c r="C63" t="inlineStr">
        <is>
          <t>Amazon.com</t>
        </is>
      </c>
      <c r="D63" t="inlineStr">
        <is>
          <t>indeed</t>
        </is>
      </c>
      <c r="E63" t="inlineStr"/>
      <c r="F63" t="inlineStr"/>
      <c r="G63" t="inlineStr">
        <is>
          <t>New York, NY, US</t>
        </is>
      </c>
      <c r="H63" s="1" t="n">
        <v>45978</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4">
      <c r="A64" t="inlineStr">
        <is>
          <t>in-d78e72f9ae6fc972</t>
        </is>
      </c>
      <c r="B64" t="inlineStr">
        <is>
          <t>Applied Scientist II, Prime Video Personalization and Discovery Science</t>
        </is>
      </c>
      <c r="C64" t="inlineStr">
        <is>
          <t>Amazon.com</t>
        </is>
      </c>
      <c r="D64" t="inlineStr">
        <is>
          <t>indeed</t>
        </is>
      </c>
      <c r="E64" t="inlineStr"/>
      <c r="F64" t="inlineStr"/>
      <c r="G64" t="inlineStr">
        <is>
          <t>Sunnyvale, CA, US</t>
        </is>
      </c>
      <c r="H64" s="1" t="n">
        <v>45978</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5">
      <c r="A65" t="inlineStr">
        <is>
          <t>in-62db1f13fd54f31d</t>
        </is>
      </c>
      <c r="B65" t="inlineStr">
        <is>
          <t>Applied Scientist II, Prime Video Personalization and Discovery Science</t>
        </is>
      </c>
      <c r="C65" t="inlineStr">
        <is>
          <t>Amazon.com</t>
        </is>
      </c>
      <c r="D65" t="inlineStr">
        <is>
          <t>indeed</t>
        </is>
      </c>
      <c r="E65" t="inlineStr"/>
      <c r="F65" t="inlineStr"/>
      <c r="G65" t="inlineStr">
        <is>
          <t>Seattle, WA, US</t>
        </is>
      </c>
      <c r="H65" s="1" t="n">
        <v>45978</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6">
      <c r="A66" t="inlineStr">
        <is>
          <t>in-9e6ae972c847b687</t>
        </is>
      </c>
      <c r="B66" t="inlineStr">
        <is>
          <t>Sr. Applied Scientist, Sponsored Products</t>
        </is>
      </c>
      <c r="C66" t="inlineStr">
        <is>
          <t>Amazon.com</t>
        </is>
      </c>
      <c r="D66" t="inlineStr">
        <is>
          <t>indeed</t>
        </is>
      </c>
      <c r="E66" t="inlineStr"/>
      <c r="F66" t="inlineStr"/>
      <c r="G66" t="inlineStr">
        <is>
          <t>Arlington, VA, US</t>
        </is>
      </c>
      <c r="H66" s="1" t="n">
        <v>45976</v>
      </c>
      <c r="I6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7">
      <c r="A67" t="inlineStr">
        <is>
          <t>in-90195ebb0a585f19</t>
        </is>
      </c>
      <c r="B67" t="inlineStr">
        <is>
          <t>Sr. Applied Scientist, Sponsored Products</t>
        </is>
      </c>
      <c r="C67" t="inlineStr">
        <is>
          <t>Amazon.com</t>
        </is>
      </c>
      <c r="D67" t="inlineStr">
        <is>
          <t>indeed</t>
        </is>
      </c>
      <c r="E67" t="inlineStr"/>
      <c r="F67" t="inlineStr"/>
      <c r="G67" t="inlineStr">
        <is>
          <t>New York, NY, US</t>
        </is>
      </c>
      <c r="H67" s="1" t="n">
        <v>45976</v>
      </c>
      <c r="I6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8">
      <c r="A68" t="inlineStr">
        <is>
          <t>in-8d6e687a2a59afaf</t>
        </is>
      </c>
      <c r="B68" t="inlineStr">
        <is>
          <t>Sr. Applied Scientist, Sponsored Products</t>
        </is>
      </c>
      <c r="C68" t="inlineStr">
        <is>
          <t>Amazon.com</t>
        </is>
      </c>
      <c r="D68" t="inlineStr">
        <is>
          <t>indeed</t>
        </is>
      </c>
      <c r="E68" t="inlineStr"/>
      <c r="F68" t="inlineStr"/>
      <c r="G68" t="inlineStr">
        <is>
          <t>Seattle, WA, US</t>
        </is>
      </c>
      <c r="H68" s="1" t="n">
        <v>45976</v>
      </c>
      <c r="I6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69">
      <c r="A69" t="inlineStr">
        <is>
          <t>in-ca9d79ed9e40eeee</t>
        </is>
      </c>
      <c r="B69" t="inlineStr">
        <is>
          <t>Zappos Data Scientist III, Zappos/Shopbop Catalog Engineering</t>
        </is>
      </c>
      <c r="C69" t="inlineStr">
        <is>
          <t>Amazon.com</t>
        </is>
      </c>
      <c r="D69" t="inlineStr">
        <is>
          <t>indeed</t>
        </is>
      </c>
      <c r="E69" t="inlineStr"/>
      <c r="F69" t="inlineStr"/>
      <c r="G69" t="inlineStr">
        <is>
          <t>New York, NY, US</t>
        </is>
      </c>
      <c r="H69" s="1" t="n">
        <v>45965</v>
      </c>
      <c r="I69" t="inlineStr">
        <is>
          <t>**DESCRIPTION**
---------------
As a Data Scientist on the Shopbop/Zappos Catalog Tech team, you will design and implement scientific approaches to revolutionize how we manage and enhance our product catalog data for our world\-class selection of Shoes, Kids, and Active wear. You will work with Zappos' Senior leadership team to solve complex data challenges through advanced analytics and machine learning \- creating innovative solutions and influencing product decisions through data\-driven insights. You will lead critical initiatives to reduce catalog errors, accelerate product data capture, and develop state\-of\-the\-art image classification systems for fashion features. You will partner daily with engineering teams and business stakeholders to provide expert guidance on model selection and implementation. As a member of the Zappos technical staff, you will leverage machine learning technologies and have access to industry leaders in AI/ML and E\-Commerce to help grow your expertise. You will also routinely collaborate with data science teams across our sister companies at Amazon.com and Shopbop.com. You will push the boundaries of what's possible with applied machine learning and bring innovative solutions to bear for customers (including computer vision, NLP, and advanced ML models). You will think big about how data science can transform our catalog operations and be persistent in delivering robust, scalable solutions.  
Key job responsibilities  
Design and implement machine learning approaches to improve catalog data quality. Develop and validate scientific methodologies for automated data capture and classification. Partner with engineering teams to integrate ML models into production systems. Create and present analysis that drives decision\-making at the senior leadership level.  
A day in the life  
You start the day reviewing model performance metrics, noting some drift in the image classification system that needs investigation. You spend the morning developing a new approach to reduce product attribute errors using recent advances in LLMs. In the afternoon, you meet with engineering teams to advise on model architecture for a new feature, and wrap up by analyzing the results of your latest A/B test on data capture efficiency improvements.  
About the team  
Zappos/Shopbop Catalog Tech team owns the software that drives our photostudio, product cataloging, and integration to Amazon's marketplace. We use Amazon's Leadership Principals and Engineering Expertise but have our own fun vibe. We are located in Madison WI, and Las Vegas NV.
**BASIC QUALIFICATIONS**
------------------------
* 5\+ years of data querying languages (e.g. SQL), scripting languages (e.g. Python) or statistical/mathematical software (e.g. R, SAS, Matlab, etc.) experience
* 4\+ years of data scientist experience
* Experience with statistical models e.g. multinomial logistic regression
* Bachelor's degree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\- 175,100\.00 \- 236,900\.00 USD annually  
USA, WI, Madison \- 159,200\.00 \- 215,300\.00 USD annually</t>
        </is>
      </c>
    </row>
    <row r="70">
      <c r="A70" t="inlineStr">
        <is>
          <t>in-6f5cb6de036092e9</t>
        </is>
      </c>
      <c r="B70" t="inlineStr">
        <is>
          <t>Applied Scientist, AWS Agentic AI</t>
        </is>
      </c>
      <c r="C70" t="inlineStr">
        <is>
          <t>Amazon Web Services</t>
        </is>
      </c>
      <c r="D70" t="inlineStr">
        <is>
          <t>indeed</t>
        </is>
      </c>
      <c r="E70" t="inlineStr"/>
      <c r="F70" t="inlineStr"/>
      <c r="G70" t="inlineStr">
        <is>
          <t>Seattle, WA, US</t>
        </is>
      </c>
      <c r="H70" s="1" t="n">
        <v>45962</v>
      </c>
      <c r="I7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in-b9e7e9941176a0fc</t>
        </is>
      </c>
      <c r="B71" t="inlineStr">
        <is>
          <t>Applied Scientist, AWS Agentic AI</t>
        </is>
      </c>
      <c r="C71" t="inlineStr">
        <is>
          <t>Amazon Web Services</t>
        </is>
      </c>
      <c r="D71" t="inlineStr">
        <is>
          <t>indeed</t>
        </is>
      </c>
      <c r="E71" t="inlineStr"/>
      <c r="F71" t="inlineStr"/>
      <c r="G71" t="inlineStr">
        <is>
          <t>New York, NY, US</t>
        </is>
      </c>
      <c r="H71" s="1" t="n">
        <v>45962</v>
      </c>
      <c r="I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in-7407a3015f09b4ac</t>
        </is>
      </c>
      <c r="B72" t="inlineStr">
        <is>
          <t>Applied Scientist, AWS Agentic AI</t>
        </is>
      </c>
      <c r="C72" t="inlineStr">
        <is>
          <t>Amazon Web Services</t>
        </is>
      </c>
      <c r="D72" t="inlineStr">
        <is>
          <t>indeed</t>
        </is>
      </c>
      <c r="E72" t="inlineStr"/>
      <c r="F72" t="inlineStr"/>
      <c r="G72" t="inlineStr">
        <is>
          <t>Santa Clara, CA, US</t>
        </is>
      </c>
      <c r="H72" s="1"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in-44e8c0fa0fdb27db</t>
        </is>
      </c>
      <c r="B73" t="inlineStr">
        <is>
          <t>Sr. Applied Scientist, Prime Video - Personalization and Discovery Science</t>
        </is>
      </c>
      <c r="C73" t="inlineStr">
        <is>
          <t>Amazon.com</t>
        </is>
      </c>
      <c r="D73" t="inlineStr">
        <is>
          <t>indeed</t>
        </is>
      </c>
      <c r="E73" t="inlineStr"/>
      <c r="F73" t="inlineStr"/>
      <c r="G73" t="inlineStr">
        <is>
          <t>Sunnyvale, CA, US</t>
        </is>
      </c>
      <c r="H73" s="1" t="n">
        <v>45959</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4">
      <c r="A74" t="inlineStr">
        <is>
          <t>in-82c4f5cb3b0ba758</t>
        </is>
      </c>
      <c r="B74" t="inlineStr">
        <is>
          <t>Sr. Applied Scientist, Prime Video - Personalization and Discovery Science</t>
        </is>
      </c>
      <c r="C74" t="inlineStr">
        <is>
          <t>Amazon.com</t>
        </is>
      </c>
      <c r="D74" t="inlineStr">
        <is>
          <t>indeed</t>
        </is>
      </c>
      <c r="E74" t="inlineStr"/>
      <c r="F74" t="inlineStr"/>
      <c r="G74" t="inlineStr">
        <is>
          <t>Seattle, WA, US</t>
        </is>
      </c>
      <c r="H74" s="1" t="n">
        <v>45959</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5">
      <c r="A75" t="inlineStr">
        <is>
          <t>in-78e49cf892e0377a</t>
        </is>
      </c>
      <c r="B75" t="inlineStr">
        <is>
          <t>Sr. Applied Scientist, Prime Video - Personalization and Discovery Science</t>
        </is>
      </c>
      <c r="C75" t="inlineStr">
        <is>
          <t>Amazon.com</t>
        </is>
      </c>
      <c r="D75" t="inlineStr">
        <is>
          <t>indeed</t>
        </is>
      </c>
      <c r="E75" t="inlineStr"/>
      <c r="F75" t="inlineStr"/>
      <c r="G75" t="inlineStr">
        <is>
          <t>New York, NY, US</t>
        </is>
      </c>
      <c r="H75" s="1" t="n">
        <v>45959</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76">
      <c r="A76" t="inlineStr">
        <is>
          <t>in-50e6de7077b71cef</t>
        </is>
      </c>
      <c r="B76" t="inlineStr">
        <is>
          <t>Principal Applied Scientist, Advertiser Growth, Amazon Sponsored Products &amp; Brands</t>
        </is>
      </c>
      <c r="C76" t="inlineStr">
        <is>
          <t>Amazon.com</t>
        </is>
      </c>
      <c r="D76" t="inlineStr">
        <is>
          <t>indeed</t>
        </is>
      </c>
      <c r="E76" t="inlineStr"/>
      <c r="F76" t="inlineStr"/>
      <c r="G76" t="inlineStr">
        <is>
          <t>Palo Alto, CA, US</t>
        </is>
      </c>
      <c r="H76" s="1"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in-0a4e2ac558948d9d</t>
        </is>
      </c>
      <c r="B77" t="inlineStr">
        <is>
          <t>Principal Applied Scientist, Advertiser Growth, Amazon Sponsored Products &amp; Brands</t>
        </is>
      </c>
      <c r="C77" t="inlineStr">
        <is>
          <t>Amazon.com</t>
        </is>
      </c>
      <c r="D77" t="inlineStr">
        <is>
          <t>indeed</t>
        </is>
      </c>
      <c r="E77" t="inlineStr"/>
      <c r="F77" t="inlineStr"/>
      <c r="G77" t="inlineStr">
        <is>
          <t>New York, NY, US</t>
        </is>
      </c>
      <c r="H77" s="1" t="n">
        <v>45942</v>
      </c>
      <c r="I7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in-8eaa67c2c815b54b</t>
        </is>
      </c>
      <c r="B78" t="inlineStr">
        <is>
          <t>Principal Applied Scientist, Advertiser Growth, Amazon Sponsored Products &amp; Brands</t>
        </is>
      </c>
      <c r="C78" t="inlineStr">
        <is>
          <t>Amazon.com</t>
        </is>
      </c>
      <c r="D78" t="inlineStr">
        <is>
          <t>indeed</t>
        </is>
      </c>
      <c r="E78" t="inlineStr"/>
      <c r="F78" t="inlineStr"/>
      <c r="G78" t="inlineStr">
        <is>
          <t>Seattle, WA, US</t>
        </is>
      </c>
      <c r="H78" s="1"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in-949418a451543e55</t>
        </is>
      </c>
      <c r="B79" t="inlineStr">
        <is>
          <t>Applied Scientist II, Prime Video - Personalization and Discovery Science, Personalization and Discovery Science</t>
        </is>
      </c>
      <c r="C79" t="inlineStr">
        <is>
          <t>Amazon.com</t>
        </is>
      </c>
      <c r="D79" t="inlineStr">
        <is>
          <t>indeed</t>
        </is>
      </c>
      <c r="E79" t="inlineStr"/>
      <c r="F79" t="inlineStr"/>
      <c r="G79" t="inlineStr">
        <is>
          <t>Sunnyvale, CA, US</t>
        </is>
      </c>
      <c r="H79" s="1" t="n">
        <v>45930</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in-173bc686097a9bcf</t>
        </is>
      </c>
      <c r="B80" t="inlineStr">
        <is>
          <t>Applied Scientist II, Prime Video - Personalization and Discovery Science, Personalization and Discovery Science</t>
        </is>
      </c>
      <c r="C80" t="inlineStr">
        <is>
          <t>Amazon.com</t>
        </is>
      </c>
      <c r="D80" t="inlineStr">
        <is>
          <t>indeed</t>
        </is>
      </c>
      <c r="E80" t="inlineStr"/>
      <c r="F80" t="inlineStr"/>
      <c r="G80" t="inlineStr">
        <is>
          <t>Seattle, WA, US</t>
        </is>
      </c>
      <c r="H80" s="1" t="n">
        <v>45930</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in-cfd141ccb857aa08</t>
        </is>
      </c>
      <c r="B81" t="inlineStr">
        <is>
          <t>Applied Scientist II, Prime Video - Personalization and Discovery Science, Personalization and Discovery Science</t>
        </is>
      </c>
      <c r="C81" t="inlineStr">
        <is>
          <t>Amazon.com</t>
        </is>
      </c>
      <c r="D81" t="inlineStr">
        <is>
          <t>indeed</t>
        </is>
      </c>
      <c r="E81" t="inlineStr"/>
      <c r="F81" t="inlineStr"/>
      <c r="G81" t="inlineStr">
        <is>
          <t>New York, NY, US</t>
        </is>
      </c>
      <c r="H81" s="1" t="n">
        <v>45930</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in-e36599f6c93cc05a</t>
        </is>
      </c>
      <c r="B82" t="inlineStr">
        <is>
          <t>Applied Scientist, Workplace Health &amp; Safety</t>
        </is>
      </c>
      <c r="C82" t="inlineStr">
        <is>
          <t>Amazon.com</t>
        </is>
      </c>
      <c r="D82" t="inlineStr">
        <is>
          <t>indeed</t>
        </is>
      </c>
      <c r="E82" t="inlineStr"/>
      <c r="F82" t="inlineStr"/>
      <c r="G82" t="inlineStr">
        <is>
          <t>Bellevue, WA, US</t>
        </is>
      </c>
      <c r="H82" s="1" t="n">
        <v>45917</v>
      </c>
      <c r="I8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in-f225362caf337cd4</t>
        </is>
      </c>
      <c r="B83" t="inlineStr">
        <is>
          <t>Applied Scientist, Workplace Health &amp; Safety</t>
        </is>
      </c>
      <c r="C83" t="inlineStr">
        <is>
          <t>Amazon.com</t>
        </is>
      </c>
      <c r="D83" t="inlineStr">
        <is>
          <t>indeed</t>
        </is>
      </c>
      <c r="E83" t="inlineStr"/>
      <c r="F83" t="inlineStr"/>
      <c r="G83" t="inlineStr">
        <is>
          <t>Nashville, TN, US</t>
        </is>
      </c>
      <c r="H83" s="1" t="n">
        <v>45917</v>
      </c>
      <c r="I8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in-bf681d35f1775b41</t>
        </is>
      </c>
      <c r="B84" t="inlineStr">
        <is>
          <t>Sr. Applied Scientist, Prime Video - Personalization and Discovery Science</t>
        </is>
      </c>
      <c r="C84" t="inlineStr">
        <is>
          <t>Amazon.com</t>
        </is>
      </c>
      <c r="D84" t="inlineStr">
        <is>
          <t>indeed</t>
        </is>
      </c>
      <c r="E84" t="inlineStr"/>
      <c r="F84" t="inlineStr"/>
      <c r="G84" t="inlineStr">
        <is>
          <t>New York, NY, US</t>
        </is>
      </c>
      <c r="H84" s="1" t="n">
        <v>45896</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5">
      <c r="A85" t="inlineStr">
        <is>
          <t>in-085218da1c25be8e</t>
        </is>
      </c>
      <c r="B85" t="inlineStr">
        <is>
          <t>Sr. Applied Scientist, Prime Video - Personalization and Discovery Science</t>
        </is>
      </c>
      <c r="C85" t="inlineStr">
        <is>
          <t>Amazon.com</t>
        </is>
      </c>
      <c r="D85" t="inlineStr">
        <is>
          <t>indeed</t>
        </is>
      </c>
      <c r="E85" t="inlineStr"/>
      <c r="F85" t="inlineStr"/>
      <c r="G85" t="inlineStr">
        <is>
          <t>Seattle, WA,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in-414f07ebda060460</t>
        </is>
      </c>
      <c r="B86" t="inlineStr">
        <is>
          <t>Sr. Applied Scientist, Prime Video - Personalization and Discovery Science</t>
        </is>
      </c>
      <c r="C86" t="inlineStr">
        <is>
          <t>Amazon.com</t>
        </is>
      </c>
      <c r="D86" t="inlineStr">
        <is>
          <t>indeed</t>
        </is>
      </c>
      <c r="E86" t="inlineStr"/>
      <c r="F86" t="inlineStr"/>
      <c r="G86" t="inlineStr">
        <is>
          <t>Sunnyvale, CA, US</t>
        </is>
      </c>
      <c r="H86" s="1"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in-e5f164202d8c6373</t>
        </is>
      </c>
      <c r="B87" t="inlineStr">
        <is>
          <t>Applied Scientist II, Prime Video , Personalization and Discovery Science</t>
        </is>
      </c>
      <c r="C87" t="inlineStr">
        <is>
          <t>Amazon.com</t>
        </is>
      </c>
      <c r="D87" t="inlineStr">
        <is>
          <t>indeed</t>
        </is>
      </c>
      <c r="E87" t="inlineStr"/>
      <c r="F87" t="inlineStr"/>
      <c r="G87" t="inlineStr">
        <is>
          <t>Sunnyvale, CA, US</t>
        </is>
      </c>
      <c r="H87" s="1" t="n">
        <v>45886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8">
      <c r="A88" t="inlineStr">
        <is>
          <t>in-9b3d3d1e847df112</t>
        </is>
      </c>
      <c r="B88" t="inlineStr">
        <is>
          <t>Applied Scientist II, Prime Video , Personalization and Discovery Science</t>
        </is>
      </c>
      <c r="C88" t="inlineStr">
        <is>
          <t>Amazon.com</t>
        </is>
      </c>
      <c r="D88" t="inlineStr">
        <is>
          <t>indeed</t>
        </is>
      </c>
      <c r="E88" t="inlineStr"/>
      <c r="F88" t="inlineStr"/>
      <c r="G88" t="inlineStr">
        <is>
          <t>New York, NY, US</t>
        </is>
      </c>
      <c r="H88" s="1" t="n">
        <v>45886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89">
      <c r="A89" t="inlineStr">
        <is>
          <t>in-47f12ffd607a7dfe</t>
        </is>
      </c>
      <c r="B89" t="inlineStr">
        <is>
          <t>Applied Scientist II, Prime Video , Personalization and Discovery Science</t>
        </is>
      </c>
      <c r="C89" t="inlineStr">
        <is>
          <t>Amazon.com</t>
        </is>
      </c>
      <c r="D89" t="inlineStr">
        <is>
          <t>indeed</t>
        </is>
      </c>
      <c r="E89" t="inlineStr"/>
      <c r="F89" t="inlineStr"/>
      <c r="G89" t="inlineStr">
        <is>
          <t>Seattle, WA, US</t>
        </is>
      </c>
      <c r="H89" s="1" t="n">
        <v>45886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90">
      <c r="A90" t="inlineStr">
        <is>
          <t>in-ac06fcef1760a91c</t>
        </is>
      </c>
      <c r="B90" t="inlineStr">
        <is>
          <t>Sr. Applied Scientist, Prime Video - Personalization and Discovery Science</t>
        </is>
      </c>
      <c r="C90" t="inlineStr">
        <is>
          <t>Amazon.com</t>
        </is>
      </c>
      <c r="D90" t="inlineStr">
        <is>
          <t>indeed</t>
        </is>
      </c>
      <c r="E90" t="inlineStr"/>
      <c r="F90" t="inlineStr"/>
      <c r="G90" t="inlineStr">
        <is>
          <t>New York, NY, US</t>
        </is>
      </c>
      <c r="H90" s="1"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in-da2352b6194e0083</t>
        </is>
      </c>
      <c r="B91" t="inlineStr">
        <is>
          <t>Sr. Applied Scientist, Prime Video - Personalization and Discovery Science</t>
        </is>
      </c>
      <c r="C91" t="inlineStr">
        <is>
          <t>Amazon.com</t>
        </is>
      </c>
      <c r="D91" t="inlineStr">
        <is>
          <t>indeed</t>
        </is>
      </c>
      <c r="E91" t="inlineStr"/>
      <c r="F91" t="inlineStr"/>
      <c r="G91" t="inlineStr">
        <is>
          <t>Sunnyvale, CA, US</t>
        </is>
      </c>
      <c r="H91" s="1" t="n">
        <v>45886</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in-8acb4bbc3ff9c888</t>
        </is>
      </c>
      <c r="B92" t="inlineStr">
        <is>
          <t>Sr. Applied Scientist, Prime Video - Personalization and Discovery Science</t>
        </is>
      </c>
      <c r="C92" t="inlineStr">
        <is>
          <t>Amazon.com</t>
        </is>
      </c>
      <c r="D92" t="inlineStr">
        <is>
          <t>indeed</t>
        </is>
      </c>
      <c r="E92" t="inlineStr"/>
      <c r="F92" t="inlineStr"/>
      <c r="G92" t="inlineStr">
        <is>
          <t>New York, NY, US</t>
        </is>
      </c>
      <c r="H92" s="1" t="n">
        <v>45881</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in-04b70ba14bb5d4f1</t>
        </is>
      </c>
      <c r="B93" t="inlineStr">
        <is>
          <t>Applied Scientist II, Prime Video - Personalization and Discovery Science</t>
        </is>
      </c>
      <c r="C93" t="inlineStr">
        <is>
          <t>Amazon.com</t>
        </is>
      </c>
      <c r="D93" t="inlineStr">
        <is>
          <t>indeed</t>
        </is>
      </c>
      <c r="E93" t="inlineStr"/>
      <c r="F93" t="inlineStr"/>
      <c r="G93" t="inlineStr">
        <is>
          <t>Seattle, WA, US</t>
        </is>
      </c>
      <c r="H93" s="1" t="n">
        <v>45881</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in-4411a64a64a12395</t>
        </is>
      </c>
      <c r="B94" t="inlineStr">
        <is>
          <t>Applied Scientist II, Prime Video - Personalization and Discovery Science</t>
        </is>
      </c>
      <c r="C94" t="inlineStr">
        <is>
          <t>Amazon.com</t>
        </is>
      </c>
      <c r="D94" t="inlineStr">
        <is>
          <t>indeed</t>
        </is>
      </c>
      <c r="E94" t="inlineStr"/>
      <c r="F94" t="inlineStr"/>
      <c r="G94" t="inlineStr">
        <is>
          <t>Sunnyvale, CA, US</t>
        </is>
      </c>
      <c r="H94" s="1" t="n">
        <v>45881</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in-68214bb978cb1f3b</t>
        </is>
      </c>
      <c r="B95" t="inlineStr">
        <is>
          <t>Applied Scientist II, Prime Video - Personalization and Discovery Science</t>
        </is>
      </c>
      <c r="C95" t="inlineStr">
        <is>
          <t>Amazon.com</t>
        </is>
      </c>
      <c r="D95" t="inlineStr">
        <is>
          <t>indeed</t>
        </is>
      </c>
      <c r="E95" t="inlineStr"/>
      <c r="F95" t="inlineStr"/>
      <c r="G95" t="inlineStr">
        <is>
          <t>New York, NY, US</t>
        </is>
      </c>
      <c r="H95" s="1" t="n">
        <v>45881</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in-e143299fc2147e28</t>
        </is>
      </c>
      <c r="B96" t="inlineStr">
        <is>
          <t>Sr. Applied Scientist, Prime Video - Personalization and Discovery Science</t>
        </is>
      </c>
      <c r="C96" t="inlineStr">
        <is>
          <t>Amazon.com</t>
        </is>
      </c>
      <c r="D96" t="inlineStr">
        <is>
          <t>indeed</t>
        </is>
      </c>
      <c r="E96" t="inlineStr"/>
      <c r="F96" t="inlineStr"/>
      <c r="G96" t="inlineStr">
        <is>
          <t>Sunnyvale, CA, US</t>
        </is>
      </c>
      <c r="H96" s="1" t="n">
        <v>45881</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in-b619f52f2e548b22</t>
        </is>
      </c>
      <c r="B97" t="inlineStr">
        <is>
          <t>Sr. Applied Scientist, Prime Video - Personalization and Discovery Science</t>
        </is>
      </c>
      <c r="C97" t="inlineStr">
        <is>
          <t>Amazon.com</t>
        </is>
      </c>
      <c r="D97" t="inlineStr">
        <is>
          <t>indeed</t>
        </is>
      </c>
      <c r="E97" t="inlineStr"/>
      <c r="F97" t="inlineStr"/>
      <c r="G97" t="inlineStr">
        <is>
          <t>Seattle, WA, US</t>
        </is>
      </c>
      <c r="H97" s="1" t="n">
        <v>45881</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in-d704cc7d5d971cae</t>
        </is>
      </c>
      <c r="B98" t="inlineStr">
        <is>
          <t>Applied Scientist III, StoreGen</t>
        </is>
      </c>
      <c r="C98" t="inlineStr">
        <is>
          <t>Amazon.com</t>
        </is>
      </c>
      <c r="D98" t="inlineStr">
        <is>
          <t>indeed</t>
        </is>
      </c>
      <c r="E98" t="inlineStr"/>
      <c r="F98" t="inlineStr"/>
      <c r="G98" t="inlineStr">
        <is>
          <t>Sunnyvale, CA, US</t>
        </is>
      </c>
      <c r="H98" s="1" t="n">
        <v>45868</v>
      </c>
      <c r="I9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in-b5d5471d7a9565f7</t>
        </is>
      </c>
      <c r="B99" t="inlineStr">
        <is>
          <t>Applied Scientist III, StoreGen</t>
        </is>
      </c>
      <c r="C99" t="inlineStr">
        <is>
          <t>Amazon.com</t>
        </is>
      </c>
      <c r="D99" t="inlineStr">
        <is>
          <t>indeed</t>
        </is>
      </c>
      <c r="E99" t="inlineStr"/>
      <c r="F99" t="inlineStr"/>
      <c r="G99" t="inlineStr">
        <is>
          <t>Seattle, WA, US</t>
        </is>
      </c>
      <c r="H99" s="1" t="n">
        <v>45868</v>
      </c>
      <c r="I9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in-a2e97c56a8ed5d7e</t>
        </is>
      </c>
      <c r="B100" t="inlineStr">
        <is>
          <t>Sr. Applied Scientist, Amazon Advertising</t>
        </is>
      </c>
      <c r="C100" t="inlineStr">
        <is>
          <t>Amazon.com</t>
        </is>
      </c>
      <c r="D100" t="inlineStr">
        <is>
          <t>indeed</t>
        </is>
      </c>
      <c r="E100" t="inlineStr"/>
      <c r="F100" t="inlineStr"/>
      <c r="G100" t="inlineStr">
        <is>
          <t>New York, NY,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in-c0be1701e53a0822</t>
        </is>
      </c>
      <c r="B101" t="inlineStr">
        <is>
          <t>Sr. Applied Scientist, Amazon Advertising</t>
        </is>
      </c>
      <c r="C101" t="inlineStr">
        <is>
          <t>Amazon.com</t>
        </is>
      </c>
      <c r="D101" t="inlineStr">
        <is>
          <t>indeed</t>
        </is>
      </c>
      <c r="E101" t="inlineStr"/>
      <c r="F101" t="inlineStr"/>
      <c r="G101" t="inlineStr">
        <is>
          <t>Arlington, VA,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in-7d230688e8d6d534</t>
        </is>
      </c>
      <c r="B102" t="inlineStr">
        <is>
          <t>Sr. Applied Scientist, Amazon Advertising</t>
        </is>
      </c>
      <c r="C102" t="inlineStr">
        <is>
          <t>Amazon.com</t>
        </is>
      </c>
      <c r="D102" t="inlineStr">
        <is>
          <t>indeed</t>
        </is>
      </c>
      <c r="E102" t="inlineStr"/>
      <c r="F102" t="inlineStr"/>
      <c r="G102" t="inlineStr">
        <is>
          <t>West Hollywood,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in-c71a65ccd8698598</t>
        </is>
      </c>
      <c r="B103" t="inlineStr">
        <is>
          <t>Sr. Applied Scientist, Amazon Advertising</t>
        </is>
      </c>
      <c r="C103" t="inlineStr">
        <is>
          <t>Amazon.com</t>
        </is>
      </c>
      <c r="D103" t="inlineStr">
        <is>
          <t>indeed</t>
        </is>
      </c>
      <c r="E103" t="inlineStr"/>
      <c r="F103" t="inlineStr"/>
      <c r="G103" t="inlineStr">
        <is>
          <t>Los Angeles, CA,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in-258627bda54ca9f7</t>
        </is>
      </c>
      <c r="B104" t="inlineStr">
        <is>
          <t>Sr. Applied Scientist, Amazon Advertising</t>
        </is>
      </c>
      <c r="C104" t="inlineStr">
        <is>
          <t>Amazon.com</t>
        </is>
      </c>
      <c r="D104" t="inlineStr">
        <is>
          <t>indeed</t>
        </is>
      </c>
      <c r="E104" t="inlineStr"/>
      <c r="F104" t="inlineStr"/>
      <c r="G104" t="inlineStr">
        <is>
          <t>Seattle, WA,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in-301b196436cec0e2</t>
        </is>
      </c>
      <c r="B105" t="inlineStr">
        <is>
          <t>Sr. Applied Scientist, Amazon Advertising</t>
        </is>
      </c>
      <c r="C105" t="inlineStr">
        <is>
          <t>Amazon.com</t>
        </is>
      </c>
      <c r="D105" t="inlineStr">
        <is>
          <t>indeed</t>
        </is>
      </c>
      <c r="E105" t="inlineStr"/>
      <c r="F105" t="inlineStr"/>
      <c r="G105" t="inlineStr">
        <is>
          <t>Austin, TX,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in-2ad0dd86889d61f5</t>
        </is>
      </c>
      <c r="B106" t="inlineStr">
        <is>
          <t>Sr. Applied Scientist, Amazon Advertising</t>
        </is>
      </c>
      <c r="C106" t="inlineStr">
        <is>
          <t>Amazon.com</t>
        </is>
      </c>
      <c r="D106" t="inlineStr">
        <is>
          <t>indeed</t>
        </is>
      </c>
      <c r="E106" t="inlineStr"/>
      <c r="F106" t="inlineStr"/>
      <c r="G106" t="inlineStr">
        <is>
          <t>Simi Valley, CA,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in-4518cd86770a6e1a</t>
        </is>
      </c>
      <c r="B107" t="inlineStr">
        <is>
          <t>Sr. Applied Scientist, Amazon Advertising</t>
        </is>
      </c>
      <c r="C107" t="inlineStr">
        <is>
          <t>Amazon.com</t>
        </is>
      </c>
      <c r="D107" t="inlineStr">
        <is>
          <t>indeed</t>
        </is>
      </c>
      <c r="E107" t="inlineStr"/>
      <c r="F107" t="inlineStr"/>
      <c r="G107" t="inlineStr">
        <is>
          <t>Palo Alto, CA,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in-6db8acbf874ed697</t>
        </is>
      </c>
      <c r="B108" t="inlineStr">
        <is>
          <t>Sr. Applied Scientist, Sales AI</t>
        </is>
      </c>
      <c r="C108" t="inlineStr">
        <is>
          <t>Amazon.com</t>
        </is>
      </c>
      <c r="D108" t="inlineStr">
        <is>
          <t>indeed</t>
        </is>
      </c>
      <c r="E108" t="inlineStr"/>
      <c r="F108" t="inlineStr"/>
      <c r="G108" t="inlineStr">
        <is>
          <t>Seattle, WA, US</t>
        </is>
      </c>
      <c r="H108" s="1" t="n">
        <v>45830</v>
      </c>
      <c r="I1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in-92dfc5465ed64858</t>
        </is>
      </c>
      <c r="B109" t="inlineStr">
        <is>
          <t>Sr. Applied Scientist, Sales AI</t>
        </is>
      </c>
      <c r="C109" t="inlineStr">
        <is>
          <t>Amazon.com</t>
        </is>
      </c>
      <c r="D109" t="inlineStr">
        <is>
          <t>indeed</t>
        </is>
      </c>
      <c r="E109" t="inlineStr"/>
      <c r="F109" t="inlineStr"/>
      <c r="G109" t="inlineStr">
        <is>
          <t>Sunnyvale, CA, US</t>
        </is>
      </c>
      <c r="H109" s="1" t="n">
        <v>45830</v>
      </c>
      <c r="I10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in-ac4fbfb9304dc6a6</t>
        </is>
      </c>
      <c r="B110" t="inlineStr">
        <is>
          <t>Sr. Applied Scientist, Sales AI</t>
        </is>
      </c>
      <c r="C110" t="inlineStr">
        <is>
          <t>Amazon.com</t>
        </is>
      </c>
      <c r="D110" t="inlineStr">
        <is>
          <t>indeed</t>
        </is>
      </c>
      <c r="E110" t="inlineStr"/>
      <c r="F110" t="inlineStr"/>
      <c r="G110" t="inlineStr">
        <is>
          <t>New York, NY, US</t>
        </is>
      </c>
      <c r="H110" s="1" t="n">
        <v>45830</v>
      </c>
      <c r="I11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in-23d58ec8ee7b655c</t>
        </is>
      </c>
      <c r="B111" t="inlineStr">
        <is>
          <t>Senior Applied Scientist, Delivery Foundation Model</t>
        </is>
      </c>
      <c r="C111" t="inlineStr">
        <is>
          <t>Amazon.com</t>
        </is>
      </c>
      <c r="D111" t="inlineStr">
        <is>
          <t>indeed</t>
        </is>
      </c>
      <c r="E111" t="inlineStr"/>
      <c r="F111" t="inlineStr"/>
      <c r="G111" t="inlineStr">
        <is>
          <t>Bellevue, WA, US</t>
        </is>
      </c>
      <c r="H111" s="1" t="n">
        <v>45806</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in-59fcb1da9ac98daf</t>
        </is>
      </c>
      <c r="B112" t="inlineStr">
        <is>
          <t>Senior Applied Scientist, Delivery Foundation Model</t>
        </is>
      </c>
      <c r="C112" t="inlineStr">
        <is>
          <t>Amazon.com</t>
        </is>
      </c>
      <c r="D112" t="inlineStr">
        <is>
          <t>indeed</t>
        </is>
      </c>
      <c r="E112" t="inlineStr"/>
      <c r="F112" t="inlineStr"/>
      <c r="G112" t="inlineStr">
        <is>
          <t>New York, NY, US</t>
        </is>
      </c>
      <c r="H112" s="1"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in-c5ecbaa86234ac96</t>
        </is>
      </c>
      <c r="B113" t="inlineStr">
        <is>
          <t>Senior Applied Scientist, Delivery Foundation Model</t>
        </is>
      </c>
      <c r="C113" t="inlineStr">
        <is>
          <t>Amazon.com</t>
        </is>
      </c>
      <c r="D113" t="inlineStr">
        <is>
          <t>indeed</t>
        </is>
      </c>
      <c r="E113" t="inlineStr"/>
      <c r="F113" t="inlineStr"/>
      <c r="G113" t="inlineStr">
        <is>
          <t>Santa Clara, CA, US</t>
        </is>
      </c>
      <c r="H113" s="1"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in-97dc19cc4ec81a0b</t>
        </is>
      </c>
      <c r="B114" t="inlineStr">
        <is>
          <t>Sr. Applied Scientist - Privacy, Privacy Engineering</t>
        </is>
      </c>
      <c r="C114" t="inlineStr">
        <is>
          <t>Amazon.com</t>
        </is>
      </c>
      <c r="D114" t="inlineStr">
        <is>
          <t>indeed</t>
        </is>
      </c>
      <c r="E114" t="inlineStr"/>
      <c r="F114" t="inlineStr"/>
      <c r="G114" t="inlineStr">
        <is>
          <t>San Francisco, CA, US</t>
        </is>
      </c>
      <c r="H114" s="1" t="n">
        <v>45787</v>
      </c>
      <c r="I11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in-ac57c83a0b56531f</t>
        </is>
      </c>
      <c r="B115" t="inlineStr">
        <is>
          <t>Sr. Applied Scientist - Privacy, Privacy Engineering</t>
        </is>
      </c>
      <c r="C115" t="inlineStr">
        <is>
          <t>Amazon.com</t>
        </is>
      </c>
      <c r="D115" t="inlineStr">
        <is>
          <t>indeed</t>
        </is>
      </c>
      <c r="E115" t="inlineStr"/>
      <c r="F115" t="inlineStr"/>
      <c r="G115" t="inlineStr">
        <is>
          <t>Santa Clara, CA, US</t>
        </is>
      </c>
      <c r="H115" s="1" t="n">
        <v>45787</v>
      </c>
      <c r="I11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in-76f5207a0bc17aa8</t>
        </is>
      </c>
      <c r="B116" t="inlineStr">
        <is>
          <t>Sr. Applied Scientist - Privacy, Privacy Engineering</t>
        </is>
      </c>
      <c r="C116" t="inlineStr">
        <is>
          <t>Amazon.com</t>
        </is>
      </c>
      <c r="D116" t="inlineStr">
        <is>
          <t>indeed</t>
        </is>
      </c>
      <c r="E116" t="inlineStr"/>
      <c r="F116" t="inlineStr"/>
      <c r="G116" t="inlineStr">
        <is>
          <t>Seattle, WA, US</t>
        </is>
      </c>
      <c r="H116" s="1"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in-8e62db4ba8dc8d21</t>
        </is>
      </c>
      <c r="B117" t="inlineStr">
        <is>
          <t>Sr. Applied Scientist - Privacy, Privacy Engineering</t>
        </is>
      </c>
      <c r="C117" t="inlineStr">
        <is>
          <t>Amazon.com</t>
        </is>
      </c>
      <c r="D117" t="inlineStr">
        <is>
          <t>indeed</t>
        </is>
      </c>
      <c r="E117" t="inlineStr"/>
      <c r="F117" t="inlineStr"/>
      <c r="G117" t="inlineStr">
        <is>
          <t>Sunnyvale, CA, US</t>
        </is>
      </c>
      <c r="H117" s="1"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in-ba0a3f9165801c92</t>
        </is>
      </c>
      <c r="B118" t="inlineStr">
        <is>
          <t>AI Engineer / Senior Data Scientist</t>
        </is>
      </c>
      <c r="C118" t="inlineStr">
        <is>
          <t>Valmont Industries</t>
        </is>
      </c>
      <c r="D118" t="inlineStr">
        <is>
          <t>indeed</t>
        </is>
      </c>
      <c r="E118" t="inlineStr"/>
      <c r="F118" t="inlineStr"/>
      <c r="G118" t="inlineStr">
        <is>
          <t>US</t>
        </is>
      </c>
      <c r="H118" s="1" t="n">
        <v>46071</v>
      </c>
      <c r="I118" t="inlineStr">
        <is>
          <t>Menahem Begin 121 Tel Aviv 6701201*Why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A Brief Summary of This Position:
Valmont Industries is a global leader in infrastructure and manufacturing, with over 12,000 employees worldwide. The Valmont AI Group, based in Israel, serves as a central hub for designing and delivering advanced AI\-powered solutions that drive operational excellence across the organization. The group focuses on building practical, high\-impact AI systems and intelligent agents that improve core business processes, including supply chain optimization, factory scheduling, production planning, and process automation.
We are looking for a Principal AI Engineer / Senior Data Scientist to take a leading role in designing and delivering advanced algorithms and AI agent\-based systems across Valmont. This is not a pure research position. The role requires strong algorithmic and data science expertise combined with end\-to\-end ownership from problem discovery through production deployment.
Who You Are:  
A well\-rounded AI professional who combines strong technical depth with business understanding; Ownership\-driven and collaborative, with the ability to lead initiatives end\-to\-end in cross\-functional environments; Comfortable working in dynamic, multi\-threaded problem spaces, balancing multiple moving parts and priorities. You will work on real, high\-impact problems, see your solutions adopted at scale, and help shape how AI is applied across a large organization.  
Essential Functions:  
* Own AI\-driven initiatives end\-to\-end
* Design and implement advanced algorithms and AI agents
* Collaborate with software engineers and business stakeholders
* Translate business challenges into AI solutions
* Take models from prototype to production
* Continuously improve deployed solutions
Required Qualifications of Every Candidate  
* B.Sc. in Computer Science, Physics or related field (M.Sc. – Advantage)
* 5\+ years of experience in data science or applied research
* Strong Python experience, including hands\-on experience with Pandas, Scikit\-learn, and PyTorch (advantage)
* Excellent communication skills with proven ability to collaborate effectively with both technical and business stakeholders
* Experience with Generative AI models, foundational models, and related concepts – Advantage
Highly Qualified Candidates Will Also Possess These Qualifications:* Experience leading cross\-functional AI projects in enterprise environments
* Experience deploying AI solutions at scale in production systems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row>
    <row r="119">
      <c r="A119" t="inlineStr">
        <is>
          <t>in-bc9f223ac9da9a24</t>
        </is>
      </c>
      <c r="B119" t="inlineStr">
        <is>
          <t>Plant Pathology Data Scientist</t>
        </is>
      </c>
      <c r="C119" t="inlineStr">
        <is>
          <t>University of Wisconsin–Madison</t>
        </is>
      </c>
      <c r="D119" t="inlineStr">
        <is>
          <t>indeed</t>
        </is>
      </c>
      <c r="E119" t="inlineStr"/>
      <c r="F119" t="inlineStr"/>
      <c r="G119" t="inlineStr">
        <is>
          <t>Madison, WI, US</t>
        </is>
      </c>
      <c r="H119" s="1" t="n">
        <v>46070</v>
      </c>
      <c r="I119" t="inlineStr">
        <is>
          <t>*Current employees: if you are currently employed at any of the universities of wisconsin, log in to workday to apply through the internal application process.*
Job category:
Academic Staff
Employment type:
Regular
Job profile:
Data Scientist II
Job summary:
The Department of Plant Pathology seeks a M.S. level Data Scientist to advance research in plant disease epidemiology, integrated disease management, disease forecasting, and agricultural economic modeling. This position will collaborate on faculty\-led projects while leading the development of models, deployment to stakeholders via web interfaces, and evaluation and iteration of the tools.
Key Responsibilities
Research \&amp; Analysis:
* Design and implement data\-driven models for plant disease epidemiology and forecasting.
* Design and implement machine\-learning techniques to address applied decision support
Collaboration:
* Work closely with faculty, graduate students, and interdisciplinary teams to integrate data science into experimental research.
* Collaborate with software developers and extension specialists to translate models into practical tools for growers and stakeholders
Scholarly Output:
* Publish research findings in peer\-reviewed journals.
* Contribute to competitive grant proposals.
Infrastructure Development:
* Develop reproducible workflows and data pipelines for large\-scale agricultural datasets.
* Maintain documentation and ensure compliance with data management best practices.
Ongoing/Renewable
Normal hours are 7:45am – 4:30pm, Monday through Friday. Occasional nights and weekends may be required for this position.
This position is eligible for partial remote work. Remote work requires an approved remote work agreement (RWA) agreement. An RWA requires successful candidates to possess their own high\-speed internet and phone to perform the work on a university provided computer. Per University policy, transportation between home and assigned work location is not payable/reimbursable and will be at the expense of the employee.
Key job responsibilities:
* Documents approaches to address research questions and contributes to the establishment of reproducible research methodologies and analysis workflows
* Independently identifies and implements appropriate data science techniques to find data patterns and answer research questions chosen by the lead researcher including data visualization, statistical analysis, machine learning, and data mining
* Organizes and automates project steps for data preparation and analysis
* Composes and assembles reproducible workflows and reports to clearly articulate patterns to researchers and/or administrators
* Prepares data sets for analysis including cleaning/quality assurance, transformations, restructuring, and integration of multiple data sources
Department:
College of Agricultural and Life Sciences, Department of Plant Pathology.
The Department of Plant Pathology at the University of Wisconsin – Madison was founded in 1910 to meet the needs of the growers and help combat crop failures. This important relationship between faculty and growers’ needs has continued to be a major strength in our Department and in the College of Agricultural and Life Sciences. Current members of the Department are dedicated to advancing knowledge of plant\-microbe interactions while supporting food production and environmental security by addressing plant disease control, grower and consumer needs, and environmental sustainability.
Compensation:
The anticipated salary range for this position is $75,000 \- $90,000 However, final salary will depend on experience and qualifications. Employees in this position can expect to receive benefits such as generous vacation, holidays, and paid time off; competitive insurances and savings accounts; retirement benefits. Additional benefits information can be found at: https://www.wisconsin.edu/ohrwd/benefits/download/fasl.pdf
Required qualifications:
* Demonstrated expertise in statistical modeling and machine learning
* Experience with agricultural data management such as cleaning and analyzing large real\-world agricultural datasets and developing and communicating results in presentations and publications
* Demonstrated ability to communicate research findings through publications or technical reports
* Proficiency in programming languages (Python, R) and data visualization
Preferred qualifications:
* Prior involvement in interdisciplinary research teams such as National Predictive Modeling Tool initiative or other similar teams
* Experience in deploying models for plant disease forecasting
* Experience in agricultural economic modeling
Education:
Master's Degree required; Plant Pathology, Agronomy, Applied Data Scientist, or a closely related field preferred
Ph.D. preferred
How to apply:
Click on the "Apply Online" button to start the application process. You will be prompted to upload the following documents/application materials:
Resume (required) \- Detail your educational and professional background
Cover letter (required) – Refer to your related work experience
It is important that your cover letter and resume reflect your experience for this position related to the Qualifications section. Your application materials will be used during our evaluation to determine your qualifications as they relate to the job. The most qualified applicants will be invited to participate in the next step of the selection process.
Contact information:
Megan Sullivan, megan.sullivan@wisc.edu, 608\-265\-5882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20">
      <c r="A120" t="inlineStr">
        <is>
          <t>in-c3dbc716148fa3d4</t>
        </is>
      </c>
      <c r="B120" t="inlineStr">
        <is>
          <t>Senior Data Scientist</t>
        </is>
      </c>
      <c r="C120" t="inlineStr">
        <is>
          <t>Twilio</t>
        </is>
      </c>
      <c r="D120" t="inlineStr">
        <is>
          <t>indeed</t>
        </is>
      </c>
      <c r="E120">
        <f>HYPERLINK("https://www.indeed.com/viewjob?jk=c3dbc716148fa3d4", "https://www.indeed.com/viewjob?jk=c3dbc716148fa3d4")</f>
        <v/>
      </c>
      <c r="F120">
        <f>HYPERLINK("https://grnh.se/h3dovh8a1us", "https://grnh.se/h3dovh8a1us")</f>
        <v/>
      </c>
      <c r="G120" t="inlineStr">
        <is>
          <t>Austin, TX, US</t>
        </is>
      </c>
      <c r="H120" s="2" t="n">
        <v>46071</v>
      </c>
      <c r="I120"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Twilio's next Senior Data Scientist, R\&amp;D.
**About the job**
This position is needed to uncover analytical insights that quantify product performance and shape product strategy. Our Data Science and Analytics team seeks to empower R\&amp;D to make data\-backed decisions that accelerate innovation and improve product performance. We work closely with Product Managers to define product metrics and build self\-serve reporting; measure the impact of product releases; and do analyses to shape strategic decisions.
**Responsibilities**
In this role, you'll:
* Drive the definition and development of data science solutions to business problem statements from beginning to end: build relationships with partner teams, collect and analyze data, and develop recommendations to inform strategic decisions
* Generate insights and recommendations through exploratory analysis, A/B testing, and statistical modeling
* Work with product managers to design and analyze experiments to measure the impact of new features and develop a data\-driven narrative on how their product is performing for use in monthly reviews
* Collaborate with data producers and consumers during the product development lifecycle to ensure consistent data quality and availability for reporting post launch.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2\+ years of professional experience in an analytics or data science role
* Advanced expertise using SQL to derive insights and in using dashboarding tools like Looker or Tableau to create compelling self\-serve reports for product or business stakeholders
* Intermediate expertise in Python (e.g. pandas, numpy, scikit\-learn) for data manipulation, analysis, and statistical modeling (e.g., clustering, forecasting, or decision trees)
* Familiarity with causal inference techniques such as A/B testing, propensity matching, or synthetic control
* Demonstrated ability to map business problem statements to an appropriate data science technique
* Answer\-first, succinct communication; ability to communicate across technical and non\-technical audiences
**Desired:**
* 4\+ years of professional experience in a product\-focused analytics or data science role, with 2\+ years of experience in a B2B SaaS context
* Bachelor's and Master's in a quantitative
* Familiarity with machine learning techniques
* Experience with data warehousing and/or ETL processes, including distributed computing technologies such as Hive, Presto, or Spark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$141,520\.00 to $176,900\.00
* Based in New York, New Jersey, Washington State, or California (outside of the San Francisco Bay area): $149,840\.00 to $187,300\.00
* Based in the San Francisco Bay area, California: $166,400\.00 to $208,000\.00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2/28/2026,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21">
      <c r="A121" t="inlineStr">
        <is>
          <t>in-1d531e0e5b2a225a</t>
        </is>
      </c>
      <c r="B121" t="inlineStr">
        <is>
          <t>Senior Data Scientist, Generative AI Products, HBS Foundry</t>
        </is>
      </c>
      <c r="C121" t="inlineStr">
        <is>
          <t>Harvard University</t>
        </is>
      </c>
      <c r="D121" t="inlineStr">
        <is>
          <t>indeed</t>
        </is>
      </c>
      <c r="E121">
        <f>HYPERLINK("https://www.indeed.com/viewjob?jk=1d531e0e5b2a225a", "https://www.indeed.com/viewjob?jk=1d531e0e5b2a225a")</f>
        <v/>
      </c>
      <c r="F121">
        <f>HYPERLINK("https://careers.harvard.edu/job/senior-data-scientist-generative-ai-products-hbs-foundry-in-boston-ma-united-states-jid-356", "https://careers.harvard.edu/job/senior-data-scientist-generative-ai-products-hbs-foundry-in-boston-ma-united-states-jid-356")</f>
        <v/>
      </c>
      <c r="G121" t="inlineStr">
        <is>
          <t>Boston, MA, US</t>
        </is>
      </c>
      <c r="H121" s="2" t="n">
        <v>45998</v>
      </c>
      <c r="I121" t="inlineStr">
        <is>
          <t>**December 08, 2025****001242SR**
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Business School?**
Harvard Business School, located on a 40\-acre campus in Boston, was founded in 1908 as part of Harvard University. It is among the world's most trusted sources of management education and thought leadership. For more than a century, the School's faculty has combined a passion for teaching with rigorous research conducted alongside practitioners at world\-leading organizations to educate leaders who make a difference in the world. Through a dynamic ecosystem of research, learning, and entrepreneurship that includes MBA, Doctoral, Executive Education, and Online programs, as well as numerous initiatives, centers, institutes, and labs, Harvard Business School fosters bold new ideas and collaborative learning networks that shape the future of business.
Job Description
 **Job Summary:**
Lead comprehensive applications/web development for highly complex projects; typically work as part of a team to implement complex business solutions. Deliver strategic and expert coding; focus on overarching development strategy for a large, complex, multi\-faceted application. May manage a number of projects simultaneously.
**Job Specific Responsibilities:**
**Harvard Business School will not offer visa sponsorship for this opportunity.**  
We are seeking a talented Generative AI Engineer to join our team. In this role, you will design, develop, and deploy state\-of\-the\-art generative AI models, directly impacting our platform's ability to provide interactive and intelligent tools for our users.  
As a Senior Data Scientist specializing in Generative AI applications, you will play a pivotal role in developing innovative generative AI products that support the Harvard Business School (HBS) Foundry team and learners on our platform. This key technical role requires hands\-on expertise across data science, machine learning, and AI solutions. You will manage the lifecycle of artificial intelligence algorithms and tools across a variety of domains. The Foundry Team will support with domain knowledge.
**Responsibilities Include:**
AI Tool Development and Implementation
* Design and implement efficient data pipelines for data collection, cleaning, labeling, and preprocessing
* Ensure quality of datasets tailored for LLM training for each product. Build data science pipelines from feature generation, data visualization and models evaluation; design the solution, build code and provide documentation with ways of working to maximize time to value, re\-usability, and scalability.
* Designing, developing, deploying, and implementing multi\-agent AI tools that:
	+ Assess and provide feedback on venture\-related submissions
	+ Automatically generate pitch decks, financial projections, marketing strategies, and other materials to support entrepreneurs
	+ Act as a counterparty to simulate important entrepreneurial interactions such as customer interviews, negotiations with an investor, etc.
	+ Designing generative AI models using techniques like natural language processing and machine learning that can power interactive tools on HBS Foundry.
* Designing an AI\-powered system that collects key factors to determine a learner’s profile, entrepreneurial progress, and venture progress, and provides customized learning pathways based on these factors.
* Integrating AI tools into the HBS Foundry platform in a seamless manner so they are easy for users to access and utilize.
* Collaborate on technical vision to accelerate product impact through cutting\-edge LLM innovations.
* Building guardrails, compliance rules, and oversight workflows into the GenAI tools and Foundry platform.
* Continually improving AI tools using feedback from users to ensure they are providing valuable assistance.
Project and Performance Management
* Monitor, debug, track, and resolve production issues.
* Work with the Foundry Project Director to ensure that projects proceed on time and on budget.
* Collaborate with Product Managers to ensure proper tracking of performance KPIs and prioritize improvements based on effort and impact.
* Presenting prototypes and progress updates to stakeholders.
Research and Collaboration
* Staying up to date on the latest advances in AI/ML research and identifying how new techniques could enhance the HBS Foundry platform.
* Collaborating with a team of engineers, designers, and subject matter experts to deliver high\-quality, helpful AI\-powered experiences.
* Build trust and collaboration by being present on\-site and engaging directly with  
colleagues and various constituents.
This role is responsible for other duties as assigned.
Qualifications
 **Basic Qualifications:**
* Minimum of seven years’ post\-secondary education or relevant work experience
* Advanced degree in computer science, data science, engineering, or a related field within AI/ML
**Additional/Desired Qualifications:**
* 3\+ years of experience building (Generative) AI models and tools highly preferrable
* Experience working in a similar role in a startup environment preferrable
* Expertise in NLP, deep learning, and other relevant techniques
* Strong programming skills in Python and frameworks like TensorFlow
* Experience building advanced workflows such as retrieval augmented generation, model chaining, dynamic prompting, PEFT/SFT, etc. using Langchain and similar tools
* Experience integrating AI into consumer\-facing applications (front\-end and back\-end development for integrating AI solutions into web applications
* Experience establishing model guardrails and developing bias detection and mitigation techniques for AI applications using tools (such as NeMo)
* Experience with various embedding models and setting up and tuning vector databases to improve performance of semantic search and retrieval systems
* Experience working with a variety of relational SQL and NoSQL databases, big data tools (such as Hadoop, Spark, Kafka), and at least one cloud provider solution (AWS highly preferrable)
* Experience in using version control systems such as Git.
* Experience with containerization and orchestration tools like Docker and Kubernetes.
* Experience with API development and integration for AI services.
* Understanding of and experience with of software engineering best practices like version control, CI/CD, and containerization
* Experience establishing model guardrails and developing bias detection and mitigation techniques for AI applications
* Proficiency with various prompting techniques, with a clear understanding of tradeoffs between prompting and finetuning
* Experience with finetuning embedding models and tuning vector databases to improve performance of semantic search and retrieval systems
* Experience operationalizing end\-to\-end machine learning applications.
* Excellent communication and collaboration skills
* Passion for using AI to solve real\-world problems
Additional Information
* **Appointment End Date:** June 30, 2027, with possibility of extension.
* **Standard Hours/Schedule:** 40 hours per week
* **Visa Sponsorship Information:** Harvard University is unable to provide visa sponsorship for this position
* **Pre\-Employment Screening:** Identity, Education, Criminal
* **Other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A cover letter is required to be considered for this opportunity.
\#LI\-KR1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059\.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122">
      <c r="A122" t="inlineStr">
        <is>
          <t>in-24627209ca3a2779</t>
        </is>
      </c>
      <c r="B122" t="inlineStr">
        <is>
          <t>Data Scientist, AWS Infrastructure Services Science</t>
        </is>
      </c>
      <c r="C122" t="inlineStr">
        <is>
          <t>Amazon.com</t>
        </is>
      </c>
      <c r="D122" t="inlineStr">
        <is>
          <t>indeed</t>
        </is>
      </c>
      <c r="E122">
        <f>HYPERLINK("https://www.indeed.com/viewjob?jk=24627209ca3a2779", "https://www.indeed.com/viewjob?jk=24627209ca3a2779")</f>
        <v/>
      </c>
      <c r="F122">
        <f>HYPERLINK("https://www.amazon.jobs/jobs/3181348/data-scientist-aws-infrastructure-services-science?cmpid=DA_INAD200785B", "https://www.amazon.jobs/jobs/3181348/data-scientist-aws-infrastructure-services-science?cmpid=DA_INAD200785B")</f>
        <v/>
      </c>
      <c r="G122" t="inlineStr">
        <is>
          <t>Herndon, VA, US</t>
        </is>
      </c>
      <c r="H122" s="2" t="n">
        <v>46065</v>
      </c>
      <c r="I1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3">
      <c r="A123" t="inlineStr">
        <is>
          <t>in-f085a9285a50cb1c</t>
        </is>
      </c>
      <c r="B123" t="inlineStr">
        <is>
          <t>Data Scientist, AWS Infrastructure Services Science</t>
        </is>
      </c>
      <c r="C123" t="inlineStr">
        <is>
          <t>Amazon.com</t>
        </is>
      </c>
      <c r="D123" t="inlineStr">
        <is>
          <t>indeed</t>
        </is>
      </c>
      <c r="E123">
        <f>HYPERLINK("https://www.indeed.com/viewjob?jk=f085a9285a50cb1c", "https://www.indeed.com/viewjob?jk=f085a9285a50cb1c")</f>
        <v/>
      </c>
      <c r="F123">
        <f>HYPERLINK("https://www.amazon.jobs/jobs/3181348/data-scientist-aws-infrastructure-services-science?cmpid=DA_INAD200785B", "https://www.amazon.jobs/jobs/3181348/data-scientist-aws-infrastructure-services-science?cmpid=DA_INAD200785B")</f>
        <v/>
      </c>
      <c r="G123" t="inlineStr">
        <is>
          <t>Seattle, WA, US</t>
        </is>
      </c>
      <c r="H123" s="2" t="n">
        <v>46065</v>
      </c>
      <c r="I1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24">
      <c r="A124" t="inlineStr">
        <is>
          <t>in-d46aec80fc593a4e</t>
        </is>
      </c>
      <c r="B124" t="inlineStr">
        <is>
          <t>Principal Data Scientist</t>
        </is>
      </c>
      <c r="C124" t="inlineStr">
        <is>
          <t>Valkyrie Intelligence</t>
        </is>
      </c>
      <c r="D124" t="inlineStr">
        <is>
          <t>indeed</t>
        </is>
      </c>
      <c r="E124">
        <f>HYPERLINK("https://www.indeed.com/viewjob?jk=d46aec80fc593a4e", "https://www.indeed.com/viewjob?jk=d46aec80fc593a4e")</f>
        <v/>
      </c>
      <c r="F124">
        <f>HYPERLINK("https://ats.rippling.com/valkyrie/jobs/8c91dd64-4660-4a99-8f72-325e7872b1bb?jobSite=Indeed", "https://ats.rippling.com/valkyrie/jobs/8c91dd64-4660-4a99-8f72-325e7872b1bb?jobSite=Indeed")</f>
        <v/>
      </c>
      <c r="G124" t="inlineStr">
        <is>
          <t>Austin, TX, US</t>
        </is>
      </c>
      <c r="H124" s="2" t="n">
        <v>46072</v>
      </c>
      <c r="I124" t="inlineStr">
        <is>
          <t>**Principal Scientist (Scientist IV) Job Description**
**Location:** Based in Austin, TX
 **About Us:**
Valkyrie is an applied science firm that builds industry\-defining custom AI, Machine Learning and Knowledge Engineering solutions. Our interdisciplinary applied science teams support our clients end\-to\-end—from data normalization through model deployment—solving complex, high\-impact problems across commercial and government sectors. Our work spans industries and institutions including SiriusXM, Activision, Chubb Insurance, and the U.S. Department of Defense. We operate at the intersection of deep technical rigor, operational excellence, and real\-world impact.
 **Principal Scientist Position:**
Principal Scientists serve as senior technical leaders responsible for shaping, scoping, and delivering applied AI and advanced analytics solutions for client organizations. They lead small cross\-functional project teams (typically 1–3 scientists and engineers per project) and ensure that solutions are technically sound, aligned with client needs, and delivered with high quality.
This role combines hands\-on technical contribution, technical leadership, and client interaction. Principal Scientists are expected to remain deeply engaged in modeling, analysis, and development while guiding teams through ambiguity, evolving requirements, and complex stakeholder environments.
This is not a pure individual contributor role and not a solely people\-management role; it is a technical leadership position centered on project execution, client trust, and scientific rigor.
 **Principal Scientist Key Responsibilities:**
*Technical Leadership \&amp; Project Execution*
* Translate ambiguous business problems into structured technical approaches
* Architect, build, and validate ML models, experiments, and analytical pipelines
* Maintain high standards of code quality, experimentation rigor, and documentation
* Evaluate and integrate new tools or methods as projects require
*Client Engagement \&amp; Advisory*
* Serve as a trusted technical partner to client stakeholders
* Lead technical discussions and guide expectation\-setting
* Communicate complex technical concepts clearly to non\-technical audiences
* Contribute to strategic deliverables (AI roadmaps, data maturity assessments, and data architecture redesigns)
* Build long\-term client trust through thoughtful execution and pragmatic guidance
*Team Leadership \&amp; Mentorship*
* Lead and mentor small teams of data scientists and engineers
* Provide technical direction, feedback, and mentorship
* Guide teams through ambiguity, evolving requirement and delivery milestones
* Ensure quality control across modeling, code, and deliverables
* Foster a culture of scientific curiosity and disciplined execution
*Strategic Contribution \&amp; Business Support*
* Collaborate with business development teams on new opportunities
* Contribute to proposal development and drafting Statements of Work (SOWs)
* Provide insight into emerging technologies and methods relevant to client needs
 **Principal Scientist Qualifications:**
We encourage candidates to apply even if they don’t have 100% of the below qualifications. We believe in a holistic approach when evaluating talent for our team and post new roles often, so even if this role isn’t quite right, we want to meet you!
* Bachelor’s or higher in Computer Science, STEM, or related field
* 8\+ years of relevant professional experience
* 5\+ years delivering applied AI/ML or advanced analytics solutions in consulting (preferred) or centralized enterprise AI/data science teams
* Demonstrated ability to translate ambiguous business problems into structured technical solutions
* Proven ability to independently engage clients while leading small technical teams
* Experience designing and validating machine learning models, experiments, and analytical pipelines.
* Strong Python proficiency with common data science and ML ecosystems (e.g. scikit\-learn, Pandas, Polars, seaborn, Plotly, Jupyter, PySpark, PyTorch/Tensor Flow, Hugging Face)
* Familiarity with SQL and enterprise database environments (relational, cloud\-native, or hybrid) (e.g. Snowflake, PostgresSQL, Oracle)
* Working knowledge of cloud deployment patterns and modern data/ML infrastructure (e.g. AWS, Azure, GCP, Dask, Airflow, Prefect, Databricks, Sagemaker)
* Ability to evaluate unfamiliar techniques quickly and integrate them pragmatically
* Demonstrated experience across 2\+ industry verticals/domains
* Strong mentorship and team leadership experience
**Like\-to\-Have Qualifications:**
* Familiarity with graph theory, graph databases (Neptune, Neo4j)
* Experience collaborating with business development teams to secure new engagements
* Experience leading or directing multiple projects simultaneously
* Experience managing junior scientists or small technical teams
 **Perks:**
* Tremendous growth potential
* Open and unlimited PTO \&amp; Sick time
* Medical, dental, vision, \&amp; HSA options
* 401K
* Parking Included
* Onsite gym \&amp; showers
* Stocked kitchen with healthy snacks, drinks, coffee, etc
* Team events including happy hours, catered lunches, and other fun outings
* Innovative, collaborative, and fun work environment that fosters a positive and supportive culture for growth
**The pay range for this role is:**  
140,000 \- 170,000 USD per year(Austin)</t>
        </is>
      </c>
    </row>
    <row r="125">
      <c r="A125" t="inlineStr">
        <is>
          <t>in-271b1e7e067f8e64</t>
        </is>
      </c>
      <c r="B125" t="inlineStr">
        <is>
          <t>Senior Data Scientist</t>
        </is>
      </c>
      <c r="C125" t="inlineStr">
        <is>
          <t>Monogram Health</t>
        </is>
      </c>
      <c r="D125" t="inlineStr">
        <is>
          <t>indeed</t>
        </is>
      </c>
      <c r="E125">
        <f>HYPERLINK("https://www.indeed.com/viewjob?jk=271b1e7e067f8e64", "https://www.indeed.com/viewjob?jk=271b1e7e067f8e64")</f>
        <v/>
      </c>
      <c r="F125">
        <f>HYPERLINK("https://recruiting2.ultipro.com/MON1026MONOH/JobBoard/bcaf2db0-50c8-4e2f-9d65-e8e00c882a25/OpportunityDetail?opportunityId=40e632c9-50ce-47e3-ae65-a8f49e6587fd&amp;postingId=2af92d33-13c2-4091-be56-c8d91dfcb625", "https://recruiting2.ultipro.com/MON1026MONOH/JobBoard/bcaf2db0-50c8-4e2f-9d65-e8e00c882a25/OpportunityDetail?opportunityId=40e632c9-50ce-47e3-ae65-a8f49e6587fd&amp;postingId=2af92d33-13c2-4091-be56-c8d91dfcb625")</f>
        <v/>
      </c>
      <c r="G125" t="inlineStr">
        <is>
          <t>Brentwood, TN, US</t>
        </is>
      </c>
      <c r="H125" s="2" t="n">
        <v>46072</v>
      </c>
      <c r="I125" t="inlineStr">
        <is>
          <t>### **Position:** ***Senior Data Scientist***
The **Senior** **Data** **Scientist** will be responsible for owning the development and deployment of machine learning models to support operational and clinical use cases at Monogram. This work will be carried out with minimal supervision, contributing to the advancement of Monogram’s data science initiatives. These models will be developed using open\-source tools and libraries and may be operationalized as batch or real\-time model inference endpoints. The models will utilize a variety of data sources, including healthcare claims, operational data from care management platforms, and EHRs. This position will report to the VP, Data Science with future direct reporting to the Director, Data Science.
#### **Responsibilities**
* Independently develop and deploy machine learning models to support Monogram’s operational and clinical objectives.
* Conduct data analyses related to model outputs or explore alternative use cases for existing models to enhance reporting and decision\-making processes.
* Engage with program owners to understand program goals, key performance indicators, and operational details to ensure that machine learning models are effectively aligned with program intentions.
* Create and present machine learning solution proposals to program owners, aiming to secure buy\-in and facilitate the implementation of data\-driven solutions.
* Adhere to and promote best practices in software development, data engineering, and machine learning to ensure high\-quality and maintainable code.
* Stay updated with the latest advancements in machine learning and data science, applying new techniques and methodologies to improve model performance and reliability.
* Maintain and update deployed models, ensuring their accuracy and efficiency over time, and troubleshoot any issues that arise during deployment.
#### **Position Requirements**
* Bachelor’s degree in data science, Computer Science, Statistics, or a related field; Master’s degree preferred
* Minimum of five (5\) years of experience performing quantitative analyses, preferably within the healthcare claims domain, including experience using Python for machine learning model development and deployment, and SQL, Databricks \&amp; PySpark to extract and manipulate data for data engineering tasks.
* Proficient in developing code and analyses following good software development practices.
* Experience with version control systems (GIT), CI/CD pipelines, and test\-driven development.
* Familiarity with cloud computing platforms, preferably Azure, for deploying and managing data science solutions.
* Proven problem\-solving abilities and a proactive approach to identifying and addressing business challenges through data\-driven solutions, as well as experience presenting technical concepts and models to business and executive stakeholders effectively.
* Demonstrated teamwork and collaboration skills, with the ability to work effectively in cross\-functional teams.
#### **Benefits**
* **Comprehensive Benefits** \- Medical, dental, and vision insurance, employee assistance program, employer\-paid and voluntary life insurance, disability insurance, plus health and flexible spending accounts
* **Financial \&amp; Retirement Support** – Competitive compensation, 401k with employer match, and financial wellness resources
* **Time Off \&amp; Leave** – Paid holidays, flexible vacation time/PSSL, and paid parental leave
* **Wellness \&amp; Growth** – Work life assistance resources, physical wellness perks, mental health support, employee referral program, and BenefitHub for employee discounts
#### **About Monogram Health**
Monogram Health is a leading multispecialty provider of in\-home, evidence\-based care for the most complex of patients who have multiple chronic conditions. Monogram health takes a comprehensive and personalized approach to a person’s health, treating not only a disease, but all of the chronic conditions that are present \- such as diabetes, hypertension, chronic kidney disease, heart failure, depression, COPD, and other metabolic disorders.
Monogram Health employs a robust clinical team, leveraging specialists across multiple disciplines including nephrology, cardiology, endocrinology, pulmonology, behavioral health, and palliative care to diagnose and treat health issues; review and prescribe medication; provide guidance, education, and counselling on a patient’s healthcare options; as well as assist with daily needs such as access to food, eating healthy, transportation, financial assistance, and more. Monogram Health is available 24 hours a day, 7 days a week, and on holidays, to support and treat patients in their home.
Monogram Health’s personalized and innovative treatment model is proven to dramatically improve patient outcomes and quality of life while reducing medical costs across the health care continuum.</t>
        </is>
      </c>
    </row>
    <row r="126">
      <c r="A126" t="inlineStr">
        <is>
          <t>in-ba0a3f9165801c92</t>
        </is>
      </c>
      <c r="B126" t="inlineStr">
        <is>
          <t>AI Engineer / Senior Data Scientist</t>
        </is>
      </c>
      <c r="C126" t="inlineStr">
        <is>
          <t>Valmont Industries</t>
        </is>
      </c>
      <c r="D126" t="inlineStr">
        <is>
          <t>indeed</t>
        </is>
      </c>
      <c r="E126">
        <f>HYPERLINK("https://www.indeed.com/viewjob?jk=ba0a3f9165801c92", "https://www.indeed.com/viewjob?jk=ba0a3f9165801c92")</f>
        <v/>
      </c>
      <c r="F126">
        <f>HYPERLINK("https://valmont.wd1.myworkdayjobs.com/en-US/ValmontCareers/job/Tel-Aviv/AI-Engineer---Senior-Data-Scientist_R26338", "https://valmont.wd1.myworkdayjobs.com/en-US/ValmontCareers/job/Tel-Aviv/AI-Engineer---Senior-Data-Scientist_R26338")</f>
        <v/>
      </c>
      <c r="G126" t="inlineStr">
        <is>
          <t>US</t>
        </is>
      </c>
      <c r="H126" s="2" t="n">
        <v>46071</v>
      </c>
      <c r="I126" t="inlineStr">
        <is>
          <t>Menahem Begin 121 Tel Aviv 6701201*Why Valmont*  
We’re Here to Move the World Forward.
Valmont impacts millions of people around the world every day, yet they might not realize the many ways. Our technology is helping feed the growing population, supplying the world with more reliable energy and access to renewables, enhancing connectivity in remote and urban locations to create a sustainable future and so much more. Simply put, Valmont is advancing agricultural productivity and reimagining vital infrastructure to make life better.  
Join a *Fortune* 1000 company that respects hard work, honors diversity and invests in our employees as we focus on creating the world of tomorrow, today. *We are the modern workforce*. Are you ready to move the world forward? Apply now.
A Brief Summary of This Position:
Valmont Industries is a global leader in infrastructure and manufacturing, with over 12,000 employees worldwide. The Valmont AI Group, based in Israel, serves as a central hub for designing and delivering advanced AI\-powered solutions that drive operational excellence across the organization. The group focuses on building practical, high\-impact AI systems and intelligent agents that improve core business processes, including supply chain optimization, factory scheduling, production planning, and process automation.
We are looking for a Principal AI Engineer / Senior Data Scientist to take a leading role in designing and delivering advanced algorithms and AI agent\-based systems across Valmont. This is not a pure research position. The role requires strong algorithmic and data science expertise combined with end\-to\-end ownership from problem discovery through production deployment.
Who You Are:  
A well\-rounded AI professional who combines strong technical depth with business understanding; Ownership\-driven and collaborative, with the ability to lead initiatives end\-to\-end in cross\-functional environments; Comfortable working in dynamic, multi\-threaded problem spaces, balancing multiple moving parts and priorities. You will work on real, high\-impact problems, see your solutions adopted at scale, and help shape how AI is applied across a large organization.  
Essential Functions:  
* Own AI\-driven initiatives end\-to\-end
* Design and implement advanced algorithms and AI agents
* Collaborate with software engineers and business stakeholders
* Translate business challenges into AI solutions
* Take models from prototype to production
* Continuously improve deployed solutions
Required Qualifications of Every Candidate  
* B.Sc. in Computer Science, Physics or related field (M.Sc. – Advantage)
* 5\+ years of experience in data science or applied research
* Strong Python experience, including hands\-on experience with Pandas, Scikit\-learn, and PyTorch (advantage)
* Excellent communication skills with proven ability to collaborate effectively with both technical and business stakeholders
* Experience with Generative AI models, foundational models, and related concepts – Advantage
Highly Qualified Candidates Will Also Possess These Qualifications:* Experience leading cross\-functional AI projects in enterprise environments
* Experience deploying AI solutions at scale in production systems
Valmont does not discriminate against any employee or applicant in employment opportunities or practices on the basis of race, color, religion, sex, sexual orientation, gender identity, national origin, age, genetic information, veteran status, disability or any other characteristic protected by law. Reasonable accommodation may be made to enable individuals with disabilities to perform the essential functions.
If you have a disability and require any assistance in filling out the application for employment email EEOCompliance@Valmont.com.</t>
        </is>
      </c>
    </row>
    <row r="127">
      <c r="A127" t="inlineStr">
        <is>
          <t>in-79780742fe61f5b0</t>
        </is>
      </c>
      <c r="B127" t="inlineStr">
        <is>
          <t>Data Scientist Advisor</t>
        </is>
      </c>
      <c r="C127" t="inlineStr">
        <is>
          <t>FedEx</t>
        </is>
      </c>
      <c r="D127" t="inlineStr">
        <is>
          <t>indeed</t>
        </is>
      </c>
      <c r="E127">
        <f>HYPERLINK("https://www.indeed.com/viewjob?jk=79780742fe61f5b0", "https://www.indeed.com/viewjob?jk=79780742fe61f5b0")</f>
        <v/>
      </c>
      <c r="F127">
        <f>HYPERLINK("https://careers.fedex.com/data-scientist-advisor/job/P25-316506-1?utm_domicile=unspecified&amp;utm_persona=unspecified&amp;utm_trackedsource=srm_indeed_org&amp;utm_subco=FEC", "https://careers.fedex.com/data-scientist-advisor/job/P25-316506-1?utm_domicile=unspecified&amp;utm_persona=unspecified&amp;utm_trackedsource=srm_indeed_org&amp;utm_subco=FEC")</f>
        <v/>
      </c>
      <c r="G127" t="inlineStr">
        <is>
          <t>Collierville, TN, US</t>
        </is>
      </c>
      <c r="H127" s="2" t="n">
        <v>46071</v>
      </c>
      <c r="I127" t="inlineStr">
        <is>
          <t>Provides expert leadership at the enterprise level related to vast quantities of data (including disparate data), enterprise analytics, statistical modeling, and initiatives and works on the leading edge of technology, tools, and methodology to ensure that FedEx is a leader in Business Intelligence. Leads lower level Data Scientists in descriptive, diagnostic, predictive, prescriptive and ensemble modeling, advanced statistical techniques, use of database tools and/or other approaches in quantitative analysis of complex business situations. Creates and implements solutions from initial concept to fully tested production and communicates results to a broad range of audiences. Expert in the use of all data types, statistical and quantitative analysis, explanatory and high\- complexity predictive modeling and fact\-based management to drive decision making. Leads cross functional projects and programs. Routinely works on multiple highly complex assignments concurrently.
 **Essential Functions**
* Performs both qualitative analysis (e.g., content analysis, phenomenology, hypothesis testing, network analysis, sentiment analysis, and classification) and quantitative analysis (e.g., clustering regression, pattern recognition, descriptive and inferential statistics) on large data sets to understand trends and relationships between variables to gain predictive insights and drive business results.
* Designs and implements experiments to answer targeted questions, solve known issues and suggest/influence the direction of the business by effectively communicating with business partners and functional leaders to understand and prioritize key business challenges.
* Guides others in the collection of new data, refinement strategy, researches, tests, recommends, and implements improvements in the tools and techniques used by FedEx to manage and access data and information.
* Prioritizes problems so that the team works on the most valuable cases; leads investigations into multiple streams of data to solve complex business problems.
* Designs and implements reporting dashboards that track and visually communicate key business metrics and provide actionable insights.
* Identifies internal and external information sources, builds strong working relationships with subject matter experts and leadership within FedEx and the external marketplace.
* Act as primary author of whitepapers and will present various industry topics as it relates to Data Science at conferences.
* Collaborates with IT departments and communicates changes in industry trends and techniques to ensure the team is current with tools, knowledge and methods.
* Perform other duties as assigned.
 **Minimum Education**
Bachelor’s degree in a quantitative discipline required. A Master’s degree in a related field may off set two years of the required experience. Related experience may offset degree requirements and related education/degree may offset experience requirements.
**Minimum Experience**
Seven (7\) years experience required in solving analytics problems through the application of data science techniques or work experience in measurement and analysis, quantitative business problem solving, solutions implementation, operations analysis, marketing analysis, simulation development and/or predictive analytics.
Experience should include using most of the following:
* Machine Learning Frameworks: SKLearn, XGBoost, TensorFlow, PyTorch, MLlib, and other core ML frameworks.
* Programming Languages: Python, Scala, R, C\+\+, Java, and other modern languages.
* Data Tools and Frameworks: MLFlow, Databricks, Spark, Kafka, Hive, Hadoop, and others.
* Cloud Environments: Azure, AWS, etc.
* SQL (Structured Query Language).
* ETL (Extract\-Transform\-Load) concepts, query performance tuning and testing.
* Visualization tools such as Tableau, Spotfire, and Power BI.
**Knowledge, Skills, and Abilities**
Demonstrated superior analytical skills with diverse analytics, data types and statistical software and applications.
Outstanding interpersonal skills, written, and oral communication skill. Proven leadership skills.
Ability to design mathematical algorithms that employ predictive and machine learning models.
Ability to understand how new tools/methodology can be implemented to solve business problems.
Ability to read, analyze, and interpret common technical journals, reports, and related documents.
Ability to effectively present information to management, end users, co\-workers, or vendors.
Ability to perform complex tasks with limited direction.
Proficient with MS office applications.
 **Preferred Qualifications:** This position is hybrid to Collierville, TN.
**Pay Transparency:** Internal paygrade E28
**Pay:** $8,452\.14 \- $14,368\.63
**Additional Details:** Application Criteria/Deadline: To apply for this position, please upload your current resume and complete application by close of business day (5:00PM CST) on February 26, 2026\.
 **For details on our comprehensive benefits, click** **here****.**
Federal Express Corporation is an Equal Opportunity Employer including, Vets/Disability.
Reasonable accommodations are available for qualified individuals with disabilities throughout the application process. Applicants who require reasonable accommodations in the application or hiring process should contact recruitmentsupport@fedex.com.
Applicants have rights under Federal Employment Laws:
* Know Your Rights
* Pay Transparency
* Family and Medical Leave Act (FMLA)
* Employee Polygraph Protection Act
E\-Verify Program Participant: Federal Express Corporation participates in the Department of Homeland Security U.S. Citizenship and Immigration Services’ E\-Verify program (For U.S. applicants and employees only). Please click below to learn more about the E\-Verify program:
* E\-Verify Notice (bilingual)
* Right to Work Notice (English) / (Spanish)</t>
        </is>
      </c>
    </row>
    <row r="128">
      <c r="A128" t="inlineStr">
        <is>
          <t>in-30bc08de38c6a344</t>
        </is>
      </c>
      <c r="B128" t="inlineStr">
        <is>
          <t>Senior Data Scientist</t>
        </is>
      </c>
      <c r="C128" t="inlineStr">
        <is>
          <t>Caterpillar</t>
        </is>
      </c>
      <c r="D128" t="inlineStr">
        <is>
          <t>indeed</t>
        </is>
      </c>
      <c r="E128">
        <f>HYPERLINK("https://www.indeed.com/viewjob?jk=30bc08de38c6a344", "https://www.indeed.com/viewjob?jk=30bc08de38c6a344")</f>
        <v/>
      </c>
      <c r="F128">
        <f>HYPERLINK("https://careers.caterpillar.com/en/jobs/r0000351468/senior-data-scientist/", "https://careers.caterpillar.com/en/jobs/r0000351468/senior-data-scientist/")</f>
        <v/>
      </c>
      <c r="G128" t="inlineStr">
        <is>
          <t>Peoria, IL, US</t>
        </is>
      </c>
      <c r="H128" s="2" t="n">
        <v>46071</v>
      </c>
      <c r="I128"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This Senior Data Scientist will be joining the Caterpillar Rental Data Engagement Team of CAT Digital. This team is responsible for partnering with Caterpillar Dealers to help them understand equipment rental data more effectively to help them make data driven decisions for their business. The Senior Data Scientist will performs analytical tasks and initiatives on huge amount of data to support data\-driven business decision and development.  
**What You Will Do:**
* Directing the data gathering, data mining, and data processing processes in huge volume; creating appropriate data models.
* Exploring, promoting, and implementing semantic data capabilities through Natural Language Processing, text analysis and machine learning techniques.
* Leading to define requirements and scope of data analyses; presenting and reporting possible business insights to management using data visualization technologies.
* Conducting research on data model optimization and algorithms to improve effectiveness and accuracy on data analyses.
**What You Have:**
* **Business Statistics:** Knowledge of the statistical tools, processes, and practices to describe business results in measurable scales; ability to use statistical tools and processes to assist in making business decisions.
* **Accuracy and Attention to Detail:** Understanding the necessity and value of accuracy; ability to complete tasks with high levels of precision.
* **Machine Learning:** Knowledge of principles, technologies and algorithms of machine learning; ability to develop, implement and deliver related systems, products and services.
* **Programming Languages**: Knowledge of basic concepts and capabilities of programming; ability to use tools, techniques and platforms in order to write and modify programming languages.
* **Query and Database Access Tools:** Knowledge of data management systems; ability to use, support and access facilities for searching, extracting and formatting data for further use.
* **Requirements Analysis:** Knowledge of tools, methods, and techniques of requirement analysis; ability to elicit, analyze and record required business functionality and non\-functionality requirements to ensure the success of a system or software development project.
**Consideration for Top Candidates:**
* Bachelor’s Degree in Computer Science, Engineering or related field
* Extensive experience with Python, SQL for data extraction, validation and management
* Proven experience with Data warehousing projects; Snowflake preferred
* Experience building security systems models for data warehouses
* Familiarity with Machine Learning techniques and technologies with R, Python, etc.
* Proven experience interfacing with customers to create requirements for data science needs preferred
 **Additional Information:**
* This position requires the candidate to work near one of these offices; Illinois (Peoria or Chicago) and Texas (Dallas)
* Relocation assistance is NOT available for this position
* Visa sponsorship is NOT available with this position.
* This position will require up to 10% travel
* \#LI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29">
      <c r="A129" t="inlineStr">
        <is>
          <t>in-29f40f9f27a8f7ba</t>
        </is>
      </c>
      <c r="B129" t="inlineStr">
        <is>
          <t>Senior Data Scientist</t>
        </is>
      </c>
      <c r="C129" t="inlineStr">
        <is>
          <t>Navy Federal Credit Union</t>
        </is>
      </c>
      <c r="D129" t="inlineStr">
        <is>
          <t>indeed</t>
        </is>
      </c>
      <c r="E129">
        <f>HYPERLINK("https://www.indeed.com/viewjob?jk=29f40f9f27a8f7ba", "https://www.indeed.com/viewjob?jk=29f40f9f27a8f7ba")</f>
        <v/>
      </c>
      <c r="F129">
        <f>HYPERLINK("https://jobs.talemetry.com/navyfederal/jobs/apply?job_list_id=1045&amp;returnUrl=https%3A%2F%2Ffa-etbx-saasfaprod1.fa.ocs.oraclecloud.com%2FhcmUI%2FCandidateExperience%2Fen%2Fsites%2FCX_1%2Fjob%2F28615&amp;tm_job=28615&amp;tm_event=view&amp;tm_company=903", "https://jobs.talemetry.com/navyfederal/jobs/apply?job_list_id=1045&amp;returnUrl=https%3A%2F%2Ffa-etbx-saasfaprod1.fa.ocs.oraclecloud.com%2FhcmUI%2FCandidateExperience%2Fen%2Fsites%2FCX_1%2Fjob%2F28615&amp;tm_job=28615&amp;tm_event=view&amp;tm_company=903")</f>
        <v/>
      </c>
      <c r="G129" t="inlineStr">
        <is>
          <t>Vienna, VA, US</t>
        </is>
      </c>
      <c r="H129" s="2" t="n">
        <v>46071</v>
      </c>
      <c r="I129" t="inlineStr">
        <is>
          <t>**Overview**
As a Senior Data Scientist, you will independently develop data science solutions, machine learning models, and analytical insights that drive mission‑critical decisions across the organization. You will leverage member, financial, and operational data to identify opportunities for new products, services, and process optimization. This role requires strong communication skills to produce clear summaries, presentations, and documentation for leadership and cross‑functional partners. You will also collaborate closely with the Fair Lending, Compliance, and Model Risk Management team on model validations and remediation activities.
**Responsibilities**
* Design, develop, and evaluate moderately complex predictive models and advanced algorithms, with a strong focus on credit scoring.
* Identify meaningful insights from large datasets and metadata sources.
* Test hypotheses, analyze results, and interpret model performance.
* Develop and code moderately complex software programs, algorithms, and automated analytics pipelines.
* Present analytical findings, model results, and recommendations to senior management and internal stakeholders.
* Exercise sound judgment and discretion within established procedures and best practices.
* Ensure awareness of regulatory requirements—including Compliance and Fair Lending—and partner with relevant teams to validate models prior to implementation.
* Partner proactively with Model Risk Management on periodic model validations and remediation efforts.
* Create high‑quality written and verbal documentation, including model development, performance, and governance materials.
* Build strong working relationships with team members and subject matter experts.
* Lead small projects and cross‑functional initiatives.
**Qualifications**
* 5\+ years of experience in exploratory data analysis, ideally including building tree‑based models.
* Strong programming and analytical skills, including experience with SQL, R, Python, SAS, and AWS.
* Understanding of financial services or banking concepts and regulatory considerations.
* Experience in model lifecycle execution, including development, monitoring, documentation, and governance.
* Experience validating models and partnering with internal or external auditors.
* Strong technical writing abilities, especially for model documentation.
* Excellent data storytelling and technical presentation skills.
* Strong research, analytical thinking, and problem‑solving abilities.
* Ability to work independently, critically evaluate your own work, and handle complex problems.
* Strong communication and interpersonal skills.
* Demonstrated ability to build collaborative relationships with internal and external partners.
* High initiative, sound judgment, and attention to detail.
* Technical proficiency in big data analytics, coding, project management, and technical writing.
* Bachelor’s degree in Data Science, Statistics, Mathematics, Computer Science, Engineering, or a related quantitative field.
**Desired Qualification**
* 5\+ years of experience in financial services, particularly in acquisition model development, credit policy, or risk management.
* Master’s or PhD in Data Science, Statistics, Mathematics, Computer Science, Engineering, or a related field.
**Hours:** Monday \- Friday, 8:00AM \- 4:30PM  
**Location:** 820 Follin Lane, Vienna, VA 22180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 Yello and WayUp Top 100 Internship Programs
* Computerworld® Best Places to Work in IT
* Newsweek Most Loved Workplaces
* 2025 PEOPLE® Companies That Care
* Newsweek Most Trustworthy Companies in America
* Military Times 2025 Best for Vets Employers
* Best Companies for Latinos to Work for 2025
* Forbes® 2025 America's Best Large Employers
* Forbes® 2025 America's Best Employers for New Grads
* Forbes® 2025 America's Best Employers for Tech Workers
* 2025 RippleMatch Campus Forward Award Winner for Overall Excellence
* Military.com Top Military Spouse Employers 2025
* 2025 Handshake Early Talent Award
From *Fortune*.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**Accommodations:** If you need accommodation or assistance for a qualifying condition to complete the online application (or during any stage of the hiring process), you can contact Navy Federal's Medical Accommodations team at medicalaccommodations@navyfederal.org or by calling 1\-888\-503\-6013\. This team cannot provide any information on job postings or application status.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130">
      <c r="A130" t="inlineStr">
        <is>
          <t>in-75e74f6a4b7bcb61</t>
        </is>
      </c>
      <c r="B130" t="inlineStr">
        <is>
          <t>Product Data Scientist</t>
        </is>
      </c>
      <c r="C130" t="inlineStr">
        <is>
          <t>Fusion Risk Management</t>
        </is>
      </c>
      <c r="D130" t="inlineStr">
        <is>
          <t>indeed</t>
        </is>
      </c>
      <c r="E130">
        <f>HYPERLINK("https://www.indeed.com/viewjob?jk=75e74f6a4b7bcb61", "https://www.indeed.com/viewjob?jk=75e74f6a4b7bcb61")</f>
        <v/>
      </c>
      <c r="F130">
        <f>HYPERLINK("http://recruit.hirebridge.com/v3/careercenter/v2/details.aspx?jid=608481&amp;cid=8052&amp;locvalue=1013", "http://recruit.hirebridge.com/v3/careercenter/v2/details.aspx?jid=608481&amp;cid=8052&amp;locvalue=1013")</f>
        <v/>
      </c>
      <c r="G130" t="inlineStr">
        <is>
          <t>US</t>
        </is>
      </c>
      <c r="H130" s="2" t="n">
        <v>46071</v>
      </c>
      <c r="I130" t="inlineStr">
        <is>
          <t>Fusion Risk Management is a fast\-growing, innovative company committed to fostering a supportive, inclusive environment and recognized by the Chicago Tribune and Built in Chicago for its culture!
Fusion is a leading provider of cloud\-based software solutions for operational resilience, encompassing risk management, third\-party risk management, information technology and security risk, business continuity and disaster recovery, and crisis and incident management. Recognized by Gartner, Forrester, Deloitte, and more, we seek to build a more resilient world by empowering organizations to make data\-driven decisions and helping them achieve greater overall resilience.
Our flagship product, The Fusion Framework® System™, delivered on the Salesforce Lightning Platform, provides companies a North Star for operational resilience. Fusion serves mid\-size organizations to Fortune 50 companies across various verticals including financial services, manufacturing, energy and utilities, retail, pharmaceuticals, and education.
We are looking to add talented individuals to our team who are passionate about our vision to build a resilient world together and inspired by the challenge of solving key business problems. We seek can\-do people who fit the culture, align with our core values, and prioritize continued personal and professional development. If this sounds like you, read on!
**Core Values**
Our values are at the center of our company. They are the core ethics and principles that help define our personality as an organization and help give us focus and purpose. They are overarching, building blocks of our culture and can always be used as a consistent reference point our company\-wide ethics.
* **Trust:** Earn teammates’ trust and assume positive intent; act with integrity; respect diversity of thought, skills, and background
* **Passion:** Make a difference; don’t wait until you’re asked or instructed; maintain a bias to action and impact
* **Collaboration:** Think systematically and see your role within the bigger picture; be accountable for your part of team success; put your teammates in a position to thrive
* **Customer Centricity:** Demonstrate a solid commitment to customer success by providing positive and consistent customer experiences (exhibiting professionalism, patience, respect, and knowledge); Proactively engage our customer community, seek customer feedback – be open to listening – and actively incorporate the voice of the customer into daily activities
* **Growth:** Strive for excellence; embrace change; prioritize continuous improvement
**The Role**
We’re looking for a full\-stack, product\-minded data scientist to help build a new greenfield product at Fusion. This work will unify resilience data from some of the world’s largest and most systemically important organizations—and help define the future research and analytics for an entire industry.
This is a high\-ownership role for someone who wants to work close to customers, shape product direction, and apply advanced analytics and modeling techniques to real\-world, high\-impact problems.
**Key Responsibilities**
* Partner closely with customers and internal product teams to design and build the first in a new line of data products, using technologies such as Snowflake, dbt, Salesforce, and Streamlit.
* Own and evolve existing analytical products involving Monte Carlo simulation, Bayesian networks, optimization (linear and constraint programming), and generative capabilities.
* Contribute to internal analytics initiatives, including maintaining and improving our predictive churn model and supporting product and usage analytics.
* Help influence product direction by identifying opportunities where data, modeling, or automation can meaningfully improve customer outcomes
Knowledge, Skills, and Abilities
* Product\-minded approach with the ability to learn new domains quickly, develop deep empathy for customer problems, and translate those needs into impactful data solutions.
* Strong data storytelling skills, with the ability to turn complex analyses into clear, compelling dashboards and visualizations for both technical and non\-technical audiences.
* Comfort working across the data science stack, including production\-grade SQL, dbt pipelines, simulation, optimization, machine learning, and emerging intelligent functionality.
* Technical generalist mindset with enthusiasm for learning new tools, languages, and platforms, and comfort leveraging modern AI\-assisted tools to accelerate work.
* Strong SQL skills and familiarity with Java, or the motivation and ability to ramp up quickly.
* Experience collaborating closely with customers or customer\-facing teams and taking ownership of translating real\-world problems into data\-driven solutions.
Qualifications (Education and Experience)
* Bachelor’s degree in Computer Science, Data Science, Statistics, or a related field.
* Experience working with Salesforce data or platforms (nice to have).
* Exposure to simulation, optimization, or operations research techniques (nice to have).
* Experience building or maintaining machine learning models, including customer churn or retention models (nice to have).
**Milestones for the First Six Months**
*In one month, you will:*
Complete all HR and onboarding requirements  
Become familiar with Fusion’s industry, strategy, data, tools and products
Begin contributing to existing analytics or product initiatives with guidance
*In three months, you will:*
Being agile development of our new greenfield product in concert with our partners  
Collaborate with customers and partners to effectively iterate and enhance the product
Commit tightly scoped enhancements to existing data science products
*In six months, you will:*
 Own and deliver the first version of our new data product
Directly manage and incorporate feedback from customers and function as a product owner  
Consistently meet delivery expectations with minimal oversight
Propose new enhancements and products to our growing line of data products
**Compensation \&amp; Benefits**
The annual base salary range for this position is $115,000\-$135,000, depending on the candidate’s experience, qualifications, and relevant skill set. The position is also eligible for an annual bonus. Fusion offers a comprehensive benefits package including medical, dental, vision, and a 401(k) plan.
**Disclaimers**
Fusion is an Equal Opportunity Employer. All qualified applicants will receive consideration for employment without regard to race, color, religion, disability, age, pregnancy, military service or discharge status, genetic information, sex, sexual orientation, gender identity, or national origin. Nothing in this job posting should be construed as an offer or guarantee of employment.</t>
        </is>
      </c>
    </row>
    <row r="131">
      <c r="A131" t="inlineStr">
        <is>
          <t>in-e22252a2f65e9691</t>
        </is>
      </c>
      <c r="B131" t="inlineStr">
        <is>
          <t>Data Scientist</t>
        </is>
      </c>
      <c r="C131" t="inlineStr">
        <is>
          <t>Workwhile</t>
        </is>
      </c>
      <c r="D131" t="inlineStr">
        <is>
          <t>indeed</t>
        </is>
      </c>
      <c r="E131">
        <f>HYPERLINK("https://www.indeed.com/viewjob?jk=e22252a2f65e9691", "https://www.indeed.com/viewjob?jk=e22252a2f65e9691")</f>
        <v/>
      </c>
      <c r="F131">
        <f>HYPERLINK("https://jobs.ashbyhq.com/workwhilejobs/632a4398-5825-4df3-b6f3-0cd65e81a0fb", "https://jobs.ashbyhq.com/workwhilejobs/632a4398-5825-4df3-b6f3-0cd65e81a0fb")</f>
        <v/>
      </c>
      <c r="G131" t="inlineStr">
        <is>
          <t>San Francisco, CA, US</t>
        </is>
      </c>
      <c r="H131" s="2" t="n">
        <v>46071</v>
      </c>
      <c r="I131" t="inlineStr">
        <is>
          <t>Location
San Francisco, New York, Toronto, Seattle
Employment Type
Full time
Location Type
Hybrid
Department
R\&amp;D
Data Science
**About WorkWhile**  
WorkWhile is on a mission to help workers earn a better living and live better lives. More than 80 million Americans work hourly jobs, often with unpredictable schedules that pay close to minimum wage and offer limited benefits, leading to financial instability.
WorkWhile is revolutionizing frontline work by creating a more flexible and efficient labor market. Powered by AI, the WorkWhile platform helps businesses quickly access high\-quality talent. Workers benefit from same\-day pay, free telehealth services, upskilling, and the ability to choose shifts that match their skills and schedules.
We have the audacious goal to align incentives and solve inefficiencies in the labor market, disrupting the $650 billion staffing and recruiting market. Backed by Khosla Ventures and recognized by the Inc. 5000 for 10x growth, WorkWhile is reshaping the future of work.  
**About the Role**
WorkWhile is looking for a data scientist to help us develop the models and algorithms core to our product and operational systems. You will help shape all aspects of our data culture and have a hand in key company decisions. You will be responsible for core product initiatives such as matching workers to shifts, dynamic pricing, and supply\-demand optimization. You will partner closely with our engineering and product teams to implement and refine your work, which will be seen by every user of the WorkWhile product.
WorkWhile has a diverse, mission\-driven, and supportive culture – we look for people who want to take ownership, are energized by ambiguity, and strive to make a lasting impact. If this resonates with you, we’d love to chat!
**What you’ll do**
* Develop a thorough understanding of our data
* Build predictive models and optimization algorithms to capture opportunities and solve problems. Common applications include modeling the optimal number of workers to acquire in a given market, dynamic pricing recommendations, and worker\-shift recommendation and matching algorithms.
* Collaborate with other members of the Data Science, Economics, and Engineering teams on ways to approach problems, augment code, and share new techniques
* Work with functional team leads (in Product, Operations, Marketing, etc.) to explain your analysis, findings, and recommendations
* Find opportunities for improvement across the business and assist in decision\-making across teams
**What we’re looking for**
* At least 2 years of experience with machine learning, predictive modeling, and/or optimization techniques
* Proficient knowledge of Python and SQL, with the ability to automate data workflows and write production\-ready code for offline and online inference
* Working knowledge of statistics, probability, and experiment design
* Self\-starter able to drive projects to completion who is excited to be on a startup’s founding team
* Communicates effectively with both technical and non\-technical colleagues
* Passion for using data science to solve real\-world problems and improving economic opportunities for hourly workers
**Data Science \&amp; Economics Team**
* We’re a team with deep tenure at WorkWhile and also broader experience at other leading marketplace companies
* We value user\-centricity, competence, speed, and having fun
* We embrace independence and take ownership of our projects, yet are also great team players
* We deal in outcomes, not projects
**Benefits \&amp; Perks**
* Hybrid work culture with office hubs in SF, NY, Seattle \&amp; Toronto
* In\-person company off\-sites
* Medical, dental, \&amp; vision coverage
* Flexible time off
* 401(k) with employer match
* WFH stipend to support your home office needs
WorkWhile is an Equal Opportunity Employer. Women, minorities, individuals with disabilities and protected veterans are encouraged to apply.</t>
        </is>
      </c>
    </row>
    <row r="132">
      <c r="A132" t="inlineStr">
        <is>
          <t>in-6e6c6a6c59f32df6</t>
        </is>
      </c>
      <c r="B132" t="inlineStr">
        <is>
          <t>Staff Data Scientist (Director) - Miami</t>
        </is>
      </c>
      <c r="C132" t="inlineStr">
        <is>
          <t>Atlas Air, Inc.</t>
        </is>
      </c>
      <c r="D132" t="inlineStr">
        <is>
          <t>indeed</t>
        </is>
      </c>
      <c r="E132">
        <f>HYPERLINK("https://www.indeed.com/viewjob?jk=6e6c6a6c59f32df6", "https://www.indeed.com/viewjob?jk=6e6c6a6c59f32df6")</f>
        <v/>
      </c>
      <c r="F132">
        <f>HYPERLINK("https://grnh.se/iby2ymo09us", "https://grnh.se/iby2ymo09us")</f>
        <v/>
      </c>
      <c r="G132" t="inlineStr">
        <is>
          <t>Miami, FL, US</t>
        </is>
      </c>
      <c r="H132" s="2" t="n">
        <v>46071</v>
      </c>
      <c r="I132" t="inlineStr">
        <is>
          <t>**Join Atlas Air Worldwide. Move the World with Us!**
At Atlas Air Worldwide, we're not just an airline, we're a global engine powering cargo, passenger, and leasing operations across more than 70 countries. As a leader in outsourced aviation logistics, we're built on a foundation of **safety**, **service excellence**, **integrity**, **innovation**, **teamwork**, and **responsibility**. With over 30 years of history, a modern all\-Boeing fleet, and nearly 5,000 teammates collaborating across operations, technical, and corporate functions, we're driven by purpose.
**If you're ready to grow, innovate, and help us deliver excellence every single day, you belong here.**
**Position Summary:** We are looking for a brilliant and highly motivated **Staff** **Data Scientist** to join our innovative Data Analytics and Optimization team! This isn't just another analytics role – you'll be at the forefront of transforming Atlas Air through the power of data.
In this position, you will develop data\-driven technology solutions for a variety of high\-dimensional resource management problems in aviation involving complex trade\-offs under uncertainty. You will collaborate with leaders across our organization to uncover hidden opportunities, tackle challenging data puzzles, and build sophisticated predictive and prescriptive models that drive real\-world impact. Your insights won't just live in dashboards – the fruits of your work will shape our strategic direction, be operationalized in our processes, and will fuel our competitive advantage.
The perfect candidate brings a powerful blend of programming prowess, machine learning mastery, and operations research skillfulness, along with the rare ability to translate complex technical concepts into compelling stories that inspire action among non\-technical leaders.
If you're passionate about using cutting\-edge science and technology to solve meaningful problems and want to be part of a team that values your analytical superpowers, this role is your next adventure!
**Major Accountabilities:**
* Collaborate with cross\-functional teams including engineering, product, and business stakeholders to identify opportunities for leveraging data to drive business solutions around airline operations.
* Lead complex data science projects from conception to implementation, working with various stakeholders (e.g., global control center, pilots, sales, etc.) to define objectives, timelines and success metrics.
* Translate business requirements into data science or analytics projects with well\-defined deliverables and timelines.
* Design and conduct experiments to test hypotheses and measure the impact of work against objectives.
* Collect, process, clean, and analyze structured and unstructured data from various internal and external sources.
* Extract, transform, and analyze large datasets from various sources.
* Perform exploratory data analysis to uncover patterns, trends, and relationships within large datasets.
* Design, develop, and maintain sophisticated decision support tools leveraging machine learning and optimization models and algorithms to solve business challenges and unlock value.
* Create clear data visualizations and compelling narratives to communicate findings to technical and non\-technical audiences.
* Mentor less experienced data scientists, providing technical guidance, setting clear objectives, and fostering professional growth.
* Stay current with emerging techniques and technologies in data science and machine learning.
* Collaborate with data engineering to implement production\-ready solutions.
* Monitor model performance and iterate on solutions as needed.
* Establish best practices and methodologies for the data science function.
* Research and implement new methodologies and technologies to improve Atlas Air's data and AI/ML
**Qualifications:**
**Must\-Have:**
* Master's degree or Ph.D. in Operations Research, Machine Learning, Computer Science, Data Science, Statistics, Mathematics, or a related quantitative field.
* 5\+ years of hands\-on experience in a data science or similar analytical role, with a track record of impact.
* Expertise in programming languages such as Python, R, or similar programming languages for data analysis.
* Proficiency with data manipulation tools (e.g., SQL, Pandas, Spark) and machine learning libraries (e.g., scikit\-learn, PyTorch, TensorFlow, etc.).
* Strong knowledge of statistical analysis and hypothesis testing.
* Strong understanding of statistical modeling, machine learning algorithms, hypothesis testing, and optimization.
* Excellent communication, presentation, and interpersonal skills with the ability to translate complex technical concepts to non\-technical audiences.
* Proven ability to translate business requirements into technical solutions.
* Proven ability to apply software engineering best practices.
* Experience working in production\-grade Python code including proficiency with git, testing, and other software engineering best practices.
**Nice\-to\-Have:**
* Master's degree or Ph.D. in Operations Research, Machine Learning, Computer Science, Data Science, Statistics, Mathematics, or a related quantitative field.
* Domain expertise in aviation, transportation, or logistics.
* History of technical leadership on significant data science initiatives.
* Contributions to related research publications and/or open\-source projects.
* Experience with big data platforms (e.g., Spark/Databricks).
* Experience with cloud platforms (AWS, GCP, or Azure) and MLOps practices.
* Experience with optimization libraries (OR\-Tools, Gurobi, or CPLEX)
At **Atlas Air Worldwide**, we believe in the power of people, the promise of innovation, and the responsibility we hold to each other, to our customers, and to the planet. Join us and be part of a team that lifts more than cargo; we lift ambition.</t>
        </is>
      </c>
    </row>
    <row r="133">
      <c r="A133" t="inlineStr">
        <is>
          <t>in-e6f147f0554df239</t>
        </is>
      </c>
      <c r="B133" t="inlineStr">
        <is>
          <t>Applied Scientist</t>
        </is>
      </c>
      <c r="C133" t="inlineStr">
        <is>
          <t>KOAH</t>
        </is>
      </c>
      <c r="D133" t="inlineStr">
        <is>
          <t>indeed</t>
        </is>
      </c>
      <c r="E133">
        <f>HYPERLINK("https://www.indeed.com/viewjob?jk=e6f147f0554df239", "https://www.indeed.com/viewjob?jk=e6f147f0554df239")</f>
        <v/>
      </c>
      <c r="F133">
        <f>HYPERLINK("https://jobs.ashbyhq.com/koahlabs/f2f56714-59b5-4676-aa7c-f20658765baa?utm_source=2ENgyJeply", "https://jobs.ashbyhq.com/koahlabs/f2f56714-59b5-4676-aa7c-f20658765baa?utm_source=2ENgyJeply")</f>
        <v/>
      </c>
      <c r="G133" t="inlineStr">
        <is>
          <t>San Francisco, CA, US</t>
        </is>
      </c>
      <c r="H133" s="2" t="n">
        <v>46071</v>
      </c>
      <c r="I133" t="inlineStr">
        <is>
          <t>**Who We Are**
Koah Labs is building the ad network to power the next generation of AI\-native products. Our mission is to help publishers monetize and help advertisers reach the right audience — without compromising speed, UX, or privacy.
We’re a small, tight\-knit team in San Francisco with backgrounds at X, Apple, Meta, and early\-stage startups. We’ve raised $5\.7M from top investors and are growing fast with real traction on both the publisher and advertiser sides.
Working at Koah means joining at the ground floor: you’ll ship code that shapes the company and the ecosystem we’re building. We move quickly, operate with high trust, and care deeply about craft.
**Our Stack**
* **Infra**: Terraform, AWS, LGTM (Loki, Grafana, Tempo, Mimir), Tailscale, Cloudflare
* **Data**: PostgreSQL, ClickHouse, Redis, Kafka, Python
* **Core Application**: Ruby on Rails, React, TypeScript
* **SDKs**: Flutter, React Native, Android, iOS
**Example Projects**
* Design efficient algorithms for real\-time bidding systems, building upon the current pricing literature
* Create and productionize regression models to predict end conversions based on demographic, audience, and semantic data
* Apply privacy\-preserving clustering methods to categorize conversational data to improve advertiser outreach
* Analyze and pore over data to find alpha that can improve the core ad matching system balancing publisher and advertiser outcomes
**You might be a fit if**
* You have an advanced degree in Physics, Computer Science, Mathematics, Statistics, Engineering, or a related field
* You enjoy identifying and owning challenging problems, forming testable hypotheses, and conducting impactful research to drive significant business impact
* You have a relentless focus on continuous learning and making an impact with an ability to question the status quo
* You have strong mathematical and statistical modeling skills
* You enjoy communicating conclusions to both technical and non\-technical audiences alike
Compensation Range: $200K \- $300K</t>
        </is>
      </c>
    </row>
    <row r="134">
      <c r="A134" t="inlineStr">
        <is>
          <t>in-7931cc30ec6308b9</t>
        </is>
      </c>
      <c r="B134" t="inlineStr">
        <is>
          <t>Sr AI/ML Scientist - Remote</t>
        </is>
      </c>
      <c r="C134" t="inlineStr">
        <is>
          <t>Optum</t>
        </is>
      </c>
      <c r="D134" t="inlineStr">
        <is>
          <t>indeed</t>
        </is>
      </c>
      <c r="E134">
        <f>HYPERLINK("https://www.indeed.com/viewjob?jk=7931cc30ec6308b9", "https://www.indeed.com/viewjob?jk=7931cc30ec6308b9")</f>
        <v/>
      </c>
      <c r="F134">
        <f>HYPERLINK("https://uhg.taleo.net/careersection/10000/jobdetail.ftl?job=2345905&amp;lang=en", "https://uhg.taleo.net/careersection/10000/jobdetail.ftl?job=2345905&amp;lang=en")</f>
        <v/>
      </c>
      <c r="G134" t="inlineStr">
        <is>
          <t>Eden Prairie, MN, US</t>
        </is>
      </c>
      <c r="H134" s="2" t="n">
        <v>46071</v>
      </c>
      <c r="I134"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You'll be rewarded and recognized for your performance in an environment that will challenge you and give you clear direction on what it takes to succeed in your role as well as provide development for other roles you may be interested in.
**Required Qualifications:**
* PhD in Statistics, Mathematics, Computer Science or related field
* 3\+ years of AI/ML experience (LLM, NLP)
* 3\+ years of experience with Python, classical ML methods and deep learning, including deep learning frameworks such as PyTorch or Tensorflow
* Proven publication track record in top ML/NLP conferences/journals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5">
      <c r="A135" t="inlineStr">
        <is>
          <t>in-f6db3ef07b7c91d6</t>
        </is>
      </c>
      <c r="B135" t="inlineStr">
        <is>
          <t>Senior Data Scientist</t>
        </is>
      </c>
      <c r="C135" t="inlineStr">
        <is>
          <t>Symbotic</t>
        </is>
      </c>
      <c r="D135" t="inlineStr">
        <is>
          <t>indeed</t>
        </is>
      </c>
      <c r="E135">
        <f>HYPERLINK("https://www.indeed.com/viewjob?jk=f6db3ef07b7c91d6", "https://www.indeed.com/viewjob?jk=f6db3ef07b7c91d6")</f>
        <v/>
      </c>
      <c r="F135">
        <f>HYPERLINK("https://symbotic.wd1.myworkdayjobs.com/en-US/Symbotic/job/USA-Wilmington--MA---HQ/Senior-Data-Scientist_R6524", "https://symbotic.wd1.myworkdayjobs.com/en-US/Symbotic/job/USA-Wilmington--MA---HQ/Senior-Data-Scientist_R6524")</f>
        <v/>
      </c>
      <c r="G135" t="inlineStr">
        <is>
          <t>Wilmington, MA, US</t>
        </is>
      </c>
      <c r="H135" s="2" t="n">
        <v>46071</v>
      </c>
      <c r="I135"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seeking a self\-driven, analytical, and strategic Senior Data Scientist to serve as a foundational individual contributor within our warehouse automation organization.
This role is highly impactful and hands\-on. You will own deep performance analysis across our rapidly scaling automation systems and partner closely with engineering, operations, software, and leadership to uncover patterns, drive improvements, and scale performance monitoring from one site to many.
What you’ll do
You will operate as a technical leader—shaping analytics frameworks, influencing system design, and translating complex operational data into actionable insight.
The ideal candidate thrives in ambiguity, enjoys working across data and engineering boundaries, and brings strong technical depth paired with clear business communication. You’ll apply advanced analytics (and AI/ML where appropriate) to move beyond surface\-level metrics and expose hidden inefficiencies that materially impact system performance.* Independently analyze and model performance across robotic and non\-robotic automation systems (e.g., conveyors, sorters, robotic arms, WES/WCS software).
* Dive deeply into data to uncover inefficiencies, bottlenecks, and root causes—going well beyond standard dashboards.
* Identify gaps in telemetry and partner with software teams to define new data contracts and instrumentation within a microservice\-based, event\-driven architecture.
* Design and implement foundational data models and KPIs for automation system performance.
* Build dashboards, visualizations, and analytical tools that clearly communicate trends, patterns, and performance drivers.
* Translate complex analytical findings into clear recommendations for engineering, operations, and leadership.
* Collaborate closely with engineering teams to influence automation behavior, system rules, and architectural decisions based on analytical insights.
* Establish scalable frameworks for performance monitoring, data governance, and cross\-site analytics.
* Apply advanced analytics or AI/ML techniques where appropriate to identify leading indicators of degradation, bottlenecks, or systemic inefficiencies.
* Launch repeatable analysis processes across multiple warehouse deployments.
* Maintain a regular communication cadence with stakeholders to ensure insights translate into operational improvements.
* Act as a subject\-matter expert in automation performance analytics, mentoring peers informally and raising analytical standards across the organization.
What you’ll need* Bachelor’s degree or higher in Data Science, Engineering, Applied Mathematics, or a related technical field.
* Minimum of 8 years of experience in data analytics, performance engineering, or automation systems analysis—ideally in logistics, manufacturing, or warehousing environments.
* Strong proficiency with SQL and Python (or similar), with experience using platforms such as Snowflake, BigQuery, or equivalent.
* Experience with data visualization tools such as Tableau, or Grafana.
* Solid understanding of microservices and event\-driven architectures (e.g., Kafka, RabbitMQ) and extracting insight from distributed systems.
* Proven ability to operate independently in ambiguous, data\-scarce environments and build analytical structure from scratch.
* Strong written and verbal communication skills, with experience presenting complex insights to senior technical and operational audiences.
* Exposure to structured logging and telemetry pipelines (e.g., ELK, Loki, Prometheus).
* Experience applying AI/ML techniques for predictive analytics, anomaly detection, or system modeling (e.g., scikit\-learn, TensorFlow, Azure ML).
* Understanding of queuing theory, simulation modeling, or performance benchmarking in automated environments.
Our environment* Up to 10% of travel may be required. Employees must have a valid driver’s license and the ability to drive and/or fly to client and other customer locations.
* The employee is responsible for owning a credit card and managing expenses personally to be reimbursed on a bi\-weekly basis.
\#LI\-GJ1
\#LI\-Hybrid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The base range for this position in the posted location is $125,000\.00 \- $171,600\.00 however, base pay offered may vary depending on job\-related knowledge, skills, and experience. The compensation package includes medical, dental, vision, disability, 401K, PTO and/or other benefits.</t>
        </is>
      </c>
    </row>
    <row r="136">
      <c r="A136" t="inlineStr">
        <is>
          <t>in-bc9f223ac9da9a24</t>
        </is>
      </c>
      <c r="B136" t="inlineStr">
        <is>
          <t>Plant Pathology Data Scientist</t>
        </is>
      </c>
      <c r="C136" t="inlineStr">
        <is>
          <t>University of Wisconsin–Madison</t>
        </is>
      </c>
      <c r="D136" t="inlineStr">
        <is>
          <t>indeed</t>
        </is>
      </c>
      <c r="E136">
        <f>HYPERLINK("https://www.indeed.com/viewjob?jk=bc9f223ac9da9a24", "https://www.indeed.com/viewjob?jk=bc9f223ac9da9a24")</f>
        <v/>
      </c>
      <c r="F136">
        <f>HYPERLINK("https://jobs.wisc.edu/jobs/plant-pathology-data-scientist-madison-wisconsin-united-states", "https://jobs.wisc.edu/jobs/plant-pathology-data-scientist-madison-wisconsin-united-states")</f>
        <v/>
      </c>
      <c r="G136" t="inlineStr">
        <is>
          <t>Madison, WI, US</t>
        </is>
      </c>
      <c r="H136" s="2" t="n">
        <v>46070</v>
      </c>
      <c r="I136" t="inlineStr">
        <is>
          <t>*Current employees: if you are currently employed at any of the universities of wisconsin, log in to workday to apply through the internal application process.*
Job category:
Academic Staff
Employment type:
Regular
Job profile:
Data Scientist II
Job summary:
The Department of Plant Pathology seeks a M.S. level Data Scientist to advance research in plant disease epidemiology, integrated disease management, disease forecasting, and agricultural economic modeling. This position will collaborate on faculty\-led projects while leading the development of models, deployment to stakeholders via web interfaces, and evaluation and iteration of the tools.
Key Responsibilities
Research \&amp; Analysis:
* Design and implement data\-driven models for plant disease epidemiology and forecasting.
* Design and implement machine\-learning techniques to address applied decision support
Collaboration:
* Work closely with faculty, graduate students, and interdisciplinary teams to integrate data science into experimental research.
* Collaborate with software developers and extension specialists to translate models into practical tools for growers and stakeholders
Scholarly Output:
* Publish research findings in peer\-reviewed journals.
* Contribute to competitive grant proposals.
Infrastructure Development:
* Develop reproducible workflows and data pipelines for large\-scale agricultural datasets.
* Maintain documentation and ensure compliance with data management best practices.
Ongoing/Renewable
Normal hours are 7:45am – 4:30pm, Monday through Friday. Occasional nights and weekends may be required for this position.
This position is eligible for partial remote work. Remote work requires an approved remote work agreement (RWA) agreement. An RWA requires successful candidates to possess their own high\-speed internet and phone to perform the work on a university provided computer. Per University policy, transportation between home and assigned work location is not payable/reimbursable and will be at the expense of the employee.
Key job responsibilities:
* Documents approaches to address research questions and contributes to the establishment of reproducible research methodologies and analysis workflows
* Independently identifies and implements appropriate data science techniques to find data patterns and answer research questions chosen by the lead researcher including data visualization, statistical analysis, machine learning, and data mining
* Organizes and automates project steps for data preparation and analysis
* Composes and assembles reproducible workflows and reports to clearly articulate patterns to researchers and/or administrators
* Prepares data sets for analysis including cleaning/quality assurance, transformations, restructuring, and integration of multiple data sources
Department:
College of Agricultural and Life Sciences, Department of Plant Pathology.
The Department of Plant Pathology at the University of Wisconsin – Madison was founded in 1910 to meet the needs of the growers and help combat crop failures. This important relationship between faculty and growers’ needs has continued to be a major strength in our Department and in the College of Agricultural and Life Sciences. Current members of the Department are dedicated to advancing knowledge of plant\-microbe interactions while supporting food production and environmental security by addressing plant disease control, grower and consumer needs, and environmental sustainability.
Compensation:
The anticipated salary range for this position is $75,000 \- $90,000 However, final salary will depend on experience and qualifications. Employees in this position can expect to receive benefits such as generous vacation, holidays, and paid time off; competitive insurances and savings accounts; retirement benefits. Additional benefits information can be found at: https://www.wisconsin.edu/ohrwd/benefits/download/fasl.pdf
Required qualifications:
* Demonstrated expertise in statistical modeling and machine learning
* Experience with agricultural data management such as cleaning and analyzing large real\-world agricultural datasets and developing and communicating results in presentations and publications
* Demonstrated ability to communicate research findings through publications or technical reports
* Proficiency in programming languages (Python, R) and data visualization
Preferred qualifications:
* Prior involvement in interdisciplinary research teams such as National Predictive Modeling Tool initiative or other similar teams
* Experience in deploying models for plant disease forecasting
* Experience in agricultural economic modeling
Education:
Master's Degree required; Plant Pathology, Agronomy, Applied Data Scientist, or a closely related field preferred
Ph.D. preferred
How to apply:
Click on the "Apply Online" button to start the application process. You will be prompted to upload the following documents/application materials:
Resume (required) \- Detail your educational and professional background
Cover letter (required) – Refer to your related work experience
It is important that your cover letter and resume reflect your experience for this position related to the Qualifications section. Your application materials will be used during our evaluation to determine your qualifications as they relate to the job. The most qualified applicants will be invited to participate in the next step of the selection process.
Contact information:
Megan Sullivan, megan.sullivan@wisc.edu, 608\-265\-5882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137">
      <c r="A137" t="inlineStr">
        <is>
          <t>in-7513097cf0518868</t>
        </is>
      </c>
      <c r="B137" t="inlineStr">
        <is>
          <t>Principal Data Scientist</t>
        </is>
      </c>
      <c r="C137" t="inlineStr">
        <is>
          <t>Northrop Grumman</t>
        </is>
      </c>
      <c r="D137" t="inlineStr">
        <is>
          <t>indeed</t>
        </is>
      </c>
      <c r="E137">
        <f>HYPERLINK("https://www.indeed.com/viewjob?jk=7513097cf0518868", "https://www.indeed.com/viewjob?jk=7513097cf0518868")</f>
        <v/>
      </c>
      <c r="F137">
        <f>HYPERLINK("https://jsv3.recruitics.com/redirect?rx_cid=3658&amp;rx_jobId=R10223215&amp;rx_url=https%3A%2F%2Fjobs.northropgrumman.com%2Fcareers%2Fjob%2F1340070139452%3Fcode%3DJB-17946%26domain%3Dngc.com%26rx_a%3D0%26rx_c%3D%26rx_ch%3Djobp4p%26rx_group%3D288254%26rx_id%3D5cd7adcc-0d96-11f1-bff1-2325a87fdd0e%26rx_job%3DR10223215%26rx_medium%3Dcpc%26rx_r%3Dnone%26rx_source%3Dindeed%26rx_ts%3D20260219T200429Z%26rx_vp%3Dcpc%26source%3DJB-17946%26utm_audience%3Dprospectivetalentemployees%26utm_campaign%3Dta-general%26utm_content%3Djobfeed%26utm_format%3Dcpl%26utm_medium%3Djobboard%26utm_source%3Dindeed", "https://jsv3.recruitics.com/redirect?rx_cid=3658&amp;rx_jobId=R10223215&amp;rx_url=https%3A%2F%2Fjobs.northropgrumman.com%2Fcareers%2Fjob%2F1340070139452%3Fcode%3DJB-17946%26domain%3Dngc.com%26rx_a%3D0%26rx_c%3D%26rx_ch%3Djobp4p%26rx_group%3D288254%26rx_id%3D5cd7adcc-0d96-11f1-bff1-2325a87fdd0e%26rx_job%3DR10223215%26rx_medium%3Dcpc%26rx_r%3Dnone%26rx_source%3Dindeed%26rx_ts%3D20260219T200429Z%26rx_vp%3Dcpc%26source%3DJB-17946%26utm_audience%3Dprospectivetalentemployees%26utm_campaign%3Dta-general%26utm_content%3Djobfeed%26utm_format%3Dcpl%26utm_medium%3Djobboard%26utm_source%3Dindeed")</f>
        <v/>
      </c>
      <c r="G137" t="inlineStr">
        <is>
          <t>Melbourne, FL, US</t>
        </is>
      </c>
      <c r="H137" s="2" t="n">
        <v>46069</v>
      </c>
      <c r="I137"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history.**Please note that this opportunity is contingent on program funding. Start dates are determined after funding confirmation.**
Northrop Grumman Aeronautics Systems Sector is seeking a qualified and innovative **Principal Data Scientist** to join our Model Based Test \&amp; Evaluation (MBTE) team. This role is pivotal in driving advancements in cutting\-edge technology, and we are looking for a creative thinker who thrives in a dynamic environment. This position will be located in **Melbourne, Florida.**
***Note****: Due to the classified nature of the work being performed, this position does not offer any virtual or telecommute working options.*
**Responsibilities may include but are not limited to:**
* Developing and implementing a Digital Engineering strategy that utilizes Digital Twin technology for validating software and hardware modifications, test regression, and airworthiness verification tests.
* Identifying and solving complex problems to showcase high\-fidelity, multi\-level vehicle performance virtually.
* Developing and implementing a Digital Engineering strategy that utilizes Digital Twin technology for validating software and hardware modifications, test regression, and airworthiness verification tests.
* Proactively identifying and solving complex problems to showcase high\-fidelity, multi\-level vehicle performance virtually.
* Collaborating regularly with Program Management, external suppliers, and government customers.
* Leveraging technical expertise to address complex integration challenges.
**Basic Qualifications for Principal Data Scientist:**
* Bachelor of Science degree in a STEM (Science, Technology, Engineering or Mathematics) discipline with 5 years of relevant experience; OR Master of Science degree in a STEM (Science, Technology, Engineering or Mathematics) discipline with 3 years of relevant experience; OR PhD in a Science, Technology, Engineering or Mathematics discipline with 1 year of relevant experience.
* Your ability to transfer and maintain the final adjudicated government **Secret** clearance (DoD must be in\-scope or enrolled in Continuous Evaluation) and any program access(es) required for the position within a reasonable period of time, as determined by the Company.
* Demonstrated knowledge and experience in model uncertainty analysis, error modeling, and/or error propagation
* Proficiency in statistical software.
**Preferred Qualifications:**
* Knowledgeable in Python or MATLAB.
* Practical experience with Modern C\+\+ in an Agile development environment.
* Familiarity with Design of Experiments (DOE) and design optimization techniques.
* Published work on advanced algorithms or mathematics.
* Active Top\-Secret clearance.
**\#AS\-FA3**
Primary Level Salary Range: $108,200\.00 \- $162,400\.00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38">
      <c r="A138" t="inlineStr">
        <is>
          <t>in-a860317f791c6df9</t>
        </is>
      </c>
      <c r="B138" t="inlineStr">
        <is>
          <t>Senior Data Scientist</t>
        </is>
      </c>
      <c r="C138" t="inlineStr">
        <is>
          <t>Twilio</t>
        </is>
      </c>
      <c r="D138" t="inlineStr">
        <is>
          <t>indeed</t>
        </is>
      </c>
      <c r="E138">
        <f>HYPERLINK("https://www.indeed.com/viewjob?jk=a860317f791c6df9", "https://www.indeed.com/viewjob?jk=a860317f791c6df9")</f>
        <v/>
      </c>
      <c r="F138">
        <f>HYPERLINK("https://jobs.twilio.com/careers/job/1099551414424?domain=twilio.com", "https://jobs.twilio.com/careers/job/1099551414424?domain=twilio.com")</f>
        <v/>
      </c>
      <c r="G138" t="inlineStr">
        <is>
          <t>Remote, US</t>
        </is>
      </c>
      <c r="H138" s="2" t="n">
        <v>46051</v>
      </c>
      <c r="I138"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Twilio’s next Senior Data Scientist, R\&amp;D.
**About the job**
This position is needed to uncover analytical insights that quantify product performance and shape product strategy. Our Data Science and Analytics team seeks to empower R\&amp;D to make data\-backed decisions that accelerate innovation and improve product performance. We work closely with Product Managers to define product metrics and build self\-serve reporting; measure the impact of product releases; and do analyses to shape strategic decisions.
**Responsibilities**
In this role, you’ll:
* Drive the definition and development of data science solutions to business problem statements from beginning to end: build relationships with partner teams, collect and analyze data, and develop recommendations to inform strategic decisions
* Generate insights and recommendations through exploratory analysis, A/B testing, and statistical modeling
* Work with product managers to design and analyze experiments to measure the impact of new features and develop a data\-driven narrative on how their product is performing for use in monthly reviews
* Collaborate with data producers and consumers during the product development lifecycle to ensure consistent data quality and availability for reporting post launch.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2\+ years of professional experience in an analytics or data science role
* Advanced expertise using SQL to derive insights and in using dashboarding tools like Looker or Tableau to create compelling self\-serve reports for product or business stakeholders
* Intermediate expertise in Python (e.g. pandas, numpy, scikit\-learn) for data manipulation, analysis, and statistical modeling (e.g., clustering, forecasting, or decision trees)
* Familiarity with causal inference techniques such as A/B testing, propensity matching, or synthetic control
* Demonstrated ability to map business problem statements to an appropriate data science technique
* Answer\-first, succinct communication; ability to communicate across technical and non\-technical audiences
**Desired:**
* 4\+ years of professional experience in a product\-focused analytics or data science role, with 2\+ years of experience in a B2B SaaS context
* Bachelor’s and Master’s in a quantitative
* Familiarity with machine learning techniques
* Experience with data warehousing and/or ETL processes, including distributed computing technologies such as Hive, Presto, or Spark
**Location**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$141,520\.00 to $176,900\.00
* Based in New York, New Jersey, Washington State, or California (outside of the San Francisco Bay area): $149,840\.00 to $187,300\.00
* Based in the San Francisco Bay area, California: $166,400\.00 to $208,000\.00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2/28/2026,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39">
      <c r="A139" t="inlineStr">
        <is>
          <t>in-194b31e5d67889e0</t>
        </is>
      </c>
      <c r="B139" t="inlineStr">
        <is>
          <t>Sr. Applied Scientist, Sponsored Products Off-Search Sourcing</t>
        </is>
      </c>
      <c r="C139" t="inlineStr">
        <is>
          <t>Amazon.com</t>
        </is>
      </c>
      <c r="D139" t="inlineStr">
        <is>
          <t>indeed</t>
        </is>
      </c>
      <c r="E139">
        <f>HYPERLINK("https://www.indeed.com/viewjob?jk=194b31e5d67889e0", "https://www.indeed.com/viewjob?jk=194b31e5d67889e0")</f>
        <v/>
      </c>
      <c r="F139">
        <f>HYPERLINK("https://www.amazon.jobs/jobs/3169094/sr-applied-scientist-sponsored-products-offsearch-sourcing?cmpid=DA_INAD200785B", "https://www.amazon.jobs/jobs/3169094/sr-applied-scientist-sponsored-products-offsearch-sourcing?cmpid=DA_INAD200785B")</f>
        <v/>
      </c>
      <c r="G139" t="inlineStr">
        <is>
          <t>Palo Alto, CA, US</t>
        </is>
      </c>
      <c r="H139" s="2" t="n">
        <v>46049</v>
      </c>
      <c r="I13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0">
      <c r="A140" t="inlineStr">
        <is>
          <t>in-d9619413c3d7ebfd</t>
        </is>
      </c>
      <c r="B140" t="inlineStr">
        <is>
          <t>Sr. Applied Scientist, Sponsored Products Off-Search Sourcing</t>
        </is>
      </c>
      <c r="C140" t="inlineStr">
        <is>
          <t>Amazon.com</t>
        </is>
      </c>
      <c r="D140" t="inlineStr">
        <is>
          <t>indeed</t>
        </is>
      </c>
      <c r="E140">
        <f>HYPERLINK("https://www.indeed.com/viewjob?jk=d9619413c3d7ebfd", "https://www.indeed.com/viewjob?jk=d9619413c3d7ebfd")</f>
        <v/>
      </c>
      <c r="F140">
        <f>HYPERLINK("https://www.amazon.jobs/jobs/3169094/sr-applied-scientist-sponsored-products-offsearch-sourcing?cmpid=DA_INAD200785B", "https://www.amazon.jobs/jobs/3169094/sr-applied-scientist-sponsored-products-offsearch-sourcing?cmpid=DA_INAD200785B")</f>
        <v/>
      </c>
      <c r="G140" t="inlineStr">
        <is>
          <t>Seattle, WA, US</t>
        </is>
      </c>
      <c r="H140" s="2" t="n">
        <v>46049</v>
      </c>
      <c r="I14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1">
      <c r="A141" t="inlineStr">
        <is>
          <t>in-6783c2cda9d8e70b</t>
        </is>
      </c>
      <c r="B141" t="inlineStr">
        <is>
          <t>Sr. Applied Scientist, Sponsored Products Off-Search Sourcing</t>
        </is>
      </c>
      <c r="C141" t="inlineStr">
        <is>
          <t>Amazon.com</t>
        </is>
      </c>
      <c r="D141" t="inlineStr">
        <is>
          <t>indeed</t>
        </is>
      </c>
      <c r="E141">
        <f>HYPERLINK("https://www.indeed.com/viewjob?jk=6783c2cda9d8e70b", "https://www.indeed.com/viewjob?jk=6783c2cda9d8e70b")</f>
        <v/>
      </c>
      <c r="F141">
        <f>HYPERLINK("https://www.amazon.jobs/jobs/3169094/sr-applied-scientist-sponsored-products-offsearch-sourcing?cmpid=DA_INAD200785B", "https://www.amazon.jobs/jobs/3169094/sr-applied-scientist-sponsored-products-offsearch-sourcing?cmpid=DA_INAD200785B")</f>
        <v/>
      </c>
      <c r="G141" t="inlineStr">
        <is>
          <t>New York, NY, US</t>
        </is>
      </c>
      <c r="H141" s="2" t="n">
        <v>46049</v>
      </c>
      <c r="I14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2">
      <c r="A142" t="inlineStr">
        <is>
          <t>in-be8b41ea00877f9d</t>
        </is>
      </c>
      <c r="B142" t="inlineStr">
        <is>
          <t>Applied Scientist II, Prime Video Personalization and Discovery Science</t>
        </is>
      </c>
      <c r="C142" t="inlineStr">
        <is>
          <t>Amazon.com</t>
        </is>
      </c>
      <c r="D142" t="inlineStr">
        <is>
          <t>indeed</t>
        </is>
      </c>
      <c r="E142">
        <f>HYPERLINK("https://www.indeed.com/viewjob?jk=be8b41ea00877f9d", "https://www.indeed.com/viewjob?jk=be8b41ea00877f9d")</f>
        <v/>
      </c>
      <c r="F142">
        <f>HYPERLINK("https://www.amazon.jobs/jobs/3168905/applied-scientist-ii-prime-video-personalization-and-discovery-science?cmpid=DA_INAD200785B", "https://www.amazon.jobs/jobs/3168905/applied-scientist-ii-prime-video-personalization-and-discovery-science?cmpid=DA_INAD200785B")</f>
        <v/>
      </c>
      <c r="G142" t="inlineStr">
        <is>
          <t>New York, NY, US</t>
        </is>
      </c>
      <c r="H142" s="2" t="n">
        <v>46047</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3">
      <c r="A143" t="inlineStr">
        <is>
          <t>in-60100845be02abf4</t>
        </is>
      </c>
      <c r="B143" t="inlineStr">
        <is>
          <t>Applied Scientist II, Prime Video Personalization and Discovery Science</t>
        </is>
      </c>
      <c r="C143" t="inlineStr">
        <is>
          <t>Amazon.com</t>
        </is>
      </c>
      <c r="D143" t="inlineStr">
        <is>
          <t>indeed</t>
        </is>
      </c>
      <c r="E143">
        <f>HYPERLINK("https://www.indeed.com/viewjob?jk=60100845be02abf4", "https://www.indeed.com/viewjob?jk=60100845be02abf4")</f>
        <v/>
      </c>
      <c r="F143">
        <f>HYPERLINK("https://www.amazon.jobs/jobs/3168905/applied-scientist-ii-prime-video-personalization-and-discovery-science?cmpid=DA_INAD200785B", "https://www.amazon.jobs/jobs/3168905/applied-scientist-ii-prime-video-personalization-and-discovery-science?cmpid=DA_INAD200785B")</f>
        <v/>
      </c>
      <c r="G143" t="inlineStr">
        <is>
          <t>Seattle, WA, US</t>
        </is>
      </c>
      <c r="H143" s="2" t="n">
        <v>46047</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4">
      <c r="A144" t="inlineStr">
        <is>
          <t>in-bbf8eb6f547a3f4b</t>
        </is>
      </c>
      <c r="B144" t="inlineStr">
        <is>
          <t>Applied Scientist II, Prime Video Personalization and Discovery Science</t>
        </is>
      </c>
      <c r="C144" t="inlineStr">
        <is>
          <t>Amazon.com</t>
        </is>
      </c>
      <c r="D144" t="inlineStr">
        <is>
          <t>indeed</t>
        </is>
      </c>
      <c r="E144">
        <f>HYPERLINK("https://www.indeed.com/viewjob?jk=bbf8eb6f547a3f4b", "https://www.indeed.com/viewjob?jk=bbf8eb6f547a3f4b")</f>
        <v/>
      </c>
      <c r="F144">
        <f>HYPERLINK("https://www.amazon.jobs/jobs/3168905/applied-scientist-ii-prime-video-personalization-and-discovery-science?cmpid=DA_INAD200785B", "https://www.amazon.jobs/jobs/3168905/applied-scientist-ii-prime-video-personalization-and-discovery-science?cmpid=DA_INAD200785B")</f>
        <v/>
      </c>
      <c r="G144" t="inlineStr">
        <is>
          <t>Sunnyvale, CA, US</t>
        </is>
      </c>
      <c r="H144" s="2" t="n">
        <v>46047</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5">
      <c r="A145" t="inlineStr">
        <is>
          <t>in-1b8180a310d59f89</t>
        </is>
      </c>
      <c r="B145" t="inlineStr">
        <is>
          <t>Applied Scientist, Amazon Connect</t>
        </is>
      </c>
      <c r="C145" t="inlineStr">
        <is>
          <t>Amazon Web Services</t>
        </is>
      </c>
      <c r="D145" t="inlineStr">
        <is>
          <t>indeed</t>
        </is>
      </c>
      <c r="E145">
        <f>HYPERLINK("https://www.indeed.com/viewjob?jk=1b8180a310d59f89", "https://www.indeed.com/viewjob?jk=1b8180a310d59f89")</f>
        <v/>
      </c>
      <c r="F145">
        <f>HYPERLINK("https://www.amazon.jobs/jobs/3168981/applied-scientist-amazon-connect?cmpid=DA_INAD200785B", "https://www.amazon.jobs/jobs/3168981/applied-scientist-amazon-connect?cmpid=DA_INAD200785B")</f>
        <v/>
      </c>
      <c r="G145" t="inlineStr">
        <is>
          <t>New York, NY, US</t>
        </is>
      </c>
      <c r="H145" s="2" t="n">
        <v>46047</v>
      </c>
      <c r="I14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6">
      <c r="A146" t="inlineStr">
        <is>
          <t>in-073b34f412b10e1e</t>
        </is>
      </c>
      <c r="B146" t="inlineStr">
        <is>
          <t>Applied Scientist, Amazon Connect</t>
        </is>
      </c>
      <c r="C146" t="inlineStr">
        <is>
          <t>Amazon Web Services</t>
        </is>
      </c>
      <c r="D146" t="inlineStr">
        <is>
          <t>indeed</t>
        </is>
      </c>
      <c r="E146">
        <f>HYPERLINK("https://www.indeed.com/viewjob?jk=073b34f412b10e1e", "https://www.indeed.com/viewjob?jk=073b34f412b10e1e")</f>
        <v/>
      </c>
      <c r="F146">
        <f>HYPERLINK("https://www.amazon.jobs/jobs/3168981/applied-scientist-amazon-connect?cmpid=DA_INAD200785B", "https://www.amazon.jobs/jobs/3168981/applied-scientist-amazon-connect?cmpid=DA_INAD200785B")</f>
        <v/>
      </c>
      <c r="G146" t="inlineStr">
        <is>
          <t>Seattle, WA, US</t>
        </is>
      </c>
      <c r="H146" s="2" t="n">
        <v>46047</v>
      </c>
      <c r="I1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7">
      <c r="A147" t="inlineStr">
        <is>
          <t>in-41b39fd2348362ca</t>
        </is>
      </c>
      <c r="B147" t="inlineStr">
        <is>
          <t>Applied Scientist, Safety ML</t>
        </is>
      </c>
      <c r="C147" t="inlineStr">
        <is>
          <t>Amazon.com</t>
        </is>
      </c>
      <c r="D147" t="inlineStr">
        <is>
          <t>indeed</t>
        </is>
      </c>
      <c r="E147">
        <f>HYPERLINK("https://www.indeed.com/viewjob?jk=41b39fd2348362ca", "https://www.indeed.com/viewjob?jk=41b39fd2348362ca")</f>
        <v/>
      </c>
      <c r="F147">
        <f>HYPERLINK("https://www.amazon.jobs/jobs/3161224/applied-scientist-safety-ml?cmpid=DA_INAD200785B", "https://www.amazon.jobs/jobs/3161224/applied-scientist-safety-ml?cmpid=DA_INAD200785B")</f>
        <v/>
      </c>
      <c r="G147" t="inlineStr">
        <is>
          <t>San Francisco, CA, US</t>
        </is>
      </c>
      <c r="H147" s="2" t="n">
        <v>46037</v>
      </c>
      <c r="I1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8">
      <c r="A148" t="inlineStr">
        <is>
          <t>in-8d29689f617b00f5</t>
        </is>
      </c>
      <c r="B148" t="inlineStr">
        <is>
          <t>Applied Scientist, Safety ML</t>
        </is>
      </c>
      <c r="C148" t="inlineStr">
        <is>
          <t>Amazon.com</t>
        </is>
      </c>
      <c r="D148" t="inlineStr">
        <is>
          <t>indeed</t>
        </is>
      </c>
      <c r="E148">
        <f>HYPERLINK("https://www.indeed.com/viewjob?jk=8d29689f617b00f5", "https://www.indeed.com/viewjob?jk=8d29689f617b00f5")</f>
        <v/>
      </c>
      <c r="F148">
        <f>HYPERLINK("https://www.amazon.jobs/jobs/3161224/applied-scientist-safety-ml?cmpid=DA_INAD200785B", "https://www.amazon.jobs/jobs/3161224/applied-scientist-safety-ml?cmpid=DA_INAD200785B")</f>
        <v/>
      </c>
      <c r="G148" t="inlineStr">
        <is>
          <t>Seattle, WA, US</t>
        </is>
      </c>
      <c r="H148" s="2" t="n">
        <v>46037</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9">
      <c r="A149" t="inlineStr">
        <is>
          <t>in-97a981a282ffbb27</t>
        </is>
      </c>
      <c r="B149" t="inlineStr">
        <is>
          <t>Applied Scientist, LLM Code Agents, Kiro Science</t>
        </is>
      </c>
      <c r="C149" t="inlineStr">
        <is>
          <t>Amazon.com</t>
        </is>
      </c>
      <c r="D149" t="inlineStr">
        <is>
          <t>indeed</t>
        </is>
      </c>
      <c r="E149">
        <f>HYPERLINK("https://www.indeed.com/viewjob?jk=97a981a282ffbb27", "https://www.indeed.com/viewjob?jk=97a981a282ffbb27")</f>
        <v/>
      </c>
      <c r="F149">
        <f>HYPERLINK("https://www.amazon.jobs/jobs/3161363/applied-scientist-llm-code-agents-kiro-science?cmpid=DA_INAD200785B", "https://www.amazon.jobs/jobs/3161363/applied-scientist-llm-code-agents-kiro-science?cmpid=DA_INAD200785B")</f>
        <v/>
      </c>
      <c r="G149" t="inlineStr">
        <is>
          <t>Santa Clara, CA, US</t>
        </is>
      </c>
      <c r="H149" s="2" t="n">
        <v>46035</v>
      </c>
      <c r="I14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0">
      <c r="A150" t="inlineStr">
        <is>
          <t>in-f8d6725bb3d531a0</t>
        </is>
      </c>
      <c r="B150" t="inlineStr">
        <is>
          <t>Applied Scientist, LLM Code Agents, Kiro Science</t>
        </is>
      </c>
      <c r="C150" t="inlineStr">
        <is>
          <t>Amazon.com</t>
        </is>
      </c>
      <c r="D150" t="inlineStr">
        <is>
          <t>indeed</t>
        </is>
      </c>
      <c r="E150">
        <f>HYPERLINK("https://www.indeed.com/viewjob?jk=f8d6725bb3d531a0", "https://www.indeed.com/viewjob?jk=f8d6725bb3d531a0")</f>
        <v/>
      </c>
      <c r="F150">
        <f>HYPERLINK("https://www.amazon.jobs/jobs/3161363/applied-scientist-llm-code-agents-kiro-science?cmpid=DA_INAD200785B", "https://www.amazon.jobs/jobs/3161363/applied-scientist-llm-code-agents-kiro-science?cmpid=DA_INAD200785B")</f>
        <v/>
      </c>
      <c r="G150" t="inlineStr">
        <is>
          <t>Seattle, WA, US</t>
        </is>
      </c>
      <c r="H150" s="2" t="n">
        <v>46035</v>
      </c>
      <c r="I1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1">
      <c r="A151" t="inlineStr">
        <is>
          <t>in-87983d0809b72dca</t>
        </is>
      </c>
      <c r="B151" t="inlineStr">
        <is>
          <t>Applied Scientist II, Prime Video Personalization and Discovery Science</t>
        </is>
      </c>
      <c r="C151" t="inlineStr">
        <is>
          <t>Amazon.com</t>
        </is>
      </c>
      <c r="D151" t="inlineStr">
        <is>
          <t>indeed</t>
        </is>
      </c>
      <c r="E151">
        <f>HYPERLINK("https://www.indeed.com/viewjob?jk=87983d0809b72dca", "https://www.indeed.com/viewjob?jk=87983d0809b72dca")</f>
        <v/>
      </c>
      <c r="F151">
        <f>HYPERLINK("https://www.amazon.jobs/jobs/3165157/applied-scientist-ii-prime-video-personalization-and-discovery-science?cmpid=DA_INAD200785B", "https://www.amazon.jobs/jobs/3165157/applied-scientist-ii-prime-video-personalization-and-discovery-science?cmpid=DA_INAD200785B")</f>
        <v/>
      </c>
      <c r="G151" t="inlineStr">
        <is>
          <t>Seattle, WA, US</t>
        </is>
      </c>
      <c r="H151" s="2" t="n">
        <v>46034</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2">
      <c r="A152" t="inlineStr">
        <is>
          <t>in-84178450830353e1</t>
        </is>
      </c>
      <c r="B152" t="inlineStr">
        <is>
          <t>Applied Scientist II, Prime Video Personalization and Discovery Science</t>
        </is>
      </c>
      <c r="C152" t="inlineStr">
        <is>
          <t>Amazon.com</t>
        </is>
      </c>
      <c r="D152" t="inlineStr">
        <is>
          <t>indeed</t>
        </is>
      </c>
      <c r="E152">
        <f>HYPERLINK("https://www.indeed.com/viewjob?jk=84178450830353e1", "https://www.indeed.com/viewjob?jk=84178450830353e1")</f>
        <v/>
      </c>
      <c r="F152">
        <f>HYPERLINK("https://www.amazon.jobs/jobs/3165157/applied-scientist-ii-prime-video-personalization-and-discovery-science?cmpid=DA_INAD200785B", "https://www.amazon.jobs/jobs/3165157/applied-scientist-ii-prime-video-personalization-and-discovery-science?cmpid=DA_INAD200785B")</f>
        <v/>
      </c>
      <c r="G152" t="inlineStr">
        <is>
          <t>Sunnyvale, CA, US</t>
        </is>
      </c>
      <c r="H152" s="2" t="n">
        <v>46034</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3">
      <c r="A153" t="inlineStr">
        <is>
          <t>in-d442bfeb1bf5bcc7</t>
        </is>
      </c>
      <c r="B153" t="inlineStr">
        <is>
          <t>Applied Scientist, Alexa Smart Home</t>
        </is>
      </c>
      <c r="C153" t="inlineStr">
        <is>
          <t>Amazon.com</t>
        </is>
      </c>
      <c r="D153" t="inlineStr">
        <is>
          <t>indeed</t>
        </is>
      </c>
      <c r="E153">
        <f>HYPERLINK("https://www.indeed.com/viewjob?jk=d442bfeb1bf5bcc7", "https://www.indeed.com/viewjob?jk=d442bfeb1bf5bcc7")</f>
        <v/>
      </c>
      <c r="F153">
        <f>HYPERLINK("https://www.amazon.jobs/jobs/3169205/applied-scientist-alexa-smart-home?cmpid=DA_INAD200785B", "https://www.amazon.jobs/jobs/3169205/applied-scientist-alexa-smart-home?cmpid=DA_INAD200785B")</f>
        <v/>
      </c>
      <c r="G153" t="inlineStr">
        <is>
          <t>Seattle, WA, US</t>
        </is>
      </c>
      <c r="H153" s="2" t="n">
        <v>46033</v>
      </c>
      <c r="I15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4">
      <c r="A154" t="inlineStr">
        <is>
          <t>in-fe9093a8d469b577</t>
        </is>
      </c>
      <c r="B154" t="inlineStr">
        <is>
          <t>Applied Scientist, Alexa Smart Home</t>
        </is>
      </c>
      <c r="C154" t="inlineStr">
        <is>
          <t>Amazon.com</t>
        </is>
      </c>
      <c r="D154" t="inlineStr">
        <is>
          <t>indeed</t>
        </is>
      </c>
      <c r="E154">
        <f>HYPERLINK("https://www.indeed.com/viewjob?jk=fe9093a8d469b577", "https://www.indeed.com/viewjob?jk=fe9093a8d469b577")</f>
        <v/>
      </c>
      <c r="F154">
        <f>HYPERLINK("https://www.amazon.jobs/jobs/3169205/applied-scientist-alexa-smart-home?cmpid=DA_INAD200785B", "https://www.amazon.jobs/jobs/3169205/applied-scientist-alexa-smart-home?cmpid=DA_INAD200785B")</f>
        <v/>
      </c>
      <c r="G154" t="inlineStr">
        <is>
          <t>Sunnyvale, CA, US</t>
        </is>
      </c>
      <c r="H154" s="2" t="n">
        <v>46033</v>
      </c>
      <c r="I15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5">
      <c r="A155" t="inlineStr">
        <is>
          <t>in-4da9ca256af822e5</t>
        </is>
      </c>
      <c r="B155" t="inlineStr">
        <is>
          <t>Applied Scientist, AWS Applied AI Solutions</t>
        </is>
      </c>
      <c r="C155" t="inlineStr">
        <is>
          <t>Amazon Web Services</t>
        </is>
      </c>
      <c r="D155" t="inlineStr">
        <is>
          <t>indeed</t>
        </is>
      </c>
      <c r="E155">
        <f>HYPERLINK("https://www.indeed.com/viewjob?jk=4da9ca256af822e5", "https://www.indeed.com/viewjob?jk=4da9ca256af822e5")</f>
        <v/>
      </c>
      <c r="F155">
        <f>HYPERLINK("https://www.amazon.jobs/jobs/3166907/applied-scientist-aws-applied-ai-solutions?cmpid=DA_INAD200785B", "https://www.amazon.jobs/jobs/3166907/applied-scientist-aws-applied-ai-solutions?cmpid=DA_INAD200785B")</f>
        <v/>
      </c>
      <c r="G155" t="inlineStr">
        <is>
          <t>New York, NY, US</t>
        </is>
      </c>
      <c r="H155" s="2" t="n">
        <v>46030</v>
      </c>
      <c r="I1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6">
      <c r="A156" t="inlineStr">
        <is>
          <t>in-b30611feb6579891</t>
        </is>
      </c>
      <c r="B156" t="inlineStr">
        <is>
          <t>Applied Scientist, AWS Applied AI Solutions</t>
        </is>
      </c>
      <c r="C156" t="inlineStr">
        <is>
          <t>Amazon Web Services</t>
        </is>
      </c>
      <c r="D156" t="inlineStr">
        <is>
          <t>indeed</t>
        </is>
      </c>
      <c r="E156">
        <f>HYPERLINK("https://www.indeed.com/viewjob?jk=b30611feb6579891", "https://www.indeed.com/viewjob?jk=b30611feb6579891")</f>
        <v/>
      </c>
      <c r="F156">
        <f>HYPERLINK("https://www.amazon.jobs/jobs/3166907/applied-scientist-aws-applied-ai-solutions?cmpid=DA_INAD200785B", "https://www.amazon.jobs/jobs/3166907/applied-scientist-aws-applied-ai-solutions?cmpid=DA_INAD200785B")</f>
        <v/>
      </c>
      <c r="G156" t="inlineStr">
        <is>
          <t>Seattle, WA, US</t>
        </is>
      </c>
      <c r="H156" s="2" t="n">
        <v>46030</v>
      </c>
      <c r="I1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7">
      <c r="A157" t="inlineStr">
        <is>
          <t>in-df24411b2c6833c3</t>
        </is>
      </c>
      <c r="B157" t="inlineStr">
        <is>
          <t>Applied Scientist, Last Mile Delivery Automation</t>
        </is>
      </c>
      <c r="C157" t="inlineStr">
        <is>
          <t>Amazon.com</t>
        </is>
      </c>
      <c r="D157" t="inlineStr">
        <is>
          <t>indeed</t>
        </is>
      </c>
      <c r="E157">
        <f>HYPERLINK("https://www.indeed.com/viewjob?jk=df24411b2c6833c3", "https://www.indeed.com/viewjob?jk=df24411b2c6833c3")</f>
        <v/>
      </c>
      <c r="F157">
        <f>HYPERLINK("https://www.amazon.jobs/jobs/3155354/applied-scientist-last-mile-delivery-automation?cmpid=DA_INAD200785B", "https://www.amazon.jobs/jobs/3155354/applied-scientist-last-mile-delivery-automation?cmpid=DA_INAD200785B")</f>
        <v/>
      </c>
      <c r="G157" t="inlineStr">
        <is>
          <t>Bellevue, WA, US</t>
        </is>
      </c>
      <c r="H157" s="2" t="n">
        <v>46026</v>
      </c>
      <c r="I15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in-616c5bdf0feb2f22</t>
        </is>
      </c>
      <c r="B158" t="inlineStr">
        <is>
          <t>Applied Scientist, Last Mile Delivery Automation</t>
        </is>
      </c>
      <c r="C158" t="inlineStr">
        <is>
          <t>Amazon.com</t>
        </is>
      </c>
      <c r="D158" t="inlineStr">
        <is>
          <t>indeed</t>
        </is>
      </c>
      <c r="E158">
        <f>HYPERLINK("https://www.indeed.com/viewjob?jk=616c5bdf0feb2f22", "https://www.indeed.com/viewjob?jk=616c5bdf0feb2f22")</f>
        <v/>
      </c>
      <c r="F158">
        <f>HYPERLINK("https://www.amazon.jobs/jobs/3155354/applied-scientist-last-mile-delivery-automation?cmpid=DA_INAD200785B", "https://www.amazon.jobs/jobs/3155354/applied-scientist-last-mile-delivery-automation?cmpid=DA_INAD200785B")</f>
        <v/>
      </c>
      <c r="G158" t="inlineStr">
        <is>
          <t>Santa Clara, CA, US</t>
        </is>
      </c>
      <c r="H158" s="2" t="n">
        <v>46026</v>
      </c>
      <c r="I15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in-01945f69eb5ea687</t>
        </is>
      </c>
      <c r="B159" t="inlineStr">
        <is>
          <t>Senior Applied Scientist, Sponsored Products and Brands, Off-Search</t>
        </is>
      </c>
      <c r="C159" t="inlineStr">
        <is>
          <t>Amazon.com</t>
        </is>
      </c>
      <c r="D159" t="inlineStr">
        <is>
          <t>indeed</t>
        </is>
      </c>
      <c r="E159">
        <f>HYPERLINK("https://www.indeed.com/viewjob?jk=01945f69eb5ea687", "https://www.indeed.com/viewjob?jk=01945f69eb5ea687")</f>
        <v/>
      </c>
      <c r="F159">
        <f>HYPERLINK("https://www.amazon.jobs/jobs/3153569/senior-applied-scientist-sponsored-products-and-brands-offsearch?cmpid=DA_INAD200785B", "https://www.amazon.jobs/jobs/3153569/senior-applied-scientist-sponsored-products-and-brands-offsearch?cmpid=DA_INAD200785B")</f>
        <v/>
      </c>
      <c r="G159" t="inlineStr">
        <is>
          <t>Seattle, WA, US</t>
        </is>
      </c>
      <c r="H159" s="2" t="n">
        <v>46017</v>
      </c>
      <c r="I15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in-1c2c4fb9dd3ce117</t>
        </is>
      </c>
      <c r="B160" t="inlineStr">
        <is>
          <t>Senior Applied Scientist, Sponsored Products and Brands, Off-Search</t>
        </is>
      </c>
      <c r="C160" t="inlineStr">
        <is>
          <t>Amazon.com</t>
        </is>
      </c>
      <c r="D160" t="inlineStr">
        <is>
          <t>indeed</t>
        </is>
      </c>
      <c r="E160">
        <f>HYPERLINK("https://www.indeed.com/viewjob?jk=1c2c4fb9dd3ce117", "https://www.indeed.com/viewjob?jk=1c2c4fb9dd3ce117")</f>
        <v/>
      </c>
      <c r="F160">
        <f>HYPERLINK("https://www.amazon.jobs/jobs/3153569/senior-applied-scientist-sponsored-products-and-brands-offsearch?cmpid=DA_INAD200785B", "https://www.amazon.jobs/jobs/3153569/senior-applied-scientist-sponsored-products-and-brands-offsearch?cmpid=DA_INAD200785B")</f>
        <v/>
      </c>
      <c r="G160" t="inlineStr">
        <is>
          <t>New York, NY, US</t>
        </is>
      </c>
      <c r="H160" s="2" t="n">
        <v>46017</v>
      </c>
      <c r="I16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in-a38b6475b2ccb6ab</t>
        </is>
      </c>
      <c r="B161" t="inlineStr">
        <is>
          <t>Senior Applied Scientist, Sponsored Products and Brands, Off-Search</t>
        </is>
      </c>
      <c r="C161" t="inlineStr">
        <is>
          <t>Amazon.com</t>
        </is>
      </c>
      <c r="D161" t="inlineStr">
        <is>
          <t>indeed</t>
        </is>
      </c>
      <c r="E161">
        <f>HYPERLINK("https://www.indeed.com/viewjob?jk=a38b6475b2ccb6ab", "https://www.indeed.com/viewjob?jk=a38b6475b2ccb6ab")</f>
        <v/>
      </c>
      <c r="F161">
        <f>HYPERLINK("https://www.amazon.jobs/jobs/3153569/senior-applied-scientist-sponsored-products-and-brands-offsearch?cmpid=DA_INAD200785B", "https://www.amazon.jobs/jobs/3153569/senior-applied-scientist-sponsored-products-and-brands-offsearch?cmpid=DA_INAD200785B")</f>
        <v/>
      </c>
      <c r="G161" t="inlineStr">
        <is>
          <t>Palo Alto, CA, US</t>
        </is>
      </c>
      <c r="H161" s="2" t="n">
        <v>46017</v>
      </c>
      <c r="I16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in-d81cb3550ce6afa4</t>
        </is>
      </c>
      <c r="B162" t="inlineStr">
        <is>
          <t>Applied Scientist II, Prime Video - Personalization and Discovery Science</t>
        </is>
      </c>
      <c r="C162" t="inlineStr">
        <is>
          <t>Amazon.com</t>
        </is>
      </c>
      <c r="D162" t="inlineStr">
        <is>
          <t>indeed</t>
        </is>
      </c>
      <c r="E162">
        <f>HYPERLINK("https://www.indeed.com/viewjob?jk=d81cb3550ce6afa4", "https://www.indeed.com/viewjob?jk=d81cb3550ce6afa4")</f>
        <v/>
      </c>
      <c r="F162">
        <f>HYPERLINK("https://www.amazon.jobs/jobs/3154128/applied-scientist-ii-prime-video--personalization-and-discovery-science?cmpid=DA_INAD200785B", "https://www.amazon.jobs/jobs/3154128/applied-scientist-ii-prime-video--personalization-and-discovery-science?cmpid=DA_INAD200785B")</f>
        <v/>
      </c>
      <c r="G162" t="inlineStr">
        <is>
          <t>Seattle, WA, US</t>
        </is>
      </c>
      <c r="H162" s="2" t="n">
        <v>46012</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3">
      <c r="A163" t="inlineStr">
        <is>
          <t>in-886c5151503881c9</t>
        </is>
      </c>
      <c r="B163" t="inlineStr">
        <is>
          <t>Applied Scientist II, Prime Video - Personalization and Discovery Science</t>
        </is>
      </c>
      <c r="C163" t="inlineStr">
        <is>
          <t>Amazon.com</t>
        </is>
      </c>
      <c r="D163" t="inlineStr">
        <is>
          <t>indeed</t>
        </is>
      </c>
      <c r="E163">
        <f>HYPERLINK("https://www.indeed.com/viewjob?jk=886c5151503881c9", "https://www.indeed.com/viewjob?jk=886c5151503881c9")</f>
        <v/>
      </c>
      <c r="F163">
        <f>HYPERLINK("https://www.amazon.jobs/jobs/3154128/applied-scientist-ii-prime-video--personalization-and-discovery-science?cmpid=DA_INAD200785B", "https://www.amazon.jobs/jobs/3154128/applied-scientist-ii-prime-video--personalization-and-discovery-science?cmpid=DA_INAD200785B")</f>
        <v/>
      </c>
      <c r="G163" t="inlineStr">
        <is>
          <t>Sunnyvale, CA, US</t>
        </is>
      </c>
      <c r="H163" s="2" t="n">
        <v>46012</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64">
      <c r="A164" t="inlineStr">
        <is>
          <t>in-385689637c8a7fd3</t>
        </is>
      </c>
      <c r="B164" t="inlineStr">
        <is>
          <t>Applied Scientist, Delivery Foundation Model</t>
        </is>
      </c>
      <c r="C164" t="inlineStr">
        <is>
          <t>Amazon.com</t>
        </is>
      </c>
      <c r="D164" t="inlineStr">
        <is>
          <t>indeed</t>
        </is>
      </c>
      <c r="E164">
        <f>HYPERLINK("https://www.indeed.com/viewjob?jk=385689637c8a7fd3", "https://www.indeed.com/viewjob?jk=385689637c8a7fd3")</f>
        <v/>
      </c>
      <c r="F164">
        <f>HYPERLINK("https://www.amazon.jobs/jobs/3169077/applied-scientist-delivery-foundation-model-?cmpid=DA_INAD200785B", "https://www.amazon.jobs/jobs/3169077/applied-scientist-delivery-foundation-model-?cmpid=DA_INAD200785B")</f>
        <v/>
      </c>
      <c r="G164" t="inlineStr">
        <is>
          <t>Santa Clara, CA, US</t>
        </is>
      </c>
      <c r="H164" s="2" t="n">
        <v>46009</v>
      </c>
      <c r="I16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65">
      <c r="A165" t="inlineStr">
        <is>
          <t>in-eac1a73c4419a10d</t>
        </is>
      </c>
      <c r="B165" t="inlineStr">
        <is>
          <t>Applied Scientist, Delivery Foundation Model</t>
        </is>
      </c>
      <c r="C165" t="inlineStr">
        <is>
          <t>Amazon.com</t>
        </is>
      </c>
      <c r="D165" t="inlineStr">
        <is>
          <t>indeed</t>
        </is>
      </c>
      <c r="E165">
        <f>HYPERLINK("https://www.indeed.com/viewjob?jk=eac1a73c4419a10d", "https://www.indeed.com/viewjob?jk=eac1a73c4419a10d")</f>
        <v/>
      </c>
      <c r="F165">
        <f>HYPERLINK("https://www.amazon.jobs/jobs/3169077/applied-scientist-delivery-foundation-model-?cmpid=DA_INAD200785B", "https://www.amazon.jobs/jobs/3169077/applied-scientist-delivery-foundation-model-?cmpid=DA_INAD200785B")</f>
        <v/>
      </c>
      <c r="G165" t="inlineStr">
        <is>
          <t>Bellevue, WA, US</t>
        </is>
      </c>
      <c r="H165" s="2" t="n">
        <v>46009</v>
      </c>
      <c r="I16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66">
      <c r="A166" t="inlineStr">
        <is>
          <t>in-0943f0b4d77c0e31</t>
        </is>
      </c>
      <c r="B166" t="inlineStr">
        <is>
          <t>Principal Applied Scientist, Kiro Science</t>
        </is>
      </c>
      <c r="C166" t="inlineStr">
        <is>
          <t>Amazon Web Services</t>
        </is>
      </c>
      <c r="D166" t="inlineStr">
        <is>
          <t>indeed</t>
        </is>
      </c>
      <c r="E166">
        <f>HYPERLINK("https://www.indeed.com/viewjob?jk=0943f0b4d77c0e31", "https://www.indeed.com/viewjob?jk=0943f0b4d77c0e31")</f>
        <v/>
      </c>
      <c r="F166">
        <f>HYPERLINK("https://www.amazon.jobs/jobs/3161064/principal-applied-scientist-kiro-science?cmpid=DA_INAD200785B", "https://www.amazon.jobs/jobs/3161064/principal-applied-scientist-kiro-science?cmpid=DA_INAD200785B")</f>
        <v/>
      </c>
      <c r="G166" t="inlineStr">
        <is>
          <t>Santa Clara, CA, US</t>
        </is>
      </c>
      <c r="H166" s="2" t="n">
        <v>45999</v>
      </c>
      <c r="I166"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7">
      <c r="A167" t="inlineStr">
        <is>
          <t>in-e74993c3f8d0f30b</t>
        </is>
      </c>
      <c r="B167" t="inlineStr">
        <is>
          <t>Principal Applied Scientist, Kiro Science</t>
        </is>
      </c>
      <c r="C167" t="inlineStr">
        <is>
          <t>Amazon Web Services</t>
        </is>
      </c>
      <c r="D167" t="inlineStr">
        <is>
          <t>indeed</t>
        </is>
      </c>
      <c r="E167">
        <f>HYPERLINK("https://www.indeed.com/viewjob?jk=e74993c3f8d0f30b", "https://www.indeed.com/viewjob?jk=e74993c3f8d0f30b")</f>
        <v/>
      </c>
      <c r="F167">
        <f>HYPERLINK("https://www.amazon.jobs/jobs/3161064/principal-applied-scientist-kiro-science?cmpid=DA_INAD200785B", "https://www.amazon.jobs/jobs/3161064/principal-applied-scientist-kiro-science?cmpid=DA_INAD200785B")</f>
        <v/>
      </c>
      <c r="G167" t="inlineStr">
        <is>
          <t>New York, NY, US</t>
        </is>
      </c>
      <c r="H167" s="2" t="n">
        <v>45999</v>
      </c>
      <c r="I16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8">
      <c r="A168" t="inlineStr">
        <is>
          <t>in-14cda893360df2f7</t>
        </is>
      </c>
      <c r="B168" t="inlineStr">
        <is>
          <t>Sr. Applied Scientist, Amazon Ads</t>
        </is>
      </c>
      <c r="C168" t="inlineStr">
        <is>
          <t>Amazon.com</t>
        </is>
      </c>
      <c r="D168" t="inlineStr">
        <is>
          <t>indeed</t>
        </is>
      </c>
      <c r="E168">
        <f>HYPERLINK("https://www.indeed.com/viewjob?jk=14cda893360df2f7", "https://www.indeed.com/viewjob?jk=14cda893360df2f7")</f>
        <v/>
      </c>
      <c r="F168">
        <f>HYPERLINK("https://www.amazon.jobs/jobs/3139328/sr-applied-scientist-amazon-ads?cmpid=DA_INAD200785B", "https://www.amazon.jobs/jobs/3139328/sr-applied-scientist-amazon-ads?cmpid=DA_INAD200785B")</f>
        <v/>
      </c>
      <c r="G168" t="inlineStr">
        <is>
          <t>Sunnyvale, CA, US</t>
        </is>
      </c>
      <c r="H168" s="2"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in-27c7a3c8de7f03b9</t>
        </is>
      </c>
      <c r="B169" t="inlineStr">
        <is>
          <t>Sr. Applied Scientist, Amazon Ads</t>
        </is>
      </c>
      <c r="C169" t="inlineStr">
        <is>
          <t>Amazon.com</t>
        </is>
      </c>
      <c r="D169" t="inlineStr">
        <is>
          <t>indeed</t>
        </is>
      </c>
      <c r="E169">
        <f>HYPERLINK("https://www.indeed.com/viewjob?jk=27c7a3c8de7f03b9", "https://www.indeed.com/viewjob?jk=27c7a3c8de7f03b9")</f>
        <v/>
      </c>
      <c r="F169">
        <f>HYPERLINK("https://www.amazon.jobs/jobs/3139328/sr-applied-scientist-amazon-ads?cmpid=DA_INAD200785B", "https://www.amazon.jobs/jobs/3139328/sr-applied-scientist-amazon-ads?cmpid=DA_INAD200785B")</f>
        <v/>
      </c>
      <c r="G169" t="inlineStr">
        <is>
          <t>Brooklyn, NY, US</t>
        </is>
      </c>
      <c r="H169" s="2"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in-f5c248a4e7f76445</t>
        </is>
      </c>
      <c r="B170" t="inlineStr">
        <is>
          <t>Sr. Applied Scientist, Amazon Ads</t>
        </is>
      </c>
      <c r="C170" t="inlineStr">
        <is>
          <t>Amazon.com</t>
        </is>
      </c>
      <c r="D170" t="inlineStr">
        <is>
          <t>indeed</t>
        </is>
      </c>
      <c r="E170">
        <f>HYPERLINK("https://www.indeed.com/viewjob?jk=f5c248a4e7f76445", "https://www.indeed.com/viewjob?jk=f5c248a4e7f76445")</f>
        <v/>
      </c>
      <c r="F170">
        <f>HYPERLINK("https://www.amazon.jobs/jobs/3139328/sr-applied-scientist-amazon-ads?cmpid=DA_INAD200785B", "https://www.amazon.jobs/jobs/3139328/sr-applied-scientist-amazon-ads?cmpid=DA_INAD200785B")</f>
        <v/>
      </c>
      <c r="G170" t="inlineStr">
        <is>
          <t>New York, NY, US</t>
        </is>
      </c>
      <c r="H170" s="2"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in-9fc2dab049d19396</t>
        </is>
      </c>
      <c r="B171" t="inlineStr">
        <is>
          <t>Sr. Applied Scientist, Amazon Ads</t>
        </is>
      </c>
      <c r="C171" t="inlineStr">
        <is>
          <t>Amazon.com</t>
        </is>
      </c>
      <c r="D171" t="inlineStr">
        <is>
          <t>indeed</t>
        </is>
      </c>
      <c r="E171">
        <f>HYPERLINK("https://www.indeed.com/viewjob?jk=9fc2dab049d19396", "https://www.indeed.com/viewjob?jk=9fc2dab049d19396")</f>
        <v/>
      </c>
      <c r="F171">
        <f>HYPERLINK("https://www.amazon.jobs/jobs/3139328/sr-applied-scientist-amazon-ads?cmpid=DA_INAD200785B", "https://www.amazon.jobs/jobs/3139328/sr-applied-scientist-amazon-ads?cmpid=DA_INAD200785B")</f>
        <v/>
      </c>
      <c r="G171" t="inlineStr">
        <is>
          <t>Boston, MA, US</t>
        </is>
      </c>
      <c r="H171" s="2" t="n">
        <v>45998</v>
      </c>
      <c r="I17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2">
      <c r="A172" t="inlineStr">
        <is>
          <t>in-82771f0ebe3403cd</t>
        </is>
      </c>
      <c r="B172" t="inlineStr">
        <is>
          <t>Sr. Applied Scientist, Amazon Ads</t>
        </is>
      </c>
      <c r="C172" t="inlineStr">
        <is>
          <t>Amazon.com</t>
        </is>
      </c>
      <c r="D172" t="inlineStr">
        <is>
          <t>indeed</t>
        </is>
      </c>
      <c r="E172">
        <f>HYPERLINK("https://www.indeed.com/viewjob?jk=82771f0ebe3403cd", "https://www.indeed.com/viewjob?jk=82771f0ebe3403cd")</f>
        <v/>
      </c>
      <c r="F172">
        <f>HYPERLINK("https://www.amazon.jobs/jobs/3139328/sr-applied-scientist-amazon-ads?cmpid=DA_INAD200785B", "https://www.amazon.jobs/jobs/3139328/sr-applied-scientist-amazon-ads?cmpid=DA_INAD200785B")</f>
        <v/>
      </c>
      <c r="G172" t="inlineStr">
        <is>
          <t>Santa Monica, CA, US</t>
        </is>
      </c>
      <c r="H172" s="2" t="n">
        <v>45998</v>
      </c>
      <c r="I17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3">
      <c r="A173" t="inlineStr">
        <is>
          <t>in-8d761b02cc588457</t>
        </is>
      </c>
      <c r="B173" t="inlineStr">
        <is>
          <t>Sr. Applied Scientist, Amazon Ads</t>
        </is>
      </c>
      <c r="C173" t="inlineStr">
        <is>
          <t>Amazon.com</t>
        </is>
      </c>
      <c r="D173" t="inlineStr">
        <is>
          <t>indeed</t>
        </is>
      </c>
      <c r="E173">
        <f>HYPERLINK("https://www.indeed.com/viewjob?jk=8d761b02cc588457", "https://www.indeed.com/viewjob?jk=8d761b02cc588457")</f>
        <v/>
      </c>
      <c r="F173">
        <f>HYPERLINK("https://www.amazon.jobs/jobs/3139328/sr-applied-scientist-amazon-ads?cmpid=DA_INAD200785B", "https://www.amazon.jobs/jobs/3139328/sr-applied-scientist-amazon-ads?cmpid=DA_INAD200785B")</f>
        <v/>
      </c>
      <c r="G173" t="inlineStr">
        <is>
          <t>Corvallis, OR, US</t>
        </is>
      </c>
      <c r="H173" s="2" t="n">
        <v>45998</v>
      </c>
      <c r="I17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4">
      <c r="A174" t="inlineStr">
        <is>
          <t>in-24188cb4646c8fb9</t>
        </is>
      </c>
      <c r="B174" t="inlineStr">
        <is>
          <t>Sr. Applied Scientist, Amazon Ads</t>
        </is>
      </c>
      <c r="C174" t="inlineStr">
        <is>
          <t>Amazon.com</t>
        </is>
      </c>
      <c r="D174" t="inlineStr">
        <is>
          <t>indeed</t>
        </is>
      </c>
      <c r="E174">
        <f>HYPERLINK("https://www.indeed.com/viewjob?jk=24188cb4646c8fb9", "https://www.indeed.com/viewjob?jk=24188cb4646c8fb9")</f>
        <v/>
      </c>
      <c r="F174">
        <f>HYPERLINK("https://www.amazon.jobs/jobs/3139328/sr-applied-scientist-amazon-ads?cmpid=DA_INAD200785B", "https://www.amazon.jobs/jobs/3139328/sr-applied-scientist-amazon-ads?cmpid=DA_INAD200785B")</f>
        <v/>
      </c>
      <c r="G174" t="inlineStr">
        <is>
          <t>Tukwila, WA, US</t>
        </is>
      </c>
      <c r="H174" s="2" t="n">
        <v>45998</v>
      </c>
      <c r="I17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5">
      <c r="A175" t="inlineStr">
        <is>
          <t>in-8f4beadcd362d0ce</t>
        </is>
      </c>
      <c r="B175" t="inlineStr">
        <is>
          <t>Sr. Applied Scientist, Amazon Ads</t>
        </is>
      </c>
      <c r="C175" t="inlineStr">
        <is>
          <t>Amazon.com</t>
        </is>
      </c>
      <c r="D175" t="inlineStr">
        <is>
          <t>indeed</t>
        </is>
      </c>
      <c r="E175">
        <f>HYPERLINK("https://www.indeed.com/viewjob?jk=8f4beadcd362d0ce", "https://www.indeed.com/viewjob?jk=8f4beadcd362d0ce")</f>
        <v/>
      </c>
      <c r="F175">
        <f>HYPERLINK("https://www.amazon.jobs/jobs/3139328/sr-applied-scientist-amazon-ads?cmpid=DA_INAD200785B", "https://www.amazon.jobs/jobs/3139328/sr-applied-scientist-amazon-ads?cmpid=DA_INAD200785B")</f>
        <v/>
      </c>
      <c r="G175" t="inlineStr">
        <is>
          <t>Palo Alto, CA, US</t>
        </is>
      </c>
      <c r="H175" s="2" t="n">
        <v>45998</v>
      </c>
      <c r="I17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6">
      <c r="A176" t="inlineStr">
        <is>
          <t>in-38d9dd9c39274368</t>
        </is>
      </c>
      <c r="B176" t="inlineStr">
        <is>
          <t>Sr. Applied Scientist, Amazon Ads</t>
        </is>
      </c>
      <c r="C176" t="inlineStr">
        <is>
          <t>Amazon.com</t>
        </is>
      </c>
      <c r="D176" t="inlineStr">
        <is>
          <t>indeed</t>
        </is>
      </c>
      <c r="E176">
        <f>HYPERLINK("https://www.indeed.com/viewjob?jk=38d9dd9c39274368", "https://www.indeed.com/viewjob?jk=38d9dd9c39274368")</f>
        <v/>
      </c>
      <c r="F176">
        <f>HYPERLINK("https://www.amazon.jobs/jobs/3139328/sr-applied-scientist-amazon-ads?cmpid=DA_INAD200785B", "https://www.amazon.jobs/jobs/3139328/sr-applied-scientist-amazon-ads?cmpid=DA_INAD200785B")</f>
        <v/>
      </c>
      <c r="G176" t="inlineStr">
        <is>
          <t>Seattle, WA, US</t>
        </is>
      </c>
      <c r="H176" s="2" t="n">
        <v>45998</v>
      </c>
      <c r="I17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7">
      <c r="A177" t="inlineStr">
        <is>
          <t>in-0dda2979185c958e</t>
        </is>
      </c>
      <c r="B177" t="inlineStr">
        <is>
          <t>Sr. Applied Scientist, Amazon Ads</t>
        </is>
      </c>
      <c r="C177" t="inlineStr">
        <is>
          <t>Amazon.com</t>
        </is>
      </c>
      <c r="D177" t="inlineStr">
        <is>
          <t>indeed</t>
        </is>
      </c>
      <c r="E177">
        <f>HYPERLINK("https://www.indeed.com/viewjob?jk=0dda2979185c958e", "https://www.indeed.com/viewjob?jk=0dda2979185c958e")</f>
        <v/>
      </c>
      <c r="F177">
        <f>HYPERLINK("https://www.amazon.jobs/jobs/3139328/sr-applied-scientist-amazon-ads?cmpid=DA_INAD200785B", "https://www.amazon.jobs/jobs/3139328/sr-applied-scientist-amazon-ads?cmpid=DA_INAD200785B")</f>
        <v/>
      </c>
      <c r="G177" t="inlineStr">
        <is>
          <t>Boulder, CO, US</t>
        </is>
      </c>
      <c r="H177" s="2" t="n">
        <v>45998</v>
      </c>
      <c r="I17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8">
      <c r="A178" t="inlineStr">
        <is>
          <t>in-db1cf17045a094e6</t>
        </is>
      </c>
      <c r="B178" t="inlineStr">
        <is>
          <t>Principal Applied Scientist, Sponsored Products and Brands</t>
        </is>
      </c>
      <c r="C178" t="inlineStr">
        <is>
          <t>Amazon.com</t>
        </is>
      </c>
      <c r="D178" t="inlineStr">
        <is>
          <t>indeed</t>
        </is>
      </c>
      <c r="E178">
        <f>HYPERLINK("https://www.indeed.com/viewjob?jk=db1cf17045a094e6", "https://www.indeed.com/viewjob?jk=db1cf17045a094e6")</f>
        <v/>
      </c>
      <c r="F178">
        <f>HYPERLINK("https://www.amazon.jobs/jobs/3130855/principal-applied-scientist-sponsored-products-and-brands?cmpid=DA_INAD200785B", "https://www.amazon.jobs/jobs/3130855/principal-applied-scientist-sponsored-products-and-brands?cmpid=DA_INAD200785B")</f>
        <v/>
      </c>
      <c r="G178" t="inlineStr">
        <is>
          <t>New York, NY, US</t>
        </is>
      </c>
      <c r="H178" s="2" t="n">
        <v>45979</v>
      </c>
      <c r="I17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in-5ad1a37083ed296e</t>
        </is>
      </c>
      <c r="B179" t="inlineStr">
        <is>
          <t>Principal Applied Scientist, Sponsored Products and Brands</t>
        </is>
      </c>
      <c r="C179" t="inlineStr">
        <is>
          <t>Amazon.com</t>
        </is>
      </c>
      <c r="D179" t="inlineStr">
        <is>
          <t>indeed</t>
        </is>
      </c>
      <c r="E179">
        <f>HYPERLINK("https://www.indeed.com/viewjob?jk=5ad1a37083ed296e", "https://www.indeed.com/viewjob?jk=5ad1a37083ed296e")</f>
        <v/>
      </c>
      <c r="F179">
        <f>HYPERLINK("https://www.amazon.jobs/jobs/3130855/principal-applied-scientist-sponsored-products-and-brands?cmpid=DA_INAD200785B", "https://www.amazon.jobs/jobs/3130855/principal-applied-scientist-sponsored-products-and-brands?cmpid=DA_INAD200785B")</f>
        <v/>
      </c>
      <c r="G179" t="inlineStr">
        <is>
          <t>Seattle, WA, US</t>
        </is>
      </c>
      <c r="H179" s="2" t="n">
        <v>45979</v>
      </c>
      <c r="I1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in-69caebac170ab1b1</t>
        </is>
      </c>
      <c r="B180" t="inlineStr">
        <is>
          <t>Applied Scientist, Personalization, DTx Science</t>
        </is>
      </c>
      <c r="C180" t="inlineStr">
        <is>
          <t>Amazon.com</t>
        </is>
      </c>
      <c r="D180" t="inlineStr">
        <is>
          <t>indeed</t>
        </is>
      </c>
      <c r="E180">
        <f>HYPERLINK("https://www.indeed.com/viewjob?jk=69caebac170ab1b1", "https://www.indeed.com/viewjob?jk=69caebac170ab1b1")</f>
        <v/>
      </c>
      <c r="F180">
        <f>HYPERLINK("https://www.amazon.jobs/jobs/3136853/applied-scientist-personalization-dtx-science?cmpid=DA_INAD200785B", "https://www.amazon.jobs/jobs/3136853/applied-scientist-personalization-dtx-science?cmpid=DA_INAD200785B")</f>
        <v/>
      </c>
      <c r="G180" t="inlineStr">
        <is>
          <t>New York, NY, US</t>
        </is>
      </c>
      <c r="H180" s="2" t="n">
        <v>45979</v>
      </c>
      <c r="I18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1">
      <c r="A181" t="inlineStr">
        <is>
          <t>in-c346b08f2df009bc</t>
        </is>
      </c>
      <c r="B181" t="inlineStr">
        <is>
          <t>Applied Scientist, Personalization, DTx Science</t>
        </is>
      </c>
      <c r="C181" t="inlineStr">
        <is>
          <t>Amazon.com</t>
        </is>
      </c>
      <c r="D181" t="inlineStr">
        <is>
          <t>indeed</t>
        </is>
      </c>
      <c r="E181">
        <f>HYPERLINK("https://www.indeed.com/viewjob?jk=c346b08f2df009bc", "https://www.indeed.com/viewjob?jk=c346b08f2df009bc")</f>
        <v/>
      </c>
      <c r="F181">
        <f>HYPERLINK("https://www.amazon.jobs/jobs/3136853/applied-scientist-personalization-dtx-science?cmpid=DA_INAD200785B", "https://www.amazon.jobs/jobs/3136853/applied-scientist-personalization-dtx-science?cmpid=DA_INAD200785B")</f>
        <v/>
      </c>
      <c r="G181" t="inlineStr">
        <is>
          <t>Seattle, WA, US</t>
        </is>
      </c>
      <c r="H181" s="2" t="n">
        <v>45979</v>
      </c>
      <c r="I18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2">
      <c r="A182" t="inlineStr">
        <is>
          <t>in-908cc5f38f397e0c</t>
        </is>
      </c>
      <c r="B182" t="inlineStr">
        <is>
          <t>Senior Applied Scientist, Sponsored Products and Brands</t>
        </is>
      </c>
      <c r="C182" t="inlineStr">
        <is>
          <t>Amazon.com</t>
        </is>
      </c>
      <c r="D182" t="inlineStr">
        <is>
          <t>indeed</t>
        </is>
      </c>
      <c r="E182">
        <f>HYPERLINK("https://www.indeed.com/viewjob?jk=908cc5f38f397e0c", "https://www.indeed.com/viewjob?jk=908cc5f38f397e0c")</f>
        <v/>
      </c>
      <c r="F182">
        <f>HYPERLINK("https://www.amazon.jobs/jobs/3130062/senior-applied-scientist-sponsored-products-and-brands?cmpid=DA_INAD200785B", "https://www.amazon.jobs/jobs/3130062/senior-applied-scientist-sponsored-products-and-brands?cmpid=DA_INAD200785B")</f>
        <v/>
      </c>
      <c r="G182" t="inlineStr">
        <is>
          <t>Seattle, WA, US</t>
        </is>
      </c>
      <c r="H182" s="2" t="n">
        <v>45979</v>
      </c>
      <c r="I18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3">
      <c r="A183" t="inlineStr">
        <is>
          <t>in-ab7bed1fd02634e2</t>
        </is>
      </c>
      <c r="B183" t="inlineStr">
        <is>
          <t>Senior Applied Scientist, Sponsored Products and Brands</t>
        </is>
      </c>
      <c r="C183" t="inlineStr">
        <is>
          <t>Amazon.com</t>
        </is>
      </c>
      <c r="D183" t="inlineStr">
        <is>
          <t>indeed</t>
        </is>
      </c>
      <c r="E183">
        <f>HYPERLINK("https://www.indeed.com/viewjob?jk=ab7bed1fd02634e2", "https://www.indeed.com/viewjob?jk=ab7bed1fd02634e2")</f>
        <v/>
      </c>
      <c r="F183">
        <f>HYPERLINK("https://www.amazon.jobs/jobs/3130062/senior-applied-scientist-sponsored-products-and-brands?cmpid=DA_INAD200785B", "https://www.amazon.jobs/jobs/3130062/senior-applied-scientist-sponsored-products-and-brands?cmpid=DA_INAD200785B")</f>
        <v/>
      </c>
      <c r="G183" t="inlineStr">
        <is>
          <t>New York, NY, US</t>
        </is>
      </c>
      <c r="H183" s="2" t="n">
        <v>45979</v>
      </c>
      <c r="I18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84">
      <c r="A184" t="inlineStr">
        <is>
          <t>in-0780b8365a6ed384</t>
        </is>
      </c>
      <c r="B184" t="inlineStr">
        <is>
          <t>Applied Scientist II, Prime Video Personalization and Discovery Science</t>
        </is>
      </c>
      <c r="C184" t="inlineStr">
        <is>
          <t>Amazon.com</t>
        </is>
      </c>
      <c r="D184" t="inlineStr">
        <is>
          <t>indeed</t>
        </is>
      </c>
      <c r="E184">
        <f>HYPERLINK("https://www.indeed.com/viewjob?jk=0780b8365a6ed384", "https://www.indeed.com/viewjob?jk=0780b8365a6ed384")</f>
        <v/>
      </c>
      <c r="F184">
        <f>HYPERLINK("https://www.amazon.jobs/jobs/3129475/applied-scientist-ii-prime-video-personalization-and-discovery-science?cmpid=DA_INAD200785B", "https://www.amazon.jobs/jobs/3129475/applied-scientist-ii-prime-video-personalization-and-discovery-science?cmpid=DA_INAD200785B")</f>
        <v/>
      </c>
      <c r="G184" t="inlineStr">
        <is>
          <t>New York, NY, US</t>
        </is>
      </c>
      <c r="H184" s="2" t="n">
        <v>45978</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in-d78e72f9ae6fc972</t>
        </is>
      </c>
      <c r="B185" t="inlineStr">
        <is>
          <t>Applied Scientist II, Prime Video Personalization and Discovery Science</t>
        </is>
      </c>
      <c r="C185" t="inlineStr">
        <is>
          <t>Amazon.com</t>
        </is>
      </c>
      <c r="D185" t="inlineStr">
        <is>
          <t>indeed</t>
        </is>
      </c>
      <c r="E185">
        <f>HYPERLINK("https://www.indeed.com/viewjob?jk=d78e72f9ae6fc972", "https://www.indeed.com/viewjob?jk=d78e72f9ae6fc972")</f>
        <v/>
      </c>
      <c r="F185">
        <f>HYPERLINK("https://www.amazon.jobs/jobs/3129475/applied-scientist-ii-prime-video-personalization-and-discovery-science?cmpid=DA_INAD200785B", "https://www.amazon.jobs/jobs/3129475/applied-scientist-ii-prime-video-personalization-and-discovery-science?cmpid=DA_INAD200785B")</f>
        <v/>
      </c>
      <c r="G185" t="inlineStr">
        <is>
          <t>Sunnyvale, CA, US</t>
        </is>
      </c>
      <c r="H185" s="2" t="n">
        <v>45978</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in-62db1f13fd54f31d</t>
        </is>
      </c>
      <c r="B186" t="inlineStr">
        <is>
          <t>Applied Scientist II, Prime Video Personalization and Discovery Science</t>
        </is>
      </c>
      <c r="C186" t="inlineStr">
        <is>
          <t>Amazon.com</t>
        </is>
      </c>
      <c r="D186" t="inlineStr">
        <is>
          <t>indeed</t>
        </is>
      </c>
      <c r="E186">
        <f>HYPERLINK("https://www.indeed.com/viewjob?jk=62db1f13fd54f31d", "https://www.indeed.com/viewjob?jk=62db1f13fd54f31d")</f>
        <v/>
      </c>
      <c r="F186">
        <f>HYPERLINK("https://www.amazon.jobs/jobs/3129475/applied-scientist-ii-prime-video-personalization-and-discovery-science?cmpid=DA_INAD200785B", "https://www.amazon.jobs/jobs/3129475/applied-scientist-ii-prime-video-personalization-and-discovery-science?cmpid=DA_INAD200785B")</f>
        <v/>
      </c>
      <c r="G186" t="inlineStr">
        <is>
          <t>Seattle, WA, US</t>
        </is>
      </c>
      <c r="H186" s="2" t="n">
        <v>45978</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7">
      <c r="A187" t="inlineStr">
        <is>
          <t>in-9e6ae972c847b687</t>
        </is>
      </c>
      <c r="B187" t="inlineStr">
        <is>
          <t>Sr. Applied Scientist, Sponsored Products</t>
        </is>
      </c>
      <c r="C187" t="inlineStr">
        <is>
          <t>Amazon.com</t>
        </is>
      </c>
      <c r="D187" t="inlineStr">
        <is>
          <t>indeed</t>
        </is>
      </c>
      <c r="E187">
        <f>HYPERLINK("https://www.indeed.com/viewjob?jk=9e6ae972c847b687", "https://www.indeed.com/viewjob?jk=9e6ae972c847b687")</f>
        <v/>
      </c>
      <c r="F187">
        <f>HYPERLINK("https://www.amazon.jobs/jobs/3136156/sr-applied-scientist-sponsored-products?cmpid=DA_INAD200785B", "https://www.amazon.jobs/jobs/3136156/sr-applied-scientist-sponsored-products?cmpid=DA_INAD200785B")</f>
        <v/>
      </c>
      <c r="G187" t="inlineStr">
        <is>
          <t>Arlington, VA, US</t>
        </is>
      </c>
      <c r="H187" s="2" t="n">
        <v>45976</v>
      </c>
      <c r="I1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8">
      <c r="A188" t="inlineStr">
        <is>
          <t>in-90195ebb0a585f19</t>
        </is>
      </c>
      <c r="B188" t="inlineStr">
        <is>
          <t>Sr. Applied Scientist, Sponsored Products</t>
        </is>
      </c>
      <c r="C188" t="inlineStr">
        <is>
          <t>Amazon.com</t>
        </is>
      </c>
      <c r="D188" t="inlineStr">
        <is>
          <t>indeed</t>
        </is>
      </c>
      <c r="E188">
        <f>HYPERLINK("https://www.indeed.com/viewjob?jk=90195ebb0a585f19", "https://www.indeed.com/viewjob?jk=90195ebb0a585f19")</f>
        <v/>
      </c>
      <c r="F188">
        <f>HYPERLINK("https://www.amazon.jobs/jobs/3136156/sr-applied-scientist-sponsored-products?cmpid=DA_INAD200785B", "https://www.amazon.jobs/jobs/3136156/sr-applied-scientist-sponsored-products?cmpid=DA_INAD200785B")</f>
        <v/>
      </c>
      <c r="G188" t="inlineStr">
        <is>
          <t>New York, NY, US</t>
        </is>
      </c>
      <c r="H188" s="2" t="n">
        <v>45976</v>
      </c>
      <c r="I1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89">
      <c r="A189" t="inlineStr">
        <is>
          <t>in-8d6e687a2a59afaf</t>
        </is>
      </c>
      <c r="B189" t="inlineStr">
        <is>
          <t>Sr. Applied Scientist, Sponsored Products</t>
        </is>
      </c>
      <c r="C189" t="inlineStr">
        <is>
          <t>Amazon.com</t>
        </is>
      </c>
      <c r="D189" t="inlineStr">
        <is>
          <t>indeed</t>
        </is>
      </c>
      <c r="E189">
        <f>HYPERLINK("https://www.indeed.com/viewjob?jk=8d6e687a2a59afaf", "https://www.indeed.com/viewjob?jk=8d6e687a2a59afaf")</f>
        <v/>
      </c>
      <c r="F189">
        <f>HYPERLINK("https://www.amazon.jobs/jobs/3136156/sr-applied-scientist-sponsored-products?cmpid=DA_INAD200785B", "https://www.amazon.jobs/jobs/3136156/sr-applied-scientist-sponsored-products?cmpid=DA_INAD200785B")</f>
        <v/>
      </c>
      <c r="G189" t="inlineStr">
        <is>
          <t>Seattle, WA, US</t>
        </is>
      </c>
      <c r="H189" s="2" t="n">
        <v>45976</v>
      </c>
      <c r="I18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0">
      <c r="A190" t="inlineStr">
        <is>
          <t>in-6f5cb6de036092e9</t>
        </is>
      </c>
      <c r="B190" t="inlineStr">
        <is>
          <t>Applied Scientist, AWS Agentic AI</t>
        </is>
      </c>
      <c r="C190" t="inlineStr">
        <is>
          <t>Amazon Web Services</t>
        </is>
      </c>
      <c r="D190" t="inlineStr">
        <is>
          <t>indeed</t>
        </is>
      </c>
      <c r="E190">
        <f>HYPERLINK("https://www.indeed.com/viewjob?jk=6f5cb6de036092e9", "https://www.indeed.com/viewjob?jk=6f5cb6de036092e9")</f>
        <v/>
      </c>
      <c r="F190">
        <f>HYPERLINK("https://www.amazon.jobs/jobs/3141517/applied-scientist-aws-agentic-ai-?cmpid=DA_INAD200785B", "https://www.amazon.jobs/jobs/3141517/applied-scientist-aws-agentic-ai-?cmpid=DA_INAD200785B")</f>
        <v/>
      </c>
      <c r="G190" t="inlineStr">
        <is>
          <t>Seattle, WA, US</t>
        </is>
      </c>
      <c r="H190" s="2" t="n">
        <v>45962</v>
      </c>
      <c r="I1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in-b9e7e9941176a0fc</t>
        </is>
      </c>
      <c r="B191" t="inlineStr">
        <is>
          <t>Applied Scientist, AWS Agentic AI</t>
        </is>
      </c>
      <c r="C191" t="inlineStr">
        <is>
          <t>Amazon Web Services</t>
        </is>
      </c>
      <c r="D191" t="inlineStr">
        <is>
          <t>indeed</t>
        </is>
      </c>
      <c r="E191">
        <f>HYPERLINK("https://www.indeed.com/viewjob?jk=b9e7e9941176a0fc", "https://www.indeed.com/viewjob?jk=b9e7e9941176a0fc")</f>
        <v/>
      </c>
      <c r="F191">
        <f>HYPERLINK("https://www.amazon.jobs/jobs/3141517/applied-scientist-aws-agentic-ai-?cmpid=DA_INAD200785B", "https://www.amazon.jobs/jobs/3141517/applied-scientist-aws-agentic-ai-?cmpid=DA_INAD200785B")</f>
        <v/>
      </c>
      <c r="G191" t="inlineStr">
        <is>
          <t>New York, NY, US</t>
        </is>
      </c>
      <c r="H191" s="2" t="n">
        <v>45962</v>
      </c>
      <c r="I1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in-7407a3015f09b4ac</t>
        </is>
      </c>
      <c r="B192" t="inlineStr">
        <is>
          <t>Applied Scientist, AWS Agentic AI</t>
        </is>
      </c>
      <c r="C192" t="inlineStr">
        <is>
          <t>Amazon Web Services</t>
        </is>
      </c>
      <c r="D192" t="inlineStr">
        <is>
          <t>indeed</t>
        </is>
      </c>
      <c r="E192">
        <f>HYPERLINK("https://www.indeed.com/viewjob?jk=7407a3015f09b4ac", "https://www.indeed.com/viewjob?jk=7407a3015f09b4ac")</f>
        <v/>
      </c>
      <c r="F192">
        <f>HYPERLINK("https://www.amazon.jobs/jobs/3141517/applied-scientist-aws-agentic-ai-?cmpid=DA_INAD200785B", "https://www.amazon.jobs/jobs/3141517/applied-scientist-aws-agentic-ai-?cmpid=DA_INAD200785B")</f>
        <v/>
      </c>
      <c r="G192" t="inlineStr">
        <is>
          <t>Santa Clara, CA, US</t>
        </is>
      </c>
      <c r="H192" s="2" t="n">
        <v>45962</v>
      </c>
      <c r="I19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in-44e8c0fa0fdb27db</t>
        </is>
      </c>
      <c r="B193" t="inlineStr">
        <is>
          <t>Sr. Applied Scientist, Prime Video - Personalization and Discovery Science</t>
        </is>
      </c>
      <c r="C193" t="inlineStr">
        <is>
          <t>Amazon.com</t>
        </is>
      </c>
      <c r="D193" t="inlineStr">
        <is>
          <t>indeed</t>
        </is>
      </c>
      <c r="E193">
        <f>HYPERLINK("https://www.indeed.com/viewjob?jk=44e8c0fa0fdb27db", "https://www.indeed.com/viewjob?jk=44e8c0fa0fdb27db")</f>
        <v/>
      </c>
      <c r="F193">
        <f>HYPERLINK("https://www.amazon.jobs/jobs/3118782/sr-applied-scientist-prime-video--personalization-and-discovery-science?cmpid=DA_INAD200785B", "https://www.amazon.jobs/jobs/3118782/sr-applied-scientist-prime-video--personalization-and-discovery-science?cmpid=DA_INAD200785B")</f>
        <v/>
      </c>
      <c r="G193" t="inlineStr">
        <is>
          <t>Sunnyvale, CA, US</t>
        </is>
      </c>
      <c r="H193" s="2" t="n">
        <v>45959</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4">
      <c r="A194" t="inlineStr">
        <is>
          <t>in-82c4f5cb3b0ba758</t>
        </is>
      </c>
      <c r="B194" t="inlineStr">
        <is>
          <t>Sr. Applied Scientist, Prime Video - Personalization and Discovery Science</t>
        </is>
      </c>
      <c r="C194" t="inlineStr">
        <is>
          <t>Amazon.com</t>
        </is>
      </c>
      <c r="D194" t="inlineStr">
        <is>
          <t>indeed</t>
        </is>
      </c>
      <c r="E194">
        <f>HYPERLINK("https://www.indeed.com/viewjob?jk=82c4f5cb3b0ba758", "https://www.indeed.com/viewjob?jk=82c4f5cb3b0ba758")</f>
        <v/>
      </c>
      <c r="F194">
        <f>HYPERLINK("https://www.amazon.jobs/jobs/3118782/sr-applied-scientist-prime-video--personalization-and-discovery-science?cmpid=DA_INAD200785B", "https://www.amazon.jobs/jobs/3118782/sr-applied-scientist-prime-video--personalization-and-discovery-science?cmpid=DA_INAD200785B")</f>
        <v/>
      </c>
      <c r="G194" t="inlineStr">
        <is>
          <t>Seattle, WA, US</t>
        </is>
      </c>
      <c r="H194" s="2" t="n">
        <v>45959</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5">
      <c r="A195" t="inlineStr">
        <is>
          <t>in-78e49cf892e0377a</t>
        </is>
      </c>
      <c r="B195" t="inlineStr">
        <is>
          <t>Sr. Applied Scientist, Prime Video - Personalization and Discovery Science</t>
        </is>
      </c>
      <c r="C195" t="inlineStr">
        <is>
          <t>Amazon.com</t>
        </is>
      </c>
      <c r="D195" t="inlineStr">
        <is>
          <t>indeed</t>
        </is>
      </c>
      <c r="E195">
        <f>HYPERLINK("https://www.indeed.com/viewjob?jk=78e49cf892e0377a", "https://www.indeed.com/viewjob?jk=78e49cf892e0377a")</f>
        <v/>
      </c>
      <c r="F195">
        <f>HYPERLINK("https://www.amazon.jobs/jobs/3118782/sr-applied-scientist-prime-video--personalization-and-discovery-science?cmpid=DA_INAD200785B", "https://www.amazon.jobs/jobs/3118782/sr-applied-scientist-prime-video--personalization-and-discovery-science?cmpid=DA_INAD200785B")</f>
        <v/>
      </c>
      <c r="G195" t="inlineStr">
        <is>
          <t>New York, NY, US</t>
        </is>
      </c>
      <c r="H195" s="2" t="n">
        <v>45959</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6">
      <c r="A196" t="inlineStr">
        <is>
          <t>in-50e6de7077b71cef</t>
        </is>
      </c>
      <c r="B196" t="inlineStr">
        <is>
          <t>Principal Applied Scientist, Advertiser Growth, Amazon Sponsored Products &amp; Brands</t>
        </is>
      </c>
      <c r="C196" t="inlineStr">
        <is>
          <t>Amazon.com</t>
        </is>
      </c>
      <c r="D196" t="inlineStr">
        <is>
          <t>indeed</t>
        </is>
      </c>
      <c r="E196">
        <f>HYPERLINK("https://www.indeed.com/viewjob?jk=50e6de7077b71cef", "https://www.indeed.com/viewjob?jk=50e6de7077b71cef")</f>
        <v/>
      </c>
      <c r="F196">
        <f>HYPERLINK("https://www.amazon.jobs/jobs/3115279/principal-applied-scientist-advertiser-growth-amazon-sponsored-products--brands?cmpid=DA_INAD200785B", "https://www.amazon.jobs/jobs/3115279/principal-applied-scientist-advertiser-growth-amazon-sponsored-products--brands?cmpid=DA_INAD200785B")</f>
        <v/>
      </c>
      <c r="G196" t="inlineStr">
        <is>
          <t>Palo Alto, CA, US</t>
        </is>
      </c>
      <c r="H196" s="2" t="n">
        <v>45942</v>
      </c>
      <c r="I1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in-0a4e2ac558948d9d</t>
        </is>
      </c>
      <c r="B197" t="inlineStr">
        <is>
          <t>Principal Applied Scientist, Advertiser Growth, Amazon Sponsored Products &amp; Brands</t>
        </is>
      </c>
      <c r="C197" t="inlineStr">
        <is>
          <t>Amazon.com</t>
        </is>
      </c>
      <c r="D197" t="inlineStr">
        <is>
          <t>indeed</t>
        </is>
      </c>
      <c r="E197">
        <f>HYPERLINK("https://www.indeed.com/viewjob?jk=0a4e2ac558948d9d", "https://www.indeed.com/viewjob?jk=0a4e2ac558948d9d")</f>
        <v/>
      </c>
      <c r="F197">
        <f>HYPERLINK("https://www.amazon.jobs/jobs/3115279/principal-applied-scientist-advertiser-growth-amazon-sponsored-products--brands?cmpid=DA_INAD200785B", "https://www.amazon.jobs/jobs/3115279/principal-applied-scientist-advertiser-growth-amazon-sponsored-products--brands?cmpid=DA_INAD200785B")</f>
        <v/>
      </c>
      <c r="G197" t="inlineStr">
        <is>
          <t>New York, NY, US</t>
        </is>
      </c>
      <c r="H197" s="2" t="n">
        <v>45942</v>
      </c>
      <c r="I1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in-8eaa67c2c815b54b</t>
        </is>
      </c>
      <c r="B198" t="inlineStr">
        <is>
          <t>Principal Applied Scientist, Advertiser Growth, Amazon Sponsored Products &amp; Brands</t>
        </is>
      </c>
      <c r="C198" t="inlineStr">
        <is>
          <t>Amazon.com</t>
        </is>
      </c>
      <c r="D198" t="inlineStr">
        <is>
          <t>indeed</t>
        </is>
      </c>
      <c r="E198">
        <f>HYPERLINK("https://www.indeed.com/viewjob?jk=8eaa67c2c815b54b", "https://www.indeed.com/viewjob?jk=8eaa67c2c815b54b")</f>
        <v/>
      </c>
      <c r="F198">
        <f>HYPERLINK("https://www.amazon.jobs/jobs/3115279/principal-applied-scientist-advertiser-growth-amazon-sponsored-products--brands?cmpid=DA_INAD200785B", "https://www.amazon.jobs/jobs/3115279/principal-applied-scientist-advertiser-growth-amazon-sponsored-products--brands?cmpid=DA_INAD200785B")</f>
        <v/>
      </c>
      <c r="G198" t="inlineStr">
        <is>
          <t>Seattle, WA, US</t>
        </is>
      </c>
      <c r="H198" s="2" t="n">
        <v>45942</v>
      </c>
      <c r="I1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in-949418a451543e55</t>
        </is>
      </c>
      <c r="B199" t="inlineStr">
        <is>
          <t>Applied Scientist II, Prime Video - Personalization and Discovery Science, Personalization and Discovery Science</t>
        </is>
      </c>
      <c r="C199" t="inlineStr">
        <is>
          <t>Amazon.com</t>
        </is>
      </c>
      <c r="D199" t="inlineStr">
        <is>
          <t>indeed</t>
        </is>
      </c>
      <c r="E199">
        <f>HYPERLINK("https://www.indeed.com/viewjob?jk=949418a451543e55", "https://www.indeed.com/viewjob?jk=949418a451543e55")</f>
        <v/>
      </c>
      <c r="F19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99" t="inlineStr">
        <is>
          <t>Sunnyvale, CA, US</t>
        </is>
      </c>
      <c r="H199" s="2" t="n">
        <v>45930</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in-173bc686097a9bcf</t>
        </is>
      </c>
      <c r="B200" t="inlineStr">
        <is>
          <t>Applied Scientist II, Prime Video - Personalization and Discovery Science, Personalization and Discovery Science</t>
        </is>
      </c>
      <c r="C200" t="inlineStr">
        <is>
          <t>Amazon.com</t>
        </is>
      </c>
      <c r="D200" t="inlineStr">
        <is>
          <t>indeed</t>
        </is>
      </c>
      <c r="E200">
        <f>HYPERLINK("https://www.indeed.com/viewjob?jk=173bc686097a9bcf", "https://www.indeed.com/viewjob?jk=173bc686097a9bcf")</f>
        <v/>
      </c>
      <c r="F20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0" t="inlineStr">
        <is>
          <t>Seattle, WA, US</t>
        </is>
      </c>
      <c r="H200" s="2" t="n">
        <v>45930</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in-cfd141ccb857aa08</t>
        </is>
      </c>
      <c r="B201" t="inlineStr">
        <is>
          <t>Applied Scientist II, Prime Video - Personalization and Discovery Science, Personalization and Discovery Science</t>
        </is>
      </c>
      <c r="C201" t="inlineStr">
        <is>
          <t>Amazon.com</t>
        </is>
      </c>
      <c r="D201" t="inlineStr">
        <is>
          <t>indeed</t>
        </is>
      </c>
      <c r="E201">
        <f>HYPERLINK("https://www.indeed.com/viewjob?jk=cfd141ccb857aa08", "https://www.indeed.com/viewjob?jk=cfd141ccb857aa08")</f>
        <v/>
      </c>
      <c r="F20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201" t="inlineStr">
        <is>
          <t>New York, NY, US</t>
        </is>
      </c>
      <c r="H201" s="2" t="n">
        <v>45930</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in-e36599f6c93cc05a</t>
        </is>
      </c>
      <c r="B202" t="inlineStr">
        <is>
          <t>Applied Scientist, Workplace Health &amp; Safety</t>
        </is>
      </c>
      <c r="C202" t="inlineStr">
        <is>
          <t>Amazon.com</t>
        </is>
      </c>
      <c r="D202" t="inlineStr">
        <is>
          <t>indeed</t>
        </is>
      </c>
      <c r="E202">
        <f>HYPERLINK("https://www.indeed.com/viewjob?jk=e36599f6c93cc05a", "https://www.indeed.com/viewjob?jk=e36599f6c93cc05a")</f>
        <v/>
      </c>
      <c r="F202">
        <f>HYPERLINK("https://www.amazon.jobs/jobs/3144886/applied-scientist-workplace-health--safety-?cmpid=DA_INAD200785B", "https://www.amazon.jobs/jobs/3144886/applied-scientist-workplace-health--safety-?cmpid=DA_INAD200785B")</f>
        <v/>
      </c>
      <c r="G202" t="inlineStr">
        <is>
          <t>Bellevue, WA, US</t>
        </is>
      </c>
      <c r="H202" s="2" t="n">
        <v>45917</v>
      </c>
      <c r="I20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in-f225362caf337cd4</t>
        </is>
      </c>
      <c r="B203" t="inlineStr">
        <is>
          <t>Applied Scientist, Workplace Health &amp; Safety</t>
        </is>
      </c>
      <c r="C203" t="inlineStr">
        <is>
          <t>Amazon.com</t>
        </is>
      </c>
      <c r="D203" t="inlineStr">
        <is>
          <t>indeed</t>
        </is>
      </c>
      <c r="E203">
        <f>HYPERLINK("https://www.indeed.com/viewjob?jk=f225362caf337cd4", "https://www.indeed.com/viewjob?jk=f225362caf337cd4")</f>
        <v/>
      </c>
      <c r="F203">
        <f>HYPERLINK("https://www.amazon.jobs/jobs/3144886/applied-scientist-workplace-health--safety-?cmpid=DA_INAD200785B", "https://www.amazon.jobs/jobs/3144886/applied-scientist-workplace-health--safety-?cmpid=DA_INAD200785B")</f>
        <v/>
      </c>
      <c r="G203" t="inlineStr">
        <is>
          <t>Nashville, TN, US</t>
        </is>
      </c>
      <c r="H203" s="2" t="n">
        <v>45917</v>
      </c>
      <c r="I20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in-bf681d35f1775b41</t>
        </is>
      </c>
      <c r="B204" t="inlineStr">
        <is>
          <t>Sr. Applied Scientist, Prime Video - Personalization and Discovery Science</t>
        </is>
      </c>
      <c r="C204" t="inlineStr">
        <is>
          <t>Amazon.com</t>
        </is>
      </c>
      <c r="D204" t="inlineStr">
        <is>
          <t>indeed</t>
        </is>
      </c>
      <c r="E204">
        <f>HYPERLINK("https://www.indeed.com/viewjob?jk=bf681d35f1775b41", "https://www.indeed.com/viewjob?jk=bf681d35f1775b41")</f>
        <v/>
      </c>
      <c r="F204">
        <f>HYPERLINK("https://www.amazon.jobs/jobs/3084479/sr-applied-scientist-prime-video--personalization-and-discovery-science?cmpid=DA_INAD200785B", "https://www.amazon.jobs/jobs/3084479/sr-applied-scientist-prime-video--personalization-and-discovery-science?cmpid=DA_INAD200785B")</f>
        <v/>
      </c>
      <c r="G204" t="inlineStr">
        <is>
          <t>New York, NY, US</t>
        </is>
      </c>
      <c r="H204" s="2" t="n">
        <v>45896</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5">
      <c r="A205" t="inlineStr">
        <is>
          <t>in-085218da1c25be8e</t>
        </is>
      </c>
      <c r="B205" t="inlineStr">
        <is>
          <t>Sr. Applied Scientist, Prime Video - Personalization and Discovery Science</t>
        </is>
      </c>
      <c r="C205" t="inlineStr">
        <is>
          <t>Amazon.com</t>
        </is>
      </c>
      <c r="D205" t="inlineStr">
        <is>
          <t>indeed</t>
        </is>
      </c>
      <c r="E205">
        <f>HYPERLINK("https://www.indeed.com/viewjob?jk=085218da1c25be8e", "https://www.indeed.com/viewjob?jk=085218da1c25be8e")</f>
        <v/>
      </c>
      <c r="F205">
        <f>HYPERLINK("https://www.amazon.jobs/jobs/3084479/sr-applied-scientist-prime-video--personalization-and-discovery-science?cmpid=DA_INAD200785B", "https://www.amazon.jobs/jobs/3084479/sr-applied-scientist-prime-video--personalization-and-discovery-science?cmpid=DA_INAD200785B")</f>
        <v/>
      </c>
      <c r="G205" t="inlineStr">
        <is>
          <t>Seattle, WA, US</t>
        </is>
      </c>
      <c r="H205" s="2" t="n">
        <v>45896</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6">
      <c r="A206" t="inlineStr">
        <is>
          <t>in-414f07ebda060460</t>
        </is>
      </c>
      <c r="B206" t="inlineStr">
        <is>
          <t>Sr. Applied Scientist, Prime Video - Personalization and Discovery Science</t>
        </is>
      </c>
      <c r="C206" t="inlineStr">
        <is>
          <t>Amazon.com</t>
        </is>
      </c>
      <c r="D206" t="inlineStr">
        <is>
          <t>indeed</t>
        </is>
      </c>
      <c r="E206">
        <f>HYPERLINK("https://www.indeed.com/viewjob?jk=414f07ebda060460", "https://www.indeed.com/viewjob?jk=414f07ebda060460")</f>
        <v/>
      </c>
      <c r="F206">
        <f>HYPERLINK("https://www.amazon.jobs/jobs/3084479/sr-applied-scientist-prime-video--personalization-and-discovery-science?cmpid=DA_INAD200785B", "https://www.amazon.jobs/jobs/3084479/sr-applied-scientist-prime-video--personalization-and-discovery-science?cmpid=DA_INAD200785B")</f>
        <v/>
      </c>
      <c r="G206" t="inlineStr">
        <is>
          <t>Sunnyvale, CA, US</t>
        </is>
      </c>
      <c r="H206" s="2" t="n">
        <v>45896</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07">
      <c r="A207" t="inlineStr">
        <is>
          <t>in-e5f164202d8c6373</t>
        </is>
      </c>
      <c r="B207" t="inlineStr">
        <is>
          <t>Applied Scientist II, Prime Video , Personalization and Discovery Science</t>
        </is>
      </c>
      <c r="C207" t="inlineStr">
        <is>
          <t>Amazon.com</t>
        </is>
      </c>
      <c r="D207" t="inlineStr">
        <is>
          <t>indeed</t>
        </is>
      </c>
      <c r="E207">
        <f>HYPERLINK("https://www.indeed.com/viewjob?jk=e5f164202d8c6373", "https://www.indeed.com/viewjob?jk=e5f164202d8c6373")</f>
        <v/>
      </c>
      <c r="F207">
        <f>HYPERLINK("https://www.amazon.jobs/jobs/3061303/applied-scientist-ii-prime-video--personalization-and-discovery-science?cmpid=DA_INAD200785B", "https://www.amazon.jobs/jobs/3061303/applied-scientist-ii-prime-video--personalization-and-discovery-science?cmpid=DA_INAD200785B")</f>
        <v/>
      </c>
      <c r="G207" t="inlineStr">
        <is>
          <t>Sunnyvale, CA, US</t>
        </is>
      </c>
      <c r="H207" s="2" t="n">
        <v>45886</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8">
      <c r="A208" t="inlineStr">
        <is>
          <t>in-9b3d3d1e847df112</t>
        </is>
      </c>
      <c r="B208" t="inlineStr">
        <is>
          <t>Applied Scientist II, Prime Video , Personalization and Discovery Science</t>
        </is>
      </c>
      <c r="C208" t="inlineStr">
        <is>
          <t>Amazon.com</t>
        </is>
      </c>
      <c r="D208" t="inlineStr">
        <is>
          <t>indeed</t>
        </is>
      </c>
      <c r="E208">
        <f>HYPERLINK("https://www.indeed.com/viewjob?jk=9b3d3d1e847df112", "https://www.indeed.com/viewjob?jk=9b3d3d1e847df112")</f>
        <v/>
      </c>
      <c r="F208">
        <f>HYPERLINK("https://www.amazon.jobs/jobs/3061303/applied-scientist-ii-prime-video--personalization-and-discovery-science?cmpid=DA_INAD200785B", "https://www.amazon.jobs/jobs/3061303/applied-scientist-ii-prime-video--personalization-and-discovery-science?cmpid=DA_INAD200785B")</f>
        <v/>
      </c>
      <c r="G208" t="inlineStr">
        <is>
          <t>New York, NY, US</t>
        </is>
      </c>
      <c r="H208" s="2" t="n">
        <v>45886</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09">
      <c r="A209" t="inlineStr">
        <is>
          <t>in-47f12ffd607a7dfe</t>
        </is>
      </c>
      <c r="B209" t="inlineStr">
        <is>
          <t>Applied Scientist II, Prime Video , Personalization and Discovery Science</t>
        </is>
      </c>
      <c r="C209" t="inlineStr">
        <is>
          <t>Amazon.com</t>
        </is>
      </c>
      <c r="D209" t="inlineStr">
        <is>
          <t>indeed</t>
        </is>
      </c>
      <c r="E209">
        <f>HYPERLINK("https://www.indeed.com/viewjob?jk=47f12ffd607a7dfe", "https://www.indeed.com/viewjob?jk=47f12ffd607a7dfe")</f>
        <v/>
      </c>
      <c r="F209">
        <f>HYPERLINK("https://www.amazon.jobs/jobs/3061303/applied-scientist-ii-prime-video--personalization-and-discovery-science?cmpid=DA_INAD200785B", "https://www.amazon.jobs/jobs/3061303/applied-scientist-ii-prime-video--personalization-and-discovery-science?cmpid=DA_INAD200785B")</f>
        <v/>
      </c>
      <c r="G209" t="inlineStr">
        <is>
          <t>Seattle, WA, US</t>
        </is>
      </c>
      <c r="H209" s="2" t="n">
        <v>45886</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City \- 172,400\.00 \- 223,400\.00 USD annually  
USA, OR, Corvallis \- 142,800\.00 \- 193,200\.00 USD annually  
USA, WA, SEATTLE \- 142,800\.00 \- 193,200\.00 USD annually  
USA, WA, Seattle \- 142,800\.00 \- 193,200\.00 USD annually</t>
        </is>
      </c>
    </row>
    <row r="210">
      <c r="A210" t="inlineStr">
        <is>
          <t>in-8acb4bbc3ff9c888</t>
        </is>
      </c>
      <c r="B210" t="inlineStr">
        <is>
          <t>Sr. Applied Scientist, Prime Video - Personalization and Discovery Science</t>
        </is>
      </c>
      <c r="C210" t="inlineStr">
        <is>
          <t>Amazon.com</t>
        </is>
      </c>
      <c r="D210" t="inlineStr">
        <is>
          <t>indeed</t>
        </is>
      </c>
      <c r="E210">
        <f>HYPERLINK("https://www.indeed.com/viewjob?jk=8acb4bbc3ff9c888", "https://www.indeed.com/viewjob?jk=8acb4bbc3ff9c888")</f>
        <v/>
      </c>
      <c r="F210">
        <f>HYPERLINK("https://www.amazon.jobs/jobs/3059256/sr-applied-scientist-prime-video--personalization-and-discovery-science?cmpid=DA_INAD200785B", "https://www.amazon.jobs/jobs/3059256/sr-applied-scientist-prime-video--personalization-and-discovery-science?cmpid=DA_INAD200785B")</f>
        <v/>
      </c>
      <c r="G210" t="inlineStr">
        <is>
          <t>New York, NY, US</t>
        </is>
      </c>
      <c r="H210" s="2" t="n">
        <v>45881</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in-04b70ba14bb5d4f1</t>
        </is>
      </c>
      <c r="B211" t="inlineStr">
        <is>
          <t>Applied Scientist II, Prime Video - Personalization and Discovery Science</t>
        </is>
      </c>
      <c r="C211" t="inlineStr">
        <is>
          <t>Amazon.com</t>
        </is>
      </c>
      <c r="D211" t="inlineStr">
        <is>
          <t>indeed</t>
        </is>
      </c>
      <c r="E211">
        <f>HYPERLINK("https://www.indeed.com/viewjob?jk=04b70ba14bb5d4f1", "https://www.indeed.com/viewjob?jk=04b70ba14bb5d4f1")</f>
        <v/>
      </c>
      <c r="F211">
        <f>HYPERLINK("https://www.amazon.jobs/jobs/3059253/applied-scientist-ii-prime-video--personalization-and-discovery-science?cmpid=DA_INAD200785B", "https://www.amazon.jobs/jobs/3059253/applied-scientist-ii-prime-video--personalization-and-discovery-science?cmpid=DA_INAD200785B")</f>
        <v/>
      </c>
      <c r="G211" t="inlineStr">
        <is>
          <t>Seattle, WA, US</t>
        </is>
      </c>
      <c r="H211" s="2" t="n">
        <v>45881</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in-4411a64a64a12395</t>
        </is>
      </c>
      <c r="B212" t="inlineStr">
        <is>
          <t>Applied Scientist II, Prime Video - Personalization and Discovery Science</t>
        </is>
      </c>
      <c r="C212" t="inlineStr">
        <is>
          <t>Amazon.com</t>
        </is>
      </c>
      <c r="D212" t="inlineStr">
        <is>
          <t>indeed</t>
        </is>
      </c>
      <c r="E212">
        <f>HYPERLINK("https://www.indeed.com/viewjob?jk=4411a64a64a12395", "https://www.indeed.com/viewjob?jk=4411a64a64a12395")</f>
        <v/>
      </c>
      <c r="F212">
        <f>HYPERLINK("https://www.amazon.jobs/jobs/3059253/applied-scientist-ii-prime-video--personalization-and-discovery-science?cmpid=DA_INAD200785B", "https://www.amazon.jobs/jobs/3059253/applied-scientist-ii-prime-video--personalization-and-discovery-science?cmpid=DA_INAD200785B")</f>
        <v/>
      </c>
      <c r="G212" t="inlineStr">
        <is>
          <t>Sunnyvale, CA, US</t>
        </is>
      </c>
      <c r="H212" s="2" t="n">
        <v>45881</v>
      </c>
      <c r="I2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in-68214bb978cb1f3b</t>
        </is>
      </c>
      <c r="B213" t="inlineStr">
        <is>
          <t>Applied Scientist II, Prime Video - Personalization and Discovery Science</t>
        </is>
      </c>
      <c r="C213" t="inlineStr">
        <is>
          <t>Amazon.com</t>
        </is>
      </c>
      <c r="D213" t="inlineStr">
        <is>
          <t>indeed</t>
        </is>
      </c>
      <c r="E213">
        <f>HYPERLINK("https://www.indeed.com/viewjob?jk=68214bb978cb1f3b", "https://www.indeed.com/viewjob?jk=68214bb978cb1f3b")</f>
        <v/>
      </c>
      <c r="F213">
        <f>HYPERLINK("https://www.amazon.jobs/jobs/3059253/applied-scientist-ii-prime-video--personalization-and-discovery-science?cmpid=DA_INAD200785B", "https://www.amazon.jobs/jobs/3059253/applied-scientist-ii-prime-video--personalization-and-discovery-science?cmpid=DA_INAD200785B")</f>
        <v/>
      </c>
      <c r="G213" t="inlineStr">
        <is>
          <t>New York, NY, US</t>
        </is>
      </c>
      <c r="H213" s="2" t="n">
        <v>45881</v>
      </c>
      <c r="I2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in-e143299fc2147e28</t>
        </is>
      </c>
      <c r="B214" t="inlineStr">
        <is>
          <t>Sr. Applied Scientist, Prime Video - Personalization and Discovery Science</t>
        </is>
      </c>
      <c r="C214" t="inlineStr">
        <is>
          <t>Amazon.com</t>
        </is>
      </c>
      <c r="D214" t="inlineStr">
        <is>
          <t>indeed</t>
        </is>
      </c>
      <c r="E214">
        <f>HYPERLINK("https://www.indeed.com/viewjob?jk=e143299fc2147e28", "https://www.indeed.com/viewjob?jk=e143299fc2147e28")</f>
        <v/>
      </c>
      <c r="F214">
        <f>HYPERLINK("https://www.amazon.jobs/jobs/3059256/sr-applied-scientist-prime-video--personalization-and-discovery-science?cmpid=DA_INAD200785B", "https://www.amazon.jobs/jobs/3059256/sr-applied-scientist-prime-video--personalization-and-discovery-science?cmpid=DA_INAD200785B")</f>
        <v/>
      </c>
      <c r="G214" t="inlineStr">
        <is>
          <t>Sunnyvale, CA, US</t>
        </is>
      </c>
      <c r="H214" s="2" t="n">
        <v>45881</v>
      </c>
      <c r="I2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in-b619f52f2e548b22</t>
        </is>
      </c>
      <c r="B215" t="inlineStr">
        <is>
          <t>Sr. Applied Scientist, Prime Video - Personalization and Discovery Science</t>
        </is>
      </c>
      <c r="C215" t="inlineStr">
        <is>
          <t>Amazon.com</t>
        </is>
      </c>
      <c r="D215" t="inlineStr">
        <is>
          <t>indeed</t>
        </is>
      </c>
      <c r="E215">
        <f>HYPERLINK("https://www.indeed.com/viewjob?jk=b619f52f2e548b22", "https://www.indeed.com/viewjob?jk=b619f52f2e548b22")</f>
        <v/>
      </c>
      <c r="F215">
        <f>HYPERLINK("https://www.amazon.jobs/jobs/3059256/sr-applied-scientist-prime-video--personalization-and-discovery-science?cmpid=DA_INAD200785B", "https://www.amazon.jobs/jobs/3059256/sr-applied-scientist-prime-video--personalization-and-discovery-science?cmpid=DA_INAD200785B")</f>
        <v/>
      </c>
      <c r="G215" t="inlineStr">
        <is>
          <t>Seattle, WA, US</t>
        </is>
      </c>
      <c r="H215" s="2" t="n">
        <v>45881</v>
      </c>
      <c r="I2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in-d704cc7d5d971cae</t>
        </is>
      </c>
      <c r="B216" t="inlineStr">
        <is>
          <t>Applied Scientist III, StoreGen</t>
        </is>
      </c>
      <c r="C216" t="inlineStr">
        <is>
          <t>Amazon.com</t>
        </is>
      </c>
      <c r="D216" t="inlineStr">
        <is>
          <t>indeed</t>
        </is>
      </c>
      <c r="E216">
        <f>HYPERLINK("https://www.indeed.com/viewjob?jk=d704cc7d5d971cae", "https://www.indeed.com/viewjob?jk=d704cc7d5d971cae")</f>
        <v/>
      </c>
      <c r="F216">
        <f>HYPERLINK("https://www.amazon.jobs/jobs/3065534/applied-scientist-iii-storegen?cmpid=DA_INAD200785B", "https://www.amazon.jobs/jobs/3065534/applied-scientist-iii-storegen?cmpid=DA_INAD200785B")</f>
        <v/>
      </c>
      <c r="G216" t="inlineStr">
        <is>
          <t>Sunnyvale, CA, US</t>
        </is>
      </c>
      <c r="H216" s="2" t="n">
        <v>45868</v>
      </c>
      <c r="I21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in-b5d5471d7a9565f7</t>
        </is>
      </c>
      <c r="B217" t="inlineStr">
        <is>
          <t>Applied Scientist III, StoreGen</t>
        </is>
      </c>
      <c r="C217" t="inlineStr">
        <is>
          <t>Amazon.com</t>
        </is>
      </c>
      <c r="D217" t="inlineStr">
        <is>
          <t>indeed</t>
        </is>
      </c>
      <c r="E217">
        <f>HYPERLINK("https://www.indeed.com/viewjob?jk=b5d5471d7a9565f7", "https://www.indeed.com/viewjob?jk=b5d5471d7a9565f7")</f>
        <v/>
      </c>
      <c r="F217">
        <f>HYPERLINK("https://www.amazon.jobs/jobs/3065534/applied-scientist-iii-storegen?cmpid=DA_INAD200785B", "https://www.amazon.jobs/jobs/3065534/applied-scientist-iii-storegen?cmpid=DA_INAD200785B")</f>
        <v/>
      </c>
      <c r="G217" t="inlineStr">
        <is>
          <t>Seattle, WA, US</t>
        </is>
      </c>
      <c r="H217" s="2" t="n">
        <v>45868</v>
      </c>
      <c r="I21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in-a2e97c56a8ed5d7e</t>
        </is>
      </c>
      <c r="B218" t="inlineStr">
        <is>
          <t>Sr. Applied Scientist, Amazon Advertising</t>
        </is>
      </c>
      <c r="C218" t="inlineStr">
        <is>
          <t>Amazon.com</t>
        </is>
      </c>
      <c r="D218" t="inlineStr">
        <is>
          <t>indeed</t>
        </is>
      </c>
      <c r="E218">
        <f>HYPERLINK("https://www.indeed.com/viewjob?jk=a2e97c56a8ed5d7e", "https://www.indeed.com/viewjob?jk=a2e97c56a8ed5d7e")</f>
        <v/>
      </c>
      <c r="F218">
        <f>HYPERLINK("https://www.amazon.jobs/jobs/3035686/sr-applied-scientist-amazon-advertising?cmpid=DA_INAD200785B", "https://www.amazon.jobs/jobs/3035686/sr-applied-scientist-amazon-advertising?cmpid=DA_INAD200785B")</f>
        <v/>
      </c>
      <c r="G218" t="inlineStr">
        <is>
          <t>New York, NY, US</t>
        </is>
      </c>
      <c r="H218" s="2"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in-c0be1701e53a0822</t>
        </is>
      </c>
      <c r="B219" t="inlineStr">
        <is>
          <t>Sr. Applied Scientist, Amazon Advertising</t>
        </is>
      </c>
      <c r="C219" t="inlineStr">
        <is>
          <t>Amazon.com</t>
        </is>
      </c>
      <c r="D219" t="inlineStr">
        <is>
          <t>indeed</t>
        </is>
      </c>
      <c r="E219">
        <f>HYPERLINK("https://www.indeed.com/viewjob?jk=c0be1701e53a0822", "https://www.indeed.com/viewjob?jk=c0be1701e53a0822")</f>
        <v/>
      </c>
      <c r="F219">
        <f>HYPERLINK("https://www.amazon.jobs/jobs/3035686/sr-applied-scientist-amazon-advertising?cmpid=DA_INAD200785B", "https://www.amazon.jobs/jobs/3035686/sr-applied-scientist-amazon-advertising?cmpid=DA_INAD200785B")</f>
        <v/>
      </c>
      <c r="G219" t="inlineStr">
        <is>
          <t>Arlington, VA, US</t>
        </is>
      </c>
      <c r="H219" s="2"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in-7d230688e8d6d534</t>
        </is>
      </c>
      <c r="B220" t="inlineStr">
        <is>
          <t>Sr. Applied Scientist, Amazon Advertising</t>
        </is>
      </c>
      <c r="C220" t="inlineStr">
        <is>
          <t>Amazon.com</t>
        </is>
      </c>
      <c r="D220" t="inlineStr">
        <is>
          <t>indeed</t>
        </is>
      </c>
      <c r="E220">
        <f>HYPERLINK("https://www.indeed.com/viewjob?jk=7d230688e8d6d534", "https://www.indeed.com/viewjob?jk=7d230688e8d6d534")</f>
        <v/>
      </c>
      <c r="F220">
        <f>HYPERLINK("https://www.amazon.jobs/jobs/3035686/sr-applied-scientist-amazon-advertising?cmpid=DA_INAD200785B", "https://www.amazon.jobs/jobs/3035686/sr-applied-scientist-amazon-advertising?cmpid=DA_INAD200785B")</f>
        <v/>
      </c>
      <c r="G220" t="inlineStr">
        <is>
          <t>West Hollywood, CA, US</t>
        </is>
      </c>
      <c r="H220" s="2"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in-c71a65ccd8698598</t>
        </is>
      </c>
      <c r="B221" t="inlineStr">
        <is>
          <t>Sr. Applied Scientist, Amazon Advertising</t>
        </is>
      </c>
      <c r="C221" t="inlineStr">
        <is>
          <t>Amazon.com</t>
        </is>
      </c>
      <c r="D221" t="inlineStr">
        <is>
          <t>indeed</t>
        </is>
      </c>
      <c r="E221">
        <f>HYPERLINK("https://www.indeed.com/viewjob?jk=c71a65ccd8698598", "https://www.indeed.com/viewjob?jk=c71a65ccd8698598")</f>
        <v/>
      </c>
      <c r="F221">
        <f>HYPERLINK("https://www.amazon.jobs/jobs/3035686/sr-applied-scientist-amazon-advertising?cmpid=DA_INAD200785B", "https://www.amazon.jobs/jobs/3035686/sr-applied-scientist-amazon-advertising?cmpid=DA_INAD200785B")</f>
        <v/>
      </c>
      <c r="G221" t="inlineStr">
        <is>
          <t>Los Angeles, CA, US</t>
        </is>
      </c>
      <c r="H221" s="2"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in-258627bda54ca9f7</t>
        </is>
      </c>
      <c r="B222" t="inlineStr">
        <is>
          <t>Sr. Applied Scientist, Amazon Advertising</t>
        </is>
      </c>
      <c r="C222" t="inlineStr">
        <is>
          <t>Amazon.com</t>
        </is>
      </c>
      <c r="D222" t="inlineStr">
        <is>
          <t>indeed</t>
        </is>
      </c>
      <c r="E222">
        <f>HYPERLINK("https://www.indeed.com/viewjob?jk=258627bda54ca9f7", "https://www.indeed.com/viewjob?jk=258627bda54ca9f7")</f>
        <v/>
      </c>
      <c r="F222">
        <f>HYPERLINK("https://www.amazon.jobs/jobs/3035686/sr-applied-scientist-amazon-advertising?cmpid=DA_INAD200785B", "https://www.amazon.jobs/jobs/3035686/sr-applied-scientist-amazon-advertising?cmpid=DA_INAD200785B")</f>
        <v/>
      </c>
      <c r="G222" t="inlineStr">
        <is>
          <t>Seattle, WA, US</t>
        </is>
      </c>
      <c r="H222" s="2"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in-301b196436cec0e2</t>
        </is>
      </c>
      <c r="B223" t="inlineStr">
        <is>
          <t>Sr. Applied Scientist, Amazon Advertising</t>
        </is>
      </c>
      <c r="C223" t="inlineStr">
        <is>
          <t>Amazon.com</t>
        </is>
      </c>
      <c r="D223" t="inlineStr">
        <is>
          <t>indeed</t>
        </is>
      </c>
      <c r="E223">
        <f>HYPERLINK("https://www.indeed.com/viewjob?jk=301b196436cec0e2", "https://www.indeed.com/viewjob?jk=301b196436cec0e2")</f>
        <v/>
      </c>
      <c r="F223">
        <f>HYPERLINK("https://www.amazon.jobs/jobs/3035686/sr-applied-scientist-amazon-advertising?cmpid=DA_INAD200785B", "https://www.amazon.jobs/jobs/3035686/sr-applied-scientist-amazon-advertising?cmpid=DA_INAD200785B")</f>
        <v/>
      </c>
      <c r="G223" t="inlineStr">
        <is>
          <t>Austin, TX, US</t>
        </is>
      </c>
      <c r="H223" s="2"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in-2ad0dd86889d61f5</t>
        </is>
      </c>
      <c r="B224" t="inlineStr">
        <is>
          <t>Sr. Applied Scientist, Amazon Advertising</t>
        </is>
      </c>
      <c r="C224" t="inlineStr">
        <is>
          <t>Amazon.com</t>
        </is>
      </c>
      <c r="D224" t="inlineStr">
        <is>
          <t>indeed</t>
        </is>
      </c>
      <c r="E224">
        <f>HYPERLINK("https://www.indeed.com/viewjob?jk=2ad0dd86889d61f5", "https://www.indeed.com/viewjob?jk=2ad0dd86889d61f5")</f>
        <v/>
      </c>
      <c r="F224">
        <f>HYPERLINK("https://www.amazon.jobs/jobs/3035686/sr-applied-scientist-amazon-advertising?cmpid=DA_INAD200785B", "https://www.amazon.jobs/jobs/3035686/sr-applied-scientist-amazon-advertising?cmpid=DA_INAD200785B")</f>
        <v/>
      </c>
      <c r="G224" t="inlineStr">
        <is>
          <t>Simi Valley, CA, US</t>
        </is>
      </c>
      <c r="H224" s="2"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in-4518cd86770a6e1a</t>
        </is>
      </c>
      <c r="B225" t="inlineStr">
        <is>
          <t>Sr. Applied Scientist, Amazon Advertising</t>
        </is>
      </c>
      <c r="C225" t="inlineStr">
        <is>
          <t>Amazon.com</t>
        </is>
      </c>
      <c r="D225" t="inlineStr">
        <is>
          <t>indeed</t>
        </is>
      </c>
      <c r="E225">
        <f>HYPERLINK("https://www.indeed.com/viewjob?jk=4518cd86770a6e1a", "https://www.indeed.com/viewjob?jk=4518cd86770a6e1a")</f>
        <v/>
      </c>
      <c r="F225">
        <f>HYPERLINK("https://www.amazon.jobs/jobs/3035686/sr-applied-scientist-amazon-advertising?cmpid=DA_INAD200785B", "https://www.amazon.jobs/jobs/3035686/sr-applied-scientist-amazon-advertising?cmpid=DA_INAD200785B")</f>
        <v/>
      </c>
      <c r="G225" t="inlineStr">
        <is>
          <t>Palo Alto, CA, US</t>
        </is>
      </c>
      <c r="H225" s="2"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in-6db8acbf874ed697</t>
        </is>
      </c>
      <c r="B226" t="inlineStr">
        <is>
          <t>Sr. Applied Scientist, Sales AI</t>
        </is>
      </c>
      <c r="C226" t="inlineStr">
        <is>
          <t>Amazon.com</t>
        </is>
      </c>
      <c r="D226" t="inlineStr">
        <is>
          <t>indeed</t>
        </is>
      </c>
      <c r="E226">
        <f>HYPERLINK("https://www.indeed.com/viewjob?jk=6db8acbf874ed697", "https://www.indeed.com/viewjob?jk=6db8acbf874ed697")</f>
        <v/>
      </c>
      <c r="F226">
        <f>HYPERLINK("https://www.amazon.jobs/jobs/3020528/sr-applied-scientist-sales-ai?cmpid=DA_INAD200785B", "https://www.amazon.jobs/jobs/3020528/sr-applied-scientist-sales-ai?cmpid=DA_INAD200785B")</f>
        <v/>
      </c>
      <c r="G226" t="inlineStr">
        <is>
          <t>Seattle, WA, US</t>
        </is>
      </c>
      <c r="H226" s="2" t="n">
        <v>45830</v>
      </c>
      <c r="I2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in-92dfc5465ed64858</t>
        </is>
      </c>
      <c r="B227" t="inlineStr">
        <is>
          <t>Sr. Applied Scientist, Sales AI</t>
        </is>
      </c>
      <c r="C227" t="inlineStr">
        <is>
          <t>Amazon.com</t>
        </is>
      </c>
      <c r="D227" t="inlineStr">
        <is>
          <t>indeed</t>
        </is>
      </c>
      <c r="E227">
        <f>HYPERLINK("https://www.indeed.com/viewjob?jk=92dfc5465ed64858", "https://www.indeed.com/viewjob?jk=92dfc5465ed64858")</f>
        <v/>
      </c>
      <c r="F227">
        <f>HYPERLINK("https://www.amazon.jobs/jobs/3020528/sr-applied-scientist-sales-ai?cmpid=DA_INAD200785B", "https://www.amazon.jobs/jobs/3020528/sr-applied-scientist-sales-ai?cmpid=DA_INAD200785B")</f>
        <v/>
      </c>
      <c r="G227" t="inlineStr">
        <is>
          <t>Sunnyvale, CA, US</t>
        </is>
      </c>
      <c r="H227" s="2" t="n">
        <v>45830</v>
      </c>
      <c r="I2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in-ac4fbfb9304dc6a6</t>
        </is>
      </c>
      <c r="B228" t="inlineStr">
        <is>
          <t>Sr. Applied Scientist, Sales AI</t>
        </is>
      </c>
      <c r="C228" t="inlineStr">
        <is>
          <t>Amazon.com</t>
        </is>
      </c>
      <c r="D228" t="inlineStr">
        <is>
          <t>indeed</t>
        </is>
      </c>
      <c r="E228">
        <f>HYPERLINK("https://www.indeed.com/viewjob?jk=ac4fbfb9304dc6a6", "https://www.indeed.com/viewjob?jk=ac4fbfb9304dc6a6")</f>
        <v/>
      </c>
      <c r="F228">
        <f>HYPERLINK("https://www.amazon.jobs/jobs/3020528/sr-applied-scientist-sales-ai?cmpid=DA_INAD200785B", "https://www.amazon.jobs/jobs/3020528/sr-applied-scientist-sales-ai?cmpid=DA_INAD200785B")</f>
        <v/>
      </c>
      <c r="G228" t="inlineStr">
        <is>
          <t>New York, NY, US</t>
        </is>
      </c>
      <c r="H228" s="2" t="n">
        <v>45830</v>
      </c>
      <c r="I22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in-23d58ec8ee7b655c</t>
        </is>
      </c>
      <c r="B229" t="inlineStr">
        <is>
          <t>Senior Applied Scientist, Delivery Foundation Model</t>
        </is>
      </c>
      <c r="C229" t="inlineStr">
        <is>
          <t>Amazon.com</t>
        </is>
      </c>
      <c r="D229" t="inlineStr">
        <is>
          <t>indeed</t>
        </is>
      </c>
      <c r="E229">
        <f>HYPERLINK("https://www.indeed.com/viewjob?jk=23d58ec8ee7b655c", "https://www.indeed.com/viewjob?jk=23d58ec8ee7b655c")</f>
        <v/>
      </c>
      <c r="F229">
        <f>HYPERLINK("https://www.amazon.jobs/jobs/2998435/senior-applied-scientist-delivery-foundation-model-?cmpid=DA_INAD200785B", "https://www.amazon.jobs/jobs/2998435/senior-applied-scientist-delivery-foundation-model-?cmpid=DA_INAD200785B")</f>
        <v/>
      </c>
      <c r="G229" t="inlineStr">
        <is>
          <t>Bellevue, WA, US</t>
        </is>
      </c>
      <c r="H229" s="2" t="n">
        <v>45806</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in-59fcb1da9ac98daf</t>
        </is>
      </c>
      <c r="B230" t="inlineStr">
        <is>
          <t>Senior Applied Scientist, Delivery Foundation Model</t>
        </is>
      </c>
      <c r="C230" t="inlineStr">
        <is>
          <t>Amazon.com</t>
        </is>
      </c>
      <c r="D230" t="inlineStr">
        <is>
          <t>indeed</t>
        </is>
      </c>
      <c r="E230">
        <f>HYPERLINK("https://www.indeed.com/viewjob?jk=59fcb1da9ac98daf", "https://www.indeed.com/viewjob?jk=59fcb1da9ac98daf")</f>
        <v/>
      </c>
      <c r="F230">
        <f>HYPERLINK("https://www.amazon.jobs/jobs/2998435/senior-applied-scientist-delivery-foundation-model-?cmpid=DA_INAD200785B", "https://www.amazon.jobs/jobs/2998435/senior-applied-scientist-delivery-foundation-model-?cmpid=DA_INAD200785B")</f>
        <v/>
      </c>
      <c r="G230" t="inlineStr">
        <is>
          <t>New York, NY, US</t>
        </is>
      </c>
      <c r="H230" s="2" t="n">
        <v>45806</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in-c5ecbaa86234ac96</t>
        </is>
      </c>
      <c r="B231" t="inlineStr">
        <is>
          <t>Senior Applied Scientist, Delivery Foundation Model</t>
        </is>
      </c>
      <c r="C231" t="inlineStr">
        <is>
          <t>Amazon.com</t>
        </is>
      </c>
      <c r="D231" t="inlineStr">
        <is>
          <t>indeed</t>
        </is>
      </c>
      <c r="E231">
        <f>HYPERLINK("https://www.indeed.com/viewjob?jk=c5ecbaa86234ac96", "https://www.indeed.com/viewjob?jk=c5ecbaa86234ac96")</f>
        <v/>
      </c>
      <c r="F231">
        <f>HYPERLINK("https://www.amazon.jobs/jobs/2998435/senior-applied-scientist-delivery-foundation-model-?cmpid=DA_INAD200785B", "https://www.amazon.jobs/jobs/2998435/senior-applied-scientist-delivery-foundation-model-?cmpid=DA_INAD200785B")</f>
        <v/>
      </c>
      <c r="G231" t="inlineStr">
        <is>
          <t>Santa Clara, CA, US</t>
        </is>
      </c>
      <c r="H231" s="2" t="n">
        <v>45806</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in-97dc19cc4ec81a0b</t>
        </is>
      </c>
      <c r="B232" t="inlineStr">
        <is>
          <t>Sr. Applied Scientist - Privacy, Privacy Engineering</t>
        </is>
      </c>
      <c r="C232" t="inlineStr">
        <is>
          <t>Amazon.com</t>
        </is>
      </c>
      <c r="D232" t="inlineStr">
        <is>
          <t>indeed</t>
        </is>
      </c>
      <c r="E232">
        <f>HYPERLINK("https://www.indeed.com/viewjob?jk=97dc19cc4ec81a0b", "https://www.indeed.com/viewjob?jk=97dc19cc4ec81a0b")</f>
        <v/>
      </c>
      <c r="F232">
        <f>HYPERLINK("https://www.amazon.jobs/jobs/2997657/sr-applied-scientist--privacy-privacy-engineering?cmpid=DA_INAD200785B", "https://www.amazon.jobs/jobs/2997657/sr-applied-scientist--privacy-privacy-engineering?cmpid=DA_INAD200785B")</f>
        <v/>
      </c>
      <c r="G232" t="inlineStr">
        <is>
          <t>San Francisco, CA, US</t>
        </is>
      </c>
      <c r="H232" s="2" t="n">
        <v>45787</v>
      </c>
      <c r="I2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in-ac57c83a0b56531f</t>
        </is>
      </c>
      <c r="B233" t="inlineStr">
        <is>
          <t>Sr. Applied Scientist - Privacy, Privacy Engineering</t>
        </is>
      </c>
      <c r="C233" t="inlineStr">
        <is>
          <t>Amazon.com</t>
        </is>
      </c>
      <c r="D233" t="inlineStr">
        <is>
          <t>indeed</t>
        </is>
      </c>
      <c r="E233">
        <f>HYPERLINK("https://www.indeed.com/viewjob?jk=ac57c83a0b56531f", "https://www.indeed.com/viewjob?jk=ac57c83a0b56531f")</f>
        <v/>
      </c>
      <c r="F233">
        <f>HYPERLINK("https://www.amazon.jobs/jobs/2997657/sr-applied-scientist--privacy-privacy-engineering?cmpid=DA_INAD200785B", "https://www.amazon.jobs/jobs/2997657/sr-applied-scientist--privacy-privacy-engineering?cmpid=DA_INAD200785B")</f>
        <v/>
      </c>
      <c r="G233" t="inlineStr">
        <is>
          <t>Santa Clara, CA, US</t>
        </is>
      </c>
      <c r="H233" s="2" t="n">
        <v>45787</v>
      </c>
      <c r="I2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in-76f5207a0bc17aa8</t>
        </is>
      </c>
      <c r="B234" t="inlineStr">
        <is>
          <t>Sr. Applied Scientist - Privacy, Privacy Engineering</t>
        </is>
      </c>
      <c r="C234" t="inlineStr">
        <is>
          <t>Amazon.com</t>
        </is>
      </c>
      <c r="D234" t="inlineStr">
        <is>
          <t>indeed</t>
        </is>
      </c>
      <c r="E234">
        <f>HYPERLINK("https://www.indeed.com/viewjob?jk=76f5207a0bc17aa8", "https://www.indeed.com/viewjob?jk=76f5207a0bc17aa8")</f>
        <v/>
      </c>
      <c r="F234">
        <f>HYPERLINK("https://www.amazon.jobs/jobs/2997657/sr-applied-scientist--privacy-privacy-engineering?cmpid=DA_INAD200785B", "https://www.amazon.jobs/jobs/2997657/sr-applied-scientist--privacy-privacy-engineering?cmpid=DA_INAD200785B")</f>
        <v/>
      </c>
      <c r="G234" t="inlineStr">
        <is>
          <t>Seattle, WA, US</t>
        </is>
      </c>
      <c r="H234" s="2" t="n">
        <v>45787</v>
      </c>
      <c r="I2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in-8e62db4ba8dc8d21</t>
        </is>
      </c>
      <c r="B235" t="inlineStr">
        <is>
          <t>Sr. Applied Scientist - Privacy, Privacy Engineering</t>
        </is>
      </c>
      <c r="C235" t="inlineStr">
        <is>
          <t>Amazon.com</t>
        </is>
      </c>
      <c r="D235" t="inlineStr">
        <is>
          <t>indeed</t>
        </is>
      </c>
      <c r="E235">
        <f>HYPERLINK("https://www.indeed.com/viewjob?jk=8e62db4ba8dc8d21", "https://www.indeed.com/viewjob?jk=8e62db4ba8dc8d21")</f>
        <v/>
      </c>
      <c r="F235">
        <f>HYPERLINK("https://www.amazon.jobs/jobs/2997657/sr-applied-scientist--privacy-privacy-engineering?cmpid=DA_INAD200785B", "https://www.amazon.jobs/jobs/2997657/sr-applied-scientist--privacy-privacy-engineering?cmpid=DA_INAD200785B")</f>
        <v/>
      </c>
      <c r="G235" t="inlineStr">
        <is>
          <t>Sunnyvale, CA, US</t>
        </is>
      </c>
      <c r="H235" s="2" t="n">
        <v>45787</v>
      </c>
      <c r="I2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li-4374055684</t>
        </is>
      </c>
      <c r="B2" t="inlineStr">
        <is>
          <t>Data Scientist, Research Operations</t>
        </is>
      </c>
      <c r="C2" t="inlineStr">
        <is>
          <t>Google</t>
        </is>
      </c>
      <c r="D2" t="inlineStr">
        <is>
          <t>linkedin</t>
        </is>
      </c>
      <c r="E2" t="inlineStr"/>
      <c r="F2" t="inlineStr"/>
      <c r="G2" t="inlineStr">
        <is>
          <t>Sunnyvale, CA</t>
        </is>
      </c>
      <c r="H2" t="inlineStr"/>
      <c r="I2" t="inlineStr">
        <is>
          <t>**Minimum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The Optimally scale Data centers and Systems (ODS) is a team of Data Scientists (Research and Analyst) experts, who provide model\-based decision support to scale Google's Technical Infrastructure optimally.
 If you like using data, metrics, forecasts, statistics, operations research, analytical insights, thinking, and executive\-level business communications to optimize large dollar spend decisions on Google's Technical Infrastructure, then you should consider joining Optimally scale Data centers and Systems (ODS) as a Data Scientist.The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maintain, support, and enhance custom forecasting and capacity planning tools for Google’s Data center infrastructure.
* Drive analysis and modeling, drawing from multiple analytical methods and choose the right method and level of complexity appropriate for the business issues.
* Engage broadly to identify, prioritize, frame, and structure complex and ambiguous issues, where data science projects or tools can have the biggest impact. Articulate business questions and use mathematical techniques to arrive at an answer using data.
* Translate analysis results into actionable business recommendations supported by technical documentation and presentations. Collaborate with cross\-functional stakeholders to understand their business needs and frame analytical problems.
* Measure business outcomes driven from the analytical recommendations. Identify and communicate the issues, opportunities, and automation that the group should be working 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
      <c r="A3" t="inlineStr">
        <is>
          <t>li-4366912064</t>
        </is>
      </c>
      <c r="B3" t="inlineStr">
        <is>
          <t>Data Scientist</t>
        </is>
      </c>
      <c r="C3" t="inlineStr">
        <is>
          <t>Varonis</t>
        </is>
      </c>
      <c r="D3" t="inlineStr">
        <is>
          <t>linkedin</t>
        </is>
      </c>
      <c r="E3" t="inlineStr"/>
      <c r="F3" t="inlineStr"/>
      <c r="G3" t="inlineStr"/>
      <c r="H3" t="inlineStr"/>
      <c r="I3" t="inlineStr">
        <is>
          <t>**Title: Data Scientist**
**Job Description:**
 We are seeking a highly skilled and motivated Data scientist to join our talented team. As a Data scientist, you will play a crucial role in developing and optimizing our ML, LLM, and Agentic AI abilities.
 You will work closely with our architects, data engineers, data scientists, and security researchers to design, train and evaluate our machine learning models as well as our state\-of\-the\-art LLM based features.
**Responsibilities:**
* Design, develop, and evaluate agentic AI systems capable of autonomous or semi\-autonomous reasoning, planning, and action in cybersecurity use cases.
* Analyze large, complex datasets to identify patterns and trends that could indicate potential security threats.
* Collaborate closely with cybersecurity researchers, threat analysts, and architects to translate real\-world attack scenarios into AI\-driven detection, investigation, and response capabilities.
* Design and develop innovative prompts and instruction sets to enhance the conversational capabilities of our language models.
* Develop and optimize ML\- and LLM\-powered security workflows, including multi\-step reasoning, tool use, memory, and feedback loops.
* Stay current with advances in cybersecurity, adversarial ML, agentic AI architectures, and applied LLM research, and contribute to internal best practices.
* Partner with software and data engineers to deploy AI agents and ML models into production\-grade, secure, and scalable systems.
**Requirements:**
* Bachelor’s degree in computer science, Engineering, or a related field. A master's or Ph.D. is a plus.
* Strong foundation in machine learning and deep learning, including supervised, unsupervised, and anomaly\-detection techniques.
* Extensive experience applying data science, machine learning, and agentic AI systems to cybersecurity domains, including threat detection and response.
* Proven ability to deliver reliable, high\-quality AI systems in fast\-paced, evolving environments.
* Proficiency in Python. Experience with PySpark, Databricks, or large\-scale data processing frameworks is a plus.
* Experience working with LLMs (open\-source and commercial) in production or research settings, including model selection, evaluation, and safe deployment.
* Familiarity with vector databases, embeddings, and retrieval\-augmented generation (RAG) for security or knowledge\-intensive workflows.
* Understanding of LLM and AI security considerations, such as adversarial inputs, model exploitation, data privacy, and governance.
* Experience with cloud\-based ML platforms and modern MLOps practices is a plus.
* Strong analytical and problem\-solving skills, with the ability to reason under uncertainty and adversarial conditions.
* Excellent communication and collaboration skills, with the ability to work effectively across security, engineering, and research teams.
*We invite you to check out our Instagram Page to gain further insight into the Varonis culture!*
*@VaronisLife*
*Varonis is an equal\-opportunity employer. We evaluate qualified applicants without regard to race, color, religion, sex, national origin, disability, veteran status, and other legally protected characteristics*</t>
        </is>
      </c>
    </row>
    <row r="4">
      <c r="A4" t="inlineStr">
        <is>
          <t>li-4375429129</t>
        </is>
      </c>
      <c r="B4" t="inlineStr">
        <is>
          <t>Senior Data Scientist</t>
        </is>
      </c>
      <c r="C4" t="inlineStr">
        <is>
          <t>Twilio</t>
        </is>
      </c>
      <c r="D4" t="inlineStr">
        <is>
          <t>linkedin</t>
        </is>
      </c>
      <c r="E4" t="inlineStr"/>
      <c r="F4" t="inlineStr"/>
      <c r="G4" t="inlineStr"/>
      <c r="H4" t="inlineStr"/>
      <c r="I4"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**See yourself at Twilio**
 Join the team as Twilio’s next Senior Data Scientist, R\&amp;D.
**About The Job**
 This position is needed to uncover analytical insights that quantify product performance and shape product strategy. Our Data Science and Analytics team seeks to empower R\&amp;D to make data\-backed decisions that accelerate innovation and improve product performance. We work closely with Product Managers to define product metrics and build self\-serve reporting; measure the impact of product releases; and do analyses to shape strategic decisions.
**Responsibilities**
 In this role, you’ll:
* Drive the definition and development of data science solutions to business problem statements from beginning to end: build relationships with partner teams, collect and analyze data, and develop recommendations to inform strategic decisions
* Generate insights and recommendations through exploratory analysis, A/B testing, and statistical modeling
* Work with product managers to design and analyze experiments to measure the impact of new features and develop a data\-driven narrative on how their product is performing for use in monthly reviews
* Collaborate with data producers and consumers during the product development lifecycle to ensure consistent data quality and availability for reporting post launch.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2\+ years of professional experience in an analytics or data science role
* Advanced expertise using SQL to derive insights and in using dashboarding tools like Looker or Tableau to create compelling self\-serve reports for product or business stakeholders
* Intermediate expertise in Python (e.g. pandas, numpy, scikit\-learn) for data manipulation, analysis, and statistical modeling (e.g., clustering, forecasting, or decision trees)
* Familiarity with causal inference techniques such as A/B testing, propensity matching, or synthetic control
* Demonstrated ability to map business problem statements to an appropriate data science technique
* Answer\-first, succinct communication; ability to communicate across technical and non\-technical audiences
**Desired**
* 4\+ years of professional experience in a product\-focused analytics or data science role, with 2\+ years of experience in a B2B SaaS context
* Bachelor’s and Master’s in a quantitative
* Familiarity with machine learning techniques
* Experience with data warehousing and/or ETL processes, including distributed computing technologies such as Hive, Presto, or Spark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$141,520\.00 to $176,900\.00
* Based in New York, New Jersey, Washington State, or California (outside of the San Francisco Bay area): $149,840\.00 to $187,300\.00
* Based in the San Francisco Bay area, California: $166,400\.00 to $208,000\.00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2/28/2026,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5">
      <c r="A5" t="inlineStr">
        <is>
          <t>li-4375139617</t>
        </is>
      </c>
      <c r="B5" t="inlineStr">
        <is>
          <t>Data Scientist</t>
        </is>
      </c>
      <c r="C5" t="inlineStr">
        <is>
          <t>Wiraa</t>
        </is>
      </c>
      <c r="D5" t="inlineStr">
        <is>
          <t>linkedin</t>
        </is>
      </c>
      <c r="E5" t="inlineStr"/>
      <c r="F5" t="inlineStr"/>
      <c r="G5" t="inlineStr"/>
      <c r="H5" t="inlineStr"/>
      <c r="I5" t="inlineStr">
        <is>
          <t>**About The Company**
 Constellation Brands has been a prominent name in the beer, wine, and spirits industry for over 75 years. Known for building admired brands that resonate with consumers worldwide, the company offers a diverse portfolio that includes iconic brands such as Corona and Modelo, alongside innovative offerings like Prisoner Wine Company and High West. With a commitment to quality, craftsmanship, and consumer satisfaction, Constellation Brands continues to lead the industry through strategic growth, innovation, and a passion for creating memorable moments for its customers.
**About The Role**
 The Data Scientist at Constellation Brands will play a crucial role in analyzing complex datasets to uncover actionable insights that inform strategic decision\-making. This position involves developing predictive models, deploying machine learning algorithms, and conducting statistical analysis to understand consumer behavior, market trends, and drivers of growth. The successful candidate will work independently on projects, collaborate with cross\-functional teams, and communicate findings effectively to stakeholders. The role is integral to the data science team focused on understanding consumption patterns, macroeconomic impacts, and marketing effectiveness on the company's brands. Proficiency in Python, R, SQL, and data visualization tools is essential, alongside experience with cloud technologies. This position offers an exciting opportunity to contribute to data\-driven strategies that shape the future of Constellation Brands.
**Qualifications**
* Bachelor’s or Master’s degree in Statistics, Computer Science, Mathematics, Science, or a related field (Master’s preferred)
* 2\-8 years of relevant experience in data science or analytics
* Proficiency in Python, R, SQL, and GitHub
* Experience with data visualization tools such as Tableau, PowerBI, Matplotlib, or ggplot
* Strong understanding of statistical analysis, machine learning models, and data manipulation
* Experience with cloud technologies and data management platforms
* Excellent communication skills, with the ability to present complex findings clearly and effectively
* Ability to work independently and collaboratively in a team environment
* Strong problem\-solving skills and attention to detail
**Responsibilities**
* Analyze complex datasets to identify patterns, trends, and insights that support business objectives
* Develop and implement predictive models and machine learning algorithms to enhance decision\-making processes
* Engage with stakeholders to understand their analytical needs and translate them into technical solutions
* Conduct exploratory data analysis and feature engineering to prepare data for modeling
* Collaborate with cross\-functional teams to integrate data science solutions into business operations
* Present findings and insights in a clear, concise manner tailored to different audiences
* Participate in the development of technical strategies and best practices for data science initiatives
* Ensure the accuracy, quality, and timely delivery of data science projects
* Share knowledge and best practices with team members to foster continuous learning
* Stay updated with industry trends and advancements in data science and analytics technology
**Benefits**
* Product allowance to enjoy Constellation’s products
* Summer hours with half\-days on Fridays
* Tuition reimbursement of up to $10,000 annually for continued education
* Ongoing learning opportunities, mentorship programs, and professional development
* Team\-building events and social meetups
* 160 hours of paid time off and 13 paid holidays
* Comprehensive health benefits including medical, dental, and vision insurance
* Retirement plans such as 401(k)
* Resources and programs supporting physical, mental, and emotional well\-being for employees and their families
 Equal Opportunity
 Constellation Brands is committed to fostering an inclusive and diverse workplace. We provide equal employment opportunities to all individuals regardless of sex, race, color, age, religion, creed, sexual orientation, national origin, citizenship, ancestry, physical or mental disability, medical condition, marital status, gender identity or expression, familial status, military or veteran status, genetic information, pregnancy, childbirth, or related conditions. We believe in creating a respectful environment where everyone can thrive and contribute to our continued success.</t>
        </is>
      </c>
    </row>
    <row r="6">
      <c r="A6" t="inlineStr">
        <is>
          <t>li-4375409839</t>
        </is>
      </c>
      <c r="B6" t="inlineStr">
        <is>
          <t>Data Scientist</t>
        </is>
      </c>
      <c r="C6" t="inlineStr">
        <is>
          <t>DMI</t>
        </is>
      </c>
      <c r="D6" t="inlineStr">
        <is>
          <t>linkedin</t>
        </is>
      </c>
      <c r="E6" t="inlineStr"/>
      <c r="F6" t="inlineStr"/>
      <c r="G6" t="inlineStr">
        <is>
          <t>Rockville, MD</t>
        </is>
      </c>
      <c r="H6" t="inlineStr"/>
      <c r="I6" t="inlineStr">
        <is>
          <t>DMI is a leading provider of digital services and technology solutions, headquartered in Tysons Corner, VA. With a focus on end\-to\-end managed IT services, including managed mobility, cloud, cybersecurity, network operations, and application development, DMI supports public sector agencies and commercial enterprises around the globe. Recognized as a Top Workplace, DMI is committed to delivering secure, efﬁcient, and cost\-effective solutions that drive measurable results. Learn more at www.dminc.com
**About The Opportunity**
 DMI, LLCis seeking a
 **Data Scientist** 
 who will play a critical role in supporting data\-driven decision\-making. This position involves analyzing complex criminal justice datasets and applicable open\-source data (census, demographic datasets, socio economic calculations, etc.) to inform policy development, improve public safety outcomes, and enhance operational efficiency. The position will support analysts and stakeholders in identifying, integrating, and displaying voluminous and disparate data to assist in answering stakeholder questions and needs, identifying trends and patterns, and conducting predictive analysis across a wide range of data types. The ideal candidate will combine technical expertise in data science with a strong understanding of criminal justice systems and government regulations.
**Duties And Responsibilities**
* Data Analysis \&amp; Modeling
+ Conduct advanced statistical analyses to identify crime trends and evaluate risk factors.
+ Conduct predictive modeling to forecast resource needs and identify potential crime hotspots or high\-risk individuals.
+ Assess program effectiveness and policy impact using evidence\-based methodologies.
+ Support agency\-wide projects involving the management of large datasets for investigative support or analysis.
* Data Integration \&amp; Governance
+ Develop and maintain secure data pipelines integrating law enforcement, judicial, and corrections data.
+ Ensure compliance with federal, state, and local data privacy and security regulations (e.g., CJIS standards).
* Reporting \&amp; Visualization
+ Prepare clear, actionable reports and dashboards for agency leadership, policymakers, and stakeholders.
+ Translate technical findings into accessible insights for non\-technical audiences.
* Collaboration \&amp; Research
+ Partner with internal divisions, other government agencies, and research institutions on data initiatives.
+ Contribute to grant proposals and federally funded research projects.
**Qualifications**
**Background Requirements:** 
 Successful completion of a Fingerprint background investigation.
**Citizenship Status Required:** 
 H 1B
**Physical Requirements:** 
 None required for this position.
**Location:** 
 100 Maryland Ave, Rockville, MD 20850
**Working at DMI**
 DMI Is a Diverse, Prosperous, And Rewarding Place To Work. Our Culture Is Shaped By Five Core Values That Guide How We Work, Grow, And Succeed Together
* Do What’s Right – We lead with honesty and integrity.
* Own the Outcome – We take responsibility and deliver.
* Deliver for Our Customers – We are relentless about delivering value.
* Think Bold, Act Smart – We innovate with purpose.
* Win Together – We collaborate and celebrate our success.
 These values aren’t just ideals—they show up in how we support every part of your well\-being:
* Convenience/Concierge – Virtual health visits, commuter perks, pet insurance, and entertainment discounts that make life easier.
* Development – Annual performance reviews, tuition assistance, and internal career growth opportunities to help you thrive.
* Financial – Generous 401(k) matches, life and disability insurance, and financial wellness tools to support your future.
* Recognition – Annual awards, service anniversaries, referral bonuses, and peer\-to\-peer shoutouts that spotlight your achievements.
* Wellness – Healthcare coverage, wellness programs, flu shots, and biometric screenings to support your health.
 DMI values employees for their talents and contributions, and we take pride in helping our customers achieve their goals. Because when we live our values, we all win together.
* No Agencies Please \*\*\*\*\*\*\*\*\*\*\*\*\*\*\*\*\*
 Applicants selected may be subject to a government security investigation and must meet eligibility requirements for access to classified information. US citizenship may be required for some positions.
**Job ID:** 
 2026\-28559</t>
        </is>
      </c>
    </row>
    <row r="7">
      <c r="A7" t="inlineStr">
        <is>
          <t>li-4373120009</t>
        </is>
      </c>
      <c r="B7" t="inlineStr">
        <is>
          <t>Data Scientist (AI/ML, Python)</t>
        </is>
      </c>
      <c r="C7" t="inlineStr">
        <is>
          <t>Synechron</t>
        </is>
      </c>
      <c r="D7" t="inlineStr">
        <is>
          <t>linkedin</t>
        </is>
      </c>
      <c r="E7" t="inlineStr"/>
      <c r="F7" t="inlineStr"/>
      <c r="G7" t="inlineStr">
        <is>
          <t>Alpharetta, GA</t>
        </is>
      </c>
      <c r="H7" t="inlineStr"/>
      <c r="I7"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16,400\+, and has 60 offices in 20 countries within key global markets.
**Our challenge**
 We are looking for an experienced
 **Data Scientist** 
 with expertise in
 **AI/ML, Python,** 
 and
 **advanced analytics** 
 to develop and deploy scalable machine learning solutions. The ideal candidate will lead model development and contribute to AI strategy, driving impactful insights and innovations.
 Additional Information\*
 The base salary for this position will vary based on geography and other factors. In accordance with law, the base salary for this role if filled within Alpharetta, GA is $105k \- $120k/year \&amp; benefits (see below).
**Note:** 
 Face to face interview required in Alpharetta,GA
**The Role**
**Responsibilities:**
* Develop and deploy machine learning models using
 **TensorFlow, PyTorch** 
 , and other frameworks.
* Perform
 **data preprocessing** 
 with tools like
 **Pandas** 
 to prepare large datasets for modeling.
* Implement
 **ML algorithms** 
 for classification, regression, clustering, and recommendation systems.
* Build
 **scalable ML systems** 
 that handle production workloads.
* Integrate models seamlessly into applications via
 **REST APIs** 
 .
* Apply advanced
 **NLP** 
 and
 **deep learning** 
 techniques for language\-based tasks.
* Leverage
 **cloud ML platforms** 
 (AWS SageMaker, Google AI Platform, Azure ML) for training and deployment.
* Conduct
 **statistical modeling** 
 to extract actionable insights and validate model performance.
* Lead and influence
 **AI strategy** 
 to align with business goals.
* Collaborate with cross\-functional teams to translate data insights into business value.
**Requirements:**
* Proven experience in
 **Python** 
 for data science and ML.
* Strong working knowledge of
 **TensorFlow** 
 and
 **PyTorch** 
 .
* Hands\-on experience with
 **ML algorithms** 
 and model tuning.
* Proficiency in
 **data preprocessing** 
 and feature engineering (
 **Pandas** 
 ,
 **NumPy** 
 , etc.).
* Skilled in integrating models with
 **REST APIs** 
 and deploying solutions.
* Deep understanding of
 **NLP** 
 and
 **deep learning** 
 architectures.
* Experience working with
 **cloud ML platforms** 
 for training and deployment.
* Ability to design
 **scalable and production\-ready ML systems** 
 .
* Solid foundation in
 **statistical modeling** 
 and analytics.
* Proven leadership in
 **AI strategy** 
 and projects.
**Preferred Skills** 
* Knowledge of modern
 **software engineering** 
 practices.
* Experience with
 **model monitoring and MLOps** 
 .
* Strong communication skills to articulate technical strategies.
**We offer:**
* A highly competitive compensation and benefits package.
* A multinational organization with 60 offices in 20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8">
      <c r="A8" t="inlineStr">
        <is>
          <t>li-4365336259</t>
        </is>
      </c>
      <c r="B8" t="inlineStr">
        <is>
          <t>Data Scientist</t>
        </is>
      </c>
      <c r="C8" t="inlineStr">
        <is>
          <t>Elder Research</t>
        </is>
      </c>
      <c r="D8" t="inlineStr">
        <is>
          <t>linkedin</t>
        </is>
      </c>
      <c r="E8" t="inlineStr"/>
      <c r="F8" t="inlineStr"/>
      <c r="G8" t="inlineStr">
        <is>
          <t>Fort George G. Meade, MD</t>
        </is>
      </c>
      <c r="H8" t="inlineStr"/>
      <c r="I8" t="inlineStr">
        <is>
          <t>**Job Title:** 
 Data Scientist (U.S. Intelligence Community)
**Location:** 
 Ft. Meade, MD
**Workplace:** 
 On\-site (hands\-on access to high impact data systems needed)
**Clearance Required:** 
 TS/SCI with Polygraph
**Why Join Elder Research** 
* Mission\-Driven Work: Support the U.S. Intelligence Community by building secure, scalable data systems that enable real\-time insights.
* Career Stability: We hire for careers, not contracts—our work is growing
* People\-Focused Culture: We value work\-life balance, collaboration, and professional growth.
* Ownership Mindset: Every employee is a shareholder through our Employee Stock Ownership Plan (ESOP).
* Competitive Pay \&amp; Benefits:
+ Typical salary range: $117k\-$196K, depending on experience and contract labor category
+ 401(k) with employer contribution
+ Health, dental, and vision coverage
+ Paid parental leave and flexible PTO
**Ready to make an Impact?** 
 Message our recruiting team directly at: recruiting@datamininglab.com
**Position Overview**
 We are seeking talented and motivated Data Scientists with expertise in machine learning, statistical analysis, and artificial intelligence to join our team. In these roles, you will be responsible for developing advanced algorithms and data\-driven solutions that address complex challenges.
 These positions will be part of our Defense and Intelligence Business unit serving the Intelligence Community as our primary customer.
**Essential Functions**
 As a Data Scientist, you will:
* Develop and implement machine learning, data mining, statistical, and graph\-based algorithms to analyze large and complex datasets.
* Prototype and evaluate multiple algorithms, selecting the final model based on rigorous performance metrics.
* Design and execute experiments or create models to generate data when training datasets are unavailable.
* Generate reports and visualizations that provide actionable insights and summarize data findings for clients.
* Translate complex data analysis into clear, actionable recommendations.
* Collaborate with subject matter experts to automate manual data analysis processes and integrate analytics into production frameworks.
* Conduct assessments of clients' preparedness to integrate data analytics into their operations, including technical, cultural, and workforce aspects.
* Apply expert knowledge in data science to deliver solutions that address clients' business needs.
* Stay current with emerging tools and techniques in machine learning, statistical modeling, and data analytics to continuously improve the quality of your work.
* This role requires a self\-driven individual capable of working under minimal supervision, with a strong ability to translate raw data into concise and actionable insights. You will work closely with clients, managers, and technical staff to understand business needs and deliver effective, data\-driven solutions that enhance decision\-making and operational effectiveness.
**Requirements**
* A current TS/SCI with Polygraph is required for this role.
* BA/BS in Math, Statistics, Engineering, Computer Science, or related field
* Proficiency with Python and R.
* Experience using large data sets to solve problems.
* Knowledge of and experience with machine learning, data wrangling, advanced statistical data analysis and modeling.
* AWS or Cloud experience.
* Ability to communicate complex models and concepts effectively in non\-technical language.
**Desired Qualifications**
* Bachelors Degree with 4\+ years of relevant experience.
* Masters Degree with 2\+ years of relevant experience.
* PhD. with 1\+ years of relevant experience.
* Familiarity with commercial and open\-source data science software.
* Familiarity with relational databases: Oracle, SQL, and ETL tools.
**Salary And Benefit Information**
 The likely salary range for this position is $117,000\-$196,000\. This is not, however, a guarantee of compensation or salary. Salary will be set based on experience, geographic location and contractual requirements, which could possibly fall outside of this range.
 Elder Research values continuous learning, a supportive work environment, and a healthy work\-life balance. We provide family health, dental, and vision benefits, employer\-paid disability, paid\-time off, and paid parental leave. We offer a 401(k) plan with employer contribution as well as an Employee Stock Option Plan (ESOP). Our employees enjoy reasonable hours, solid pay, low travel, and extremely flexible time off.
**About Elder Research, Inc**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for example,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9">
      <c r="A9" t="inlineStr">
        <is>
          <t>li-4373119365</t>
        </is>
      </c>
      <c r="B9" t="inlineStr">
        <is>
          <t>Data Scientist 2</t>
        </is>
      </c>
      <c r="C9" t="inlineStr">
        <is>
          <t>BioMarin Pharmaceutical Inc.</t>
        </is>
      </c>
      <c r="D9" t="inlineStr">
        <is>
          <t>linkedin</t>
        </is>
      </c>
      <c r="E9" t="inlineStr"/>
      <c r="F9" t="inlineStr"/>
      <c r="G9" t="inlineStr">
        <is>
          <t>Novato, CA</t>
        </is>
      </c>
      <c r="H9" t="inlineStr"/>
      <c r="I9" t="inlineStr">
        <is>
          <t>**About Technical Operations**
 BioMarin’s Technical Operations group is responsible for creating our drugs for use in clinical trials and for scaling production of those drugs for the commercial market. These engineers, technicians, scientists and support staff build and maintain BioMarin’s cutting\-edge manufacturing processes and sites, provide quality assurance and quality control to ensure we meet regulatory standards, and procure the needed goods and services to support manufacturing and coordinating the worldwide movement of our drugs to patients.
 TOPS acts as the critical link between Research \&amp; Development and Commercial Operations, integrating functions such as Technical Development, Manufacturing, Quality, Supply Chain, and Business Operations. Its teams maintain rigorous regulatory, quality, and safety standards while enabling seamless product advancement from development to market.
 The organization operates with a strong culture of learning, continuous improvement, and data driven decision making. Through data integration, analytics, and digital transformation initiatives, TOPS enhances process monitoring, deviation analysis, optimization, and strategic capacity planning, ensuring accurate and actionable technical data to support operational excellence.
**Summary**
 The Data Scientist in Technical Operations (TOPS) plays a critical role in advancing BioMarin’s end\-to\-end product lifecycle by delivering high value Data/AI Solutions across Technical Development, Manufacturing, Engineering, Quality, and Supply Chain functions.
 Data Scientists in TOPS contribute to owning, developing and executing the organization’s Integrated Technical Data Strategy, applying advanced analytics, machine learning, and AI to complex datasets originating from Manufacturing, Quality and Supply Chain systems. They help transform fragmented data into actionable intelligence, extract insights which are otherwise hidden, identify gaps, and drive data maturity roadmap.
 This role blends advanced technical skills in Data Science—covering statistics, Modelling, AI/ML—with deep domain expertise in highly regulated Biotech industry. These should be complemented by soft skills including collaboration, clear communication, presentation skills, enhanced clarity and ability to effectively translate those requirements to solutions . Data Scientists are expected to collaborate across departments, partners with Business SMEs, other Data Scientists/Analysts/Engineers and IT, and lead initiatives that promote a culture focused on decision science with an end\-goal to help TOPS streamline operations, boost data reliability, and speed up decision\-making.
**Responsibilities**
* Identify and frame AI opportunities across Technical Development, Manufacturing, Quality, and Supply Chain; translate ambiguous problems into tractable use cases with measurable outcomes.
* Maintain TOPS Data Science Portfolio of Projects. Participate in Portfolio prioritization, planning, solution design, development, and deployment.
* Lead Projects from start to finish by closely working with stakeholders, leadership and project team. Author business case, design, development and project implementation documents.
* Advance the Integrated Technical Data Strategy by defining roadmaps, value hypotheses, and success metrics that strengthen process robustness, speed, and cost/value realization.
* Acquire and prepare multi\-source technical data (e.g., MES, LIMS, QMS, ELN, SAP, PI), ensuring quality, lineage, and context for AI development at scale.
* Engineer domain\-aware features and reusable data assets that accelerate experimentation for manufacturing, quality, and supply analytics.
* Build and validate ML/AI models for use cases such as process monitoring, anomaly/root\-cause analysis, yield and cycle\-time optimization, and intelligent document processing.
* Develop GenAI solutions (e.g., RAG for SOPs/reports, Semantic search, Q\&amp;A assistants over technical data, workflow copilots) using approved enterprise platforms.
* Operationalize models (MLOps) with reproducible pipelines by closely working with Data Engineering team—data ingestion, training, evaluation, versioning, deployment—and monitor drift, performance, and data quality for continuous improvement.
* Collaborate with IT/Engineering to ensure scalable, secure, and supportable AI services aligned to TOPS environments and platform standards.
* Drive data visualization and decision support with clear narratives and dashboards that communicate model insights to engineers, operators, quality leads, and executives.
* Champion data integrity and documentation (e.g., model cards, validation records) consistent with TOPS quality expectations and regulated biotech practices.
* Educate and enable partners through demos, playbooks, and training that raise data/AI literacy and adoption across TOPS functions.
* Quantify and report value realization (e.g., cost avoidance, OEE improvements, cycle\-time reduction, quality signal detection) and maintain a transparent backlog of AI initiatives.
* Promote “build\-first” evaluations against internal platforms before third\-party tools when requirements are met internally with better agility and cost efficiency.
* Contribute to TOPS AI standards (feature stores, evaluation frameworks, prompt/agent guidelines) and mentor peers to strengthen the data science community of practice.
* Stay current on AI advances (foundation models, time\-series, causal inference, simulation/digital twins) and assess applicability to manufacturing, quality, and supply use cases.
**Qualifications**
 Master’s (minimum) in Data Science, Computer Science, Statistics, or related field; 5\+ years of hands\-on experience delivering Data/AI solutions in an industry setting.
* Advanced SQL and Python for data wrangling, feature engineering, modeling, and automation.
* Experience developing Python based web applications using frameworks such as Dash, Flask, Streamlit. Familiarity with HTML/CSS and TS frameworks (React) is a plus.
* Strong experience working with Databases (Postgres, SQL Server) and Data Platforms (Azure Databricks).
* Proven record of successful end\-to\-end data analysis project management: from problem and requirements definition to data validation and results presentation
* Proficiency with one or more enterprise Business Intelligence technologies (Power BI, Tableau, Spotfire)
* Solid understanding of Data modelling principles and design patterns.
* Proven experience building and operationalizing GenAI pipelines (Chunking, RAG, Vector index) on Databricks (Delta, Unity Catalog, MLflow, Jobs/Workflows, Spark, Lakeflow).
* Working knowledge of Microsoft Azure (storage, compute, identity/governance, Azure OpenAI).
* High level understanding of data engineering pipelines and data quality practices.
* Experience extracting/structuring data from unstructured sources (SOPs, reports, PDFs, ELN entries) using NLP or GenAI.
* Demonstrated experience in biotech/biopharma operations and partnering with SMEs across technical development, manufacturing, quality, or supply.
* Familiarity with Computer System Validation (CSV) documentation practices in regulated environments.
* Strong communication skills supporting collaboration across Technical Development, Manufacturing, Quality, and Supply Chain.
 Note: This description is not intended to be all\-inclusive, or a limitation of the duties of the position. It is intended to describe the general nature of the job that may include other duties as assumed or assigned.
 Equal Opportunity Employer/Veterans/Disabled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Who We Are
 BioMarin is a global biotechnology company that relentlessly pursues bold science to translate genetic discoveries into new medicines that advance the future of human health.
 Since our founding in 1997, we have applied our scientific expertise in understanding the underlying causes of genetic conditions to create transformative medicines, using a number of treatment modalities.
 Using our unparalleled expertise in genetics and molecular biology, we develop medicines for patients with significant unmet medical need. We enlist the best of the best – people with the right technical expertise and a relentless drive to solve real problems – and create an environment that empowers our teams to pursue bold, innovative science. With this distinctive approach to drug discovery, we’ve produced a diverse pipeline of commercial, clinical and preclinical candidates that have well\-understood biology and provide an opportunity to be first\-to\-market or offer a substantial benefit over existing therapeutic options.
 The salary range for this position is: $118,400 to $162,800\. BioMarin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https://careers.biomarin.com/benefits.
* Eligible employees may participate in benefit plans, subject to the terms and conditions of the applicable plans.</t>
        </is>
      </c>
    </row>
    <row r="10">
      <c r="A10" t="inlineStr">
        <is>
          <t>li-4374047882</t>
        </is>
      </c>
      <c r="B10" t="inlineStr">
        <is>
          <t>Senior Data Scientist, Avail</t>
        </is>
      </c>
      <c r="C10" t="inlineStr">
        <is>
          <t>Realtor.com</t>
        </is>
      </c>
      <c r="D10" t="inlineStr">
        <is>
          <t>linkedin</t>
        </is>
      </c>
      <c r="E10" t="inlineStr"/>
      <c r="F10" t="inlineStr"/>
      <c r="G10" t="inlineStr">
        <is>
          <t>Scottsdale, AZ</t>
        </is>
      </c>
      <c r="H10" t="inlineStr"/>
      <c r="I10"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Realtor.com is a two\-sided platform helping match the consumers on our site and apps to our paying customers. The Data Science \&amp; Analytics team at Realtor.com provides trusted data and insights to optimize every aspect of consumer/customer experience and to drive the company’s commercial performance.
 Avail (part of Realtor.com) is a fast\-growing platform transforming how independent landlords and tenants manage the rental experience. Built with the spirit of a startup and backed by the scale and stability of a leading digital real estate company, Avail provides a complete suite of tools, resources, and education to help landlords manage their properties with confidence and professionalism. As part of the Avail team, you’ll have the opportunity to make a meaningful impact – shaping the future of this rapidly expanding brand and helping to reimagine the rental industry for millions across the U.S.
**Role Description** 
 We are seeking a Senior Data Scientist with a strong background in machine learning, experimentation, strategic analytics, and cross\-functional stakeholder support to help shape the future of our Data Science program at Avail. As a trusted partner to the Avail leadership team, you will be the vital link between complex data and pivotal business moves, striving to enable and empower data\-driven decision making across the business.
 In this role, you will analyze large and complex data sets, conduct robust analyses, generate actionable insights, and deliver clear recommendations that inform critical decisions across strategy, product, marketing, and operations.
 The ideal candidate is a detail\-oriented data science expert, a self\-starter comfortable with ambiguity, and a team player who excels in cross\-functional collaborations, with the ability to work in a fast\-paced environment and driven by a desire to make things better.
**What you’ll do:** 
* Partner closely with Avail business stakeholders to understand/clarify needs and requirements, and translate them into data science problems.
* If the required data is not available, work with the team to identify the right data sources, and build analytical data layers in collaboration with the data engineering partner.
* Independently conduct end\-to\-end data science work from data collection, ETL, model development/analysis, to the delivery of insights and recommendations.
* Serve as Avail’s Data Science expert and own experimental design and advanced statistical analysis best practices; provide consultation and collaborate closely with colleagues conducting research/experiments in product, marketing and beyond.
* Document methodologies, assumptions, and recommendations clearly for both technical and non\-technical audiences.
* Build and grow adoption of self\-service solutions that empower stakeholders to access data and insights, and hence accelerate data\-driven decision making.
* Work with Avail leadership team on strategic initiatives and planning, providing analytical support on financial modeling, forecast, opportunity sizing, and so on.
* Foster a culture of accountability and transparency by ensuring reproducibility, traceability, and clear code documentation in all analytics work.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**What you’ll bring:** 
* Bachelor’s degree in a quantitative field (
 *e.g.* 
 , Statistics, Data Science, Applied Mathematics, Economics, Engineering, Computer Science).
* 6\+ years of relevant experience as a Data Scientist, Data Analyst, Product Analyst, or similar role, using SQL and Python (pandas, numpy, scipy).
* SQL \&amp; Python proficiency is a must, with 6\+ years of experience.
* Strong capability to work with complex data sets and perform EDA, descriptive, diagnostic, and predictive analyses.
* Sound understanding of statistical methods for experimentation (randomization, t\-tests, confidence intervals, etc.).
* Experience with cloud\-based data environments such as Snowflake and AWS.
* Proven experience using data science to drive revenue and other business KPIs, and doing so in a proactive manner by actively seeking to identify opportunities.
* Excellent written and verbal communication skills, with experience presenting to diverse technical and business audiences at different levels.
* Experience in collaborating with cross\-functional partners.
* Self\-motivated and self\-managing, with strong time management, documentation, and organizational skills.
**Preferred Qualifications** 
* Master's or Ph.D. degree in a quantitative field (
 *e.g.* 
 , Statistics, Data Science, Applied Mathematics, Economics, Engineering, Computer Science).
* Experience creating business intelligence reports using Tableau, Mixpanel, Power BI, or similar tools.
* Familiarity with revenue or monetization analytics.
* Experience in the tech sector, especially marketplace or property tech.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11">
      <c r="A11" t="inlineStr">
        <is>
          <t>li-4375184197</t>
        </is>
      </c>
      <c r="B11" t="inlineStr">
        <is>
          <t>Data Scientist</t>
        </is>
      </c>
      <c r="C11" t="inlineStr">
        <is>
          <t>U.S. Secret Service</t>
        </is>
      </c>
      <c r="D11" t="inlineStr">
        <is>
          <t>linkedin</t>
        </is>
      </c>
      <c r="E11" t="inlineStr"/>
      <c r="F11" t="inlineStr"/>
      <c r="G11" t="inlineStr">
        <is>
          <t>Washington, DC</t>
        </is>
      </c>
      <c r="H11" t="inlineStr"/>
      <c r="I11" t="inlineStr">
        <is>
          <t>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$102,415\.00, GS\-12, step 1, with promotion potential to $158,322\.00, GS\-13 step 10\.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to a drug test prior to your appointment and random drug testing while you occupy the position.
* Submit a credit check after a conditional offer of employment has been accepted.
**Required**
 As a condition of employment for accepting this position, you will be required to serve a 1\-year probationary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your employment will be terminated unless you receive certification, in writing, that your continued employment advances the public interest.</t>
        </is>
      </c>
    </row>
    <row r="12">
      <c r="A12" t="inlineStr">
        <is>
          <t>li-4375193795</t>
        </is>
      </c>
      <c r="B12" t="inlineStr">
        <is>
          <t>Lead Data Scientist</t>
        </is>
      </c>
      <c r="C12" t="inlineStr">
        <is>
          <t>ESPO Corporation</t>
        </is>
      </c>
      <c r="D12" t="inlineStr">
        <is>
          <t>linkedin</t>
        </is>
      </c>
      <c r="E12" t="inlineStr"/>
      <c r="F12" t="inlineStr"/>
      <c r="G12" t="inlineStr">
        <is>
          <t>Houston, TX</t>
        </is>
      </c>
      <c r="H12" t="inlineStr"/>
      <c r="I12" t="inlineStr">
        <is>
          <t>**Job Title: Lead Data Scientist**
**Location: Houston, TX**
**Duration: Direct Hire/Permanent position**
**Salary: $125k \- $140k DOE**
**MINIMUM QUALIFICATIONS**
**Education:** 
 Bachelor's degree in science, engineering, computer science, mathematics, statistics, or related STEM field required.
 **Master's Degree in Data Science preferred.**
**Licenses/Certifications:** 
 (None)
**Experience / Knowledge / Skills:**
* Seven
 **(7\) years** 
 of experience in data science is
 **required**
* Professional experience in
 **a hospital setting, medical informatics, healthcare information technology/finance/revenue cycle data management, or Electronic Health Record (EHR) data management is preferred**
* Business analytical skills (process flows, procedures, spreadsheets, modeling, etc.), technical expertise, mathematical skills and good understanding of design and architecture principles are required
* Possesses deep understanding of a variety of machine learning techniques (clustering, decision tree learning, artificial neural networks, etc.) and their real\-world advantages/drawbacks
* Proficient understanding of advanced statistical techniques and concepts (regression, properties of distributions, statistical tests and proper usage, etc.) and experience with applications
* Ability to communicate, gather requirements and execute storytelling with data
* Possesses
 **advanced level knowledge of the data science project life cycle**
* Proficient programming skills in addition to a working knowledge and experience of statistical analysis tools
* Demonstrates proficiency in problem solving, analytical reasoning and decision\-making skills
* Demonstrates proficiency in identifying and seeking needed information to perform problem/situation analysis
* Advanced level of understanding and experience in researching and resolving data issues with a logical, instinctive, and problem\-solving mentality working with large, complex and incomplete sources
* Exhibits strong project management skills, with an ability to work independently on multiple projects with competing priorities and a strong commitment to meeting goals and deadlines
* Advanced understanding of SQL database management tools
* Exceptional analytical skills and ability to understand and interpret results based on advanced statistical techniques
* Strong written and verbal communication skills in IT and business environments; ability to communicate to technical and non\-technical audiences
* Ability to work under minimal supervision in a fast\-paced multidisciplinary environment
* Advanced knowledge of data science methods \- time series forecasting, linear regression, A/B testing, statistical testing, Clustering, etc.
* Superior customer service in the form of first\-rate work products and project management
* Strong ability to manage challenging client situations
* Strong ability to troubleshoot and recommend solutions
* Strong ability to translate complex information for a wide range of stakeholders
**PRINCIPAL ACCOUNTABILITIES**
* Leads high priority projects that impact the organization.
* Leads complex issues and problems, and refers more complex issues to higher\-level staff.
* Provides technical supervision/mentoring to other data scientists and trains the broader audience on data science developments.
* Provides leadership, coaching, and/or mentoring to subordinate group.
* Develops custom data models and algorithms to apply to data sets.
* Develops and applies algorithms or models to key business metrics with the goal of improving operations or answering business questions. Provides findings and analysis for use in decision making.
* Performs research, analysis, and modeling on organizational data.
* Maintains existing models and evaluates their goodness of fit.
* Provides in\-depth data insights from structured and unstructured data for complex business problems through use of advanced analytics techniques, predictive modeling, data mining/visualization and pattern analysis tools.
* Develops and tests hypotheses and communicates findings in clear, precise and actionable manner to project and leadership teams.
* Works closely with teams to identify, understand, and resolve data issues and improve efficiency, productivity and scalability of data processes.
* Assists with the evaluation of data science vendors and tools.
* Ensures safe care to patients, staff and visitors; adheres to all Client policies, procedures, and standards within budgetary specifications including time management, supply management, productivity and quality of service.
*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 Demonstrates commitment to caring for every member of our community by creating compassionate and personalized experiences. Models Client's service standards by providing safe, caring, personalized and efficient experiences to patients and colleagues.
**ESPO Corporation**
**www.espocorp.com**
****630\-789\-2525****
**View all open jobs at www.espocorp.com/jobs**
**Leaders in Technical Recruiting \&amp; Staffing since 1965**
 ESPO has a comprehensive benefits package which includes PTO, Group Health and Dental Insurance, and 401k after you have satisfied the necessary waiting periods.
 We are an Equal Opportunity Employer and value the benefits of diversity in our workforce.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get in touch with us directly.</t>
        </is>
      </c>
    </row>
    <row r="13">
      <c r="A13" t="inlineStr">
        <is>
          <t>li-4375193042</t>
        </is>
      </c>
      <c r="B13" t="inlineStr">
        <is>
          <t>Data Scientist</t>
        </is>
      </c>
      <c r="C13" t="inlineStr">
        <is>
          <t>U.S. Secret Service</t>
        </is>
      </c>
      <c r="D13" t="inlineStr">
        <is>
          <t>linkedin</t>
        </is>
      </c>
      <c r="E13" t="inlineStr"/>
      <c r="F13" t="inlineStr"/>
      <c r="G13" t="inlineStr">
        <is>
          <t>Washington, DC</t>
        </is>
      </c>
      <c r="H13" t="inlineStr"/>
      <c r="I13" t="inlineStr">
        <is>
          <t>Joining the Secret Service, Office of Strategy, Planning, and Innovation will allow you to apply data science and related information management principles to promote effective data use for informed decision\-making, and to drive positive transformation in programs and organizational units with advanced analytic, modeling, and evaluation support.
 The selectee will serve as a Data Scientist in the Office of Strategy, Planning, and Innovation. Typical work assignments include:
* Analyzes and evaluates the effectiveness of data science projects, models, and Operations; and collaborates with interdisciplinary teams to develop data tags and electronic records metadata, products, and definitions.
* Leads the creation and implementation of statistically valid data collection tools and systems and analyzes agency operations to define data and reporting requirements.
* Collaborates with intra\-agency partners to build and maintain data models, reporting systems, automation, and dashboards using multiple data sources, demonstrating expertise in at least two areas such as cloud platforms, generative Artificial Intelligence (AI), programming, Machine Learning Operations (MLOps), or relevant certifications.
* Translates complex concepts, findings, and limitations into clear, audience\-specific language, and develops presentations and interpretations of analytical results\-utilizing interactivity and storytelling as needed\-to make specialized data more understandable for senior agency officials.
* Presents analytical findings to policymakers and non\-technical audiences, responds to questions with precision and tact, and provides guidance and recommendations to senior officials on advanced projects while resolving critical issues efficiently.
 Apply for this exciting opportunity to enhance the effectiveness and efficiency with which the Secret Service fulfills its assigned functions and responsibilities. This Data Scientist position starts at a salary of $121,785\.00, GS\-13 step 1, with potential to $158,322\.00 GS\-13 step 10\.
**Conditions of employment**
* U.S. Citizenship is required.
* Males born after 12/31/1959 must be registered for Selective Service
 If selected for this position, you will be required to:
* Obtain and maintain a Top\-Secret Tier 5 clearance. For more information visit OPM Mythbuster Page.
* Submit a credit check after a conditional offer of employment has been accepted.
* Submit to a drug test prior to your appointment and random drug testing while you occupy the position.
**Required**
 As a condition of employment for accepting this position, you may be required to serve a 1\-year probationary period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probationary period or trial period your employment will be terminated unless you receive certification, in writing, that your continued employment advances the public interest.</t>
        </is>
      </c>
    </row>
    <row r="14">
      <c r="A14" t="inlineStr">
        <is>
          <t>li-4375185183</t>
        </is>
      </c>
      <c r="B14" t="inlineStr">
        <is>
          <t>Data Scientist</t>
        </is>
      </c>
      <c r="C14" t="inlineStr">
        <is>
          <t>Michigan Medicine</t>
        </is>
      </c>
      <c r="D14" t="inlineStr">
        <is>
          <t>linkedin</t>
        </is>
      </c>
      <c r="E14" t="inlineStr"/>
      <c r="F14" t="inlineStr"/>
      <c r="G14" t="inlineStr">
        <is>
          <t>Ann Arbor, MI</t>
        </is>
      </c>
      <c r="H14" t="inlineStr"/>
      <c r="I14"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Support for BMC2 is provided by Blue Cross and Blue Shield of Michigan and Blue Care Network as part of the BCBSM Value Partnerships Program.
 We seek a Data Architect Lead (Data Scientist) to drive the design and optimization of our registrys data infrastructure, analytics, and reporting capabilities. This is a unique opportunity to blend data science, architecture, and biomedical expertise in a collaborative and mission\-driven environment.
 Under limited direction, the Data Scientist will design and construct relational databases for data warehousing of the new BMC2 Heart Failure Registry. This role will develop data modeling and is responsible for data acquisition; access analysis and design; and archive, recovery, and load strategy design. Working with the BMC2 senior programming team, the Data Scientist will be responsible for designing and deploying a new model for data flow and ensuring its alignment with overarching quality goals.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Designs and leads development of the data model and infrastructure, with a focus on scalable, secure, and interoperable solutions.
* Designs advanced workflows for extracting, transforming, and loading (ETL) clinical data utilizing FHIR protocols?to capture core clinical variables across heterogeneous EHR systems.
* Ensures seamless integration of new data sources with existing warehouse structures and optimizes data pipelines for high performance and functionality.
* Establishes rigorous processes for data acquisition, validation, integration, and storage from multiple sites, ensuring data harmonization across varied clinical systems.
* Applies sophisticated machine learning and predictive analytics methods to generate actionable insights and support population health management.
* Plan, conduct and supervise assignments involving multiple or one project.
* Review progress and evaluate results. Schedule and supervise project work. Evaluate progress and results and recommend changes in procedures as needed.
* Exercise authority to make independent decisions on matters of significance, free from immediate direction, within the scope of their responsibilities.
 Required Qualifications\*
* Masters or PhD in Computer Science, Data Science, Statistics, or related field or equivalent professional experience.
* 5\-8 experience in managing data from complex, relational databases, preferably within the healthcare environment.
* Proven expertise in extracting, transforming, and harmonizing EHR data using APIs specifically utilizing FHIR standards and other healthcare interoperability protocols.
* Significant familiarity with healthcare data standards (HL7, FHIR, ICD/LOINC codes, REDCap, Epic/Clarity preferred).
* Demonstrated knowledge of HIPAA, security, and regulatory requirements.
* Experience with Git\-based version control workflows.
* Familiarity with Linux\-based server environments.
* Ability to work independently, prioritize work effectively, and make sound technical decisions.
* Effective written and verbal communication skills that bridge various stakeholders to establish trusting relationships.
* Balance long\-term architectural thinking with practical, delivery\-focused execution.
* Demonstrated growth mindset to actively seek opportunities to learn, adapt, and apply new skills and knowledge to enhance team and personal performance.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15">
      <c r="A15" t="inlineStr">
        <is>
          <t>li-4374008705</t>
        </is>
      </c>
      <c r="B15" t="inlineStr">
        <is>
          <t>Business Data Scientist, Ads Revenue</t>
        </is>
      </c>
      <c r="C15" t="inlineStr">
        <is>
          <t>Google</t>
        </is>
      </c>
      <c r="D15" t="inlineStr">
        <is>
          <t>linkedin</t>
        </is>
      </c>
      <c r="E15" t="inlineStr"/>
      <c r="F15" t="inlineStr"/>
      <c r="G15" t="inlineStr">
        <is>
          <t>Chicago, IL</t>
        </is>
      </c>
      <c r="H15" t="inlineStr"/>
      <c r="I15" t="inlineStr">
        <is>
          <t>Note: By applying to this position you will have an opportunity to share your preferred working location from the following:
 **Mountain View, CA, USA; Chicago, IL,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**Preferred qualifications:**
* 4 years of experience using analytics to solve product or business problems, coding (e.g., Python, R, SQL), querying databases or statistical analysis, or a relevant PhD degree.
* Experience with financial and statistical modeling, with a proven track record of applying AI/ML frameworks to solve complex forecasting, resource allocation, and project viability challenges.
* Experience with SQL to create data architecture, along with using Python or R for building automated data products.
* Experience with optimization libraries and version control best practices.
* Strong communication skills, enabling partnership with executive leadership to drive business judgment and influence organizational strategy.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Our team is behind the GBO Finance organization. We bring an aligned perspective from across regions and functions that helps to shape the strategic direction for the Global Business Organisation. We also own core business finance operations for GBO and are always seeking opportunities to standardize, automate and find scale so that we can have the most impact for the Ads business.
 This role is within the business pillar of the GBO Central Finance team. Broadly, this team is responsible for business forecast and goal setting for the Ads business, along with managing key business\-related processes.
 The Business Operations and Strategy team at Google plays a critical role in defining and driving strategic, operational and organizational improvements across the company. Also known as "BizOps", the group operates like an internal consulting group working on a range of critical projects and issues. BizOps creates strategies for promoting growth of our products like YouTube, Chrome and Mobile. They handle issues around partner development, strategy work in emerging markets such as Africa and India, as well as pricing strategies across our B2B and consumer products. The BizOps team is at the forefront of Google's fast\-moving strategic priorities, addressing operational challenges and enabling innovation.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AI/ML to solve business problems at scale. Familiar with advanced models in forecasting and optimization.
* Focus on forecasting, financial modeling, building and maintaining models to assess project viability and expected returns, and guiding resource allocation.
* Build scalable solutions to optimize financial processes. Analyze workflows, pinpoint bottlenecks, and develop statistical models to enhance the efficiency of existing processes while minimizing manual effort. Leverage technology and automation to improve productivity and reduce the risk of errors.
* Develop data solutions that provide clear insights, enabling users to make informed decisions and work more efficiently. Analyze financial results and performance metrics to inform decision\-making at both operational and strategic levels.
* Implement best practices for reporting, dashboards, and data visualization to effectively communicate financial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
      <c r="A16" t="inlineStr">
        <is>
          <t>li-4375185019</t>
        </is>
      </c>
      <c r="B16" t="inlineStr">
        <is>
          <t>Senior Data Scientist</t>
        </is>
      </c>
      <c r="C16" t="inlineStr">
        <is>
          <t>Deep Sync</t>
        </is>
      </c>
      <c r="D16" t="inlineStr">
        <is>
          <t>linkedin</t>
        </is>
      </c>
      <c r="E16" t="inlineStr"/>
      <c r="F16" t="inlineStr"/>
      <c r="G16" t="inlineStr">
        <is>
          <t>Kirkland, WA</t>
        </is>
      </c>
      <c r="H16" t="inlineStr"/>
      <c r="I16" t="inlineStr">
        <is>
          <t>**Description**
**Deep Sync** 
 is the industry leader in deterministic identity. Leveraging our 35\-year foundation of compiling direct mail\-grade datasets, Deep Sync develops data\-first technologies that power marketing, measurement, AI, and business intelligence for agencies and brands with our fully deterministic identity graph, privacy\-first audiences, comprehensive data solutions, and integrations with leading platforms and cloud providers.
 We are seeking a
 **Senior Data Scientist** 
 to drive advanced analytics, machine learning, and data\-driven decision\-making across the organization. In this role, you will work closely with engineering, product, and business stakeholders to design, build, and deploy models that solve real\-world problems at scale. You will be expected to operate as both a
 **hands\-on practitioner** 
 and a
 **technical leader** 
 , owning projects end\-to\-end—from problem formulation and data exploration to model deployment and impact measurement.
**Responsibilities**
* Partner with product, engineering, and business teams to translate ambiguous problems into data science solutions
* Design, develop, and deploy statistical models and machine learning algorithms in production environments
* Perform exploratory data analysis (EDA) to uncover trends, patterns, and actionable insights
* Build and evaluate predictive, classification, clustering, and/or recommendation models for identity resolution and audience segmentation
* Analyze large, complex datasets to extract actionable intelligence and drive data\-informed decision making
* Build and optimize data pipelines (ETL) to support machine learning models in production
* Define success metrics and measure model and business impact over time
* Communicate findings clearly to both technical and non\-technical audiences
* Collaborate with data engineers on data pipelines, feature engineering, and scalable model deployment
* Mentor junior data scientists and contribute to data science best practices
* Influence data strategy, tooling, and model governance across teams
**Requirements**
* 5\+ years of experience in data science, applied statistics, or machine learning
* Master’s or PhD in Computer Science, Physics, Mathematics or related quantitative field
* Strong proficiency in Python (e.g., pandas, NumPy, scikit\-learn)
* Experience with SQL and working with large, complex datasets
* Solid understanding of statistics, probability, and experimental design
* Hands\-on experience deploying models into production environments
* Ability to clearly explain complex analyses and results to diverse stakeholders
**Knowledge And Skills**
* Experience with cloud platforms (AWS, Azure, or GCP)
* Familiarity with big data technologies (Spark, EMR, Databricks, etc.)
* Experience with deep learning frameworks (TensorFlow, PyTorch)
* Background in A/B testing, causal inference, or experimentation platforms
* Exposure to MLOps practices (model versioning, monitoring, CI/CD)
* Experience with identity resolution, customer segmentation, or marketing analytics
* Prior experience mentoring or leading data science initiatives
* Knowledge of data privacy regulations (GDPR, CCPA) and experience handling PII data securely
* Understanding of privacy\-preserving machine learning techniques and anonymization methods
**Benefits**
* Flexible Time Off and Paid Holidays
* Medical/Vision/Dental Insurance, Voluntary Life \&amp; AD\&amp;D Insurance, Short\-Term \&amp; Long\-Term Disability, Critical Illness \&amp; Accident Insurance
* 401(k) with employer matching
* Hybrid with flexible work schedule
**Location:**
 Kirkland, WA (First 6 months in\-office; hybrid schedule available thereafter—typically remote on Mondays and Fridays, with Tuesday–Thursday in\-office, subject to manager’s discretion).
*Registered to do business and willing to consider fully remote candidates in the following states; California, Colorado, Florida, Georgia, Missouri, New York, Oregon, South Carolina, Tennessee, Texas, and Washington.*
**Work Authorization:** 
*Applicants must be authorized to work for ANY employer in the U.S. We are unable to sponsor or take over sponsorship of an employment Visa at this time.*
**Equal Opportunity Employer:** 
*Deep Sync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**Please Contact:** 
 Human Resources \| hr@deepsync.com</t>
        </is>
      </c>
    </row>
    <row r="17">
      <c r="A17" t="inlineStr">
        <is>
          <t>li-4375403492</t>
        </is>
      </c>
      <c r="B17" t="inlineStr">
        <is>
          <t>Senior Data Scientist</t>
        </is>
      </c>
      <c r="C17" t="inlineStr">
        <is>
          <t>ICON Consultants, LP</t>
        </is>
      </c>
      <c r="D17" t="inlineStr">
        <is>
          <t>linkedin</t>
        </is>
      </c>
      <c r="E17" t="inlineStr"/>
      <c r="F17" t="inlineStr"/>
      <c r="G17" t="inlineStr"/>
      <c r="H17" t="inlineStr"/>
      <c r="I17" t="inlineStr">
        <is>
          <t>Job Type: Direct Hire
 Compensation: $130,000 – $200,000
 Work Model: Hybrid (2 days onsite / 3 days remote)
 Work Authorization: Must be authorized to work in the U.S. (No sponsorship available)
 About the Opportunity
 We are working with a cutting\-edge technology company building large\-scale AI systems focused on time series and multimodal foundation models. This team is developing self\-supervised models that learn from sequential sensor data, text, and vision inputs to power real\-world applications such as anomaly detection, predictive maintenance, forecasting, classification, and multimodal sensor fusion across industrial and scientific domains.
 If you enjoy solving complex modeling challenges, working with noisy real\-world sensor data, and training large models at scale, this is a high\-impact opportunity.
 What You’ll Be Doing
* Build, train, and deploy large\-scale self\-supervised foundation models for time series and multimodal data
* Develop deep learning architectures for sequential and sensor\-based applications
* Design robust pipelines for ingesting, cleaning, aligning, and processing large\-scale multi\-sensor datasets
* Implement contrastive learning, masked modeling, temporal predictive coding, and multimodal fusion strategies
* Lead distributed model training across multi\-GPU and multi\-node environments
* Optimize performance using mixed precision and memory\-efficient training techniques
* Collaborate cross\-functionally with engineering, product, and domain experts
* Clearly communicate model performance, interpretability, and business impact
 What We’re Looking For
 Technical Expertise
* Strong experience with time series and sequential data (univariate and multivariate)
* Experience working with real\-world sensor data (accelerometer, vibration, temperature, audio, image, etc.)
* Proficiency in Python (NumPy, SciPy, Pandas)
* Experience with PyTorch, TensorFlow/Keras, or JAX
* Hands\-on experience with Transformers, RNN/LSTM/GRU, TCNs, CNNs, or multimodal architectures
* Experience training models at scale (multi\-GPU, distributed environments)
 Nice to Have
* Self\-supervised or semi\-supervised learning experience
* Foundation model development
* Signal processing background (Fourier, wavelets, filtering techniques)
* C\+\+/CUDA experience for performance optimization
* Experience in industrial, IoT, medical, or scientific environments
 Education \&amp; Experience
* MS or Ph.D. in Computer Science, Data Science, AI, or related field
* 4\+ years of relevant experience in machine learning, AI, or applied data science</t>
        </is>
      </c>
    </row>
    <row r="18">
      <c r="A18" t="inlineStr">
        <is>
          <t>li-4374007714</t>
        </is>
      </c>
      <c r="B18" t="inlineStr">
        <is>
          <t>Business Data Scientist, Ads Revenue</t>
        </is>
      </c>
      <c r="C18" t="inlineStr">
        <is>
          <t>Google</t>
        </is>
      </c>
      <c r="D18" t="inlineStr">
        <is>
          <t>linkedin</t>
        </is>
      </c>
      <c r="E18" t="inlineStr"/>
      <c r="F18" t="inlineStr"/>
      <c r="G18" t="inlineStr">
        <is>
          <t>Mountain View, CA</t>
        </is>
      </c>
      <c r="H18" t="inlineStr"/>
      <c r="I18" t="inlineStr">
        <is>
          <t>Note: By applying to this position you will have an opportunity to share your preferred working location from the following:
 **Mountain View, CA, USA; Chicago, IL, USA** 
 .
 **Minimum qualifications:**
* Master's degree in a quantitative discipline such as Statistics, Engineering, Sciences, or equivalent practical experience.
* 3 years of experience using analytics to solve product or business problems, coding (e.g., Python, R, SQL), querying databases or statistical analysis, or a relevant PhD degree.
**Preferred qualifications:**
* 4 years of experience using analytics to solve product or business problems, coding (e.g., Python, R, SQL), querying databases or statistical analysis, or a relevant PhD degree.
* Experience with financial and statistical modeling, with a proven track record of applying AI/ML frameworks to solve complex forecasting, resource allocation, and project viability challenges.
* Experience with SQL to create data architecture, along with using Python or R for building automated data products.
* Experience with optimization libraries and version control best practices.
* Strong communication skills, enabling partnership with executive leadership to drive business judgment and influence organizational strategy.
**About The Job**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Our team is behind the GBO Finance organization. We bring an aligned perspective from across regions and functions that helps to shape the strategic direction for the Global Business Organisation. We also own core business finance operations for GBO and are always seeking opportunities to standardize, automate and find scale so that we can have the most impact for the Ads business.
 This role is within the business pillar of the GBO Central Finance team. Broadly, this team is responsible for business forecast and goal setting for the Ads business, along with managing key business\-related processes.
 The Business Operations and Strategy team at Google plays a critical role in defining and driving strategic, operational and organizational improvements across the company. Also known as "BizOps", the group operates like an internal consulting group working on a range of critical projects and issues. BizOps creates strategies for promoting growth of our products like YouTube, Chrome and Mobile. They handle issues around partner development, strategy work in emerging markets such as Africa and India, as well as pricing strategies across our B2B and consumer products. The BizOps team is at the forefront of Google's fast\-moving strategic priorities, addressing operational challenges and enabling innovation.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AI/ML to solve business problems at scale. Familiar with advanced models in forecasting and optimization.
* Focus on forecasting, financial modeling, building and maintaining models to assess project viability and expected returns, and guiding resource allocation.
* Build scalable solutions to optimize financial processes. Analyze workflows, pinpoint bottlenecks, and develop statistical models to enhance the efficiency of existing processes while minimizing manual effort. Leverage technology and automation to improve productivity and reduce the risk of errors.
* Develop data solutions that provide clear insights, enabling users to make informed decisions and work more efficiently. Analyze financial results and performance metrics to inform decision\-making at both operational and strategic levels.
* Implement best practices for reporting, dashboards, and data visualization to effectively communicate financial information.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
      <c r="A19" t="inlineStr">
        <is>
          <t>li-4375407096</t>
        </is>
      </c>
      <c r="B19" t="inlineStr">
        <is>
          <t>Lead Data Scientist</t>
        </is>
      </c>
      <c r="C19" t="inlineStr">
        <is>
          <t>ConSol Partners</t>
        </is>
      </c>
      <c r="D19" t="inlineStr">
        <is>
          <t>linkedin</t>
        </is>
      </c>
      <c r="E19" t="inlineStr"/>
      <c r="F19" t="inlineStr"/>
      <c r="G19" t="inlineStr">
        <is>
          <t>Austin, TX</t>
        </is>
      </c>
      <c r="H19" t="inlineStr"/>
      <c r="I19" t="inlineStr">
        <is>
          <t>**Lead Data Scientist** 
**Direct Hire W2** 
**Onsite \- Austin 78759** 
 Robotics company looking for someone to join their analytics team.
 Requirements
* Experience leading analytics for large\-scale or highly complex technology products
* **Strong foundation in statistics** 
 , including experimental design, causal inference, and decision\-making under uncertainty
* **Advanced proficiency in Python and SQL** 
 , with the ability to independently design experiments, perform deep analyses, and build production\-quality data pipelines
* **Technical leadership experience** 
 — mentoring analysts, elevating standards, and influencing cross\-functional decisions
 Nice to Have
* MS or PhD in Statistics, Applied Statistics, Biostatistics, Econometrics, or another rigorous quantitative field
* Experience with the modern data stack and data engineering workflows
* Background in autonomy, robotics, or other technically intensive domains
 Here are the main details:
* 100% company\-paid medical, dental and vision coverage
* 20% Bonus \+ 401k</t>
        </is>
      </c>
    </row>
    <row r="20">
      <c r="A20" t="inlineStr">
        <is>
          <t>li-4374031935</t>
        </is>
      </c>
      <c r="B20" t="inlineStr">
        <is>
          <t>Data Scientist II</t>
        </is>
      </c>
      <c r="C20" t="inlineStr">
        <is>
          <t>Master Electronics</t>
        </is>
      </c>
      <c r="D20" t="inlineStr">
        <is>
          <t>linkedin</t>
        </is>
      </c>
      <c r="E20" t="inlineStr"/>
      <c r="F20" t="inlineStr"/>
      <c r="G20" t="inlineStr">
        <is>
          <t>Phoenix, AZ</t>
        </is>
      </c>
      <c r="H20" t="inlineStr"/>
      <c r="I20" t="inlineStr">
        <is>
          <t>**To be a family that uses our collective superpowers to do significant good.**
**Master Electronics** 
 has an exciting career opportunity for a
 **Data Scientist II** 
 .
 As a
 **Data Scientist** 
 , you’ll be a key contributor in designing, building, and evaluating data\-driven decision systems, with a strong emphasis on experimentation, causal analysis, and AI/LLM\-powered applications that directly influence product and business outcomes. This mid\-level position sits between our senior scientists and junior analysts, ideal for someone with experience in owning experiments end\-to\-end, shipping decision\-support systems, and productionizing LLM and agent\-based workflows.
**What you will do?**
**Key Responsibilities**
* Translate business problems into ML solutions; build models for prediction, classification or recommendation; implement feature engineering, model training, hyperparameter tuning, evaluation and deployment.
* Design and productionize AI and generative\-AI solutions, including prompt engineering, retrieval\-augmented generation, and multi\-agent orchestration.
* Create intelligent agents or tool\-using workflows that automate decisions and enhance customer experiences.
* Develop scalable data pipelines; Integrate experimentation and AI systems with modern data and MLOps platforms (e.g., Databricks, Mlflow), establish CI/CD pipelines, version control, testing and monitoring to ensure model quality and reliability.
* Partner with software engineers, data engineers, product managers and subject\-matter experts; present insights and recommendations to technical and non\-technical stakeholders; translate complex analyses into clear narratives.
* Research and apply emerging AI/ML techniques (generative AI, deep learning, agentic systems); contribute to improving team standards and mentoring junior team members.
**What you bring to the table!**
**Required Qualifications**
* 3\-5 years of professional experience as a data scientist or ML engineer; proven record of building and deploying ML models in production.
* Master’s degree in computer science, Statistics, Mathematics, Engineering, Operations Research or a related quantitative field or Bachelor's degree with 5\+ years of equivalent professional experience.
* Strong programming skills in Python (plus experience in JavaScript), with proficiency in ML libraries (scikit\-learn, PyTorch), data manipulation (pandas, SQL) and statistical analysis.
* Hands\-on experience with large language models (LLMs), generative AI, agentic systems, or AI\-based product features.
* Knowledge of MLOps tools and cloud platforms, especially Databricks (Spark, MLflow), AWS (S3, Redshift, SageMaker) or similar services.
* Excellent communication skills; ability to explain complex technical concepts to both technical and business audiences and to collaborate effectively across teams.
* Demonstrated ability to work independently on complex problems, manage multiple projects simultaneously, and deliver results in a fast\-paced environment.
**Preferred Qualifications**
* Advanced degree (master’s or PhD) in a relevant field (Statistics, Machine Learning, AI, etc.).
* Exposure to industry\-specific domains such as ecommerce, marketing analytics, risk/fraud, supply chain or logistics.
* Fluency with big data frameworks (Spark, Hadoop), streaming systems, and container/orchestration tools (Docker, Kubernetes).
* Knowledge of model explainability, interpretability techniques and responsible AI.
**Why do you want to work with us?**
**Stay Healthy:** 
 World\-class and affordable insurance plans ensure you and your family stay healthy
**Secure Your Future:** 
 401(k) match programwhere you are vested from day\-one
**Invest in Your Education:** 
 Tuition assistanceempowers you to further your education and career
**Employee Assistance Program (EAP) and other incentives** 
 : Access to Perspectives, Healthcare Advocate, Working Advantage Discount Program, and more
**Enjoy Work\-Life\-Harmony** 
 : Paid holidays, PTO accrual, Floating Holiday, and supportive personal and parental leave policies
**Do Significant Good:** 
 Company\-sponsored donation match 3 for 1, Volunteer Time Off (VTO) to give back to the community, and Employee Resource Groups
**Provide Additional Financial Security:** 
 Company\-funded and voluntary AD\&amp;D Life Insurance for you and your loved ones
 If you want to learn more about our comprehensive benefits, visit: https://careers.masterelectronics.com/benefits\-wellness
**Equal Opportunity Employer**
 At
 **Master Electronics** 
 , we thrive in a
 **fast\-paced, entrepreneurial environment** 
 where flexibility, professionalism, and a self\-starter mindset aren’t just preferred—they’re essential. Headquartered in sunny Phoenix, AZ, we’re a
 **leading global authorized distributor of electronic components** 
 , and have been proudly family\-owned for over 50 years.
 What’s our secret? It’s simple:
 **strong relationships, responsive service, and genuine added value** 
 . These principles have fueled our growth, allowing us to serve
 **hundreds of thousands of customers** 
 in close partnership with
 **world\-class suppliers** 
 across the globe.
 We’re also deeply committed to building a workplace where everyone feels
 **respected, supported, and empowered to succeed** 
 .
 **Master Electronics is committed to providing equal employment opportunities for all applicants and employees.** 
 We do not unlawfully discriminate based on race, color, religion, sex (including pregnancy, gender identity, and sexual orientation), national origin, age, disability, veteran status, marital status, creed, or any other protected characteristic.
 We
 **provide reasonable accommodations** 
 in compliance with the
 **ADA** 
 and other applicable laws, and we
 **strictly prohibit harassment** 
 of any kind.
 This commitment applies to every part of our workplace—from recruitment and hiring to promotions, training, compensation, benefits, and even company events.</t>
        </is>
      </c>
    </row>
    <row r="21">
      <c r="A21" t="inlineStr">
        <is>
          <t>li-4375408628</t>
        </is>
      </c>
      <c r="B21" t="inlineStr">
        <is>
          <t>Sr AI/ML Scientist - Remote</t>
        </is>
      </c>
      <c r="C21" t="inlineStr">
        <is>
          <t>Optum</t>
        </is>
      </c>
      <c r="D21" t="inlineStr">
        <is>
          <t>linkedin</t>
        </is>
      </c>
      <c r="E21" t="inlineStr"/>
      <c r="F21" t="inlineStr"/>
      <c r="G21" t="inlineStr">
        <is>
          <t>Eden Prairie, MN</t>
        </is>
      </c>
      <c r="H21" t="inlineStr"/>
      <c r="I21"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You'll be rewarded and recognized for your performance in an environment that will challenge you and give you clear direction on what it takes to succeed in your role as well as provide development for other roles you may be interested in.
**Required Qualifications**
* PhD in Statistics, Mathematics, Computer Science
* 3\+ years of AI/ML experience (LLM, NLP)
* 3\+ years of experience with Python, classical ML methods and deep learning, including deep learning frameworks such as PyTorch or Tensorflow
* Proven publication track record in top ML/NLP conferences/journals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2">
      <c r="A22" t="inlineStr">
        <is>
          <t>li-4375407096</t>
        </is>
      </c>
      <c r="B22" t="inlineStr">
        <is>
          <t>Lead Data Scientist</t>
        </is>
      </c>
      <c r="C22" t="inlineStr">
        <is>
          <t>ConSol Partners</t>
        </is>
      </c>
      <c r="D22" t="inlineStr">
        <is>
          <t>linkedin</t>
        </is>
      </c>
      <c r="E22">
        <f>HYPERLINK("https://www.linkedin.com/jobs/view/4375407096", "https://www.linkedin.com/jobs/view/4375407096")</f>
        <v/>
      </c>
      <c r="F22" t="inlineStr"/>
      <c r="G22" t="inlineStr">
        <is>
          <t>Austin, TX</t>
        </is>
      </c>
      <c r="H22" t="inlineStr"/>
      <c r="I22" t="inlineStr">
        <is>
          <t>**Lead Data Scientist** 
**Direct Hire W2** 
**Onsite \- Austin 78759** 
 Robotics company looking for someone to join their analytics team.
 Requirements
* Experience leading analytics for large\-scale or highly complex technology products
* **Strong foundation in statistics** 
 , including experimental design, causal inference, and decision\-making under uncertainty
* **Advanced proficiency in Python and SQL** 
 , with the ability to independently design experiments, perform deep analyses, and build production\-quality data pipelines
* **Technical leadership experience** 
 — mentoring analysts, elevating standards, and influencing cross\-functional decisions
 Nice to Have
* MS or PhD in Statistics, Applied Statistics, Biostatistics, Econometrics, or another rigorous quantitative field
* Experience with the modern data stack and data engineering workflows
* Background in autonomy, robotics, or other technically intensive domains
 Here are the main details:
* 100% company\-paid medical, dental and vision coverage
* 20% Bonus \+ 401k</t>
        </is>
      </c>
    </row>
    <row r="23">
      <c r="A23" t="inlineStr">
        <is>
          <t>li-4373149153</t>
        </is>
      </c>
      <c r="B23" t="inlineStr">
        <is>
          <t>Senior Data Scientist - Membership</t>
        </is>
      </c>
      <c r="C23" t="inlineStr">
        <is>
          <t>ŌURA</t>
        </is>
      </c>
      <c r="D23" t="inlineStr">
        <is>
          <t>linkedin</t>
        </is>
      </c>
      <c r="E23">
        <f>HYPERLINK("https://www.linkedin.com/jobs/view/4373149153", "https://www.linkedin.com/jobs/view/4373149153")</f>
        <v/>
      </c>
      <c r="F23" t="inlineStr"/>
      <c r="G23" t="inlineStr"/>
      <c r="H23" t="inlineStr"/>
      <c r="I23"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for an experienced Senior Data Scientist to partner with our Membership organization to optimize Oura’s membership business. You will drive membership growth, retention, pricing, and engagement by building data products and models that directly inform membership strategies, offers, and lifecycle programs. Your work will help Oura better understand and optimize for our membership subscription that grows lifetime value, and scales with both enterprise and consumer demand.
 You will play a key role in shaping our data and AI strategy for membership analytics, collaborating with various teams across Marketing, Finance, and Product organizations. This role is a “full\-stack” Data Scientist role, requiring a strong data engineering understanding initially — collaborating closely with engineers to unify subscription data from various business systems — to create an integrated, trustworthy membership data layer. Over time, the role will evolve toward more advanced analytics and ML modeling, such as retention \&amp; LTV modeling, and pricing optimizations.
 This is a remote US role with a strong preference for candidates based in the US Eastern Time Zone.
**What You Will Do**
* Build and maintain data pipelines integrating subscription and membership data from source systems to provide a complete view of the member lifecycle and value. Ensure data quality, lineage, and governance standards for membership data systems.
* Build predictive models to understand drivers of member retention, churn, reactivation, and LTV by segment, channel, and cohort.
* Lead the design, implementation, and analysis of A/B tests and other experiments across pricing, packaging, and lifecycle communications to quantify impact and inform membership strategy and roadmap decisions.
* Partner with Marketing, Finance, and Product teams to design and evaluate offers that improve acquisition efficiency and member retention, and to integrate these learnings into long\-term strategic roadmaps.
* Build models to optimize membership growth and retention, informing business decisions to strategically optimize financial decisions.
* Leverage data engineering and analytical skills to transform data into actionable and reportable insights.
* Develop dashboards and reporting tools to visualize membership funnel KPIs, cohort performance, and the impact of product/business changes on member outcomes.
**Requirements**
 We would love to have you on our team if you have:
* 6\+ years of experience in data science or analytics, particularly at a subscription/membership business. A graduate degree in a relevant quantitative field is preferred.
* Demonstrated success, in partnership with Membership/Subscription, Growth, or Marketing teams, applying data science and ML to optimize subscription funnels, pricing, offers, or lifecycle programs.
* Experience with time series forecasting and survival analysis.
* Strong SQL and data engineering skills, with experience unifying and transforming data from subscription management services/platforms, and integrating these datasets with other business and product data.
* Strong proficiency in Python for building statistical, machine\-learning, forecasting, and optimization models.
* Experience with data visualization tools (e.g., Tableau, Looker, Power BI, etc) for executive\-level financial reporting.
* Experience with data development leveraging modern data stack and cloud platforms (e.g. AWS, Databricks, dbt, etc)
* Proven ability to partner effectively with Marketing, Growth, and Engineering leaders, moving quickly to translate technical work into strategic insights/decisions.
* Proven ability to translate complex analyses into clear, concise narratives and recommendations for senior executives, influencing roadmap and investment decisions.
* Strong business acumen with deep understanding of membership metrics and decision\-making frameworks.
* Experience working with international and distributed teams.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$172,550 \- $203,000
* Region 2: $158,950 \- $187,000
* Region 3: $147,900 \- $174,000
 A recruiter can determine your zones/tiers based on your U.S. location.
 We are not considering candidates residing in the following states: Alaska (AK), Delaware (DE), Iowa (IA), Mississippi (MS), Missouri (MO), Nebraska (NE), South Dakota (SD),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24">
      <c r="A24" t="inlineStr">
        <is>
          <t>li-4375407174</t>
        </is>
      </c>
      <c r="B24" t="inlineStr">
        <is>
          <t>Senior Data Scientist (P4528)</t>
        </is>
      </c>
      <c r="C24" t="inlineStr">
        <is>
          <t>84.51˚</t>
        </is>
      </c>
      <c r="D24" t="inlineStr">
        <is>
          <t>linkedin</t>
        </is>
      </c>
      <c r="E24">
        <f>HYPERLINK("https://www.linkedin.com/jobs/view/4375407174", "https://www.linkedin.com/jobs/view/4375407174")</f>
        <v/>
      </c>
      <c r="F24" t="inlineStr"/>
      <c r="G24" t="inlineStr">
        <is>
          <t>Chicago, IL</t>
        </is>
      </c>
      <c r="H24" t="inlineStr"/>
      <c r="I24"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**Senior Data Scientist (P4528\)**
**Summary**
 The SCORe team is seeking a
 **Senior Data Scientist** 
 to support supply chain \&amp; retail operations workstreams, focusing on machine learning, optimization, and simulation sciences. The ideal candidate will possess strong business acumen in the supply chain \&amp; retail operations industry and be familiar with 84\.51° and Kroger operations. This role combines technical and research skills with a deep understanding of business operations and most closely aligns with a
 **Machine Learning Engineering (MLE)** 
 and/or
 **Statistical Learning (SL)** 
 role.
**Responsibilities**
* Lead the development and delivery of analytical plans to support client roadmaps, ensuring the adoption of best practices and innovative ideas.
* Scope and manage projects from inception to completion, ensuring timely delivery to specifications.
* Develop and support MLOPs for production sciences.
* Research and implement Optimization models to improve supply chain and retail operations.
* Collaborate with stakeholders to understand client objectives and customer insights, designing best\-in\-class solutions.
* Transition project work from discovery to pre\-production using the latest tech stack.
* Partner with engineering, product, and research teams to implement best practices for analysis, storage, and quality assurance.
* Implement software solutions using best practices of coding standards and quality assurance with regards to maintainability and testing.
* Experiment with innovative machine learning methods and conduct analytic experiments to support project development and business objectives; share findings with the team.
* Identify opportunities for standardization and automation of existing solutions/processes, contributing to enhancements that maximize team potential and stakeholder value.
* Interpret business results and develop actionable recommendations from data analysis to build relevant customer stories for stakeholders.
* Contribute to and maintain SCORe documentation.
* Challenge and improve 84\.51° analytic capabilities, solutions, and best practices.
* Follow best practices in space/resource management to ensure efficient utilization of analytic resources and timely delivery of business deliverables.
* Partner with leaders across projects to prioritize work, identify risks and opportunities, and streamline team execution.
* Support the near real\-time science delivery of optimization models.
* Lead in upskilling the data science function in new and emerging technologies through trainings, learning pathways, and documentation.
* Support implementation and participate in training plans for the DSR function.
* Deliver enterprise\-wide model results in near real\-time.
* Possess data engineering experience related to manipulating and moving large data sets efficiently.
**Qualifications, Skills, And Experience**
* Bachelor's degree in mathematics, statistics, analytics, data science, or a related discipline.
* 2\+ years of experience in consulting or professional services, with at least 2 years focused on retail operations and supply chains.
* 2\+ years of experience using advanced algorithms, programming languages, or technologies to develop technical analytics solutions or capabilities.
* 2\+ years experience developing and implementing enterprise\-scale machine learning and/or optimization models.
* 2\+ years of experience developing and implementing on cloud solutions (Azure, Databricks, etc.)
* Proficiency in querying data from relational databases.
* Experience using Python, or similar statistical software to develop analytical solutions.
* Expertise in data wrangling, data cleaning and preparation, and dimensionality reduction.
* Familiarity with Big Data concepts, tools, and architecture.
* Ability to create computationally efficient solutions.
* Data visualization skills and the ability to present technical solutions to a non\-technical audience.
* Strong analytical, creative problem\-solving, and decision\-making skills.
* Strong business acumen; grocery and/or retail experience is a plus.
* Passionate about data, analysis, and insights.
* Natural curiosity that embraces change and a willingness to try new things and learn from failure.
* Ability to work in a highly collaborative environment.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$97,000—$166,750 USD</t>
        </is>
      </c>
    </row>
    <row r="25">
      <c r="A25" t="inlineStr">
        <is>
          <t>li-4375446162</t>
        </is>
      </c>
      <c r="B25" t="inlineStr">
        <is>
          <t>Data Scientist</t>
        </is>
      </c>
      <c r="C25" t="inlineStr">
        <is>
          <t>Booz Allen Hamilton</t>
        </is>
      </c>
      <c r="D25" t="inlineStr">
        <is>
          <t>linkedin</t>
        </is>
      </c>
      <c r="E25">
        <f>HYPERLINK("https://www.linkedin.com/jobs/view/4375446162", "https://www.linkedin.com/jobs/view/4375446162")</f>
        <v/>
      </c>
      <c r="F25">
        <f>HYPERLINK("https://careers.boozallen.com/careers/JobDetail?jobId=120938&amp;source=JB-16500&amp;urlHash=_qig", "https://careers.boozallen.com/careers/JobDetail?jobId=120938&amp;source=JB-16500&amp;urlHash=_qig")</f>
        <v/>
      </c>
      <c r="G25" t="inlineStr">
        <is>
          <t>Aurora, CO</t>
        </is>
      </c>
      <c r="H25" t="inlineStr"/>
      <c r="I25" t="inlineStr">
        <is>
          <t>**Job Number: R0234099**
 Data Scientist
**The Opportunity:**
 As an analytics professional, you’re excited at the prospect of unlocking the secrets held by a data set, and you’re fascinated by the possibilities presented by IoT, machine learning, and artificial intelligence. If you care about moving a mission forward as much as advancing the field of data science, this is the opportunity for you. Your deep AI and analytics expertise and advising mindset, coupled with an original approach to your work, will help clients and stakeholders make sense of their data and encourage actionable results. We’re looking for someone like you to be a principal researcher who applies data science and AI techniques to implement automation and look for trends and patterns in large data sets.
 As an advanced data scientist and researcher on our National Security team, you'll apply innovative AI methodologies to make a real\-world impact on real\-world problems. You’ll grow your skills in data science and shape the future of analytics by working in a collaborative environment to solve some of the Nation's hardest problems.
 We’ll keep you sharp and moving forward in your career, with access to the latest tools and opportunities to publish or present at conferences. Whether you’re using AI to improve government processes or providing better services to the public, you’ll guide a team that serves critical missions from end to end.
 Join us. The world can’t wait.
**You Have:** 
* 2\+ years of experience working in the Intelligence Community
* Experience with data conditioning, scripting, and implementing automation
* TS/SCI clearance with a polygraph
* Bachelor's degree and 12\+ years of experience in data science, or a Master's degree and 10\+ years of experience in data science
**Nice If You Have:** 
* Experience with streaming anomaly and outlier detection algorithms
* Experience with ML Ops pipelines
* Experience with deep learning or large language models
* Security\+ or equivalent certification
**Clearance** 
**:**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6">
      <c r="A26" t="inlineStr">
        <is>
          <t>li-4375196737</t>
        </is>
      </c>
      <c r="B26" t="inlineStr">
        <is>
          <t>Senior Data Scientist (P4528)</t>
        </is>
      </c>
      <c r="C26" t="inlineStr">
        <is>
          <t>84.51˚</t>
        </is>
      </c>
      <c r="D26" t="inlineStr">
        <is>
          <t>linkedin</t>
        </is>
      </c>
      <c r="E26">
        <f>HYPERLINK("https://www.linkedin.com/jobs/view/4375196737", "https://www.linkedin.com/jobs/view/4375196737")</f>
        <v/>
      </c>
      <c r="F26" t="inlineStr"/>
      <c r="G26" t="inlineStr">
        <is>
          <t>Cincinnati, OH</t>
        </is>
      </c>
      <c r="H26" t="inlineStr"/>
      <c r="I26"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**Senior Data Scientist (P4528\)**
**Summary**
 The SCORe team is seeking a
 **Senior Data Scientist** 
 to support supply chain \&amp; retail operations workstreams, focusing on machine learning, optimization, and simulation sciences. The ideal candidate will possess strong business acumen in the supply chain \&amp; retail operations industry and be familiar with 84\.51° and Kroger operations. This role combines technical and research skills with a deep understanding of business operations and most closely aligns with a
 **Machine Learning Engineering (MLE)** 
 and/or
 **Statistical Learning (SL)** 
 role.
**Responsibilities**
* Lead the development and delivery of analytical plans to support client roadmaps, ensuring the adoption of best practices and innovative ideas.
* Scope and manage projects from inception to completion, ensuring timely delivery to specifications.
* Develop and support MLOPs for production sciences.
* Research and implement Optimization models to improve supply chain and retail operations.
* Collaborate with stakeholders to understand client objectives and customer insights, designing best\-in\-class solutions.
* Transition project work from discovery to pre\-production using the latest tech stack.
* Partner with engineering, product, and research teams to implement best practices for analysis, storage, and quality assurance.
* Implement software solutions using best practices of coding standards and quality assurance with regards to maintainability and testing.
* Experiment with innovative machine learning methods and conduct analytic experiments to support project development and business objectives; share findings with the team.
* Identify opportunities for standardization and automation of existing solutions/processes, contributing to enhancements that maximize team potential and stakeholder value.
* Interpret business results and develop actionable recommendations from data analysis to build relevant customer stories for stakeholders.
* Contribute to and maintain SCORe documentation.
* Challenge and improve 84\.51° analytic capabilities, solutions, and best practices.
* Follow best practices in space/resource management to ensure efficient utilization of analytic resources and timely delivery of business deliverables.
* Partner with leaders across projects to prioritize work, identify risks and opportunities, and streamline team execution.
* Support the near real\-time science delivery of optimization models.
* Lead in upskilling the data science function in new and emerging technologies through trainings, learning pathways, and documentation.
* Support implementation and participate in training plans for the DSR function.
* Deliver enterprise\-wide model results in near real\-time.
* Possess data engineering experience related to manipulating and moving large data sets efficiently.
**Qualifications, Skills, And Experience**
* Bachelor's degree in mathematics, statistics, analytics, data science, or a related discipline.
* 2\+ years of experience in consulting or professional services, with at least 2 years focused on retail operations and supply chains.
* 2\+ years of experience using advanced algorithms, programming languages, or technologies to develop technical analytics solutions or capabilities.
* 2\+ years experience developing and implementing enterprise\-scale machine learning and/or optimization models.
* 2\+ years of experience developing and implementing on cloud solutions (Azure, Databricks, etc.)
* Proficiency in querying data from relational databases.
* Experience using Python, or similar statistical software to develop analytical solutions.
* Expertise in data wrangling, data cleaning and preparation, and dimensionality reduction.
* Familiarity with Big Data concepts, tools, and architecture.
* Ability to create computationally efficient solutions.
* Data visualization skills and the ability to present technical solutions to a non\-technical audience.
* Strong analytical, creative problem\-solving, and decision\-making skills.
* Strong business acumen; grocery and/or retail experience is a plus.
* Passionate about data, analysis, and insights.
* Natural curiosity that embraces change and a willingness to try new things and learn from failure.
* Ability to work in a highly collaborative environment.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$97,000—$166,750 USD</t>
        </is>
      </c>
    </row>
    <row r="27">
      <c r="A27" t="inlineStr">
        <is>
          <t>li-4375402492</t>
        </is>
      </c>
      <c r="B27" t="inlineStr">
        <is>
          <t>Senior Manager Data Scientist</t>
        </is>
      </c>
      <c r="C27" t="inlineStr">
        <is>
          <t>Bristol Myers Squibb</t>
        </is>
      </c>
      <c r="D27" t="inlineStr">
        <is>
          <t>linkedin</t>
        </is>
      </c>
      <c r="E27">
        <f>HYPERLINK("https://www.linkedin.com/jobs/view/4375402492", "https://www.linkedin.com/jobs/view/4375402492")</f>
        <v/>
      </c>
      <c r="F27">
        <f>HYPERLINK("https://tnl2.jometer.com/v2/job?jz=5tptpffd71d74a0af4f60b5b350016be8c6abWYADGAIAAADQ&amp;utm_source=Joveo_Linkedin%20Slots%20-%20Celgene&amp;utm_campaign=All&amp;source=jobboard_Linkedin%20Slots%20-%20Celgene_auto&amp;utm_job=Default-All%20(2025)&amp;urlHash=pc0m", "https://tnl2.jometer.com/v2/job?jz=5tptpffd71d74a0af4f60b5b350016be8c6abWYADGAIAAADQ&amp;utm_source=Joveo_Linkedin%20Slots%20-%20Celgene&amp;utm_campaign=All&amp;source=jobboard_Linkedin%20Slots%20-%20Celgene_auto&amp;utm_job=Default-All%20(2025)&amp;urlHash=pc0m")</f>
        <v/>
      </c>
      <c r="G27" t="inlineStr">
        <is>
          <t>Boston, MA</t>
        </is>
      </c>
      <c r="H27" t="inlineStr"/>
      <c r="I27"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**Senior Manager \- Biomarker Data Scientist**
**This is a new position** 
 . You will join a new cutting\-edge Drug Development Data Science and Biomarker team to advance the global drug development process. We are looking for candidates with strong computational, statistical, and biological capabilities with a demonstrated track record of translating complex data into testable hypotheses and experience modeling multimodal (clinical, omics, real\-world data) using the classical ML and Deep Learning algorithms. We are looking for hands\-on state\-of\-the\-art practitioners.
**What You'll Do**
* Develop and apply novel or existing computational methods for patient segmentation from multimodal clinical and omics datasets for various treatment modalities in partnership with Translational, Clinical and Statistical Scientists
* Partner with lead and protocol statisticians in writing, reviewing and executing protocols and statistical analysis plans (SAP) for biomarkers and diagnostics, highlighting the biomarker strategy for clinical drug development
* Execute biomarker analyses on datasets from BMS clinical trials and real\-world data cohorts
* Perform relevant and innovative statistical analyses of high\-dimensional (e.g. gene expression, sequencing) data generated by cutting edge technologies
* Execute and contribute to the scientific and statistical strategy of drug development, including development of predictive biomarker(s) and precision medicine
* Optimize and validate biomarker assays for clinical trial usage.
* Develop, implement, and apply state\-of\-the\-art algorithms to address key business problems and drive the implementation of innovative statistical methods in support of biomarker strategy
* Formulate, implement, test, and validate predictive models and implement efficient automated processes for producing modeling results at scale.
* Responsible for collaborating with cross\-functional teams, including but not limited to clinicians, data scientists, translational medicine scientists, statisticians, and IT professionals.
* Manage and coordinate resources to produce quality deliverables within timelines for competing priorities.
**Key Requirements:**
* Ph.D. in a relevant quantitative field (i.e. Computational Biology, Biostatistics, Statistics, Computer Science, etc.) and 1\+ years of academic/industry experience or Master's Degree in a relevant quantitative field and 3\+ years of industry experience
* Strong experience in the analysis of data generated by one or more \-omics or molecular assays is required
* Knowledge of molecular biology, understanding of disease pathways are preferred
* Strong experience in biomarker data analysis with data generated from clinical trials, or electronic health records
* Experience in modeling methods particularly in their application to pharma R\&amp;D Experience in the application of AI/ML, and proficient in SQL, Python, and R and cloud platforms
* Experience developing statistical and machine learning models on high dimensional and high throughput data for time to event data and longitudinal outcomes
* Perspective in leveraging innovative approaches to expedite drug development and address the complexities of emerging data
* Ability to work both independently and collaboratively, and to handle several concurrent, fast\-paced projects.
* Strong problem\-solving and collaboration skills, and rigorous and creative thinking.
* Excellent communication, data presentation, and visualization skills.
* Capable of establishing strong working relationships across the organization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The starting compensation for this job is a range from 145,320 to 176,100, plus incentive cash and stock opportunities (based on eligibility). The starting pay rate takes into account characteristics of the job, such as required skills and where the job is performed. Final, individual compensation will be decided based on demonstrated experience.
 Eligibility for specific benefits listed on our careers site may vary based on the job and location. For more on benefits, please visit http://careers.bms.com/life\-at\-bms/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**Compensation Overview**
 Cambridge Crossing: $188,730 \- $228,701
 Princeton \- NJ \- US: $164,110 \- $198,862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R1598755 : Senior Manager Data Scientist</t>
        </is>
      </c>
    </row>
    <row r="28">
      <c r="A28" t="inlineStr">
        <is>
          <t>li-4374080104</t>
        </is>
      </c>
      <c r="B28" t="inlineStr">
        <is>
          <t>Sr Agentic AI Data Scientist Model Risk Management - Alpharetta GA</t>
        </is>
      </c>
      <c r="C28" t="inlineStr">
        <is>
          <t>VetJobs</t>
        </is>
      </c>
      <c r="D28" t="inlineStr">
        <is>
          <t>linkedin</t>
        </is>
      </c>
      <c r="E28">
        <f>HYPERLINK("https://www.linkedin.com/jobs/view/4374080104", "https://www.linkedin.com/jobs/view/4374080104")</f>
        <v/>
      </c>
      <c r="F28" t="inlineStr"/>
      <c r="G28" t="inlineStr">
        <is>
          <t>Alpharetta, GA</t>
        </is>
      </c>
      <c r="H28" t="inlineStr"/>
      <c r="I28"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Equifax is where you can power your possible. If you want to achieve your true potential, chart new paths, develop new skills, collaborate with bright minds, and make a meaningful impact, we want to hear from you.
 Equifax is looking for a Senior Agentic AI Data Scientist to join our world\-class Data and Analytics Center of Excellence (D\&amp;A COE). In this exciting role, you will have the opportunity to use cutting edge cloud technology and develop various analytics related AI and ML solutions.
 Equifax has a hybrid work schedule that allows for 2 days of remote work (Monday and Friday), with 3 days onsite (Tuesday, Wednesday, Thursday) every week.
 This role reports to our office in Alpharetta, Georgia OR midtown ATL (OAC).
 This position does not offer immigration sponsorship (current or future) including F\-1 STEM OPT extension support.
 This is a direct\-hire role and is not open to C2C or vendors.
 What you will do
 Design and execute specialized evaluation and monitoring strategies to assess GenAI workflows, focusing on multi\-step reasoning, tool\-use reliability, and "looping" risks where agents may fail in autonomous tasks.
 Critically evaluate and monitor GenAI\-specific risks, including hallucinations, prompt injection vulnerability, and data leakage, ensuring that mitigation strategies (such as guardrails and RAG\-based grounding) are robust and effective.
 Conduct research on emerging evaluators (e.g., "LLM\-as\-a\-judge") and develop benchmarking standards to systematically assess GenAI application outputs, ensuring the system performs reliably on unstructured data where traditional statistical profiles do not apply.
 Develop and execute comprehensive stress\-testing protocols to assess GenAI soundness and identify potential risks.
 Critically assess the completeness and accuracy of GenAI development documentation, code, and marketing materials.
 Develop and implement innovative validation approaches for complex and nontraditional models, including those with unstructured data and unique risk profiles.
 Develop AI Agent tools to automate the retrieval, wrangling, and analysis of data.
 Utilize combined knowledge of data structures, analytics, algorithms/models, and strong computer science fundamentals to prepare datasets, conduct analytics, and develop deployable solutions with guidance from more senior resources.
 Develop and deploy AI and ML solutions on Google Cloud Platforms.
 Utilize massive data sources to craft business insights and features for innovative solutions.
 Understand diverse data sources, both structured and unstructured.
**Auto req ID**
 466102BR
**Minimum Education Required**
 Bachelors
**Job\_Category**
 IT
**Additional Qualifications/Responsibilities**
 What experience you need
 5\+ years of relevant experience in Data Science and/or AI/ML.
 M.S. or higher degree required in Computer Science; or Data Science, Analytics, Mathematics, Statistics, Economics, Operations Research, Industrial Engineering or a substantially related field of study if accompanied by strong computer science principles and skills.
 Solid experience with "classic" machine learning (XGBoost, Regression, Clustering) is highly desirable.
 Machine learning and deep learning fundamentals, natural language processing (NLP), cloud computing, multi\-agent systems understanding, data analysis, programming proficiency, and a grasp of ethical considerations in AI development.
 Experience with agents frameworks (preferably Langchain).
 Experience with proprietary and/or open source LLMs.
 Experience in prompt engineering.
 Experience with RAG and Vector Databases
 Proficient in Python and SQL.
 What could set you apart
 Exposure to Agentic AI.
 Exposure to Gen AI Governance.
 Evaluation, testing and monitoring of GenAI/Agents.
 Google Cloud Platform experience.
**City\***
 Alpharetta
**State\***
 Georgia
**Job Code**
 Product\_ Management
**Affiliate Sponsor**
 Equifax</t>
        </is>
      </c>
    </row>
    <row r="29">
      <c r="A29" t="inlineStr">
        <is>
          <t>li-4375402761</t>
        </is>
      </c>
      <c r="B29" t="inlineStr">
        <is>
          <t>Staff Data Scientist (Director) - Miami</t>
        </is>
      </c>
      <c r="C29" t="inlineStr">
        <is>
          <t>Atlas Air</t>
        </is>
      </c>
      <c r="D29" t="inlineStr">
        <is>
          <t>linkedin</t>
        </is>
      </c>
      <c r="E29">
        <f>HYPERLINK("https://www.linkedin.com/jobs/view/4375402761", "https://www.linkedin.com/jobs/view/4375402761")</f>
        <v/>
      </c>
      <c r="F29">
        <f>HYPERLINK("https://www.atlasairworldwide.com/careers/job-board/?gh_jid=4138785009&amp;gh_src=lcv95cbz9us&amp;urlHash=JjS1", "https://www.atlasairworldwide.com/careers/job-board/?gh_jid=4138785009&amp;gh_src=lcv95cbz9us&amp;urlHash=JjS1")</f>
        <v/>
      </c>
      <c r="G29" t="inlineStr">
        <is>
          <t>Miami, FL</t>
        </is>
      </c>
      <c r="H29" t="inlineStr"/>
      <c r="I29" t="inlineStr">
        <is>
          <t>**Join Atlas Air Worldwide. Move the World with Us!**
 At Atlas Air Worldwide, we’re not just an airline, we’re a global engine powering cargo, passenger, and leasing operations across more than 70 countries. As a leader in outsourced aviation logistics, we’re built on a foundation of
 **safety** 
 ,
 **service excellence** 
 ,
 **integrity** 
 ,
 **innovation** 
 ,
 **teamwork** 
 , and
 **responsibility** 
 . With over 30 years of history, a modern all\-Boeing fleet, and nearly 5,000 teammates collaborating across operations, technical, and corporate functions, we’re driven by purpose.
**If you're ready to grow, innovate, and help us deliver excellence every single day, you belong here.**
**Position Summary:** 
 We are looking for a brilliant and highly motivated
 **Staff** 
**Data Scientist** 
 to join our innovative Data Analytics and Optimization team! This isn't just another analytics role – you'll be at the forefront of transforming Atlas Air through the power of data.
 In this position, you will develop data\-driven technology solutions for a variety of high\-dimensional resource management problems in aviation involving complex trade\-offs under uncertainty. You will collaborate with leaders across our organization to uncover hidden opportunities, tackle challenging data puzzles, and build sophisticated predictive and prescriptive models that drive real\-world impact. Your insights won't just live in dashboards – the fruits of your work will shape our strategic direction, be operationalized in our processes, and will fuel our competitive advantage.
 The perfect candidate brings a powerful blend of programming prowess, machine learning mastery, and operations research skillfulness, along with the rare ability to translate complex technical concepts into compelling stories that inspire action among non\-technical leaders.
 If you're passionate about using cutting\-edge science and technology to solve meaningful problems and want to be part of a team that values your analytical superpowers, this role is your next adventure!
**Major Accountabilities**
* Collaborate with cross\-functional teams including engineering, product, and business stakeholders to identify opportunities for leveraging data to drive business solutions around airline operations.
* Lead complex data science projects from conception to implementation, working with various stakeholders (e.g., global control center, pilots, sales, etc.) to define objectives, timelines and success metrics.
* Translate business requirements into data science or analytics projects with well\-defined deliverables and timelines.
* Design and conduct experiments to test hypotheses and measure the impact of work against objectives.
* Collect, process, clean, and analyze structured and unstructured data from various internal and external sources.
* Extract, transform, and analyze large datasets from various sources.
* Perform exploratory data analysis to uncover patterns, trends, and relationships within large datasets.
* Design, develop, and maintain sophisticated decision support tools leveraging machine learning and optimization models and algorithms to solve business challenges and unlock value.
* Create clear data visualizations and compelling narratives to communicate findings to technical and non\-technical audiences.
* Mentor less experienced data scientists, providing technical guidance, setting clear objectives, and fostering professional growth.
* Stay current with emerging techniques and technologies in data science and machine learning.
* Collaborate with data engineering to implement production\-ready solutions.
* Monitor model performance and iterate on solutions as needed.
* Establish best practices and methodologies for the data science function.
* Research and implement new methodologies and technologies to improve Atlas Air’s data and AI/ML
**Must\-Have**
**Qualifications:**
* Master’s degree or Ph.D. in Operations Research, Machine Learning, Computer Science, Data Science, Statistics, Mathematics, or a related quantitative field.
* 5\+ years of hands\-on experience in a data science or similar analytical role, with a track record of impact.
* Expertise in programming languages such as Python, R, or similar programming languages for data analysis.
* Proficiency with data manipulation tools (e.g., SQL, Pandas, Spark) and machine learning libraries (e.g., scikit\-learn, PyTorch, TensorFlow, etc.).
* Strong knowledge of statistical analysis and hypothesis testing.
* Strong understanding of statistical modeling, machine learning algorithms, hypothesis testing, and optimization.
* Excellent communication, presentation, and interpersonal skills with the ability to translate complex technical concepts to non\-technical audiences.
* Proven ability to translate business requirements into technical solutions.
* Proven ability to apply software engineering best practices.
* Experience working in production\-grade Python code including proficiency with git, testing, and other software engineering best practices.
**Nice\-to\-Have**
* Master’s degree or Ph.D. in Operations Research, Machine Learning, Computer Science, Data Science, Statistics, Mathematics, or a related quantitative field.
* Domain expertise in aviation, transportation, or logistics.
* History of technical leadership on significant data science initiatives.
* Contributions to related research publications and/or open\-source projects.
* Experience with big data platforms (e.g., Spark/Databricks).
* Experience with cloud platforms (AWS, GCP, or Azure) and MLOps practices.
* Experience with optimization libraries (OR\-Tools, Gurobi, or CPLEX)
 The Company is an Equal Opportunity Employer. It is our policy to afford equal employment opportunity to all employees and applicants for employment without regard to race, color, religion, sex, sexual orientation, national origin, citizenship, place of birth, age, disability, protected veteran status, gender identity or any other characteristic or status protected by applicable in accordance with federal, state and local laws.
 If you'd like more information about your EEO rights as an applicant under the law, please download the available EEO is the Law document by clicking "EEO Is The Law" .
 To view our Pay Transparency Statement, please click here: Pay Transparency Statement
 Competitive compensation will be offered based on a variety of factors, including a candidate's experience, skills, education, geographic location, internal equity and other factors. In addition, a range of benefits to include medical, dental and vision insurance, employee assistance program, as well as generous paid time off, and 401K contributions are offered as a part of the total compensation package.
 Pay Range
 $165,000—$225,000 USD
 At
 **Atlas Air Worldwide** 
 , we believe in the power of people, the promise of innovation, and the responsibility we hold to each other, to our customers, and to the planet. Join us and be part of a team that lifts more than cargo; we lift ambition.</t>
        </is>
      </c>
    </row>
    <row r="30">
      <c r="A30" t="inlineStr">
        <is>
          <t>li-4373116791</t>
        </is>
      </c>
      <c r="B30" t="inlineStr">
        <is>
          <t>Data Scientist with Security Clearance</t>
        </is>
      </c>
      <c r="C30" t="inlineStr">
        <is>
          <t>ClearanceJobs</t>
        </is>
      </c>
      <c r="D30" t="inlineStr">
        <is>
          <t>linkedin</t>
        </is>
      </c>
      <c r="E30">
        <f>HYPERLINK("https://www.linkedin.com/jobs/view/4373116791", "https://www.linkedin.com/jobs/view/4373116791")</f>
        <v/>
      </c>
      <c r="F30" t="inlineStr"/>
      <c r="G30" t="inlineStr">
        <is>
          <t>Bethesda, MD</t>
        </is>
      </c>
      <c r="H30" t="inlineStr"/>
      <c r="I30" t="inlineStr">
        <is>
          <t>Data Scientist Bethesda, MD Active Top\-Secret Clearance with SCI and Polygraph Required @Orchard is actively supporting a proposal expected to be awarded in Fall 2026 for a Maryland client in the Intelligence Sector. We are seeking individuals with the necessary skills, experience, and clearance to sign a letter of intent to join the team once the program is awarded. This is an exceptional opportunity to join one of our clients, a leader in the IC space with exceptional benefits and opportunities for advancement. As the Data Scientist, your responsibilities will include.
* Driving data science effectiveness by evaluating analytical capabilities, conducting technique assessments, identifying methodology gaps, establishing performance metrics, and aligning with organizational business objectives.
* Leading continuous improvement initiatives through data process analysis, architectural enhancements, analytical workflow optimization, and capability enhancement roadmaps.
* Enhancing predictive modeling capabilities by designing implementation procedures, developing standardized approaches for different model types, establishing validation protocols, and coordinating cross\-functional model deployment activities.
* Improving business intelligence through effective reporting templates, actionable data dashboards, real\-time visualization mechanisms, and contextual insight distribution.
* Optimizing analytics tool usage by maximizing platform effectiveness, fine\-tuning algorithms, synthesizing multi\-source data, ensuring system integration, and recommending technical enhancements.
* Implementing data automation by identifying suitable processes, designing ETL workflows, developing code scripts, implementing automated analysis responses, and documenting procedures.
* Managing the data reporting lifecycle from collection to distribution, ensuring timely delivery, implementing feedback mechanisms, establishing archival procedures, and meeting compliance requirements.
* Fostering agile data science approaches through methodologies like analytics sprints, retrospectives, iterative development, and balancing innovation with governance requirements.
* Coordinating cross\-functional data initiatives by serving as a liaison between teams, aligning analytics with organizational goals, facilitating knowledge sharing, and building stakeholder relationships.
* Leading data integration through architecture design, API implementation, data normalization, integration testing, and comprehensive documentation.
* Driving advanced analytics by developing collection strategies, implementing statistical techniques, creating insightful visualizations, designing KPIs, and leveraging data for strategic decision\-making. Your experience and qualifications will need to include.
* US Citizen with an active Top\-Secret clearance with SCI and Polygraph.
* A Bachelor's degree with at least 6 years or a Master's degree with at least 4 years of experience within the Intelligence Community.
* Experience possessing in\-depth knowledge of: Data science toolkits, data analytics and statistical analysis, as well as data discovery, use, and exploitation within multi\-cloud environments.
* Experience with in\-depth knowledge of standard data science languages (SQL, R, Python, Julia).
* Experience understanding Data integration and data management fundamentals, and how to successfully adopt those for data science projects from development into production.
* Experience with understanding customer needs and visualizing data in the most effective way possible for a given project or study.
* Experience related to working with unstructured datasets.
* Experience with technical writing, ability to communicate complex data in simple, actionable ways.
* This role can be accommodated at several levels based on experience and qualifications, ranging from 4 to over 10 years of experience. Title and compensation will reflect the experience of each individual selected. Compensation: As there are several potential levels for this skillset within the program, compensation can range between $120,000 and $225,000\. All employees will receive a generous benefits package, including Health, Dental, Vision, 401K with immediate vesting, tuition reimbursement, and generous PTO. Established in 2010, @Orchard LLC has an exceptional reputation, providing staffing solutions to time\-sensitive, talent scarcity issues to deliver better talent management ROI. Our specialty lies in the critical area of program talent acquisition and resource management, not in one narrow skillset, but across many areas of technical and functional delivery. To learn more about our other exciting opportunities, visit our Jobs Page at www.atOrchard.com .</t>
        </is>
      </c>
    </row>
    <row r="31">
      <c r="A31" t="inlineStr">
        <is>
          <t>li-4375446280</t>
        </is>
      </c>
      <c r="B31" t="inlineStr">
        <is>
          <t>Plant Pathology Data Scientist</t>
        </is>
      </c>
      <c r="C31" t="inlineStr">
        <is>
          <t>UW–Madison College of Agricultural and Life Sciences</t>
        </is>
      </c>
      <c r="D31" t="inlineStr">
        <is>
          <t>linkedin</t>
        </is>
      </c>
      <c r="E31">
        <f>HYPERLINK("https://www.linkedin.com/jobs/view/4375446280", "https://www.linkedin.com/jobs/view/4375446280")</f>
        <v/>
      </c>
      <c r="F31">
        <f>HYPERLINK("https://jobs.wisc.edu/jobs/plant-pathology-data-scientist-madison-wisconsin-united-states?source=11340&amp;urlHash=9XOO", "https://jobs.wisc.edu/jobs/plant-pathology-data-scientist-madison-wisconsin-united-states?source=11340&amp;urlHash=9XOO")</f>
        <v/>
      </c>
      <c r="G31" t="inlineStr">
        <is>
          <t>Madison, WI</t>
        </is>
      </c>
      <c r="H31" t="inlineStr"/>
      <c r="I31" t="inlineStr">
        <is>
          <t>***Current Employees: If you are currently employed at any of the Universities of Wisconsin, log in to Workday to apply through the internal application process.***
**Job Category:**
 Academic Staff
**Employment Type:**
 Regular
**Job Profile:**
 Data Scientist II
**Job Summary:**
 The Department of Plant Pathology seeks a M.S. level Data Scientist to advance research in plant disease epidemiology, integrated disease management, disease forecasting, and agricultural economic modeling. This position will collaborate on faculty\-led projects while leading the development of models, deployment to stakeholders via web interfaces, and evaluation and iteration of the tools.
 Key Responsibilities
 Research \&amp; Analysis:
* Design and implement data\-driven models for plant disease epidemiology and forecasting.
* Design and implement machine\-learning techniques to address applied decision support
 Collaboration:
* Work closely with faculty, graduate students, and interdisciplinary teams to integrate data science into experimental research.
* Collaborate with software developers and extension specialists to translate models into practical tools for growers and stakeholders
 Scholarly Output:
* Publish research findings in peer\-reviewed journals.
* Contribute to competitive grant proposals.
 Infrastructure Development:
* Develop reproducible workflows and data pipelines for large\-scale agricultural datasets.
* Maintain documentation and ensure compliance with data management best practices.
 Ongoing/Renewable
 Normal hours are 7:45am – 4:30pm, Monday through Friday. Occasional nights and weekends may be required for this position.
 This position is eligible for partial remote work. Remote work requires an approved remote work agreement (RWA) agreement. An RWA requires successful candidates to possess their own high\-speed internet and phone to perform the work on a university provided computer. Per University policy, transportation between home and assigned work location is not payable/reimbursable and will be at the expense of the employee.
**Key Job Responsibilities:**
* Documents approaches to address research questions and contributes to the establishment of reproducible research methodologies and analysis workflows
* Independently identifies and implements appropriate data science techniques to find data patterns and answer research questions chosen by the lead researcher including data visualization, statistical analysis, machine learning, and data mining
* Organizes and automates project steps for data preparation and analysis
* Composes and assembles reproducible workflows and reports to clearly articulate patterns to researchers and/or administrators
* Prepares data sets for analysis including cleaning/quality assurance, transformations, restructuring, and integration of multiple data sources
**Department:**
 College of Agricultural and Life Sciences, Department of Plant Pathology.
 The
 **Department of** 
**Plant Pathology** 
 at the
 **University of Wisconsin – Madison** 
 was founded in 1910 to meet the needs of the growers and help combat crop failures. This important relationship between faculty and growers’ needs has continued to be a major strength in our Department and in the College of Agricultural and Life Sciences. Current members of the Department are dedicated to advancing knowledge of plant\-microbe interactions while supporting food production and environmental security by addressing plant disease control, grower and consumer needs, and environmental sustainability.
**Compensation:**
 The anticipated salary range for this position is $75,000 \- $90,000 However, final salary will depend on experience and qualifications. Employees in this position can expect to receive benefits such as generous vacation, holidays, and paid time off; competitive insurances and savings accounts; retirement benefits. Additional benefits information can be found at: https://www.wisconsin.edu/ohrwd/benefits/download/fasl.pdf
**Required Qualifications:**
* Demonstrated expertise in statistical modeling and machine learning
* Experience with agricultural data management such as cleaning and analyzing large real\-world agricultural datasets and developing and communicating results in presentations and publications
* Demonstrated ability to communicate research findings through publications or technical reports
* Proficiency in programming languages (Python, R) and data visualization
**Preferred Qualifications:**
* Prior involvement in interdisciplinary research teams such as National Predictive Modeling Tool initiative or other similar teams
* Experience in deploying models for plant disease forecasting
* Experience in agricultural economic modeling
**Education:**
 Master's Degree required; Plant Pathology, Agronomy, Applied Data Scientist, or a closely related field preferred
 Ph.D. preferred
**How to Apply:**
 Click on the "Apply Online" button to start the application process. You will be prompted to upload the following documents/application materials:
 Resume (required) \- Detail your educational and professional background
**Cover Letter (required) – Refer To Your Related Work Experience**
 It is important that your cover letter and resume reflect your experience for this position related to the Qualifications section. Your application materials will be used during our evaluation to determine your qualifications as they relate to the job. The most qualified applicants will be invited to participate in the next step of the selection process
 **.**
**Contact Information:**
 Megan Sullivan, megan.sullivan@wisc.edu, 608\-265\-5882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For more information regarding applicant and employee rights and to view federal and state required postings, visit the Human Resources Workplace Poster website.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32">
      <c r="A32" t="inlineStr">
        <is>
          <t>li-4375408628</t>
        </is>
      </c>
      <c r="B32" t="inlineStr">
        <is>
          <t>Sr AI/ML Scientist - Remote</t>
        </is>
      </c>
      <c r="C32" t="inlineStr">
        <is>
          <t>Optum</t>
        </is>
      </c>
      <c r="D32" t="inlineStr">
        <is>
          <t>linkedin</t>
        </is>
      </c>
      <c r="E32">
        <f>HYPERLINK("https://www.linkedin.com/jobs/view/4375408628", "https://www.linkedin.com/jobs/view/4375408628")</f>
        <v/>
      </c>
      <c r="F32">
        <f>HYPERLINK("https://careers.unitedhealthgroup.com/job/23036919/sr-ai-ml-scientist-remote-eden-prairie-mn/?src=JB-22455&amp;utm_source=linkedin.com&amp;utm_medium=job_posting&amp;urlHash=RauF", "https://careers.unitedhealthgroup.com/job/23036919/sr-ai-ml-scientist-remote-eden-prairie-mn/?src=JB-22455&amp;utm_source=linkedin.com&amp;utm_medium=job_posting&amp;urlHash=RauF")</f>
        <v/>
      </c>
      <c r="G32" t="inlineStr">
        <is>
          <t>Eden Prairie, MN</t>
        </is>
      </c>
      <c r="H32" t="inlineStr"/>
      <c r="I3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Develop novel AI approaches for healthcare using both structured and unstructured data
* Build and test deep learning and traditional ML models in distributed computing environments
* Design and plan experiments, conduct statistical analysis and create data visualizations
* Communicate findings with business stakeholders and collaborate to develop solutions that meet customer needs
* Collaborate with the Responsible Use of AI (RUAI) team to ensure that the delivered solutions are compliant with company policies and standards
* Develop code and model documentation, patents and publications in scientific conferences and journals
* Collaborate with engineering teams to develop robust data pipelines of MLOps procedures for new solutions
* Stay up to date with latest technologies and literature
 You'll be rewarded and recognized for your performance in an environment that will challenge you and give you clear direction on what it takes to succeed in your role as well as provide development for other roles you may be interested in.
**Required Qualifications**
* PhD in Statistics, Mathematics, Computer Science
* 3\+ years of AI/ML experience (LLM, NLP)
* 3\+ years of experience with Python, classical ML methods and deep learning, including deep learning frameworks such as PyTorch or Tensorflow
* Proven publication track record in top ML/NLP conferences/journals
**Preferred Qualifications**
* Experience with LLM frameworks and/or NLP approaches such as text embedding and text classification
* Experience with distributed computing approaches such as Spark
* Experience with Snowflake and other relational databases
* Experience working on collaborative software projects using GitHub
* Proven solid technical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3">
      <c r="A33" t="inlineStr">
        <is>
          <t>li-4374081457</t>
        </is>
      </c>
      <c r="B33" t="inlineStr">
        <is>
          <t>Sr Director, Chief Data Scientist</t>
        </is>
      </c>
      <c r="C33" t="inlineStr">
        <is>
          <t>Phillips 66</t>
        </is>
      </c>
      <c r="D33" t="inlineStr">
        <is>
          <t>linkedin</t>
        </is>
      </c>
      <c r="E33">
        <f>HYPERLINK("https://www.linkedin.com/jobs/view/4374081457", "https://www.linkedin.com/jobs/view/4374081457")</f>
        <v/>
      </c>
      <c r="F33">
        <f>HYPERLINK("https://careers.phillips66.com/job/Houston-Sr-Director%2C-Chief-Data-Scientist-TX-77042/1366265900/?feedId=401900&amp;utm_source=LILimitedListings&amp;utm_campaign=Phillips66_LIListings&amp;urlHash=v73a", "https://careers.phillips66.com/job/Houston-Sr-Director%2C-Chief-Data-Scientist-TX-77042/1366265900/?feedId=401900&amp;utm_source=LILimitedListings&amp;utm_campaign=Phillips66_LIListings&amp;urlHash=v73a")</f>
        <v/>
      </c>
      <c r="G33" t="inlineStr">
        <is>
          <t>Houston, TX</t>
        </is>
      </c>
      <c r="H33" t="inlineStr"/>
      <c r="I33" t="inlineStr">
        <is>
          <t>**Phillips 66 \&amp; YOU \- Together we can fuel the future**
 Phillips 66 is seeking a Chief Data Scientist to lead advanced analytics and data science initiatives for the Commercial function, including trading and value chain optimization. This role is pivotal in driving quantamental research, combining fundamental supply and demand analysis with quantitative techniques to deliver actionable insights for trading and market analysis. The Chief Data Scientist will oversee a team of central and embedded data scientists, collaborate with cross\-functional teams, and guide the development of production\-grade models and tools that empower traders and analysts. This role requires a blend of technical expertise, leadership, and strategic vision to unlock the full potential of data science in a fast\-paced, high\-stakes trading environment.
**What You’ll Do**
* Lead the stage\-gated approval process for investing in Proof of Concept (POC), Minimum Viable Product (MVP), and production\-grade models, ensuring alignment with business priorities and ROI.
* Identify and prioritize high\-potential ideas for exploratory data analysis during ideation and planning, leveraging deep experience in developing data science models for trading.
* Guide quantamental research efforts, combining fundamental supply and demand analysis (e.g., refinery outages, runs, yields) with advanced quantitative techniques to deliver actionable insights.
* Oversee the ingestion and transformation of data from internal and external sources, ensuring datasets progress from bronze to gold standards for analytics.
* Manage and mentor a team of 4–6 central data scientists who float across high\-value projects, and apprentice/review the performance of 4–8 embedded data scientists dedicated to specific trading desks.
* Collaborate closely with the Head of Market Analysis, data engineers, ML engineers, and software developers to transition MVP/POC models into production\-grade solutions integrated with full\-stack applications used by traders.
* Foster a culture of mentorship, knowledge sharing, and continuous learning within the data science team.
* Develop tools and frameworks that enable low\-code or no\-code self\-service exploratory data analysis for traders and market analysts, empowering them to derive insights independently.
* Partner with trading desks to understand business challenges and deliver tailored data science solutions that drive decision\-making and profitability.
* Establish and enforce processes, frameworks, and standards for model development, deployment, and monitoring to ensure scalability, reliability, and performance.
* Stay at the forefront of industry trends and emerging technologies, bringing fresh perspectives and innovative approaches to the organization.
**What You’ll Bring – Required**
* Master’s degree (or equivalent) in Computer Science, Data Science, Machine Learning, Applied Mathematics, Statistics, or a related field; Ph.D. preferred
* 10\+ years of experience in advanced analytics and machine learning, with meaningful exposure to commodities trading, energy markets, or financial markets
* Advanced proficiency in Python and modern ML frameworks (PyTorch, TensorFlow, scikit\-learn), with hands\-on experience using Databricks, Spark, and Azure cloud services
* Legally authorized to work in the posting country
**What Makes You Stand Out – Preferred**
* Deep foundations in statistics, time\-series analysis, econometrics, and optimization techniques
* Proven ability to operate across front office, risk, compliance, IT, and digital teams
* Strong communication and stakeholder management skills, including interaction with senior leadership and executive committees
* High standards for model quality, documentation, and operational resilience
* Demonstrated experience setting direction and governance for data science in large, complex organizations.
**Compensation Range**
 This position has a base salary range of $257,400 – $314,600\.
 At Phillips 66, we are committed to pay transparency and competitive, equitable compensation. Each role is assigned a salary grade with a defined pay range, benchmarked against industry peers. Where a candidate offer falls within the posted range depends on the candidate's experience, skills, and alignment with the role’s requirements. Offers are made to ensure internal equity and market competitiveness. Our compensation programs are designed to reward performance and support career growth.
 The
 **Commercial organization** 
 works to effectively leverage assets and market knowledge to create additional value within the risk parameters of the Company. We do this by maximizing general interest profitability, enhancing return on capital employed by successfully partnering with the Refining, Transportation and Marketing functions to ensure Value Chain Integration. Our truck and rail fleets support our feedstock and distribution operations. Rail movements are provided via a fleet of more than 10,000 owned and leased rail cars. Truck movements are provided through numerous third\-party trucking companies, as well as through our 100 percent\-owned subsidiary, Sentinel Transportation LLC.
**Total Rewards**
**Benefits**
 At Phillips 66, providing access to high quality programs and care for you and your family is important to us. Maintaining a culture of well\-being — physical, emotional, social, and financial — is essential for a high\-performing organization. When we are at our best, we are poised to deliver exceptional results — personally and professionally. Benefits for certain eligible, full\-time employees include:
* Annual Variable Cash Incentive Program (VCIP) bonus
* 8% 401k company match
* Cash Balance Account pension
* Medical, Dental, and Vision benefits with an annual company contribution to a Health Savings Account for employees on HDHP
* Total well\-being programs and incentives, including Employee Assistance Plan, well\-being reimbursement, and backup family care services
 Learn more about
 **Phillips 66 Total Rewards** 
 .
 Phillips 66 has more than 140 years of experience in providing the energy that enables people to dream bigger and go farther, faster. We are committed to improving lives, and that is our promise to our employees and our communities. We are sustained by the backgrounds and experiences of our diverse teams, which reflect who we are, the environment we create and how we work together. We have been recognized by the Human Rights Campaign, U.S. Department of Labor and the
 *Military Times* 
 for our continued commitment to inclusive practices and policies in the hiring and retention of those in the LGBTQ\+ community and military veterans. Our company is built on values of safety, honor and commitment. We call our cultural mindset Our Energy in Action, which we define through four simple, intuitive behaviors: We work for the greater good, cultivate an environment of trust, seek different perspectives and pursue excellence.
 Learn more about Phillips 66 and how we are working to meet the world's energy needs today and tomorrow, by visiting phillips66\.com.
**To Be Considered**
 In order to be considered for this position you must complete the entire application process, which includes answering all prescreening questions and providing your eSignature on or before the requisition closing date of
 **02/22/2026** 
 .
 Candidates for regular U.S. positions must be a U.S. citizen or national, or an alien admitted as permanent resident, refugee, asylee or temporary resident under 8 U.S.C. 1160(a) or 1255(a)(1\). Individuals with temporary visas such as E, F\-1, H\-1, H\-2, L, B, J, or TN or who need sponsorship for work authorization now or in the future, are not eligible for hire.
**Phillips 66 is an Equal Opportunity Employer**</t>
        </is>
      </c>
    </row>
    <row r="34">
      <c r="A34" t="inlineStr">
        <is>
          <t>li-4375415999</t>
        </is>
      </c>
      <c r="B34" t="inlineStr">
        <is>
          <t>Lead Data Scientist</t>
        </is>
      </c>
      <c r="C34" t="inlineStr">
        <is>
          <t>NDX Human Capital Solutions</t>
        </is>
      </c>
      <c r="D34" t="inlineStr">
        <is>
          <t>linkedin</t>
        </is>
      </c>
      <c r="E34">
        <f>HYPERLINK("https://www.linkedin.com/jobs/view/4375415999", "https://www.linkedin.com/jobs/view/4375415999")</f>
        <v/>
      </c>
      <c r="F34" t="inlineStr"/>
      <c r="G34" t="inlineStr">
        <is>
          <t>Oshkosh, WI</t>
        </is>
      </c>
      <c r="H34" t="inlineStr"/>
      <c r="I34" t="inlineStr">
        <is>
          <t>\*\*\*Direct Hire\*\*\*
 • Title: Digital Technology Data Scientist Lead
 • 2 positions
 • Start Date: asap
 • Location: Oshkosh, WI strongly preferred (3 days in office, up to 2 days remote).
 For very strong candidates, the team will consider candidates who are within driving distance of Oshkosh and who can work 25% onsite, 75% remote.
 Frederick, MD will also be considered for strong candidates, but only onsite option (3 days in office, up to 2 days remote)
 • Relocation offered.
 • Travel: minimum travel (1\-2 times per year to other sites)
 • US Citizen or Green Card Holder
 • Interview process: Screening interview with internal recruiter, after an assessment, an interview with the hiring manager and director, then a panel interview (onsite possible if local to Oshkosh).
 \*\*Must have on resume and be able to discuss during interview process\*\*
 • Required technical skills (see below in JD)
 • Strong business experience working with business counterparts.
 • Effectively being able to gather business requirements, build a solution, communicate it to the client.
 • Exceptional communication skills.
 • Be able to tell a story with data.
 • Must be able to describe how their experience impacted the business, the solution they built.
 • An understanding that they are working in a bigger environment; must have a center of excellence outlook, be comfortable with mingling with counter business parts and have strong social skills. This is not a "put your head down and work" role.
 • Experience from manufacturing, automotive, industrial, or engineering industry is preferred, but is open to other industries like healthcare, retail, or biotech for example.
 Heavy financial industry experience should be avoided.
 • Supply chain functions experience is important
 • B.S. with 5 years of experience
 • M.S. with 3 years of experience
 • The team is not looking for director level candidates or talent only looking for management roles. This is an individual contributor role.
 Job Description:
 We build, serve and protect people and communities around the world by designing and manufacturing some of the toughest specialty trucks and access equipment. We employ over 18,000 team members all united by a common purpose. Our engineering and product innovation help keep soldiers and firefighters safe, is critical in building and keeping communities clean and helps people do their jobs every day.
 SUMMARY: As a Data Scientist, your primary responsibilities will be to analyze and interpret datasets by using statistical techniques, machine learning, and/or programming skills in order to extract insights and build models which solve business problems.
 YOUR IMPACT:
 • Familiarity with data science tools, such as Azure Databricks, Power BI, Microsoft Office (including Excel pivot tables), Spark, Python, R and C.
 • Undertake the processing of multiple datasets, including structured and unstructured, to analyze large amounts of information to discover trends and patterns.
 • Prepare and concisely deliver analysis results in visual and written forms that communicate data insights to both technical and non\-technical audiences.
 • Collaborate with cross\-functional teams (e.g. data analysts, data engineers, architects, business stakeholders) to understand data needs for complex business requirements.
 • Build highly complex predictive models and machine\-learning algorithms. Execute Integration into existing systems or creation of new products.
 • Direct some data science assignments, projects, visualization tasks, data quality improvements, and troubleshooting of data incidents, including the resolution of root causes. • Lead efforts to resolve and document solutions to track and manage incidents, changes, problems, tasks, and demands.
 • Coach and mentor other team members on new technologies and best practices across data science and business intelligence.
 • Possesses advanced understanding of business' processes in at least one area of business and has an understanding of business processes in multiple areas of the business. • Actively supports the advancement of the strategic roadmap for data science.
 MINIMUM QUALIFICATIONS:
 • Bachelors degree with five (5\) or more years of experience in the field or in a related area.
 STANDOUT QUALIFICATIONS:
 • Masters or doctorate degree
 • Expertise in Power Platforms
 • Familiarity with LLM (open source or closed)
 • Experience in Front end web app development (Flaskapp, Gradio etc)
 • Familiarity with RAG architecture</t>
        </is>
      </c>
    </row>
    <row r="35">
      <c r="A35" t="inlineStr">
        <is>
          <t>li-4375401362</t>
        </is>
      </c>
      <c r="B35" t="inlineStr">
        <is>
          <t>Data Scientist - Pricing and Promotions Optimization</t>
        </is>
      </c>
      <c r="C35" t="inlineStr">
        <is>
          <t>CVS Health</t>
        </is>
      </c>
      <c r="D35" t="inlineStr">
        <is>
          <t>linkedin</t>
        </is>
      </c>
      <c r="E35">
        <f>HYPERLINK("https://www.linkedin.com/jobs/view/4375401362", "https://www.linkedin.com/jobs/view/4375401362")</f>
        <v/>
      </c>
      <c r="F35">
        <f>HYPERLINK("https://jobs.cvshealth.com/us/en/job/CVSCHLUSR0840180EXTERNALENUS/Data-Scientist-Pricing-and-Promotions-Optimization?utm_source=Linkedin&amp;utm_medium=phenom-feeds&amp;urlHash=Ab7V", "https://jobs.cvshealth.com/us/en/job/CVSCHLUSR0840180EXTERNALENUS/Data-Scientist-Pricing-and-Promotions-Optimization?utm_source=Linkedin&amp;utm_medium=phenom-feeds&amp;urlHash=Ab7V")</f>
        <v/>
      </c>
      <c r="G35" t="inlineStr">
        <is>
          <t>Wellesley Hills, MA</t>
        </is>
      </c>
      <c r="H35" t="inlineStr"/>
      <c r="I3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Retail Analytics team is helping lead the effort to transform healthcare and drive improved consumer experience by partnering with key business areas across CVS Health and delivering impactful analytic solutions and insights. As a member of this team, you will be at the forefront of delivering high visibility projects for key CVS Retail strategic initiatives. Specifically, you will have the opportunity to drive revenue and customer satisfaction in CVS Health’s Front Store business using data science to optimize pricing and promotions decisions. You will work cross functionally with both technical and non\-technical stakeholders and translate their business needs into problems to be solved using statistical modeling, machine learning, and optimization. We are a fast\-paced team focused on building innovative advanced analytics solutions using cloud capabilities. We are looking for individuals who have a strong sense of ownership, accountability, and a desire to deliver high quality and high impact products using advanced data driven approaches. Key responsibilities and what you will do:
* Algorithm Development: Develop, validate, and deploy scalable optimization algorithms to achieve business objectives and inform strategic decision\-making across CVS Health’s retail business. Define and monitor model performance metrics, ensuring alignment with business impact over time. Develop proof of concepts and transition solutions into production\-ready pipelines and APIs as required by the business.
* Cross\-Functional Collaboration: Collaborate with product managers, data engineering, software engineering, and data science teams to identify and implement impactful solutions to solve complex business problems, fostering trust and commitment through agile methodologies.
* Data Exploration: Analyze and interpret large volumes of structured and unstructured data to address complex business challenges effectively. Develop and maintain datasets and pipelines to organize, collect, and standardize data, facilitating insights and addressing reporting needs.
* Continuous Learning: Stay abreast of the latest advancements in optimization algorithms, machine learning solutions, and methodologies to enhance capabilities. Research and integrate new technologies to enhance existing solutions and address emerging challenges.
**Required Qualifications**
* 1\+ years of demonstrated experience applying operations research, reinforcement learning, and/or dynamic programming techniques.
* 1\+ years of experience building linear and nonlinear programming models for mathematical optimization and experience with optimization tools and libraries (Gurobi, Pulp, Pyomo, CPLEX).
* 1\+ years of experience in SQL and Python programming.
* Experience working with large datasets, analyzing data, and extracting meaningful insights.
* Experience working with a data engineering/MLOps team to productionize data science models, familiarity with version control (GitLab or GitHub), and ML platforms (AWS SageMaker, Databricks, GCP Vertex AI, etc.).
* Experience using applied statistics and machine learning techniques.
* Proven experience in analyzing complex problems and translating them into efficient data science algorithms with a focus on computational efficiency.
**Preferred Qualifications**
* A strong drive to explore data and make a business impact by applying data science and the curiosity to dive deep.
* Excellent communication and presentation skills and attention to detail.
* PhD in Operations Research, Management Science or equivalent.
* Retail domain knowledge and basic understanding of pricing and promotions concepts.
* Experience using PySpark and/or big data platforms (e.g., Hadoop, Spark) for large data processing.
* Knowledge of or experience in causal inference, and machine learning algorithms.
* Ability to effectively communicate technical concepts to non\-technical audiences, including experience creating communication materials (e.g., white paper, slide decks, etc.).
**Education**
* A PhD or a Master’s degree with 1\+ years, or a Bachelor’s degree with 2\+ years of relevant experience in a STEM field such as Operations Research/ Industrial Engineering, Applied Mathematics, Computer Science, Engineering, or a related field.
**Anticipated Weekly Hours**
 40
**Time Type**
 Full time
**Pay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03/29/2026
 Qualified applicants with arrest or conviction records will be considered for employment in accordance with all federal, state and local laws.</t>
        </is>
      </c>
    </row>
    <row r="36">
      <c r="A36" t="inlineStr">
        <is>
          <t>li-4375437513</t>
        </is>
      </c>
      <c r="B36" t="inlineStr">
        <is>
          <t>Data Scientist III</t>
        </is>
      </c>
      <c r="C36" t="inlineStr">
        <is>
          <t>Reflexive Concepts</t>
        </is>
      </c>
      <c r="D36" t="inlineStr">
        <is>
          <t>linkedin</t>
        </is>
      </c>
      <c r="E36">
        <f>HYPERLINK("https://www.linkedin.com/jobs/view/4375437513", "https://www.linkedin.com/jobs/view/4375437513")</f>
        <v/>
      </c>
      <c r="F36">
        <f>HYPERLINK("https://www.adzuna.com/details/5606974686?v=45B41F23744236FC225358B8D90BF9F99A107B00&amp;frd=0eb633ff76ebebf641ff83959094f2f3&amp;ccd=84625e0b85638f28ee59394af79d370b&amp;r=21293409&amp;utm_source=linkedin7&amp;utm_medium=organic&amp;chnlid=1931&amp;title=Data%20Scientist%20III&amp;a=e&amp;urlHash=8Fn5", "https://www.adzuna.com/details/5606974686?v=45B41F23744236FC225358B8D90BF9F99A107B00&amp;frd=0eb633ff76ebebf641ff83959094f2f3&amp;ccd=84625e0b85638f28ee59394af79d370b&amp;r=21293409&amp;utm_source=linkedin7&amp;utm_medium=organic&amp;chnlid=1931&amp;title=Data%20Scientist%20III&amp;a=e&amp;urlHash=8Fn5")</f>
        <v/>
      </c>
      <c r="G36" t="inlineStr">
        <is>
          <t>Annapolis Junction, MD</t>
        </is>
      </c>
      <c r="H36" t="inlineStr"/>
      <c r="I36" t="inlineStr">
        <is>
          <t>**Reflexive Concepts is seeking a skilled Data Scientist III to join our growing team!**
 Specifically, we are seeking a candidate with significant MLOPS and Data Science background. The candidate will develop machine learning, data mining, statistical and graph\-based algorithms to analyze and make sense of datasets; prototype or consider several algorithms and decide upon final model based on suitable performance metrics; build models or develop experiments to generate data when training or example datasets are unavailable; generate reports and visualizations that summarize datasets and provide data\-driven insights to customers; partner with subject matter experts to translate manual data analysis into automated analytics; implement prototype algorithms within production frameworks for integration into analyst workflows.
**Requirements**
* Bachelor's degree or higher from an accredited college or university in a quantitative discipline (e.g., statistics, mathematics, operations research, engineering or computer science).
* A minimum of ten (10\) years of experience in two (2\) or more of the following: designing/implementing machine learning, data mining, advanced analytical algorithms, advanced statistical analysis, artificial intelligence, or software engineering with data analysis software such as R, Python, SAS, or MATLAB.
* An additional four (4\) years of experience in software development, cloud development, analyzing datasets, or developing descriptive, predictive, and prescriptive analytics can be substituted for a Bachelor's degree.
* A Master’s Degree from an accredited college or university in a quantitative discipline can be substituted for two (2\) years of experience for a total of eight (8\) years of experience required.
* A Doctoral Degree from an accredited college or university in a quantitative discipline can be substituted for four (4\) years of experience for a total of six (6\) years of experience required.
**Key Responsibilities:**
* Produce data visualizations that provide insight into dataset structure and meaning
* Work with subject matters experts (SMEs) to identify important information in raw data and develop scripts that extract this information from a variety of data formats (e.g., SQL tables, structured metadata, network logs)
* Incorporate SME input into feature vectors suitable for analytic development and testing
* Translate customer qualitative analysis process and goals into quantitative formulations that are coded into software prototypes
* Develop and implement statistical, machine learning, and heuristic techniques to create descriptive, predictive, and prescriptive analytics
* Develop statistical tests to make data\-driven recommendations and decisions
* Develop experiments to collect data or models to simulate data when required data are unavailable
* Develop feature vectors for input into machine learning algorithms
* Identify the most appropriate algorithm for a given dataset and tune input and model parameters
* Evaluate and validate the performance of analytics using standard techniques and metrics (e.g. cross validation, ROC curves, confusion matrices)
* Oversee the development of individual analytic efforts and guide team in analytic development process
* Guide analytic development toward solutions that can scale to large datasets
* Partner with software engineers and cloud developers to develop production analytics
* Develop and train machine learning systems based on statistical analysis of data characteristics to support mission automation
* Lead a team of data scientists in the development of multiple analytic efforts
* Work with customers and SMEs to define analytic requirements and guide the team in formulating analytics that meet requirements
* Guide the transition of prototyped analytics to production system
* Understand emerging machine learning and pattern recognition algorithms and guide a team of data scientists in integrating state\-of\-the\-art algorithms into solutions
* Delegate analysis responsibilities to one or more team members and monitor performance</t>
        </is>
      </c>
    </row>
    <row r="37">
      <c r="A37" t="inlineStr">
        <is>
          <t>li-4375417346</t>
        </is>
      </c>
      <c r="B37" t="inlineStr">
        <is>
          <t>DATA SCIENTIST</t>
        </is>
      </c>
      <c r="C37" t="inlineStr">
        <is>
          <t>TalentAlly</t>
        </is>
      </c>
      <c r="D37" t="inlineStr">
        <is>
          <t>linkedin</t>
        </is>
      </c>
      <c r="E37">
        <f>HYPERLINK("https://www.linkedin.com/jobs/view/4375417346", "https://www.linkedin.com/jobs/view/4375417346")</f>
        <v/>
      </c>
      <c r="F37" t="inlineStr"/>
      <c r="G37" t="inlineStr">
        <is>
          <t>Fairfax, VA</t>
        </is>
      </c>
      <c r="H37" t="inlineStr"/>
      <c r="I37" t="inlineStr">
        <is>
          <t>**\*\*\*Position is 100% on\-site\*\*\*** 
**\*\*\*Secret Clearance Is Required\*\*\*** 
 VSolvitis looking for a broadly talented Data Scientist with quantitative research skills to take an active role on our data analytics team. You will work on vast amounts of DEA data to discover hidden information by applying modern statistical and ML/AI techniques. The main scripting languages used on this program are Python and some 'R'. The databases are MS SQL Server and Elastic Search and are used against the enterprise data warehouses with Kibana, Tableau or other BI and Visualization tools. This is a mature team that is high profile and charged with delivering solutions in Data Sciences enabling maximum leverage of DEA master data. At a higher Level, this position is part of a team of developers and IT SME's who support the DEA data warehouse project and the ability to recognize opportunities for the correlation of data is vital for this position. The need for strategic thinking, with the ability to easily spot gaps, ensure accuracy, and find differences in what should be the same values in data, and lags in data that will ultimately affect velocity and overall quality of the products, is highly desired.
 Your primary focus will be applying data mining techniques, doing statistical analysis, and building high\-quality prediction systems integrated with DEA programs and DEA data (e.g. structured, unstructured, and mixed datasets). You will also design and develop automatic scoring using machine learning techniques, build recommendation systems, design, and develop classifiers for feature extraction. This program is one in which pushing boundaries and innovation within the scope of the program is valued. There is a fully supported effort to develop and further Power BI/ML/AI in the quest for 'making the data dance'. The Data Sciences group provides innovative algorithm development using various techniques to achieve desired insight or open eyes to new revealing results and possibilities. In addition to technical knowledge the team values the ability to collaborate and communicate with one another to ensure a highly productive, respectful, and harmonious work setting, be it virtual or mixed of onsite and remote.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Work with large DEA data using descriptive statistics and data visualization tools
* Create insights from existing DEA data, and drive the collection of new data and ways to address new data
* Collaborate with clients and team members to understand and communicate results, and to put insights into operation
* Enhancing data collection procedures to include information that is relevant for building analytical systems
* Doing ad\-hoc analysis and presenting results in a clear manner
* Work with other team members such as those focused on Data warehousing, Tools development, software development, DevOps, systems analysts etc.
* Design accurate and scalable prediction algorithms
* Collaborate with engineering team to bring analytical prototypes to production
* Generate actionable insights for business improvements
**Basic Qualifications** 
* U.S. Citizenship Required
* Secret Clearance Required
* Must be able to pass a DEA Security Approval
* Team experience (i.e., managing tasks with other Data Scientists; communicator to client and other DEA Team Leads; good communication skills orally and in writing)
* At least 2 years of data science and custom Machine Learning and AI model training experience solved 'real world' problem (to include supervised and unsupervised) and Natural Language Processing (NLP) expertise focusing on unstructured data with Anaconda, VScode with Git Version control
* Bachelor's or Master's degree in Computer Science, Data Science, or a related field.
* 5\+ years' of professional experience in data science and analysis
* 5\+ years' Python, "R" or other scripting languages
* 2\+ years' database experience
* ML practice \- using scikit learn, tensorflow, or pytorch and perform DEA (Data exploration Analysis), clean data, model selection, feature selection/tuning, and deployment
* 2\+ years' experience with data visualization tools
* Utilize a strong understanding of Machine Learning basics to design and implement effective models for \[specific industry/sector] applications.
* Professional experience in implementing and deploying Deep Learning models to solve complex problems
* Collaborate with cross\-functional teams as a team player to integrate data science solutions into our products and services.
* Demonstrate excellent communication skills to convey complex technical concepts to non\-technical stakeholders and team members.
* Utilize Git for version control, ensuring effective collaboration and code management within the team.
* Embrace Agile methodologies to adapt to fast\-paced development cycles and deliver high\-quality results.
* Solid understanding of statistical analysis and data visualization techniques.
* Ability to work independently and collaboratively in a team\-oriented environment.
* Dedication to continued learning, be team\-oriented, self\-driven, quality minded, and customer\-friendly
* If applicable: If you are or have been recently employed by the U.S. government, a post\-employment ethics letter will be required if employment with VSolvit is offered
**Preferred Qualifications (but not required)** 
* Graduate degree in a quantitative social science or a STEM field highly desired
* 10\+ years' of professional experience in data science and analysis
* 10\+ years' Python, "R" or other scripting languages
* 5\+ years' of relational database experience
* 5\+ years of non\-relational/big data experience
* Experience or knowledge of ELK may be helpful
* Experience with common data science toolkits, such as R, Weka, NumPy, MatLab, etc.
* Proficiency in using data query languages such as SQL, Hive, Pig, Pandas, MongoDB
* Proficiency in big data modeling work: Hadoop, Pig, Scala, Spark
* Good, applied statistics skills, such as distributions, statistical testing, regression, etc.
* Substantial experience with statistics and the scientific method, and the ability to perform self\-directed hypothesis\-driven research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 
 PDN\-a1008b14\-e84b\-48b4\-a3e9\-fdacdeb57f4f</t>
        </is>
      </c>
    </row>
    <row r="38">
      <c r="A38" t="inlineStr">
        <is>
          <t>li-4360120716</t>
        </is>
      </c>
      <c r="B38" t="inlineStr">
        <is>
          <t>Senior Applied Scientist - AI/ML</t>
        </is>
      </c>
      <c r="C38" t="inlineStr">
        <is>
          <t>Wealth.com</t>
        </is>
      </c>
      <c r="D38" t="inlineStr">
        <is>
          <t>linkedin</t>
        </is>
      </c>
      <c r="E38">
        <f>HYPERLINK("https://www.linkedin.com/jobs/view/4360120716", "https://www.linkedin.com/jobs/view/4360120716")</f>
        <v/>
      </c>
      <c r="F38" t="inlineStr"/>
      <c r="G38" t="inlineStr"/>
      <c r="H38" t="inlineStr"/>
      <c r="I38" t="inlineStr">
        <is>
          <t>**About Us**
 Wealth.com is the industry’s leading estate planning platform, empowering more than 1,000 wealth management firms to modernize how they talk about estate planning with their clients. As the only tech\-led, end\-to\-end platform built specifically for financial institutions, Wealth.com enables firms to drive scale, efficiency, and measurable client impact. Trusted by some of the largest names in finance, Wealth.com combines proprietary AI, robust security, and deep technological and legal expertise to serve the full range of client needs, from foundational plans to the most sophisticated estate strategies. The company has been widely recognized for innovation and leadership, winning Top Estate Planning Technology and Top Estate Planning Implementation at the 2025 WealthManagement.com Industry Awards, being named the 2024 Best Technology Provider in the Trust category, and earning \#1 in estate planning market share in the 2025 Kitces AdvisorTech Study.
 Our team is fundamental to our standing as the leading estate planning platform. We cultivate a collaborative and supportive environment, fostering innovation and making Wealth.com a truly enjoyable workplace. Wealth.com is proud to be certified as a Great Place to Work for 2025\.
**The Role**
 We are seeking an Applied Scientist with a strong software engineering foundation to build the next generation of legal and financial AI. In this role, you will move beyond theoretical knowledge and focus on the practical application of building, scaling, and maintaining robust, production\-grade AI systems. You will work on a variety of initiatives, from complex document understanding to the development of sophisticated AI agents that will redefine how estate planning is done.
 Your primary focus will be on the "how"—how to effectively leverage state\-of\-the\-art models in a real\-world application, how to build scalable and secure systems around their limitations, and how to ship products that deliver real value to our users.
**What You Will Do**
* Design, build, and deploy production\-grade systems leveraging Large Language Models (LLMs) from providers like OpenAI, Google (Vertex AI), and Anthropic.
* Develop and scale end\-to\-end applications for complex document understanding, focusing on textual, financial, and tabular data. This includes building sophisticated, high\-precision RAG (Retrieval\-Augmented Generation) systems that are battle\-tested for production traffic.
* Implement robust guardrails, validation layers, and monitoring to preemptively address model limitations, such as hallucinations, both in offline evaluation and online production environments.
* Engineer and deploy complex, multi\-step AI agents, with a focus on creating agentic workflows that are scalable, maintainable, and secure, especially when handling highly sensitive client data.
* Own projects from conception to deployment, making key architectural decisions and ensuring the systems you build meet stringent requirements for latency, precision, and recall.
* Build scalable ETL (Extract, Transform, Load) data pipelines to process and prepare complex datasets for AI model consumption.
* Collaborate closely with product managers, software engineers, and other scientists to build tools, define metrics, and continuously improve the end\-to\-end quality of our AI systems.
* Align your technical work with business outcomes, effectively communicating the impact and performance of the systems you build to stakeholders.
**Qualifications**
* A degree in Computer Science, Engineering, or a related quantitative field (or equivalent practical experience).
* Proven experience building and shipping software in a production environment. You are a builder at heart and have a portfolio of projects (personal or professional) that have seen real user traffic.
* Strong software engineering fundamentals, including data structures, algorithms, system design, and writing clean, maintainable code.
* Hands\-on experience building, deploying, and maintaining production\-level agent systems using frameworks like Agent Development Kit (ADK) or LangGraph.
* Proficiency in Python and a strong aptitude for working in a polyglot environment that may include TypeScript, C\#, etc.
* Experience developing applications that consume and integrate APIs from major AI providers (e.g., Google Vertex AI, Azure OpenAI).
**Preferred Qualifications (Bonus Points)**
* 5\+ years of professional experience writing production code and shipping AI/ML\-powered features.
* Demonstrated experience building and scaling agentic workflows. Extra points if you have dealt with highly sensitive data as part of these agents.
* Experience working in a highly regulated industry such as LegalTech, FinTech, or HealthTech. You understand the unique challenges and importance of security and privacy.
* Experience with MLOps, including setting up training pipelines, monitoring model performance in production, and implementing CI/CD for ML systems.
* Familiarity with techniques for ensuring data privacy and security in AI systems (e.g., identifying and sanitizing PII).
**Benefits \&amp; Perks**
* Competitive salary.
* Hybrid work arrangement if located in the Phoenix or New York area; otherwise, fully remote. We also meet together in person several times a year.
* Excellent medical, dental, and vision insurance options, with low\-cost premium structures that demonstrate our commitment to offering great value to our employees.
* 100% company\-paid basic life insurance, short\-term and long\-term disability insurance.
* 100% paid parental leave upon eligibility.
* Company equity managed through Carta.
* 401k with match and 100% vesting upon hire.
* Flexible PTO in an environment where taking time off to relax or recharge is supported and encouraged.
* Take time off for holidays—and yes, your birthday counts too. Celebrate, relax, and recharge without thinking twice.
 Wealth is an equal opportunity employer and encourages people from all backgrounds to apply. Should you have a disability or special need that requires accommodation, please let us know.
 Compensation Range: $180K \- $215K</t>
        </is>
      </c>
    </row>
    <row r="39">
      <c r="A39" t="inlineStr">
        <is>
          <t>li-4374086100</t>
        </is>
      </c>
      <c r="B39" t="inlineStr">
        <is>
          <t>Data Scientist - Senior</t>
        </is>
      </c>
      <c r="C39" t="inlineStr">
        <is>
          <t>HTC Global Services</t>
        </is>
      </c>
      <c r="D39" t="inlineStr">
        <is>
          <t>linkedin</t>
        </is>
      </c>
      <c r="E39">
        <f>HYPERLINK("https://www.linkedin.com/jobs/view/4374086100", "https://www.linkedin.com/jobs/view/4374086100")</f>
        <v/>
      </c>
      <c r="F39">
        <f>HYPERLINK("https://www.htcinc.com/job-detail/?jobcode=240759&amp;board=177&amp;board_type=30&amp;urlHash=Ob7m", "https://www.htcinc.com/job-detail/?jobcode=240759&amp;board=177&amp;board_type=30&amp;urlHash=Ob7m")</f>
        <v/>
      </c>
      <c r="G39" t="inlineStr">
        <is>
          <t>Dearborn, MI</t>
        </is>
      </c>
      <c r="H39" t="inlineStr"/>
      <c r="I39" t="inlineStr">
        <is>
          <t>**Job Description**
**Job Description:**
 Employees in this job function are responsible for predicting and/ or extracting meaningful trends/ patterns/ recommendations from raw data, leveraging data science methodologies including Machine Learning (ML), predictive modeling, math, statistics, advanced analytics, etc.
**Key Responsibilities**
* Understand business requirements and analyze datasets to determine suitable approaches to meet analytic business needs and support data\-driven decision\-making
* Design and implement data analysis and ML models, hypotheses, algorithms and experiments to support data driven decision\-making
* Apply various analytics techniques like data mining, predictive modeling, prescriptive modeling, math, statistics, advanced analytics, machine learning models and algorithms, etc.; to analyze data and uncover meaningful patterns, relationships, and trends
* Design efficient data loading, data augmentation and data analysis techniques to enhance the accuracy and robustness of data science and machine learning models, including scalable models suitable for automation
* Research, study and stay updated in the domain of data science, machine learning, analytics tools and techniques etc.; and continuously identify avenues for enhancing analysis efficiency, accuracy and robustness Desired Experience (Minimum Requirements)
* Professional Experience: 5\+ years of experience in a Data Science role, with a proven track record of delivering models that impact business outcomes.
* Programming Expertise: Expert proficiency in Python (specifically libraries like Pandas, NumPy, Scikit\-learn, SciPy) or R.
* Machine Learning Foundations: Deep understanding of a broad range of ML techniques, including Gradient Boosting (XGBoost/LightGBM), Random Forests, GLMs, and Clustering.
* Advanced SQL: Ability to manipulate and extract data from complex, multi\-terabyte distributed databases.
* Mathematics \&amp; Statistics: Strong foundation in linear algebra, calculus, and advanced statistical inference.
* Software Best Practices: Experience with version control (Git) and writing clean, modular, and maintainable code.
**Skills Required**
* ALGORITHMS, Python, GCP
**Experience Required**
* Senior Associate Exp: 3 to 5 years experience in relevant field
**Education Required**
* Master's Degree
**Additional Information :**
* Model Development: Design, develop, and deploy high\-performance machine learning models (supervised, unsupervised, and reinforcement learning) to address business needs such as churn prediction, recommendation engines, or demand forecasting.
* Experimental Design: Lead the design and analysis of large\-scale experiments (A/B testing, multivariate testing) to validate hypotheses and measure the impact of product changes.
* Feature Engineering: Architect and implement robust data pipelines and feature engineering processes to improve model accuracy and scalability.
* Algorithm Optimization: Evaluate and refine existing algorithms to improve computational efficiency and predictive power.
* Stakeholder Influence: Act as a strategic advisor to leadership, translating complex algorithmic outcomes into business\-centric narratives that drive ROI.
* Technical Leadership: Mentor junior data scientists and contribute to the team’s internal library of best practices, code standards, and research methodologies.
* Collaboration with Engineering: Partner with ML Engineers and DevOps to integrate models into production systems, ensuring reliability and monitoring model drift.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40">
      <c r="A40" t="inlineStr">
        <is>
          <t>li-4374079219</t>
        </is>
      </c>
      <c r="B40" t="inlineStr">
        <is>
          <t>Data Scientist - Senior</t>
        </is>
      </c>
      <c r="C40" t="inlineStr">
        <is>
          <t>HTC Global Services</t>
        </is>
      </c>
      <c r="D40" t="inlineStr">
        <is>
          <t>linkedin</t>
        </is>
      </c>
      <c r="E40">
        <f>HYPERLINK("https://www.linkedin.com/jobs/view/4374079219", "https://www.linkedin.com/jobs/view/4374079219")</f>
        <v/>
      </c>
      <c r="F40">
        <f>HYPERLINK("https://www.htcinc.com/job-detail/?jobcode=240761&amp;board=177&amp;board_type=30&amp;urlHash=ujv0", "https://www.htcinc.com/job-detail/?jobcode=240761&amp;board=177&amp;board_type=30&amp;urlHash=ujv0")</f>
        <v/>
      </c>
      <c r="G40" t="inlineStr">
        <is>
          <t>Dearborn, MI</t>
        </is>
      </c>
      <c r="H40" t="inlineStr"/>
      <c r="I40" t="inlineStr">
        <is>
          <t>**Job Description**
**Job Description:**
 Employees in this job function are responsible for predicting and/ or extracting meaningful trends/ patterns/ recommendations from raw data, leveraging data science methodologies including Machine Learning (ML), predictive modeling, math, statistics, advanced analytics, etc.
**Key Responsibilities**
* Understand business requirements and analyze datasets to determine suitable approaches to meet analytic business needs and support data\-driven decision\-making Design and implement data analysis and ML models, hypotheses, algorithms and experiments to support data driven decision\-making
* Apply various analytics techniques like data mining, predictive modeling, prescriptive modeling, math, statistics, advanced analytics, machine learning models and algorithms, etc.; to analyze data and uncover meaningful patterns, relationships, and trends
* Design efficient data loading, data augmentation and data analysis techniques to enhance the accuracy and robustness of data science and machine learning models, including scalable models suitable for automation
* Research, study and stay updated in the domain of data science, machine learning, analytics tools and techniques etc.; and continuously identify avenues for enhancing analysis efficiency, accuracy and robustness
**Skills Required**
* Data Science, Data Model, Machine Learning
**Skills Preferred**
* Data Analysis, Python, GCP
**Experience Required**
* Senior Associate Exp: 3 to 5 years experience in relevant field
**Education Required**
* Bachelor's Degree, Master's Degree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41">
      <c r="A41" t="inlineStr">
        <is>
          <t>li-4375196630</t>
        </is>
      </c>
      <c r="B41" t="inlineStr">
        <is>
          <t>Senior Data Scientist - Quickbooks Workforce Solutions</t>
        </is>
      </c>
      <c r="C41" t="inlineStr">
        <is>
          <t>Intuit</t>
        </is>
      </c>
      <c r="D41" t="inlineStr">
        <is>
          <t>linkedin</t>
        </is>
      </c>
      <c r="E41">
        <f>HYPERLINK("https://www.linkedin.com/jobs/view/4375196630", "https://www.linkedin.com/jobs/view/4375196630")</f>
        <v/>
      </c>
      <c r="F41" t="inlineStr"/>
      <c r="G41" t="inlineStr">
        <is>
          <t>Mountain View, CA</t>
        </is>
      </c>
      <c r="H41" t="inlineStr"/>
      <c r="I41" t="inlineStr">
        <is>
          <t>**Overview**
 We are seeking a Senior Data Scientist to join our Quickbooks Workforce Solutions Data Science Team. This role is focused on growth across Intuit’s Payroll and Human Capital Management products and services. The team uses advanced analytics and artificial intelligence to deliver exceptional customer experiences and help businesses manage finances and employees more effectively.
 As a Senior Data Scientist on the Product Data Science team, you will explore data to generate insights that influence the strategic direction of Workforce Solutions. Your work will directly shape product development, customer experience, and go\-to\-market decisions.
**Responsibilities**
* Define KPIs and Success Metrics: Establish key business indicators for projects, ensuring alignment with company objectives and clear measures of success.
* Data Visualization: Translate complex data into clear, accessible dashboards and other visualizations that help stakeholders understand key insights and make informed decisions.
* Experimentation and A/B Testing: Design, implement, and analyze experiments using a hypothesis\-driven approach. Provide insights and recommendations based on test outcomes to optimize business strategies.
* Predictive Analytics and Modeling: Develop predictive models and methodologies to uncover growth opportunities and support long\-term business planning.
* Communication and Cross\-Functional Collaboration: Partner with Product, Marketing, and Finance teams to identify opportunities, create data\-driven strategies, and influence decision\-making. Translate complex technical findings into clear, actionable insights.
**Qualifications**
* Bachelor's degree in Statistics, Economics, Computer Science or a related quantitative field is required. Advanced degrees, particularly a Master's or PhD in economics or statistics, are highly desirable.
* 4\+ years of experience in product analytics or data science.
* Ability to develop scalable, reusable analytic solutions.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Expertise in SQL and data visualization tools such as Tableau or Qliksense.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2026-02-19T20:35:00Z</dcterms:created>
  <dcterms:modified xsi:type="dcterms:W3CDTF">2026-02-19T20:35:00Z</dcterms:modified>
</cp:coreProperties>
</file>