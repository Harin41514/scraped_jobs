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3"/>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in-f44d4e2401207f1b</t>
        </is>
      </c>
      <c r="B2" t="inlineStr">
        <is>
          <t>Principal Data/AI Engineer</t>
        </is>
      </c>
      <c r="C2" t="inlineStr">
        <is>
          <t>FujiFilm</t>
        </is>
      </c>
      <c r="D2" t="inlineStr">
        <is>
          <t>indeed</t>
        </is>
      </c>
      <c r="E2" t="inlineStr"/>
      <c r="F2" t="inlineStr"/>
      <c r="G2" t="inlineStr">
        <is>
          <t>Remote, US</t>
        </is>
      </c>
      <c r="H2" s="1" t="n">
        <v>46071</v>
      </c>
      <c r="I2" t="inlineStr">
        <is>
          <t>Position Overview:
The Principal Data/AI Engineer helps drive the technical strategy and architecture of enterprise\-scale data and AI platforms that power mission\-critical data products, analytics, and AI\-driven solutions. In this role, you will operate as a technical expert in planning, designing, developing, and debugging new and existing data pipelines. You will advocate for data and AI engineering best practices, including idempotent modular pipeline design, version control, automated testing, CI/CD, IaaS, data quality checks and observability. You will help mentor junior engineers through design guidance, code reviews, pairing, and enabling Agile frameworks to promote iterative delivery and continuous improvement.  
Company Overview:
The work we do at FUJIFILM Biotechnologies has never been more important—and we are looking for talented candidates to join us. We are growing our locations, our capabilities, and our teams, and looking for passionate, mission\-driven people like you who want to make a real difference in people’s lives.
Join FUJIFILM Biotechnologies and help make the next vaccine, cure, or gene therapy in partnership with some of the most innovative biopharma companies across the globe. We are proud to cultivate a culture that will fuel your passion, energy, and drive \- what we call Genki.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You will work closely with cross\-functional team of business and IT peers and expected to lead by example \- balancing delivery speed of new features with long\-term platform health and technical excellence.  
What you'll do:* Architect, build, and maintain highly scalable batch and streaming pipelines on the Snowflake Data Platform (Snowpipe, Tasks, Streams, Dynamic Tables, Snowpark, Iceberg).
* Architect and deliver ML/GenAI solutions using managed cloud services (AWS, Azure, Snowflake Cortex).
* Implement modern data modeling and architecture patterns; establish and enforce standards for data quality (tests, expectations, SLAs/SLOs), observability (metrics, logs, traces), and lineage.
* Ensure integration of biotech systems (MES, LIMS, SCADA, ERP, QMS) into centralized data platform.
* Collaborate with product managers, product engineers, platform architects, and business stakeholders to align data and AI engineering solutions with business requirements.
* Enable modern AI use cases \- feature stores, vector search/RAG, model serving, safety/guardrails, and continuous monitoring for drift, bias, and performance.
* Optimize storage tiers, compute clusters/warehouses, caching, and workload orchestration for latency and throughput.
* Partner with cybersecurity and compliance teams to ensure adherence to GxP, FDA 21 CFR Part 11, and data privacy regulations.
* Lead design reviews, incident postmortems, and cross\-team architecture forums.
* Stay current with emerging technologies (data mesh, real\-time streaming, digital twins, generative AI platforms) and introduce relevant innovations.
* And other job duties that may be assigned from time to time.
What you'll need:* Bachelor’s degree in Computer Science, Data Engineering, AI/ML Engineering, or related field.
* 12\+ years of professional experience in data/software engineering, AI/ML engineering, or cloud platform engineering.
* Proven experience using Python and SQL
* Extensive experience building and maintaining data pipelines using modern frameworks (e.g. Airflow, dbt).
* Proven experience with data modelling for analytics and AI use cases.
* Strong experience with cloud platforms (AWS, Azure).
* Proven experience delivering production\-grade data solutions.
* Familiarity with biotech or life sciences systems and regulatory compliance frameworks (GxP, FDA, EMA).
Preferred Experience and Education:* Advanced degree (MS/PhD) preferred.
* Relevant industry certifications (e.g., Snowflake, AWS, Azure) preferred.
Knowledge, Skills and Abilities:* Design and implementation of scalable batch and streaming data pipelines.
* Strong proficiency in Python and SQL/dbt for data processing, automation, and analytics.
* Extensive experience in Airflow or similar orchestration tool.
* Expertise in designing and developing data solutions on Snowflake, including data modelling, performance optimization, and cost\-efficient usage.
* Experience with modern AI technologies, including LLMs, embeddings, and vector databases.
* Proven track of delivering cloud\-based solutions (AWS, Azure).
* Containerization and deployment of data and AI workloads using Docker.
* Orchestration and operation of containerized workloads using Kubernetes.
* Data quality management, observability, lineage, and governance.
* Knowledge of biotech IT/OT systems (MES, LIMS, SCADA), and compliance frameworks (GxP, FDA, data privacy).
* Strong problem\-solving, optimization, and troubleshooting skills for large\-scale data systems.
* Effective communication with both technical and non\-technical stakeholders, influencing at senior levels.
* Passion for emerging technologies, continuous improvement, and building innovative engineering cultures.
EEO Information: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If you require reasonable accommodation in completing this application, interviewing, completing any pre\-employment testing, or otherwise participating in the employee selection process, please direct your inquiries to our HR Department (fdbglobaltalent@fujifilm.com).</t>
        </is>
      </c>
    </row>
    <row r="3">
      <c r="A3" t="inlineStr">
        <is>
          <t>in-8b8e7ccafbd8422f</t>
        </is>
      </c>
      <c r="B3" t="inlineStr">
        <is>
          <t>Senior Computer Vision /Machine Learning Engineer II - Indianapolis</t>
        </is>
      </c>
      <c r="C3" t="inlineStr">
        <is>
          <t>Dandy</t>
        </is>
      </c>
      <c r="D3" t="inlineStr">
        <is>
          <t>indeed</t>
        </is>
      </c>
      <c r="E3" t="inlineStr"/>
      <c r="F3" t="inlineStr"/>
      <c r="G3" t="inlineStr">
        <is>
          <t>Indianapolis, IN, US</t>
        </is>
      </c>
      <c r="H3" s="1" t="n">
        <v>46071</v>
      </c>
      <c r="I3"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In the past 3 years, Dandy has built the leading digital\-first custom dental appliance manufacturer. As we go through our next level of scale, Dandy is building a world class Machine Learning \&amp; Computer Vision team to enhance our 3D dental platform and automate many of the human\-driven processes in our manufacturing today.
The global, remote team tackles problems involving 3D geometric computer vision, generative deep learning, and SOTA machine learning methods. As a part of this newly created team, you will play a key role in laying the foundation that will drive the team’s success. You will establish best practices, solve ambiguous data problems that have never been solved before with industry wide impact, and be given the freedom to innovate.
**What You'll Do**
* Build Computer Vision models to extract structure from unstructured, information\-dense 3D scans
* Research SOTA methods for developing models to accomplish 3D generative AI tasks as well as conventional computer vision tasks.
* Work with product and research teams to identify opportunities for improvement in our current product line and for enabling upcoming product lines
* Work with massive datasets to develop both generic models as well as fine tune models for specific applications
* Develop evaluation methods which allow us to establish confidence in our datasets and models
* Implement best practices for our MLOps pipelines
* Work closely with product owners on a feature focused team to deliver value quickly to Dandy’s customers
**What We're Looking For**
* 8\+ years experience post Master's degree, or 5\+ years of experience post PhD
* Extensive experience in Python
* Extensive experience in SOTA 2D deep learning and/or experience with 3D deep learning
* Experience with 3D geometric Computer Vision
* Experience with PyTorch
* Have immaculate attention to detail and take pride in delivering excellent code and results
* Masters or PhD in related field
* Candidates must be able to work onsite in Indianapolis, IN 3 days per week
**Req ID:** J\-684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Compensation Range: $216,750 \- $255,000</t>
        </is>
      </c>
    </row>
    <row r="4">
      <c r="A4" t="inlineStr">
        <is>
          <t>in-ec9e9938d73713a5</t>
        </is>
      </c>
      <c r="B4" t="inlineStr">
        <is>
          <t>Senior Computer Vision /Machine Learning Engineer II - Provo</t>
        </is>
      </c>
      <c r="C4" t="inlineStr">
        <is>
          <t>Dandy</t>
        </is>
      </c>
      <c r="D4" t="inlineStr">
        <is>
          <t>indeed</t>
        </is>
      </c>
      <c r="E4" t="inlineStr"/>
      <c r="F4" t="inlineStr"/>
      <c r="G4" t="inlineStr">
        <is>
          <t>Indianapolis, IN, US</t>
        </is>
      </c>
      <c r="H4" s="1" t="n">
        <v>46071</v>
      </c>
      <c r="I4"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In the past 3 years, Dandy has built the leading digital\-first custom dental appliance manufacturer. As we go through our next level of scale, Dandy is building a world class Machine Learning \&amp; Computer Vision team to enhance our 3D dental platform and automate many of the human\-driven processes in our manufacturing today.
The global, remote team tackles problems involving 3D geometric computer vision, generative deep learning, and SOTA machine learning methods. As a part of this newly created team, you will play a key role in laying the foundation that will drive the team’s success. You will establish best practices, solve ambiguous data problems that have never been solved before with industry wide impact, and be given the freedom to innovate.
**What You'll Do**
* Build Computer Vision models to extract structure from unstructured, information\-dense 3D scans
* Research SOTA methods for developing models to accomplish 3D generative AI tasks as well as conventional computer vision tasks.
* Work with product and research teams to identify opportunities for improvement in our current product line and for enabling upcoming product lines
* Work with massive datasets to develop both generic models as well as fine tune models for specific applications
* Develop evaluation methods which allow us to establish confidence in our datasets and models
* Implement best practices for our MLOps pipelines
* Work closely with product owners on a feature focused team to deliver value quickly to Dandy’s customers
**What We're Looking For**
* 8\+ years experience post Master's degree, or 5\+ years of experience post PhD
* Extensive experience in Python
* Extensive experience in SOTA 2D deep learning and/or experience with 3D deep learning
* Experience with 3D geometric Computer Vision
* Experience with PyTorch
* Have immaculate attention to detail and take pride in delivering excellent code and results
* Masters or PhD in related field
* Candidates must be able to work onsite in Provo, UT 3 days per week
**Req ID:** J\-684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Compensation Range: $216,750 \- $255,000</t>
        </is>
      </c>
    </row>
    <row r="5">
      <c r="A5" t="inlineStr">
        <is>
          <t>in-77027107de787ca3</t>
        </is>
      </c>
      <c r="B5" t="inlineStr">
        <is>
          <t>Senior AI/ML Engineer</t>
        </is>
      </c>
      <c r="C5" t="inlineStr">
        <is>
          <t>Indev</t>
        </is>
      </c>
      <c r="D5" t="inlineStr">
        <is>
          <t>indeed</t>
        </is>
      </c>
      <c r="E5" t="inlineStr"/>
      <c r="F5" t="inlineStr"/>
      <c r="G5" t="inlineStr">
        <is>
          <t>Washington, DC, US</t>
        </is>
      </c>
      <c r="H5" s="1" t="n">
        <v>46072</v>
      </c>
      <c r="I5" t="inlineStr">
        <is>
          <t>Position Title: Senior AI/ML Engineer
Location: Mostly remote with occasional travel in the Washington, D.C. area
Clearance:
Must be a U.S. Citizen and be able to obtain a U.S. Federal government client badge and will be required to pass a government background investigation. Candidates with active DOT clearance preferred.
Position Overview:
InDev is seeking a Senior AI/ML Engineer to join our dynamic team supporting cutting\-edge data and AI initiatives for our government clients across the Department of Transportation (DOT). As a Senior AI/ML Engineer, you will play a pivotal role in designing, developing, and deploying scalable machine learning solutions using AWS cloud services and Databricks. Your expertise will be instrumental in building robust data pipelines, optimizing model performance, and integrating AI capabilities into enterprise applications, ensuring reliability, security, and innovation across mission\-critical systems. You will work in a cross\-functional Agile/DevOps team alongside data engineers, software developers, and project leaders to deliver impactful AI solutions, implement MLOps best practices, and mentor junior team members in a collaborative and fast\-paced environment. Your contributions will directly support the digital transformation efforts of the DOT, leveraging technologies such as large language models, NLP, and real\-time analytics to drive meaningful outcomes and lasting change.
This is a direct\-hire, full\-time position with salary and benefits. InDev provides a comprehensive benefits package, Medical, Dental, Vision, 401k with match, Flexible Spending Account, and Paid Time Off (PTO)—including vacation and holiday pay.
Your future duties and responsibilities:
* Design, develop, and deploy scalable AI/ML solutions leveraging AWS cloud services and Databricks environments
* Build, optimize, and maintain data pipelines and feature engineering workflows to support model training and inference
* Collaborate with cross\-functional teams to integrate AI/ML components into enterprise applications and solutions
* Develop, fine\-tune, and evaluate machine learning models, ensuring performance, reliability, and security standards are met
* Implement MLOps practices for version control, CI/CD, automated testing, and monitoring of deployed models
* Provide technical leadership, mentorship, and code reviews to guide junior engineers and ensure best practices are followed
* Create technical documentation, design specifications, and operational procedures to support maintainability and knowledge transfer
Required qualifications to be successful in this role:
* Bachelor’s or Master’s degree in Computer Science, Data Science, or related field
* Proven experience designing and deploying AI/ML solutions using AWS services (S3, Lambda, SageMaker, Step Functions, etc.) and Databricks
* Strong programming skills in Python, including experience with ML frameworks such as TensorFlow, PyTorch, or scikit\-learn
* Solid understanding of distributed data processing, model lifecycle management, and MLOps principles
* Familiarity with large language models (LLMs), natural language processing (NLP), and RAG architectures
* Experience integrating AI/ML systems with enterprise applications and APIs, including chatbot or conversational AI solutions
* Strong knowledge of data structures, algorithms, and software engineering best practices
* Excellent problem\-solving, debugging, and communication skills
Nice to have’s:
* Experience with containerization and orchestration technologies (Docker, Kubernetes, EKS)
* Experience with data governance, security, and compliance within cloud environments
* Certifications in AWS Machine Learning or Databricks
* Exposure to CI/CD tools (GitHub Actions, Jenkins, GitLab CI) and Infrastructure as Code (Terraform, CloudFormation)
* Experience leading AI/ML project teams or contributing to enterprise\-scale AI initiatives
About Us:
At InDev, we're not just a company; we're a trailblazing force transforming the way data shapes the future. As a dynamic player in the federal government sector, we're on a mission to empower agencies with cutting\-edge Salesforce solutions that drive innovation, efficiency, and progress. Our team thrives on collaboration, innovation, and embracing challenges head\-on to create a meaningful impact on the world around us. Let’s innovate. www.indev.com
Why InDev:
* Innovative Environment: Join a team that thrives on creativity and innovation, where your ideas are not only heard but encouraged.
* Meaningful Impact: Contribute to projects that directly impact federal agencies, driving positive change on a national scale.
* Dynamic Collaboration: Work alongside diverse experts who are passionate about pushing boundaries and making a difference.
* Agile Mindset: Embrace Agile methodologies that encourage flexibility, adaptability, and rapid growth.
* Learning Culture: Enjoy ongoing learning opportunities and professional development to expand your skill set.
* Cutting\-edge Tech: Engage with the latest technologies and tools in the data integration landscape.
If you're ready to embark on a journey of innovation, collaboration, and impact, InDev welcomes you to join our team as a Senior AI/ML Engineer. Let's shape the future together.
Job Type: Full\-time
Pay: From $135,000\.00 per year
Benefits:
* 401(k) matching
* Dental insurance
* Health insurance
* Health savings account
* Paid holidays
* Paid sick time
* Paid time off
* Referral program
* Vision insurance
Work Location: Hybrid remote in Washington, DC 20590</t>
        </is>
      </c>
    </row>
    <row r="6">
      <c r="A6" t="inlineStr">
        <is>
          <t>in-6245cd73d768dfe9</t>
        </is>
      </c>
      <c r="B6" t="inlineStr">
        <is>
          <t>ML Engineer</t>
        </is>
      </c>
      <c r="C6" t="inlineStr">
        <is>
          <t>Keystone Cooperative</t>
        </is>
      </c>
      <c r="D6" t="inlineStr">
        <is>
          <t>indeed</t>
        </is>
      </c>
      <c r="E6" t="inlineStr"/>
      <c r="F6" t="inlineStr"/>
      <c r="G6" t="inlineStr">
        <is>
          <t>Indianapolis, IN, US</t>
        </is>
      </c>
      <c r="H6" s="1" t="n">
        <v>46071</v>
      </c>
      <c r="I6" t="inlineStr">
        <is>
          <t>**Job Description**
**Overview:** Our company is seeking a detail\-oriented and highly analytical ML Engineer who will assist in driving our AI\-driven product development initiatives. The successful candidate will possess a strong understanding of data analysis, along with the ability to apply AI and ML methodologies to enhance our products.
Must be authorized to work in the United States now and in the future, without company sponsorship. Must be about to work onsite in the corporate office in Indianapolis, Indiana. (This role is not hybrid or remote).
**Duties and Responsibilities:**
Include but are not limited to:
* Collaborate with cross\-functional teams to understand business requirements and develop data\-driven solutions tailored to those needs.
* Utilize Snowflake Cortex and other AI/ML development tools to design, implement, and optimize data models and algorithms.
* Conduct exploratory data analysis to uncover trends, patterns, and insights that can inform business decisions.
* Analyze complex datasets to extract actionable insights that inform product development strategies.
* Conduct complex statistical analyses, including regression modeling, hypothesis testing, and predictive analytics, to forecast trends and inform strategic decisions.
* Assist in developing machine learning models and algorithms to solve complex business problems and improve operational efficiency.
* Create and maintain detailed documentation of data analysis processes and AI/ML model development.
* Monitor and evaluate the effectiveness of AI/ML models in production and refine them as needed.
* Provide training and support to team members and stakeholders on data analysis tools and techniques.
**Skills and Qualifications:**
* Proven experience as a Data Analyst or Data Engineer, preferably with experience incorporating AI/ML methodologies.
* Strong expertise in data analysis tools and languages (e.g., Python, R, SQL).
* Experience with machine learning frameworks and tools (e.g., TensorFlow, PyTorch).
* Excellent problem\-solving skills and attention to detail.
* Ability to communicate complex findings in a clear and concise manner.
* Strong teamwork and collaboration skills.
**Education and Experience:**
* Bachelor’s degree in Data Science, Statistics, Computer Science, or related field. Master’s degree preferred.
\#LI\-DD1</t>
        </is>
      </c>
    </row>
    <row r="7">
      <c r="A7" t="inlineStr">
        <is>
          <t>in-e6f147f0554df239</t>
        </is>
      </c>
      <c r="B7" t="inlineStr">
        <is>
          <t>Applied Scientist</t>
        </is>
      </c>
      <c r="C7" t="inlineStr">
        <is>
          <t>KOAH</t>
        </is>
      </c>
      <c r="D7" t="inlineStr">
        <is>
          <t>indeed</t>
        </is>
      </c>
      <c r="E7" t="inlineStr"/>
      <c r="F7" t="inlineStr"/>
      <c r="G7" t="inlineStr">
        <is>
          <t>San Francisco, CA, US</t>
        </is>
      </c>
      <c r="H7" s="1" t="n">
        <v>46071</v>
      </c>
      <c r="I7" t="inlineStr">
        <is>
          <t>**Who We Are**
Koah Labs is building the ad network to power the next generation of AI\-native products. Our mission is to help publishers monetize and help advertisers reach the right audience — without compromising speed, UX, or privacy.
We’re a small, tight\-knit team in San Francisco with backgrounds at X, Apple, Meta, and early\-stage startups. We’ve raised $5\.7M from top investors and are growing fast with real traction on both the publisher and advertiser sides.
Working at Koah means joining at the ground floor: you’ll ship code that shapes the company and the ecosystem we’re building. We move quickly, operate with high trust, and care deeply about craft.
**Our Stack**
* **Infra**: Terraform, AWS, LGTM (Loki, Grafana, Tempo, Mimir), Tailscale, Cloudflare
* **Data**: PostgreSQL, ClickHouse, Redis, Kafka, Python
* **Core Application**: Ruby on Rails, React, TypeScript
* **SDKs**: Flutter, React Native, Android, iOS
**Example Projects**
* Design efficient algorithms for real\-time bidding systems, building upon the current pricing literature
* Create and productionize regression models to predict end conversions based on demographic, audience, and semantic data
* Apply privacy\-preserving clustering methods to categorize conversational data to improve advertiser outreach
* Analyze and pore over data to find alpha that can improve the core ad matching system balancing publisher and advertiser outcomes
**You might be a fit if**
* You have an advanced degree in Physics, Computer Science, Mathematics, Statistics, Engineering, or a related field
* You enjoy identifying and owning challenging problems, forming testable hypotheses, and conducting impactful research to drive significant business impact
* You have a relentless focus on continuous learning and making an impact with an ability to question the status quo
* You have strong mathematical and statistical modeling skills
* You enjoy communicating conclusions to both technical and non\-technical audiences alike
Compensation Range: $200K \- $300K</t>
        </is>
      </c>
    </row>
    <row r="8">
      <c r="A8" t="inlineStr">
        <is>
          <t>in-e4fc9a9979e0731e</t>
        </is>
      </c>
      <c r="B8" t="inlineStr">
        <is>
          <t>CT_NITRO Experimental AI Engineer</t>
        </is>
      </c>
      <c r="C8" t="inlineStr">
        <is>
          <t>EY</t>
        </is>
      </c>
      <c r="D8" t="inlineStr">
        <is>
          <t>indeed</t>
        </is>
      </c>
      <c r="E8" t="inlineStr"/>
      <c r="F8" t="inlineStr"/>
      <c r="G8" t="inlineStr">
        <is>
          <t>Alpharetta, GA, US</t>
        </is>
      </c>
      <c r="H8" s="1" t="n">
        <v>46056</v>
      </c>
      <c r="I8" t="inlineStr">
        <is>
          <t>At EY, we’re all in to shape your future with confidence.
We’ll help you succeed in a globally connected powerhouse of diverse teams and take your career wherever you want it to go. Join EY and help to build a better working world.
 **The selected candidate**
* Leads the design, development, and deployment of advanced generative AI models, including large language models (LLMs), driving innovation and solving complex business challenges
* Oversees the end\-to\-end data science lifecycle, from data acquisition and preprocessing to model validation and optimization, ensuring best practices and high\-quality outcomes
* Works on developing and deploying machine learning algorithms, ensuring models are optimized for performance and scalability
* Mentors and guides junior data scientists, fostering a collaborative environment and promoting knowledge sharing of cutting\-edge techniques and tools
* Partners with cross\-functional teams to integrate AI\-driven insights into products and services, translating sophisticated models into practical, scalable solutions that drive measurable impact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8\+ years’ experience in machine learning, large scale data acquisition, transformation, and cleaning, both structured and unstructured data
* Experience with generative LLM fine\-tuning and prompt engineering.
* Proficiency with data wrangling, visualization, and modeling in Python
* Experience in ML/NLP algorithms, including supervised and unsupervised learning.
* Good knowledge with cloud ecosystems, Azure is preferred
* Experience in machine learning frameworks and tools (e.g., sci\-kit\-learn, Keras, TensorFlow, MXNet, PyTorch, MLlib)
* Strong programming skills in Python
* Experience with tools in the distributed computing, GPU, cloud platforms, and Big Data domains (e.g., GCP, AWS, MS Azure, Hadoop, Spark, Databricks) is a plus
* Experience with SQL, Document DBs and Vector DBs
* Batch Processing \- Capability to design an efficient way of processing high volumes of data where a group of transactions is collected over a period Data
* Visualization and storytelling \- Capability to assimilate and present data, as well as more advanced visualization techniques. Capability to engage and explain data creating a narrative around data visualization
* Knowledge of containerization platforms like Docker is a plus.
* Experience with Git and modern software development workflow.
* Non\-Technical Skills:  
	+ Strong team and business communication skills – can walk through and approach with technical clients or explain tricky concepts to non\-technical people
	+ Must thrive in a fast\-paced environment and be able to work independently.
	+ Excellent in communication skills
* Education  
	+ Bachelor/Master/PG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$92,600 to $173,100\. The base salary range for New York City Metro Area, Washington State and California (excluding Sacramento) is $111,100 to $196,800\.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
      <c r="A9" t="inlineStr">
        <is>
          <t>in-194b31e5d67889e0</t>
        </is>
      </c>
      <c r="B9" t="inlineStr">
        <is>
          <t>Sr. Applied Scientist, Sponsored Products Off-Search Sourcing</t>
        </is>
      </c>
      <c r="C9" t="inlineStr">
        <is>
          <t>Amazon.com</t>
        </is>
      </c>
      <c r="D9" t="inlineStr">
        <is>
          <t>indeed</t>
        </is>
      </c>
      <c r="E9" t="inlineStr"/>
      <c r="F9" t="inlineStr"/>
      <c r="G9" t="inlineStr">
        <is>
          <t>Palo Alto, CA, US</t>
        </is>
      </c>
      <c r="H9" s="1" t="n">
        <v>46049</v>
      </c>
      <c r="I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0">
      <c r="A10" t="inlineStr">
        <is>
          <t>in-d9619413c3d7ebfd</t>
        </is>
      </c>
      <c r="B10" t="inlineStr">
        <is>
          <t>Sr. Applied Scientist, Sponsored Products Off-Search Sourcing</t>
        </is>
      </c>
      <c r="C10" t="inlineStr">
        <is>
          <t>Amazon.com</t>
        </is>
      </c>
      <c r="D10" t="inlineStr">
        <is>
          <t>indeed</t>
        </is>
      </c>
      <c r="E10" t="inlineStr"/>
      <c r="F10" t="inlineStr"/>
      <c r="G10" t="inlineStr">
        <is>
          <t>Seattle, WA, US</t>
        </is>
      </c>
      <c r="H10" s="1" t="n">
        <v>46049</v>
      </c>
      <c r="I1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1">
      <c r="A11" t="inlineStr">
        <is>
          <t>in-6783c2cda9d8e70b</t>
        </is>
      </c>
      <c r="B11" t="inlineStr">
        <is>
          <t>Sr. Applied Scientist, Sponsored Products Off-Search Sourcing</t>
        </is>
      </c>
      <c r="C11" t="inlineStr">
        <is>
          <t>Amazon.com</t>
        </is>
      </c>
      <c r="D11" t="inlineStr">
        <is>
          <t>indeed</t>
        </is>
      </c>
      <c r="E11" t="inlineStr"/>
      <c r="F11" t="inlineStr"/>
      <c r="G11" t="inlineStr">
        <is>
          <t>New York, NY, US</t>
        </is>
      </c>
      <c r="H11" s="1" t="n">
        <v>46049</v>
      </c>
      <c r="I1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2">
      <c r="A12" t="inlineStr">
        <is>
          <t>in-0c94d4359f466be3</t>
        </is>
      </c>
      <c r="B12" t="inlineStr">
        <is>
          <t>Principal Applied Scientist, AWS Science of Security</t>
        </is>
      </c>
      <c r="C12" t="inlineStr">
        <is>
          <t>Amazon.com</t>
        </is>
      </c>
      <c r="D12" t="inlineStr">
        <is>
          <t>indeed</t>
        </is>
      </c>
      <c r="E12" t="inlineStr"/>
      <c r="F12" t="inlineStr"/>
      <c r="G12" t="inlineStr">
        <is>
          <t>New York, NY, US</t>
        </is>
      </c>
      <c r="H12" s="1" t="n">
        <v>46049</v>
      </c>
      <c r="I12"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13">
      <c r="A13" t="inlineStr">
        <is>
          <t>in-e57a97a358e74c7b</t>
        </is>
      </c>
      <c r="B13" t="inlineStr">
        <is>
          <t>Principal Applied Scientist, AWS Science of Security</t>
        </is>
      </c>
      <c r="C13" t="inlineStr">
        <is>
          <t>Amazon.com</t>
        </is>
      </c>
      <c r="D13" t="inlineStr">
        <is>
          <t>indeed</t>
        </is>
      </c>
      <c r="E13" t="inlineStr"/>
      <c r="F13" t="inlineStr"/>
      <c r="G13" t="inlineStr">
        <is>
          <t>Arlington, VA, US</t>
        </is>
      </c>
      <c r="H13" s="1" t="n">
        <v>46049</v>
      </c>
      <c r="I13"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14">
      <c r="A14" t="inlineStr">
        <is>
          <t>in-9f708a793557347c</t>
        </is>
      </c>
      <c r="B14" t="inlineStr">
        <is>
          <t>Principal Applied Scientist, AWS Science of Security</t>
        </is>
      </c>
      <c r="C14" t="inlineStr">
        <is>
          <t>Amazon.com</t>
        </is>
      </c>
      <c r="D14" t="inlineStr">
        <is>
          <t>indeed</t>
        </is>
      </c>
      <c r="E14" t="inlineStr"/>
      <c r="F14" t="inlineStr"/>
      <c r="G14" t="inlineStr">
        <is>
          <t>Seattle, WA, US</t>
        </is>
      </c>
      <c r="H14" s="1" t="n">
        <v>46049</v>
      </c>
      <c r="I14"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15">
      <c r="A15" t="inlineStr">
        <is>
          <t>in-be8b41ea00877f9d</t>
        </is>
      </c>
      <c r="B15" t="inlineStr">
        <is>
          <t>Applied Scientist II, Prime Video Personalization and Discovery Science</t>
        </is>
      </c>
      <c r="C15" t="inlineStr">
        <is>
          <t>Amazon.com</t>
        </is>
      </c>
      <c r="D15" t="inlineStr">
        <is>
          <t>indeed</t>
        </is>
      </c>
      <c r="E15" t="inlineStr"/>
      <c r="F15" t="inlineStr"/>
      <c r="G15" t="inlineStr">
        <is>
          <t>New York, NY, US</t>
        </is>
      </c>
      <c r="H15" s="1" t="n">
        <v>46047</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
      <c r="A16" t="inlineStr">
        <is>
          <t>in-60100845be02abf4</t>
        </is>
      </c>
      <c r="B16" t="inlineStr">
        <is>
          <t>Applied Scientist II, Prime Video Personalization and Discovery Science</t>
        </is>
      </c>
      <c r="C16" t="inlineStr">
        <is>
          <t>Amazon.com</t>
        </is>
      </c>
      <c r="D16" t="inlineStr">
        <is>
          <t>indeed</t>
        </is>
      </c>
      <c r="E16" t="inlineStr"/>
      <c r="F16" t="inlineStr"/>
      <c r="G16" t="inlineStr">
        <is>
          <t>Seattle, WA, US</t>
        </is>
      </c>
      <c r="H16" s="1" t="n">
        <v>46047</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
      <c r="A17" t="inlineStr">
        <is>
          <t>in-bbf8eb6f547a3f4b</t>
        </is>
      </c>
      <c r="B17" t="inlineStr">
        <is>
          <t>Applied Scientist II, Prime Video Personalization and Discovery Science</t>
        </is>
      </c>
      <c r="C17" t="inlineStr">
        <is>
          <t>Amazon.com</t>
        </is>
      </c>
      <c r="D17" t="inlineStr">
        <is>
          <t>indeed</t>
        </is>
      </c>
      <c r="E17" t="inlineStr"/>
      <c r="F17" t="inlineStr"/>
      <c r="G17" t="inlineStr">
        <is>
          <t>Sunnyvale, CA, US</t>
        </is>
      </c>
      <c r="H17" s="1" t="n">
        <v>46047</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
      <c r="A18" t="inlineStr">
        <is>
          <t>in-1b8180a310d59f89</t>
        </is>
      </c>
      <c r="B18" t="inlineStr">
        <is>
          <t>Applied Scientist, Amazon Connect</t>
        </is>
      </c>
      <c r="C18" t="inlineStr">
        <is>
          <t>Amazon Web Services</t>
        </is>
      </c>
      <c r="D18" t="inlineStr">
        <is>
          <t>indeed</t>
        </is>
      </c>
      <c r="E18" t="inlineStr"/>
      <c r="F18" t="inlineStr"/>
      <c r="G18" t="inlineStr">
        <is>
          <t>New York, NY, US</t>
        </is>
      </c>
      <c r="H18" s="1" t="n">
        <v>46047</v>
      </c>
      <c r="I18"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
      <c r="A19" t="inlineStr">
        <is>
          <t>in-073b34f412b10e1e</t>
        </is>
      </c>
      <c r="B19" t="inlineStr">
        <is>
          <t>Applied Scientist, Amazon Connect</t>
        </is>
      </c>
      <c r="C19" t="inlineStr">
        <is>
          <t>Amazon Web Services</t>
        </is>
      </c>
      <c r="D19" t="inlineStr">
        <is>
          <t>indeed</t>
        </is>
      </c>
      <c r="E19" t="inlineStr"/>
      <c r="F19" t="inlineStr"/>
      <c r="G19" t="inlineStr">
        <is>
          <t>Seattle, WA, US</t>
        </is>
      </c>
      <c r="H19" s="1" t="n">
        <v>46047</v>
      </c>
      <c r="I19"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0">
      <c r="A20" t="inlineStr">
        <is>
          <t>in-41b39fd2348362ca</t>
        </is>
      </c>
      <c r="B20" t="inlineStr">
        <is>
          <t>Applied Scientist, Safety ML</t>
        </is>
      </c>
      <c r="C20" t="inlineStr">
        <is>
          <t>Amazon.com</t>
        </is>
      </c>
      <c r="D20" t="inlineStr">
        <is>
          <t>indeed</t>
        </is>
      </c>
      <c r="E20" t="inlineStr"/>
      <c r="F20" t="inlineStr"/>
      <c r="G20" t="inlineStr">
        <is>
          <t>San Francisco, CA, US</t>
        </is>
      </c>
      <c r="H20" s="1" t="n">
        <v>46037</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1">
      <c r="A21" t="inlineStr">
        <is>
          <t>in-8d29689f617b00f5</t>
        </is>
      </c>
      <c r="B21" t="inlineStr">
        <is>
          <t>Applied Scientist, Safety ML</t>
        </is>
      </c>
      <c r="C21" t="inlineStr">
        <is>
          <t>Amazon.com</t>
        </is>
      </c>
      <c r="D21" t="inlineStr">
        <is>
          <t>indeed</t>
        </is>
      </c>
      <c r="E21" t="inlineStr"/>
      <c r="F21" t="inlineStr"/>
      <c r="G21" t="inlineStr">
        <is>
          <t>Seattle, WA, US</t>
        </is>
      </c>
      <c r="H21" s="1" t="n">
        <v>46037</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2">
      <c r="A22" t="inlineStr">
        <is>
          <t>in-97a981a282ffbb27</t>
        </is>
      </c>
      <c r="B22" t="inlineStr">
        <is>
          <t>Applied Scientist, LLM Code Agents, Kiro Science</t>
        </is>
      </c>
      <c r="C22" t="inlineStr">
        <is>
          <t>Amazon.com</t>
        </is>
      </c>
      <c r="D22" t="inlineStr">
        <is>
          <t>indeed</t>
        </is>
      </c>
      <c r="E22" t="inlineStr"/>
      <c r="F22" t="inlineStr"/>
      <c r="G22" t="inlineStr">
        <is>
          <t>Santa Clara, CA, US</t>
        </is>
      </c>
      <c r="H22" s="1" t="n">
        <v>46035</v>
      </c>
      <c r="I2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3">
      <c r="A23" t="inlineStr">
        <is>
          <t>in-f8d6725bb3d531a0</t>
        </is>
      </c>
      <c r="B23" t="inlineStr">
        <is>
          <t>Applied Scientist, LLM Code Agents, Kiro Science</t>
        </is>
      </c>
      <c r="C23" t="inlineStr">
        <is>
          <t>Amazon.com</t>
        </is>
      </c>
      <c r="D23" t="inlineStr">
        <is>
          <t>indeed</t>
        </is>
      </c>
      <c r="E23" t="inlineStr"/>
      <c r="F23" t="inlineStr"/>
      <c r="G23" t="inlineStr">
        <is>
          <t>Seattle, WA, US</t>
        </is>
      </c>
      <c r="H23" s="1" t="n">
        <v>46035</v>
      </c>
      <c r="I2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4">
      <c r="A24" t="inlineStr">
        <is>
          <t>in-87983d0809b72dca</t>
        </is>
      </c>
      <c r="B24" t="inlineStr">
        <is>
          <t>Applied Scientist II, Prime Video Personalization and Discovery Science</t>
        </is>
      </c>
      <c r="C24" t="inlineStr">
        <is>
          <t>Amazon.com</t>
        </is>
      </c>
      <c r="D24" t="inlineStr">
        <is>
          <t>indeed</t>
        </is>
      </c>
      <c r="E24" t="inlineStr"/>
      <c r="F24" t="inlineStr"/>
      <c r="G24" t="inlineStr">
        <is>
          <t>Seattle, WA, US</t>
        </is>
      </c>
      <c r="H24" s="1" t="n">
        <v>46034</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5">
      <c r="A25" t="inlineStr">
        <is>
          <t>in-84178450830353e1</t>
        </is>
      </c>
      <c r="B25" t="inlineStr">
        <is>
          <t>Applied Scientist II, Prime Video Personalization and Discovery Science</t>
        </is>
      </c>
      <c r="C25" t="inlineStr">
        <is>
          <t>Amazon.com</t>
        </is>
      </c>
      <c r="D25" t="inlineStr">
        <is>
          <t>indeed</t>
        </is>
      </c>
      <c r="E25" t="inlineStr"/>
      <c r="F25" t="inlineStr"/>
      <c r="G25" t="inlineStr">
        <is>
          <t>Sunnyvale, CA, US</t>
        </is>
      </c>
      <c r="H25" s="1" t="n">
        <v>46034</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
      <c r="A26" t="inlineStr">
        <is>
          <t>in-d442bfeb1bf5bcc7</t>
        </is>
      </c>
      <c r="B26" t="inlineStr">
        <is>
          <t>Applied Scientist, Alexa Smart Home</t>
        </is>
      </c>
      <c r="C26" t="inlineStr">
        <is>
          <t>Amazon.com</t>
        </is>
      </c>
      <c r="D26" t="inlineStr">
        <is>
          <t>indeed</t>
        </is>
      </c>
      <c r="E26" t="inlineStr"/>
      <c r="F26" t="inlineStr"/>
      <c r="G26" t="inlineStr">
        <is>
          <t>Seattle, WA, US</t>
        </is>
      </c>
      <c r="H26" s="1" t="n">
        <v>46033</v>
      </c>
      <c r="I2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7">
      <c r="A27" t="inlineStr">
        <is>
          <t>in-fe9093a8d469b577</t>
        </is>
      </c>
      <c r="B27" t="inlineStr">
        <is>
          <t>Applied Scientist, Alexa Smart Home</t>
        </is>
      </c>
      <c r="C27" t="inlineStr">
        <is>
          <t>Amazon.com</t>
        </is>
      </c>
      <c r="D27" t="inlineStr">
        <is>
          <t>indeed</t>
        </is>
      </c>
      <c r="E27" t="inlineStr"/>
      <c r="F27" t="inlineStr"/>
      <c r="G27" t="inlineStr">
        <is>
          <t>Sunnyvale, CA, US</t>
        </is>
      </c>
      <c r="H27" s="1" t="n">
        <v>46033</v>
      </c>
      <c r="I2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8">
      <c r="A28" t="inlineStr">
        <is>
          <t>in-4da9ca256af822e5</t>
        </is>
      </c>
      <c r="B28" t="inlineStr">
        <is>
          <t>Applied Scientist, AWS Applied AI Solutions</t>
        </is>
      </c>
      <c r="C28" t="inlineStr">
        <is>
          <t>Amazon Web Services</t>
        </is>
      </c>
      <c r="D28" t="inlineStr">
        <is>
          <t>indeed</t>
        </is>
      </c>
      <c r="E28" t="inlineStr"/>
      <c r="F28" t="inlineStr"/>
      <c r="G28" t="inlineStr">
        <is>
          <t>New York, NY, US</t>
        </is>
      </c>
      <c r="H28" s="1" t="n">
        <v>46030</v>
      </c>
      <c r="I2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9">
      <c r="A29" t="inlineStr">
        <is>
          <t>in-b30611feb6579891</t>
        </is>
      </c>
      <c r="B29" t="inlineStr">
        <is>
          <t>Applied Scientist, AWS Applied AI Solutions</t>
        </is>
      </c>
      <c r="C29" t="inlineStr">
        <is>
          <t>Amazon Web Services</t>
        </is>
      </c>
      <c r="D29" t="inlineStr">
        <is>
          <t>indeed</t>
        </is>
      </c>
      <c r="E29" t="inlineStr"/>
      <c r="F29" t="inlineStr"/>
      <c r="G29" t="inlineStr">
        <is>
          <t>Seattle, WA, US</t>
        </is>
      </c>
      <c r="H29" s="1" t="n">
        <v>46030</v>
      </c>
      <c r="I2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0">
      <c r="A30" t="inlineStr">
        <is>
          <t>in-df24411b2c6833c3</t>
        </is>
      </c>
      <c r="B30" t="inlineStr">
        <is>
          <t>Applied Scientist, Last Mile Delivery Automation</t>
        </is>
      </c>
      <c r="C30" t="inlineStr">
        <is>
          <t>Amazon.com</t>
        </is>
      </c>
      <c r="D30" t="inlineStr">
        <is>
          <t>indeed</t>
        </is>
      </c>
      <c r="E30" t="inlineStr"/>
      <c r="F30" t="inlineStr"/>
      <c r="G30" t="inlineStr">
        <is>
          <t>Bellevue, WA, US</t>
        </is>
      </c>
      <c r="H30" s="1" t="n">
        <v>46026</v>
      </c>
      <c r="I3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in-616c5bdf0feb2f22</t>
        </is>
      </c>
      <c r="B31" t="inlineStr">
        <is>
          <t>Applied Scientist, Last Mile Delivery Automation</t>
        </is>
      </c>
      <c r="C31" t="inlineStr">
        <is>
          <t>Amazon.com</t>
        </is>
      </c>
      <c r="D31" t="inlineStr">
        <is>
          <t>indeed</t>
        </is>
      </c>
      <c r="E31" t="inlineStr"/>
      <c r="F31" t="inlineStr"/>
      <c r="G31" t="inlineStr">
        <is>
          <t>Santa Clara, CA, US</t>
        </is>
      </c>
      <c r="H31" s="1" t="n">
        <v>46026</v>
      </c>
      <c r="I3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in-01945f69eb5ea687</t>
        </is>
      </c>
      <c r="B32" t="inlineStr">
        <is>
          <t>Senior Applied Scientist, Sponsored Products and Brands, Off-Search</t>
        </is>
      </c>
      <c r="C32" t="inlineStr">
        <is>
          <t>Amazon.com</t>
        </is>
      </c>
      <c r="D32" t="inlineStr">
        <is>
          <t>indeed</t>
        </is>
      </c>
      <c r="E32" t="inlineStr"/>
      <c r="F32" t="inlineStr"/>
      <c r="G32" t="inlineStr">
        <is>
          <t>Seattle, WA, US</t>
        </is>
      </c>
      <c r="H32" s="1" t="n">
        <v>46017</v>
      </c>
      <c r="I32"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in-1c2c4fb9dd3ce117</t>
        </is>
      </c>
      <c r="B33" t="inlineStr">
        <is>
          <t>Senior Applied Scientist, Sponsored Products and Brands, Off-Search</t>
        </is>
      </c>
      <c r="C33" t="inlineStr">
        <is>
          <t>Amazon.com</t>
        </is>
      </c>
      <c r="D33" t="inlineStr">
        <is>
          <t>indeed</t>
        </is>
      </c>
      <c r="E33" t="inlineStr"/>
      <c r="F33" t="inlineStr"/>
      <c r="G33" t="inlineStr">
        <is>
          <t>New York, NY, US</t>
        </is>
      </c>
      <c r="H33" s="1" t="n">
        <v>46017</v>
      </c>
      <c r="I33"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in-a38b6475b2ccb6ab</t>
        </is>
      </c>
      <c r="B34" t="inlineStr">
        <is>
          <t>Senior Applied Scientist, Sponsored Products and Brands, Off-Search</t>
        </is>
      </c>
      <c r="C34" t="inlineStr">
        <is>
          <t>Amazon.com</t>
        </is>
      </c>
      <c r="D34" t="inlineStr">
        <is>
          <t>indeed</t>
        </is>
      </c>
      <c r="E34" t="inlineStr"/>
      <c r="F34" t="inlineStr"/>
      <c r="G34" t="inlineStr">
        <is>
          <t>Palo Alto, CA, US</t>
        </is>
      </c>
      <c r="H34" s="1" t="n">
        <v>46017</v>
      </c>
      <c r="I34"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in-d81cb3550ce6afa4</t>
        </is>
      </c>
      <c r="B35" t="inlineStr">
        <is>
          <t>Applied Scientist II, Prime Video - Personalization and Discovery Science</t>
        </is>
      </c>
      <c r="C35" t="inlineStr">
        <is>
          <t>Amazon.com</t>
        </is>
      </c>
      <c r="D35" t="inlineStr">
        <is>
          <t>indeed</t>
        </is>
      </c>
      <c r="E35" t="inlineStr"/>
      <c r="F35" t="inlineStr"/>
      <c r="G35" t="inlineStr">
        <is>
          <t>Seattle, WA, US</t>
        </is>
      </c>
      <c r="H35" s="1" t="n">
        <v>46012</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6">
      <c r="A36" t="inlineStr">
        <is>
          <t>in-886c5151503881c9</t>
        </is>
      </c>
      <c r="B36" t="inlineStr">
        <is>
          <t>Applied Scientist II, Prime Video - Personalization and Discovery Science</t>
        </is>
      </c>
      <c r="C36" t="inlineStr">
        <is>
          <t>Amazon.com</t>
        </is>
      </c>
      <c r="D36" t="inlineStr">
        <is>
          <t>indeed</t>
        </is>
      </c>
      <c r="E36" t="inlineStr"/>
      <c r="F36" t="inlineStr"/>
      <c r="G36" t="inlineStr">
        <is>
          <t>Sunnyvale, CA, US</t>
        </is>
      </c>
      <c r="H36" s="1" t="n">
        <v>46012</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7">
      <c r="A37" t="inlineStr">
        <is>
          <t>in-385689637c8a7fd3</t>
        </is>
      </c>
      <c r="B37" t="inlineStr">
        <is>
          <t>Applied Scientist, Delivery Foundation Model</t>
        </is>
      </c>
      <c r="C37" t="inlineStr">
        <is>
          <t>Amazon.com</t>
        </is>
      </c>
      <c r="D37" t="inlineStr">
        <is>
          <t>indeed</t>
        </is>
      </c>
      <c r="E37" t="inlineStr"/>
      <c r="F37" t="inlineStr"/>
      <c r="G37" t="inlineStr">
        <is>
          <t>Santa Clara, CA, US</t>
        </is>
      </c>
      <c r="H37" s="1" t="n">
        <v>46009</v>
      </c>
      <c r="I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38">
      <c r="A38" t="inlineStr">
        <is>
          <t>in-eac1a73c4419a10d</t>
        </is>
      </c>
      <c r="B38" t="inlineStr">
        <is>
          <t>Applied Scientist, Delivery Foundation Model</t>
        </is>
      </c>
      <c r="C38" t="inlineStr">
        <is>
          <t>Amazon.com</t>
        </is>
      </c>
      <c r="D38" t="inlineStr">
        <is>
          <t>indeed</t>
        </is>
      </c>
      <c r="E38" t="inlineStr"/>
      <c r="F38" t="inlineStr"/>
      <c r="G38" t="inlineStr">
        <is>
          <t>Bellevue, WA, US</t>
        </is>
      </c>
      <c r="H38" s="1" t="n">
        <v>46009</v>
      </c>
      <c r="I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39">
      <c r="A39" t="inlineStr">
        <is>
          <t>in-0943f0b4d77c0e31</t>
        </is>
      </c>
      <c r="B39" t="inlineStr">
        <is>
          <t>Principal Applied Scientist, Kiro Science</t>
        </is>
      </c>
      <c r="C39" t="inlineStr">
        <is>
          <t>Amazon Web Services</t>
        </is>
      </c>
      <c r="D39" t="inlineStr">
        <is>
          <t>indeed</t>
        </is>
      </c>
      <c r="E39" t="inlineStr"/>
      <c r="F39" t="inlineStr"/>
      <c r="G39" t="inlineStr">
        <is>
          <t>Santa Clara, CA, US</t>
        </is>
      </c>
      <c r="H39" s="1" t="n">
        <v>45999</v>
      </c>
      <c r="I3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0">
      <c r="A40" t="inlineStr">
        <is>
          <t>in-e74993c3f8d0f30b</t>
        </is>
      </c>
      <c r="B40" t="inlineStr">
        <is>
          <t>Principal Applied Scientist, Kiro Science</t>
        </is>
      </c>
      <c r="C40" t="inlineStr">
        <is>
          <t>Amazon Web Services</t>
        </is>
      </c>
      <c r="D40" t="inlineStr">
        <is>
          <t>indeed</t>
        </is>
      </c>
      <c r="E40" t="inlineStr"/>
      <c r="F40" t="inlineStr"/>
      <c r="G40" t="inlineStr">
        <is>
          <t>New York, NY, US</t>
        </is>
      </c>
      <c r="H40" s="1" t="n">
        <v>45999</v>
      </c>
      <c r="I4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1">
      <c r="A41" t="inlineStr">
        <is>
          <t>in-14cda893360df2f7</t>
        </is>
      </c>
      <c r="B41" t="inlineStr">
        <is>
          <t>Sr. Applied Scientist, Amazon Ads</t>
        </is>
      </c>
      <c r="C41" t="inlineStr">
        <is>
          <t>Amazon.com</t>
        </is>
      </c>
      <c r="D41" t="inlineStr">
        <is>
          <t>indeed</t>
        </is>
      </c>
      <c r="E41" t="inlineStr"/>
      <c r="F41" t="inlineStr"/>
      <c r="G41" t="inlineStr">
        <is>
          <t>Sunnyvale, CA, US</t>
        </is>
      </c>
      <c r="H41" s="1"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in-27c7a3c8de7f03b9</t>
        </is>
      </c>
      <c r="B42" t="inlineStr">
        <is>
          <t>Sr. Applied Scientist, Amazon Ads</t>
        </is>
      </c>
      <c r="C42" t="inlineStr">
        <is>
          <t>Amazon.com</t>
        </is>
      </c>
      <c r="D42" t="inlineStr">
        <is>
          <t>indeed</t>
        </is>
      </c>
      <c r="E42" t="inlineStr"/>
      <c r="F42" t="inlineStr"/>
      <c r="G42" t="inlineStr">
        <is>
          <t>Brooklyn, NY, US</t>
        </is>
      </c>
      <c r="H42" s="1"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in-f5c248a4e7f76445</t>
        </is>
      </c>
      <c r="B43" t="inlineStr">
        <is>
          <t>Sr. Applied Scientist, Amazon Ads</t>
        </is>
      </c>
      <c r="C43" t="inlineStr">
        <is>
          <t>Amazon.com</t>
        </is>
      </c>
      <c r="D43" t="inlineStr">
        <is>
          <t>indeed</t>
        </is>
      </c>
      <c r="E43" t="inlineStr"/>
      <c r="F43" t="inlineStr"/>
      <c r="G43" t="inlineStr">
        <is>
          <t>New York, NY, US</t>
        </is>
      </c>
      <c r="H43" s="1"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in-9fc2dab049d19396</t>
        </is>
      </c>
      <c r="B44" t="inlineStr">
        <is>
          <t>Sr. Applied Scientist, Amazon Ads</t>
        </is>
      </c>
      <c r="C44" t="inlineStr">
        <is>
          <t>Amazon.com</t>
        </is>
      </c>
      <c r="D44" t="inlineStr">
        <is>
          <t>indeed</t>
        </is>
      </c>
      <c r="E44" t="inlineStr"/>
      <c r="F44" t="inlineStr"/>
      <c r="G44" t="inlineStr">
        <is>
          <t>Boston, MA, US</t>
        </is>
      </c>
      <c r="H44" s="1"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in-82771f0ebe3403cd</t>
        </is>
      </c>
      <c r="B45" t="inlineStr">
        <is>
          <t>Sr. Applied Scientist, Amazon Ads</t>
        </is>
      </c>
      <c r="C45" t="inlineStr">
        <is>
          <t>Amazon.com</t>
        </is>
      </c>
      <c r="D45" t="inlineStr">
        <is>
          <t>indeed</t>
        </is>
      </c>
      <c r="E45" t="inlineStr"/>
      <c r="F45" t="inlineStr"/>
      <c r="G45" t="inlineStr">
        <is>
          <t>Santa Monica, CA, US</t>
        </is>
      </c>
      <c r="H45" s="1" t="n">
        <v>45998</v>
      </c>
      <c r="I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6">
      <c r="A46" t="inlineStr">
        <is>
          <t>in-8d761b02cc588457</t>
        </is>
      </c>
      <c r="B46" t="inlineStr">
        <is>
          <t>Sr. Applied Scientist, Amazon Ads</t>
        </is>
      </c>
      <c r="C46" t="inlineStr">
        <is>
          <t>Amazon.com</t>
        </is>
      </c>
      <c r="D46" t="inlineStr">
        <is>
          <t>indeed</t>
        </is>
      </c>
      <c r="E46" t="inlineStr"/>
      <c r="F46" t="inlineStr"/>
      <c r="G46" t="inlineStr">
        <is>
          <t>Corvallis, OR, US</t>
        </is>
      </c>
      <c r="H46" s="1" t="n">
        <v>45998</v>
      </c>
      <c r="I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7">
      <c r="A47" t="inlineStr">
        <is>
          <t>in-24188cb4646c8fb9</t>
        </is>
      </c>
      <c r="B47" t="inlineStr">
        <is>
          <t>Sr. Applied Scientist, Amazon Ads</t>
        </is>
      </c>
      <c r="C47" t="inlineStr">
        <is>
          <t>Amazon.com</t>
        </is>
      </c>
      <c r="D47" t="inlineStr">
        <is>
          <t>indeed</t>
        </is>
      </c>
      <c r="E47" t="inlineStr"/>
      <c r="F47" t="inlineStr"/>
      <c r="G47" t="inlineStr">
        <is>
          <t>Tukwila, WA, US</t>
        </is>
      </c>
      <c r="H47" s="1" t="n">
        <v>45998</v>
      </c>
      <c r="I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8">
      <c r="A48" t="inlineStr">
        <is>
          <t>in-8f4beadcd362d0ce</t>
        </is>
      </c>
      <c r="B48" t="inlineStr">
        <is>
          <t>Sr. Applied Scientist, Amazon Ads</t>
        </is>
      </c>
      <c r="C48" t="inlineStr">
        <is>
          <t>Amazon.com</t>
        </is>
      </c>
      <c r="D48" t="inlineStr">
        <is>
          <t>indeed</t>
        </is>
      </c>
      <c r="E48" t="inlineStr"/>
      <c r="F48" t="inlineStr"/>
      <c r="G48" t="inlineStr">
        <is>
          <t>Palo Alto, CA, US</t>
        </is>
      </c>
      <c r="H48" s="1" t="n">
        <v>45998</v>
      </c>
      <c r="I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9">
      <c r="A49" t="inlineStr">
        <is>
          <t>in-38d9dd9c39274368</t>
        </is>
      </c>
      <c r="B49" t="inlineStr">
        <is>
          <t>Sr. Applied Scientist, Amazon Ads</t>
        </is>
      </c>
      <c r="C49" t="inlineStr">
        <is>
          <t>Amazon.com</t>
        </is>
      </c>
      <c r="D49" t="inlineStr">
        <is>
          <t>indeed</t>
        </is>
      </c>
      <c r="E49" t="inlineStr"/>
      <c r="F49" t="inlineStr"/>
      <c r="G49" t="inlineStr">
        <is>
          <t>Seattle, WA, US</t>
        </is>
      </c>
      <c r="H49" s="1" t="n">
        <v>45998</v>
      </c>
      <c r="I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0">
      <c r="A50" t="inlineStr">
        <is>
          <t>in-0dda2979185c958e</t>
        </is>
      </c>
      <c r="B50" t="inlineStr">
        <is>
          <t>Sr. Applied Scientist, Amazon Ads</t>
        </is>
      </c>
      <c r="C50" t="inlineStr">
        <is>
          <t>Amazon.com</t>
        </is>
      </c>
      <c r="D50" t="inlineStr">
        <is>
          <t>indeed</t>
        </is>
      </c>
      <c r="E50" t="inlineStr"/>
      <c r="F50" t="inlineStr"/>
      <c r="G50" t="inlineStr">
        <is>
          <t>Boulder, CO, US</t>
        </is>
      </c>
      <c r="H50" s="1" t="n">
        <v>45998</v>
      </c>
      <c r="I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1">
      <c r="A51" t="inlineStr">
        <is>
          <t>in-db1cf17045a094e6</t>
        </is>
      </c>
      <c r="B51" t="inlineStr">
        <is>
          <t>Principal Applied Scientist, Sponsored Products and Brands</t>
        </is>
      </c>
      <c r="C51" t="inlineStr">
        <is>
          <t>Amazon.com</t>
        </is>
      </c>
      <c r="D51" t="inlineStr">
        <is>
          <t>indeed</t>
        </is>
      </c>
      <c r="E51" t="inlineStr"/>
      <c r="F51" t="inlineStr"/>
      <c r="G51" t="inlineStr">
        <is>
          <t>New York, NY, US</t>
        </is>
      </c>
      <c r="H51" s="1" t="n">
        <v>45979</v>
      </c>
      <c r="I5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in-5ad1a37083ed296e</t>
        </is>
      </c>
      <c r="B52" t="inlineStr">
        <is>
          <t>Principal Applied Scientist, Sponsored Products and Brands</t>
        </is>
      </c>
      <c r="C52" t="inlineStr">
        <is>
          <t>Amazon.com</t>
        </is>
      </c>
      <c r="D52" t="inlineStr">
        <is>
          <t>indeed</t>
        </is>
      </c>
      <c r="E52" t="inlineStr"/>
      <c r="F52" t="inlineStr"/>
      <c r="G52" t="inlineStr">
        <is>
          <t>Seattle, WA, US</t>
        </is>
      </c>
      <c r="H52" s="1" t="n">
        <v>45979</v>
      </c>
      <c r="I5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in-69caebac170ab1b1</t>
        </is>
      </c>
      <c r="B53" t="inlineStr">
        <is>
          <t>Applied Scientist, Personalization, DTx Science</t>
        </is>
      </c>
      <c r="C53" t="inlineStr">
        <is>
          <t>Amazon.com</t>
        </is>
      </c>
      <c r="D53" t="inlineStr">
        <is>
          <t>indeed</t>
        </is>
      </c>
      <c r="E53" t="inlineStr"/>
      <c r="F53" t="inlineStr"/>
      <c r="G53" t="inlineStr">
        <is>
          <t>New York, NY, US</t>
        </is>
      </c>
      <c r="H53" s="1" t="n">
        <v>45979</v>
      </c>
      <c r="I5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4">
      <c r="A54" t="inlineStr">
        <is>
          <t>in-c346b08f2df009bc</t>
        </is>
      </c>
      <c r="B54" t="inlineStr">
        <is>
          <t>Applied Scientist, Personalization, DTx Science</t>
        </is>
      </c>
      <c r="C54" t="inlineStr">
        <is>
          <t>Amazon.com</t>
        </is>
      </c>
      <c r="D54" t="inlineStr">
        <is>
          <t>indeed</t>
        </is>
      </c>
      <c r="E54" t="inlineStr"/>
      <c r="F54" t="inlineStr"/>
      <c r="G54" t="inlineStr">
        <is>
          <t>Seattle, WA, US</t>
        </is>
      </c>
      <c r="H54" s="1" t="n">
        <v>45979</v>
      </c>
      <c r="I5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5">
      <c r="A55" t="inlineStr">
        <is>
          <t>in-908cc5f38f397e0c</t>
        </is>
      </c>
      <c r="B55" t="inlineStr">
        <is>
          <t>Senior Applied Scientist, Sponsored Products and Brands</t>
        </is>
      </c>
      <c r="C55" t="inlineStr">
        <is>
          <t>Amazon.com</t>
        </is>
      </c>
      <c r="D55" t="inlineStr">
        <is>
          <t>indeed</t>
        </is>
      </c>
      <c r="E55" t="inlineStr"/>
      <c r="F55" t="inlineStr"/>
      <c r="G55" t="inlineStr">
        <is>
          <t>Seattle, WA, US</t>
        </is>
      </c>
      <c r="H55" s="1" t="n">
        <v>45979</v>
      </c>
      <c r="I5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6">
      <c r="A56" t="inlineStr">
        <is>
          <t>in-ab7bed1fd02634e2</t>
        </is>
      </c>
      <c r="B56" t="inlineStr">
        <is>
          <t>Senior Applied Scientist, Sponsored Products and Brands</t>
        </is>
      </c>
      <c r="C56" t="inlineStr">
        <is>
          <t>Amazon.com</t>
        </is>
      </c>
      <c r="D56" t="inlineStr">
        <is>
          <t>indeed</t>
        </is>
      </c>
      <c r="E56" t="inlineStr"/>
      <c r="F56" t="inlineStr"/>
      <c r="G56" t="inlineStr">
        <is>
          <t>New York, NY, US</t>
        </is>
      </c>
      <c r="H56" s="1" t="n">
        <v>45979</v>
      </c>
      <c r="I5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7">
      <c r="A57" t="inlineStr">
        <is>
          <t>in-0780b8365a6ed384</t>
        </is>
      </c>
      <c r="B57" t="inlineStr">
        <is>
          <t>Applied Scientist II, Prime Video Personalization and Discovery Science</t>
        </is>
      </c>
      <c r="C57" t="inlineStr">
        <is>
          <t>Amazon.com</t>
        </is>
      </c>
      <c r="D57" t="inlineStr">
        <is>
          <t>indeed</t>
        </is>
      </c>
      <c r="E57" t="inlineStr"/>
      <c r="F57" t="inlineStr"/>
      <c r="G57" t="inlineStr">
        <is>
          <t>New York, NY, US</t>
        </is>
      </c>
      <c r="H57" s="1" t="n">
        <v>45978</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8">
      <c r="A58" t="inlineStr">
        <is>
          <t>in-d78e72f9ae6fc972</t>
        </is>
      </c>
      <c r="B58" t="inlineStr">
        <is>
          <t>Applied Scientist II, Prime Video Personalization and Discovery Science</t>
        </is>
      </c>
      <c r="C58" t="inlineStr">
        <is>
          <t>Amazon.com</t>
        </is>
      </c>
      <c r="D58" t="inlineStr">
        <is>
          <t>indeed</t>
        </is>
      </c>
      <c r="E58" t="inlineStr"/>
      <c r="F58" t="inlineStr"/>
      <c r="G58" t="inlineStr">
        <is>
          <t>Sunnyvale, CA, US</t>
        </is>
      </c>
      <c r="H58" s="1" t="n">
        <v>45978</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9">
      <c r="A59" t="inlineStr">
        <is>
          <t>in-62db1f13fd54f31d</t>
        </is>
      </c>
      <c r="B59" t="inlineStr">
        <is>
          <t>Applied Scientist II, Prime Video Personalization and Discovery Science</t>
        </is>
      </c>
      <c r="C59" t="inlineStr">
        <is>
          <t>Amazon.com</t>
        </is>
      </c>
      <c r="D59" t="inlineStr">
        <is>
          <t>indeed</t>
        </is>
      </c>
      <c r="E59" t="inlineStr"/>
      <c r="F59" t="inlineStr"/>
      <c r="G59" t="inlineStr">
        <is>
          <t>Seattle, WA, US</t>
        </is>
      </c>
      <c r="H59" s="1" t="n">
        <v>45978</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0">
      <c r="A60" t="inlineStr">
        <is>
          <t>in-9e6ae972c847b687</t>
        </is>
      </c>
      <c r="B60" t="inlineStr">
        <is>
          <t>Sr. Applied Scientist, Sponsored Products</t>
        </is>
      </c>
      <c r="C60" t="inlineStr">
        <is>
          <t>Amazon.com</t>
        </is>
      </c>
      <c r="D60" t="inlineStr">
        <is>
          <t>indeed</t>
        </is>
      </c>
      <c r="E60" t="inlineStr"/>
      <c r="F60" t="inlineStr"/>
      <c r="G60" t="inlineStr">
        <is>
          <t>Arlington, VA, US</t>
        </is>
      </c>
      <c r="H60" s="1" t="n">
        <v>45976</v>
      </c>
      <c r="I6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1">
      <c r="A61" t="inlineStr">
        <is>
          <t>in-90195ebb0a585f19</t>
        </is>
      </c>
      <c r="B61" t="inlineStr">
        <is>
          <t>Sr. Applied Scientist, Sponsored Products</t>
        </is>
      </c>
      <c r="C61" t="inlineStr">
        <is>
          <t>Amazon.com</t>
        </is>
      </c>
      <c r="D61" t="inlineStr">
        <is>
          <t>indeed</t>
        </is>
      </c>
      <c r="E61" t="inlineStr"/>
      <c r="F61" t="inlineStr"/>
      <c r="G61" t="inlineStr">
        <is>
          <t>New York, NY, US</t>
        </is>
      </c>
      <c r="H61" s="1" t="n">
        <v>45976</v>
      </c>
      <c r="I6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2">
      <c r="A62" t="inlineStr">
        <is>
          <t>in-8d6e687a2a59afaf</t>
        </is>
      </c>
      <c r="B62" t="inlineStr">
        <is>
          <t>Sr. Applied Scientist, Sponsored Products</t>
        </is>
      </c>
      <c r="C62" t="inlineStr">
        <is>
          <t>Amazon.com</t>
        </is>
      </c>
      <c r="D62" t="inlineStr">
        <is>
          <t>indeed</t>
        </is>
      </c>
      <c r="E62" t="inlineStr"/>
      <c r="F62" t="inlineStr"/>
      <c r="G62" t="inlineStr">
        <is>
          <t>Seattle, WA, US</t>
        </is>
      </c>
      <c r="H62" s="1" t="n">
        <v>45976</v>
      </c>
      <c r="I6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3">
      <c r="A63" t="inlineStr">
        <is>
          <t>in-6f5cb6de036092e9</t>
        </is>
      </c>
      <c r="B63" t="inlineStr">
        <is>
          <t>Applied Scientist, AWS Agentic AI</t>
        </is>
      </c>
      <c r="C63" t="inlineStr">
        <is>
          <t>Amazon Web Services</t>
        </is>
      </c>
      <c r="D63" t="inlineStr">
        <is>
          <t>indeed</t>
        </is>
      </c>
      <c r="E63" t="inlineStr"/>
      <c r="F63" t="inlineStr"/>
      <c r="G63" t="inlineStr">
        <is>
          <t>Seattle, WA, US</t>
        </is>
      </c>
      <c r="H63" s="1" t="n">
        <v>45962</v>
      </c>
      <c r="I6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in-b9e7e9941176a0fc</t>
        </is>
      </c>
      <c r="B64" t="inlineStr">
        <is>
          <t>Applied Scientist, AWS Agentic AI</t>
        </is>
      </c>
      <c r="C64" t="inlineStr">
        <is>
          <t>Amazon Web Services</t>
        </is>
      </c>
      <c r="D64" t="inlineStr">
        <is>
          <t>indeed</t>
        </is>
      </c>
      <c r="E64" t="inlineStr"/>
      <c r="F64" t="inlineStr"/>
      <c r="G64" t="inlineStr">
        <is>
          <t>New York, NY, US</t>
        </is>
      </c>
      <c r="H64" s="1" t="n">
        <v>45962</v>
      </c>
      <c r="I6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in-7407a3015f09b4ac</t>
        </is>
      </c>
      <c r="B65" t="inlineStr">
        <is>
          <t>Applied Scientist, AWS Agentic AI</t>
        </is>
      </c>
      <c r="C65" t="inlineStr">
        <is>
          <t>Amazon Web Services</t>
        </is>
      </c>
      <c r="D65" t="inlineStr">
        <is>
          <t>indeed</t>
        </is>
      </c>
      <c r="E65" t="inlineStr"/>
      <c r="F65" t="inlineStr"/>
      <c r="G65" t="inlineStr">
        <is>
          <t>Santa Clara, CA, US</t>
        </is>
      </c>
      <c r="H65" s="1" t="n">
        <v>45962</v>
      </c>
      <c r="I6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in-44e8c0fa0fdb27db</t>
        </is>
      </c>
      <c r="B66" t="inlineStr">
        <is>
          <t>Sr. Applied Scientist, Prime Video - Personalization and Discovery Science</t>
        </is>
      </c>
      <c r="C66" t="inlineStr">
        <is>
          <t>Amazon.com</t>
        </is>
      </c>
      <c r="D66" t="inlineStr">
        <is>
          <t>indeed</t>
        </is>
      </c>
      <c r="E66" t="inlineStr"/>
      <c r="F66" t="inlineStr"/>
      <c r="G66" t="inlineStr">
        <is>
          <t>Sunnyvale, CA, US</t>
        </is>
      </c>
      <c r="H66" s="1" t="n">
        <v>45959</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67">
      <c r="A67" t="inlineStr">
        <is>
          <t>in-82c4f5cb3b0ba758</t>
        </is>
      </c>
      <c r="B67" t="inlineStr">
        <is>
          <t>Sr. Applied Scientist, Prime Video - Personalization and Discovery Science</t>
        </is>
      </c>
      <c r="C67" t="inlineStr">
        <is>
          <t>Amazon.com</t>
        </is>
      </c>
      <c r="D67" t="inlineStr">
        <is>
          <t>indeed</t>
        </is>
      </c>
      <c r="E67" t="inlineStr"/>
      <c r="F67" t="inlineStr"/>
      <c r="G67" t="inlineStr">
        <is>
          <t>Seattle, WA, US</t>
        </is>
      </c>
      <c r="H67" s="1" t="n">
        <v>45959</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68">
      <c r="A68" t="inlineStr">
        <is>
          <t>in-78e49cf892e0377a</t>
        </is>
      </c>
      <c r="B68" t="inlineStr">
        <is>
          <t>Sr. Applied Scientist, Prime Video - Personalization and Discovery Science</t>
        </is>
      </c>
      <c r="C68" t="inlineStr">
        <is>
          <t>Amazon.com</t>
        </is>
      </c>
      <c r="D68" t="inlineStr">
        <is>
          <t>indeed</t>
        </is>
      </c>
      <c r="E68" t="inlineStr"/>
      <c r="F68" t="inlineStr"/>
      <c r="G68" t="inlineStr">
        <is>
          <t>New York, NY, US</t>
        </is>
      </c>
      <c r="H68" s="1" t="n">
        <v>45959</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69">
      <c r="A69" t="inlineStr">
        <is>
          <t>in-50e6de7077b71cef</t>
        </is>
      </c>
      <c r="B69" t="inlineStr">
        <is>
          <t>Principal Applied Scientist, Advertiser Growth, Amazon Sponsored Products &amp; Brands</t>
        </is>
      </c>
      <c r="C69" t="inlineStr">
        <is>
          <t>Amazon.com</t>
        </is>
      </c>
      <c r="D69" t="inlineStr">
        <is>
          <t>indeed</t>
        </is>
      </c>
      <c r="E69" t="inlineStr"/>
      <c r="F69" t="inlineStr"/>
      <c r="G69" t="inlineStr">
        <is>
          <t>Palo Alto, CA, US</t>
        </is>
      </c>
      <c r="H69" s="1" t="n">
        <v>45942</v>
      </c>
      <c r="I6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in-0a4e2ac558948d9d</t>
        </is>
      </c>
      <c r="B70" t="inlineStr">
        <is>
          <t>Principal Applied Scientist, Advertiser Growth, Amazon Sponsored Products &amp; Brands</t>
        </is>
      </c>
      <c r="C70" t="inlineStr">
        <is>
          <t>Amazon.com</t>
        </is>
      </c>
      <c r="D70" t="inlineStr">
        <is>
          <t>indeed</t>
        </is>
      </c>
      <c r="E70" t="inlineStr"/>
      <c r="F70" t="inlineStr"/>
      <c r="G70" t="inlineStr">
        <is>
          <t>New York, NY, US</t>
        </is>
      </c>
      <c r="H70" s="1" t="n">
        <v>45942</v>
      </c>
      <c r="I7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in-8eaa67c2c815b54b</t>
        </is>
      </c>
      <c r="B71" t="inlineStr">
        <is>
          <t>Principal Applied Scientist, Advertiser Growth, Amazon Sponsored Products &amp; Brands</t>
        </is>
      </c>
      <c r="C71" t="inlineStr">
        <is>
          <t>Amazon.com</t>
        </is>
      </c>
      <c r="D71" t="inlineStr">
        <is>
          <t>indeed</t>
        </is>
      </c>
      <c r="E71" t="inlineStr"/>
      <c r="F71" t="inlineStr"/>
      <c r="G71" t="inlineStr">
        <is>
          <t>Seattle, WA, US</t>
        </is>
      </c>
      <c r="H71" s="1" t="n">
        <v>45942</v>
      </c>
      <c r="I7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in-949418a451543e55</t>
        </is>
      </c>
      <c r="B72" t="inlineStr">
        <is>
          <t>Applied Scientist II, Prime Video - Personalization and Discovery Science, Personalization and Discovery Science</t>
        </is>
      </c>
      <c r="C72" t="inlineStr">
        <is>
          <t>Amazon.com</t>
        </is>
      </c>
      <c r="D72" t="inlineStr">
        <is>
          <t>indeed</t>
        </is>
      </c>
      <c r="E72" t="inlineStr"/>
      <c r="F72" t="inlineStr"/>
      <c r="G72" t="inlineStr">
        <is>
          <t>Sunnyvale, CA, US</t>
        </is>
      </c>
      <c r="H72" s="1" t="n">
        <v>45930</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in-173bc686097a9bcf</t>
        </is>
      </c>
      <c r="B73" t="inlineStr">
        <is>
          <t>Applied Scientist II, Prime Video - Personalization and Discovery Science, Personalization and Discovery Science</t>
        </is>
      </c>
      <c r="C73" t="inlineStr">
        <is>
          <t>Amazon.com</t>
        </is>
      </c>
      <c r="D73" t="inlineStr">
        <is>
          <t>indeed</t>
        </is>
      </c>
      <c r="E73" t="inlineStr"/>
      <c r="F73" t="inlineStr"/>
      <c r="G73" t="inlineStr">
        <is>
          <t>Seattle, WA, US</t>
        </is>
      </c>
      <c r="H73" s="1" t="n">
        <v>45930</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in-cfd141ccb857aa08</t>
        </is>
      </c>
      <c r="B74" t="inlineStr">
        <is>
          <t>Applied Scientist II, Prime Video - Personalization and Discovery Science, Personalization and Discovery Science</t>
        </is>
      </c>
      <c r="C74" t="inlineStr">
        <is>
          <t>Amazon.com</t>
        </is>
      </c>
      <c r="D74" t="inlineStr">
        <is>
          <t>indeed</t>
        </is>
      </c>
      <c r="E74" t="inlineStr"/>
      <c r="F74" t="inlineStr"/>
      <c r="G74" t="inlineStr">
        <is>
          <t>New York, NY, US</t>
        </is>
      </c>
      <c r="H74" s="1" t="n">
        <v>45930</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in-e36599f6c93cc05a</t>
        </is>
      </c>
      <c r="B75" t="inlineStr">
        <is>
          <t>Applied Scientist, Workplace Health &amp; Safety</t>
        </is>
      </c>
      <c r="C75" t="inlineStr">
        <is>
          <t>Amazon.com</t>
        </is>
      </c>
      <c r="D75" t="inlineStr">
        <is>
          <t>indeed</t>
        </is>
      </c>
      <c r="E75" t="inlineStr"/>
      <c r="F75" t="inlineStr"/>
      <c r="G75" t="inlineStr">
        <is>
          <t>Bellevue, WA, US</t>
        </is>
      </c>
      <c r="H75" s="1" t="n">
        <v>45917</v>
      </c>
      <c r="I7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in-f225362caf337cd4</t>
        </is>
      </c>
      <c r="B76" t="inlineStr">
        <is>
          <t>Applied Scientist, Workplace Health &amp; Safety</t>
        </is>
      </c>
      <c r="C76" t="inlineStr">
        <is>
          <t>Amazon.com</t>
        </is>
      </c>
      <c r="D76" t="inlineStr">
        <is>
          <t>indeed</t>
        </is>
      </c>
      <c r="E76" t="inlineStr"/>
      <c r="F76" t="inlineStr"/>
      <c r="G76" t="inlineStr">
        <is>
          <t>Nashville, TN, US</t>
        </is>
      </c>
      <c r="H76" s="1" t="n">
        <v>45917</v>
      </c>
      <c r="I7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in-bf681d35f1775b41</t>
        </is>
      </c>
      <c r="B77" t="inlineStr">
        <is>
          <t>Sr. Applied Scientist, Prime Video - Personalization and Discovery Science</t>
        </is>
      </c>
      <c r="C77" t="inlineStr">
        <is>
          <t>Amazon.com</t>
        </is>
      </c>
      <c r="D77" t="inlineStr">
        <is>
          <t>indeed</t>
        </is>
      </c>
      <c r="E77" t="inlineStr"/>
      <c r="F77" t="inlineStr"/>
      <c r="G77" t="inlineStr">
        <is>
          <t>New York, NY, US</t>
        </is>
      </c>
      <c r="H77" s="1" t="n">
        <v>45896</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8">
      <c r="A78" t="inlineStr">
        <is>
          <t>in-085218da1c25be8e</t>
        </is>
      </c>
      <c r="B78" t="inlineStr">
        <is>
          <t>Sr. Applied Scientist, Prime Video - Personalization and Discovery Science</t>
        </is>
      </c>
      <c r="C78" t="inlineStr">
        <is>
          <t>Amazon.com</t>
        </is>
      </c>
      <c r="D78" t="inlineStr">
        <is>
          <t>indeed</t>
        </is>
      </c>
      <c r="E78" t="inlineStr"/>
      <c r="F78" t="inlineStr"/>
      <c r="G78" t="inlineStr">
        <is>
          <t>Seattle, WA, US</t>
        </is>
      </c>
      <c r="H78" s="1" t="n">
        <v>45896</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9">
      <c r="A79" t="inlineStr">
        <is>
          <t>in-414f07ebda060460</t>
        </is>
      </c>
      <c r="B79" t="inlineStr">
        <is>
          <t>Sr. Applied Scientist, Prime Video - Personalization and Discovery Science</t>
        </is>
      </c>
      <c r="C79" t="inlineStr">
        <is>
          <t>Amazon.com</t>
        </is>
      </c>
      <c r="D79" t="inlineStr">
        <is>
          <t>indeed</t>
        </is>
      </c>
      <c r="E79" t="inlineStr"/>
      <c r="F79" t="inlineStr"/>
      <c r="G79" t="inlineStr">
        <is>
          <t>Sunnyvale, CA, US</t>
        </is>
      </c>
      <c r="H79" s="1" t="n">
        <v>45896</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0">
      <c r="A80" t="inlineStr">
        <is>
          <t>in-e5f164202d8c6373</t>
        </is>
      </c>
      <c r="B80" t="inlineStr">
        <is>
          <t>Applied Scientist II, Prime Video , Personalization and Discovery Science</t>
        </is>
      </c>
      <c r="C80" t="inlineStr">
        <is>
          <t>Amazon.com</t>
        </is>
      </c>
      <c r="D80" t="inlineStr">
        <is>
          <t>indeed</t>
        </is>
      </c>
      <c r="E80" t="inlineStr"/>
      <c r="F80" t="inlineStr"/>
      <c r="G80" t="inlineStr">
        <is>
          <t>Sunnyvale, CA, US</t>
        </is>
      </c>
      <c r="H80" s="1" t="n">
        <v>45886</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1">
      <c r="A81" t="inlineStr">
        <is>
          <t>in-9b3d3d1e847df112</t>
        </is>
      </c>
      <c r="B81" t="inlineStr">
        <is>
          <t>Applied Scientist II, Prime Video , Personalization and Discovery Science</t>
        </is>
      </c>
      <c r="C81" t="inlineStr">
        <is>
          <t>Amazon.com</t>
        </is>
      </c>
      <c r="D81" t="inlineStr">
        <is>
          <t>indeed</t>
        </is>
      </c>
      <c r="E81" t="inlineStr"/>
      <c r="F81" t="inlineStr"/>
      <c r="G81" t="inlineStr">
        <is>
          <t>New York, NY, US</t>
        </is>
      </c>
      <c r="H81" s="1" t="n">
        <v>45886</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2">
      <c r="A82" t="inlineStr">
        <is>
          <t>in-47f12ffd607a7dfe</t>
        </is>
      </c>
      <c r="B82" t="inlineStr">
        <is>
          <t>Applied Scientist II, Prime Video , Personalization and Discovery Science</t>
        </is>
      </c>
      <c r="C82" t="inlineStr">
        <is>
          <t>Amazon.com</t>
        </is>
      </c>
      <c r="D82" t="inlineStr">
        <is>
          <t>indeed</t>
        </is>
      </c>
      <c r="E82" t="inlineStr"/>
      <c r="F82" t="inlineStr"/>
      <c r="G82" t="inlineStr">
        <is>
          <t>Seattle, WA, US</t>
        </is>
      </c>
      <c r="H82" s="1" t="n">
        <v>45886</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3">
      <c r="A83" t="inlineStr">
        <is>
          <t>in-ac06fcef1760a91c</t>
        </is>
      </c>
      <c r="B83" t="inlineStr">
        <is>
          <t>Sr. Applied Scientist, Prime Video - Personalization and Discovery Science</t>
        </is>
      </c>
      <c r="C83" t="inlineStr">
        <is>
          <t>Amazon.com</t>
        </is>
      </c>
      <c r="D83" t="inlineStr">
        <is>
          <t>indeed</t>
        </is>
      </c>
      <c r="E83" t="inlineStr"/>
      <c r="F83" t="inlineStr"/>
      <c r="G83" t="inlineStr">
        <is>
          <t>New York, NY, US</t>
        </is>
      </c>
      <c r="H83" s="1" t="n">
        <v>45886</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in-da2352b6194e0083</t>
        </is>
      </c>
      <c r="B84" t="inlineStr">
        <is>
          <t>Sr. Applied Scientist, Prime Video - Personalization and Discovery Science</t>
        </is>
      </c>
      <c r="C84" t="inlineStr">
        <is>
          <t>Amazon.com</t>
        </is>
      </c>
      <c r="D84" t="inlineStr">
        <is>
          <t>indeed</t>
        </is>
      </c>
      <c r="E84" t="inlineStr"/>
      <c r="F84" t="inlineStr"/>
      <c r="G84" t="inlineStr">
        <is>
          <t>Sunnyvale, CA, US</t>
        </is>
      </c>
      <c r="H84" s="1" t="n">
        <v>45886</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in-8acb4bbc3ff9c888</t>
        </is>
      </c>
      <c r="B85" t="inlineStr">
        <is>
          <t>Sr. Applied Scientist, Prime Video - Personalization and Discovery Science</t>
        </is>
      </c>
      <c r="C85" t="inlineStr">
        <is>
          <t>Amazon.com</t>
        </is>
      </c>
      <c r="D85" t="inlineStr">
        <is>
          <t>indeed</t>
        </is>
      </c>
      <c r="E85" t="inlineStr"/>
      <c r="F85" t="inlineStr"/>
      <c r="G85" t="inlineStr">
        <is>
          <t>New York, NY, US</t>
        </is>
      </c>
      <c r="H85" s="1" t="n">
        <v>45881</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in-04b70ba14bb5d4f1</t>
        </is>
      </c>
      <c r="B86" t="inlineStr">
        <is>
          <t>Applied Scientist II, Prime Video - Personalization and Discovery Science</t>
        </is>
      </c>
      <c r="C86" t="inlineStr">
        <is>
          <t>Amazon.com</t>
        </is>
      </c>
      <c r="D86" t="inlineStr">
        <is>
          <t>indeed</t>
        </is>
      </c>
      <c r="E86" t="inlineStr"/>
      <c r="F86" t="inlineStr"/>
      <c r="G86" t="inlineStr">
        <is>
          <t>Seattle, WA, US</t>
        </is>
      </c>
      <c r="H86" s="1" t="n">
        <v>45881</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in-4411a64a64a12395</t>
        </is>
      </c>
      <c r="B87" t="inlineStr">
        <is>
          <t>Applied Scientist II, Prime Video - Personalization and Discovery Science</t>
        </is>
      </c>
      <c r="C87" t="inlineStr">
        <is>
          <t>Amazon.com</t>
        </is>
      </c>
      <c r="D87" t="inlineStr">
        <is>
          <t>indeed</t>
        </is>
      </c>
      <c r="E87" t="inlineStr"/>
      <c r="F87" t="inlineStr"/>
      <c r="G87" t="inlineStr">
        <is>
          <t>Sunnyvale, CA, US</t>
        </is>
      </c>
      <c r="H87" s="1" t="n">
        <v>45881</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in-68214bb978cb1f3b</t>
        </is>
      </c>
      <c r="B88" t="inlineStr">
        <is>
          <t>Applied Scientist II, Prime Video - Personalization and Discovery Science</t>
        </is>
      </c>
      <c r="C88" t="inlineStr">
        <is>
          <t>Amazon.com</t>
        </is>
      </c>
      <c r="D88" t="inlineStr">
        <is>
          <t>indeed</t>
        </is>
      </c>
      <c r="E88" t="inlineStr"/>
      <c r="F88" t="inlineStr"/>
      <c r="G88" t="inlineStr">
        <is>
          <t>New York, NY, US</t>
        </is>
      </c>
      <c r="H88" s="1" t="n">
        <v>45881</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in-e143299fc2147e28</t>
        </is>
      </c>
      <c r="B89" t="inlineStr">
        <is>
          <t>Sr. Applied Scientist, Prime Video - Personalization and Discovery Science</t>
        </is>
      </c>
      <c r="C89" t="inlineStr">
        <is>
          <t>Amazon.com</t>
        </is>
      </c>
      <c r="D89" t="inlineStr">
        <is>
          <t>indeed</t>
        </is>
      </c>
      <c r="E89" t="inlineStr"/>
      <c r="F89" t="inlineStr"/>
      <c r="G89" t="inlineStr">
        <is>
          <t>Sunnyvale, CA, US</t>
        </is>
      </c>
      <c r="H89" s="1" t="n">
        <v>45881</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in-b619f52f2e548b22</t>
        </is>
      </c>
      <c r="B90" t="inlineStr">
        <is>
          <t>Sr. Applied Scientist, Prime Video - Personalization and Discovery Science</t>
        </is>
      </c>
      <c r="C90" t="inlineStr">
        <is>
          <t>Amazon.com</t>
        </is>
      </c>
      <c r="D90" t="inlineStr">
        <is>
          <t>indeed</t>
        </is>
      </c>
      <c r="E90" t="inlineStr"/>
      <c r="F90" t="inlineStr"/>
      <c r="G90" t="inlineStr">
        <is>
          <t>Seattle, WA, US</t>
        </is>
      </c>
      <c r="H90" s="1" t="n">
        <v>45881</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in-d704cc7d5d971cae</t>
        </is>
      </c>
      <c r="B91" t="inlineStr">
        <is>
          <t>Applied Scientist III, StoreGen</t>
        </is>
      </c>
      <c r="C91" t="inlineStr">
        <is>
          <t>Amazon.com</t>
        </is>
      </c>
      <c r="D91" t="inlineStr">
        <is>
          <t>indeed</t>
        </is>
      </c>
      <c r="E91" t="inlineStr"/>
      <c r="F91" t="inlineStr"/>
      <c r="G91" t="inlineStr">
        <is>
          <t>Sunnyvale, CA, US</t>
        </is>
      </c>
      <c r="H91" s="1" t="n">
        <v>45868</v>
      </c>
      <c r="I9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in-b5d5471d7a9565f7</t>
        </is>
      </c>
      <c r="B92" t="inlineStr">
        <is>
          <t>Applied Scientist III, StoreGen</t>
        </is>
      </c>
      <c r="C92" t="inlineStr">
        <is>
          <t>Amazon.com</t>
        </is>
      </c>
      <c r="D92" t="inlineStr">
        <is>
          <t>indeed</t>
        </is>
      </c>
      <c r="E92" t="inlineStr"/>
      <c r="F92" t="inlineStr"/>
      <c r="G92" t="inlineStr">
        <is>
          <t>Seattle, WA, US</t>
        </is>
      </c>
      <c r="H92" s="1" t="n">
        <v>45868</v>
      </c>
      <c r="I9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in-a2e97c56a8ed5d7e</t>
        </is>
      </c>
      <c r="B93" t="inlineStr">
        <is>
          <t>Sr. Applied Scientist, Amazon Advertising</t>
        </is>
      </c>
      <c r="C93" t="inlineStr">
        <is>
          <t>Amazon.com</t>
        </is>
      </c>
      <c r="D93" t="inlineStr">
        <is>
          <t>indeed</t>
        </is>
      </c>
      <c r="E93" t="inlineStr"/>
      <c r="F93" t="inlineStr"/>
      <c r="G93" t="inlineStr">
        <is>
          <t>New York, NY, US</t>
        </is>
      </c>
      <c r="H93" s="1"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in-c0be1701e53a0822</t>
        </is>
      </c>
      <c r="B94" t="inlineStr">
        <is>
          <t>Sr. Applied Scientist, Amazon Advertising</t>
        </is>
      </c>
      <c r="C94" t="inlineStr">
        <is>
          <t>Amazon.com</t>
        </is>
      </c>
      <c r="D94" t="inlineStr">
        <is>
          <t>indeed</t>
        </is>
      </c>
      <c r="E94" t="inlineStr"/>
      <c r="F94" t="inlineStr"/>
      <c r="G94" t="inlineStr">
        <is>
          <t>Arlington, VA, US</t>
        </is>
      </c>
      <c r="H94" s="1"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in-7d230688e8d6d534</t>
        </is>
      </c>
      <c r="B95" t="inlineStr">
        <is>
          <t>Sr. Applied Scientist, Amazon Advertising</t>
        </is>
      </c>
      <c r="C95" t="inlineStr">
        <is>
          <t>Amazon.com</t>
        </is>
      </c>
      <c r="D95" t="inlineStr">
        <is>
          <t>indeed</t>
        </is>
      </c>
      <c r="E95" t="inlineStr"/>
      <c r="F95" t="inlineStr"/>
      <c r="G95" t="inlineStr">
        <is>
          <t>West Hollywood, CA, US</t>
        </is>
      </c>
      <c r="H95" s="1"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in-c71a65ccd8698598</t>
        </is>
      </c>
      <c r="B96" t="inlineStr">
        <is>
          <t>Sr. Applied Scientist, Amazon Advertising</t>
        </is>
      </c>
      <c r="C96" t="inlineStr">
        <is>
          <t>Amazon.com</t>
        </is>
      </c>
      <c r="D96" t="inlineStr">
        <is>
          <t>indeed</t>
        </is>
      </c>
      <c r="E96" t="inlineStr"/>
      <c r="F96" t="inlineStr"/>
      <c r="G96" t="inlineStr">
        <is>
          <t>Los Angeles, CA, US</t>
        </is>
      </c>
      <c r="H96" s="1"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in-258627bda54ca9f7</t>
        </is>
      </c>
      <c r="B97" t="inlineStr">
        <is>
          <t>Sr. Applied Scientist, Amazon Advertising</t>
        </is>
      </c>
      <c r="C97" t="inlineStr">
        <is>
          <t>Amazon.com</t>
        </is>
      </c>
      <c r="D97" t="inlineStr">
        <is>
          <t>indeed</t>
        </is>
      </c>
      <c r="E97" t="inlineStr"/>
      <c r="F97" t="inlineStr"/>
      <c r="G97" t="inlineStr">
        <is>
          <t>Seattle, WA, US</t>
        </is>
      </c>
      <c r="H97" s="1"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in-301b196436cec0e2</t>
        </is>
      </c>
      <c r="B98" t="inlineStr">
        <is>
          <t>Sr. Applied Scientist, Amazon Advertising</t>
        </is>
      </c>
      <c r="C98" t="inlineStr">
        <is>
          <t>Amazon.com</t>
        </is>
      </c>
      <c r="D98" t="inlineStr">
        <is>
          <t>indeed</t>
        </is>
      </c>
      <c r="E98" t="inlineStr"/>
      <c r="F98" t="inlineStr"/>
      <c r="G98" t="inlineStr">
        <is>
          <t>Austin, TX, US</t>
        </is>
      </c>
      <c r="H98" s="1"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in-2ad0dd86889d61f5</t>
        </is>
      </c>
      <c r="B99" t="inlineStr">
        <is>
          <t>Sr. Applied Scientist, Amazon Advertising</t>
        </is>
      </c>
      <c r="C99" t="inlineStr">
        <is>
          <t>Amazon.com</t>
        </is>
      </c>
      <c r="D99" t="inlineStr">
        <is>
          <t>indeed</t>
        </is>
      </c>
      <c r="E99" t="inlineStr"/>
      <c r="F99" t="inlineStr"/>
      <c r="G99" t="inlineStr">
        <is>
          <t>Simi Valley, CA, US</t>
        </is>
      </c>
      <c r="H99" s="1"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in-4518cd86770a6e1a</t>
        </is>
      </c>
      <c r="B100" t="inlineStr">
        <is>
          <t>Sr. Applied Scientist, Amazon Advertising</t>
        </is>
      </c>
      <c r="C100" t="inlineStr">
        <is>
          <t>Amazon.com</t>
        </is>
      </c>
      <c r="D100" t="inlineStr">
        <is>
          <t>indeed</t>
        </is>
      </c>
      <c r="E100" t="inlineStr"/>
      <c r="F100" t="inlineStr"/>
      <c r="G100" t="inlineStr">
        <is>
          <t>Palo Alto, CA, US</t>
        </is>
      </c>
      <c r="H100" s="1"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in-6db8acbf874ed697</t>
        </is>
      </c>
      <c r="B101" t="inlineStr">
        <is>
          <t>Sr. Applied Scientist, Sales AI</t>
        </is>
      </c>
      <c r="C101" t="inlineStr">
        <is>
          <t>Amazon.com</t>
        </is>
      </c>
      <c r="D101" t="inlineStr">
        <is>
          <t>indeed</t>
        </is>
      </c>
      <c r="E101" t="inlineStr"/>
      <c r="F101" t="inlineStr"/>
      <c r="G101" t="inlineStr">
        <is>
          <t>Seattle, WA, US</t>
        </is>
      </c>
      <c r="H101" s="1" t="n">
        <v>45830</v>
      </c>
      <c r="I10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in-92dfc5465ed64858</t>
        </is>
      </c>
      <c r="B102" t="inlineStr">
        <is>
          <t>Sr. Applied Scientist, Sales AI</t>
        </is>
      </c>
      <c r="C102" t="inlineStr">
        <is>
          <t>Amazon.com</t>
        </is>
      </c>
      <c r="D102" t="inlineStr">
        <is>
          <t>indeed</t>
        </is>
      </c>
      <c r="E102" t="inlineStr"/>
      <c r="F102" t="inlineStr"/>
      <c r="G102" t="inlineStr">
        <is>
          <t>Sunnyvale, CA, US</t>
        </is>
      </c>
      <c r="H102" s="1" t="n">
        <v>45830</v>
      </c>
      <c r="I10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in-ac4fbfb9304dc6a6</t>
        </is>
      </c>
      <c r="B103" t="inlineStr">
        <is>
          <t>Sr. Applied Scientist, Sales AI</t>
        </is>
      </c>
      <c r="C103" t="inlineStr">
        <is>
          <t>Amazon.com</t>
        </is>
      </c>
      <c r="D103" t="inlineStr">
        <is>
          <t>indeed</t>
        </is>
      </c>
      <c r="E103" t="inlineStr"/>
      <c r="F103" t="inlineStr"/>
      <c r="G103" t="inlineStr">
        <is>
          <t>New York, NY, US</t>
        </is>
      </c>
      <c r="H103" s="1" t="n">
        <v>45830</v>
      </c>
      <c r="I1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in-23d58ec8ee7b655c</t>
        </is>
      </c>
      <c r="B104" t="inlineStr">
        <is>
          <t>Senior Applied Scientist, Delivery Foundation Model</t>
        </is>
      </c>
      <c r="C104" t="inlineStr">
        <is>
          <t>Amazon.com</t>
        </is>
      </c>
      <c r="D104" t="inlineStr">
        <is>
          <t>indeed</t>
        </is>
      </c>
      <c r="E104" t="inlineStr"/>
      <c r="F104" t="inlineStr"/>
      <c r="G104" t="inlineStr">
        <is>
          <t>Bellevue, WA, US</t>
        </is>
      </c>
      <c r="H104" s="1" t="n">
        <v>45806</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in-59fcb1da9ac98daf</t>
        </is>
      </c>
      <c r="B105" t="inlineStr">
        <is>
          <t>Senior Applied Scientist, Delivery Foundation Model</t>
        </is>
      </c>
      <c r="C105" t="inlineStr">
        <is>
          <t>Amazon.com</t>
        </is>
      </c>
      <c r="D105" t="inlineStr">
        <is>
          <t>indeed</t>
        </is>
      </c>
      <c r="E105" t="inlineStr"/>
      <c r="F105" t="inlineStr"/>
      <c r="G105" t="inlineStr">
        <is>
          <t>New York, NY, US</t>
        </is>
      </c>
      <c r="H105" s="1" t="n">
        <v>45806</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in-c5ecbaa86234ac96</t>
        </is>
      </c>
      <c r="B106" t="inlineStr">
        <is>
          <t>Senior Applied Scientist, Delivery Foundation Model</t>
        </is>
      </c>
      <c r="C106" t="inlineStr">
        <is>
          <t>Amazon.com</t>
        </is>
      </c>
      <c r="D106" t="inlineStr">
        <is>
          <t>indeed</t>
        </is>
      </c>
      <c r="E106" t="inlineStr"/>
      <c r="F106" t="inlineStr"/>
      <c r="G106" t="inlineStr">
        <is>
          <t>Santa Clara, CA, US</t>
        </is>
      </c>
      <c r="H106" s="1" t="n">
        <v>45806</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in-97dc19cc4ec81a0b</t>
        </is>
      </c>
      <c r="B107" t="inlineStr">
        <is>
          <t>Sr. Applied Scientist - Privacy, Privacy Engineering</t>
        </is>
      </c>
      <c r="C107" t="inlineStr">
        <is>
          <t>Amazon.com</t>
        </is>
      </c>
      <c r="D107" t="inlineStr">
        <is>
          <t>indeed</t>
        </is>
      </c>
      <c r="E107" t="inlineStr"/>
      <c r="F107" t="inlineStr"/>
      <c r="G107" t="inlineStr">
        <is>
          <t>San Francisco, CA, US</t>
        </is>
      </c>
      <c r="H107" s="1" t="n">
        <v>45787</v>
      </c>
      <c r="I10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in-ac57c83a0b56531f</t>
        </is>
      </c>
      <c r="B108" t="inlineStr">
        <is>
          <t>Sr. Applied Scientist - Privacy, Privacy Engineering</t>
        </is>
      </c>
      <c r="C108" t="inlineStr">
        <is>
          <t>Amazon.com</t>
        </is>
      </c>
      <c r="D108" t="inlineStr">
        <is>
          <t>indeed</t>
        </is>
      </c>
      <c r="E108" t="inlineStr"/>
      <c r="F108" t="inlineStr"/>
      <c r="G108" t="inlineStr">
        <is>
          <t>Santa Clara, CA, US</t>
        </is>
      </c>
      <c r="H108" s="1" t="n">
        <v>45787</v>
      </c>
      <c r="I10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in-76f5207a0bc17aa8</t>
        </is>
      </c>
      <c r="B109" t="inlineStr">
        <is>
          <t>Sr. Applied Scientist - Privacy, Privacy Engineering</t>
        </is>
      </c>
      <c r="C109" t="inlineStr">
        <is>
          <t>Amazon.com</t>
        </is>
      </c>
      <c r="D109" t="inlineStr">
        <is>
          <t>indeed</t>
        </is>
      </c>
      <c r="E109" t="inlineStr"/>
      <c r="F109" t="inlineStr"/>
      <c r="G109" t="inlineStr">
        <is>
          <t>Seattle, WA, US</t>
        </is>
      </c>
      <c r="H109" s="1" t="n">
        <v>45787</v>
      </c>
      <c r="I10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in-8e62db4ba8dc8d21</t>
        </is>
      </c>
      <c r="B110" t="inlineStr">
        <is>
          <t>Sr. Applied Scientist - Privacy, Privacy Engineering</t>
        </is>
      </c>
      <c r="C110" t="inlineStr">
        <is>
          <t>Amazon.com</t>
        </is>
      </c>
      <c r="D110" t="inlineStr">
        <is>
          <t>indeed</t>
        </is>
      </c>
      <c r="E110" t="inlineStr"/>
      <c r="F110" t="inlineStr"/>
      <c r="G110" t="inlineStr">
        <is>
          <t>Sunnyvale, CA, US</t>
        </is>
      </c>
      <c r="H110" s="1" t="n">
        <v>45787</v>
      </c>
      <c r="I11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in-032bd5cd5ebbe215</t>
        </is>
      </c>
      <c r="B111" t="inlineStr">
        <is>
          <t>AI/ML engineer</t>
        </is>
      </c>
      <c r="C111" t="inlineStr">
        <is>
          <t>ORCA - Lean Digital Solutions</t>
        </is>
      </c>
      <c r="D111" t="inlineStr">
        <is>
          <t>indeed</t>
        </is>
      </c>
      <c r="E111" t="inlineStr"/>
      <c r="F111" t="inlineStr"/>
      <c r="G111" t="inlineStr">
        <is>
          <t>Remote, US</t>
        </is>
      </c>
      <c r="H111" s="1" t="n">
        <v>46072</v>
      </c>
      <c r="I111" t="inlineStr">
        <is>
          <t>Job description:
**Position:** AI/ML Engineer  
**Type:** Full\-Time  
**Location:** Remote or On\-Site  
**Experience:** 3–5 Years
**Job Summary**  
We are seeking a Full\-Time AI/ML Engineer to build proprietary AI solutions for the manufacturing sector. You will design, train, and deploy custom machine learning models that improve manufacturing workflows, optimize processes, and enhance quality control. This role focuses on production\-grade AI development with minimal reliance on third\-party APIs.
**Responsibilities**
* Develop and fine\-tune ML models for process optimization, predictive error detection, and quality control
* Build scalable AI systems using Python
* Use pandas for data processing and feature engineering
* Deploy models using TensorFlow or PyTorch
* Integrate AI features into existing software systems
* Test, validate, and continuously improve model performance
**Requirements**
* 3–5 years of experience in AI/ML development
* Strong Python skills with hands\-on experience in pandas
* Experience with TensorFlow or PyTorch
* Experience deploying ML models in production
* Manufacturing experience is a plus
**What We Offer**
* Full\-time role in a high\-growth AI environment
* Opportunity to build proprietary AI solutions
* Competitive compensation based on experience
Job Type: Full\-time
Benefits:
* Paid time off
Education:
* Bachelor's (Required)
Experience:
* Python: 5 years (Required)
* TensorFlow: 3 years (Required)
* PyTorch: 3 years (Required)
* Machine learning: 3 years (Required)
* AI: 3 years (Required)
Job Type: Full\-time
Pay: $500,000\.00 \- $1,000,000\.00 per year
Work Location: Remote</t>
        </is>
      </c>
    </row>
    <row r="112">
      <c r="A112" t="inlineStr">
        <is>
          <t>in-a3f6a0c4cccb8a5a</t>
        </is>
      </c>
      <c r="B112" t="inlineStr">
        <is>
          <t>AI/ML Engineer</t>
        </is>
      </c>
      <c r="C112" t="inlineStr">
        <is>
          <t>Y2D Innovations</t>
        </is>
      </c>
      <c r="D112" t="inlineStr">
        <is>
          <t>indeed</t>
        </is>
      </c>
      <c r="E112" t="inlineStr"/>
      <c r="F112" t="inlineStr"/>
      <c r="G112" t="inlineStr">
        <is>
          <t>United States Air Force Acad, CO, US</t>
        </is>
      </c>
      <c r="H112" s="1" t="n">
        <v>46072</v>
      </c>
      <c r="I112" t="inlineStr">
        <is>
          <t>**Job Overview**  
We are seeking a highly skilled AI/ML Engineer to join our innovative technology team. The successful candidate will be responsible for designing, developing, and deploying machine learning models and artificial intelligence solutions that enhance our products and services. This role offers an exciting opportunity to work on cutting\-edge projects within a dynamic environment, contributing to the advancement of our technological capabilities.
**Responsibilities**
* Develop and implement machine learning algorithms and AI models using languages such as Python, Java, C\+\+, and C\#.
* Collaborate with cross\-functional teams to translate business requirements into technical solutions.
* Design and optimise APIs for seamless integration of AI functionalities into existing systems.
* Utilise cloud platforms such as AWS and Azure for deployment, scalability, and management of AI applications.
* Maintain version control using tools like Git, SVN, and GitHub, ensuring code quality and documentation standards are met.
* Conduct data analysis and manage databases including SQL and MySQL to support model training and validation.
* Implement front\-end development components where necessary, leveraging JavaScript, VBA, and other relevant technologies.
* Ensure software development best practices are followed throughout the project lifecycle.
* Stay abreast of emerging trends in AI/ML to continuously improve our solutions.
**Skills**
* Proficiency in programming languages including Python, JavaScript, Java, C\#, C\+\+, and Ruby on Rails.
* Strong experience with software development frameworks such as .NET and application development platforms.
* Demonstrated expertise in API development (RESTful services) and integration.
* Familiarity with cloud computing services like AWS and Azure for deploying AI models.
* Knowledge of version control systems including Git, GitHub, SVN, and Linux environments.
* Experience working with databases such as SQL and MySQL for data management tasks.
* Understanding of front\-end development principles to support user interface integration where applicable.
* Ability to develop robust AI/ML models tailored to specific business needs using appropriate tools and techniques.
* Excellent problem\-solving skills combined with a proactive approach to learning new technologies. This position is ideal for a motivated professional eager to leverage their expertise in AI/ML within a collaborative environment dedicated to technological innovation.
Job Type: Full\-time
Pay: $70,000\.00 \- $120,000\.00 per year
Benefits:
* Paid time off
Work Location: In person</t>
        </is>
      </c>
    </row>
    <row r="113">
      <c r="A113" t="inlineStr">
        <is>
          <t>in-77f2a5cf6fd06edf</t>
        </is>
      </c>
      <c r="B113" t="inlineStr">
        <is>
          <t>Senior AI/ML Engineer</t>
        </is>
      </c>
      <c r="C113" t="inlineStr">
        <is>
          <t>Node.Digital</t>
        </is>
      </c>
      <c r="D113" t="inlineStr">
        <is>
          <t>indeed</t>
        </is>
      </c>
      <c r="E113" t="inlineStr"/>
      <c r="F113" t="inlineStr"/>
      <c r="G113" t="inlineStr">
        <is>
          <t>Herndon, VA, US</t>
        </is>
      </c>
      <c r="H113" s="1" t="n">
        <v>46072</v>
      </c>
      <c r="I113" t="inlineStr">
        <is>
          <t>**Senior AI/ML Engineer**
**Location: Herndon, VA (Hybrid Work)**
**Required: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**Required Skills:**
* Overall experience of 6\-10 Years working on Application/framework development
* Min 5\+ years of exp in AI/ML\-based app/solution development with strong focus on generative AI applications
* Hands\-on experience with AWS services including Amazon Bedrock, S3, SageMaker, CDK,Lambda, and other AI/ML services
* Experience with generative AI models and frameworks (LLMs, RAG architectures, prompt engineering, model fne\-tuning)
* Hands\-on exp with OCR, ICR and OMR technologies is a must
* Good programming knowledge in Python and relevant ML/AI frameworks (TensorFlow, PyTorch, LangChain)
* Good understanding of Document Processing, classifcation, data extraction is a must Knowledge in Natural Language Processing (NLP), Deep Learning, and Generative AI is a must
* Hands\-on Web application/APIs Development experience is a must Profciency in asynchronous/multi\-threaded programming
* Strong knowledge of algorithms, data structures, complexity, optimization, caching and security
* Experience with JSON, SOAP, Rest, XML, XHTML, XSD and XSLT
* Strong knowledge of object\-oriented concepts and Database concepts Experience with databases like SQL Server, PostgreSQL
* Experience with NoSQL databases and vector databases (for RAG implementations) is a plus Knowledge of AWS cloud architecture patterns and serverless computing
* Experience with CI/CD pipelines and DevSecOps practices Knowledge of Agile methodologies is desirable
* Experience working with a toolchain that includes TFS, SVN, Git
* Involved in different phases of SDLC and have good working exposure on different SDLCs like Agile Methodologies
**Responsibility:**  
Your responsibility spans the design, maintenance, and optimization of intelligent automation solutions including AI Center troubleshooting and resolution of issues that might arise post\-implementation. You will focus on building generative AI applications with embedded artifcial intelligence or machine learning in support of continuous improvement, learning and augmented decision\-making.
**Key responsibilities include:**
* **Designing and implementing generative AI solutions using Amazon Bedrock, foundation models, and RAG architectures**
* **Building repeatable intelligent solutions/bots for document processing and data cleansing**
* **Developing and deploying scalable ML/AI models on AWS infrastructure**
* **Creating API endpoints and integrations for AI/ML services**
* **Implementing model evaluation, monitoring, and continuous improvement processes Collaborating with cross\-functional teams to embed AI capabilities across business functions**
**Nice to Have:**
* Experience with front\-end frameworks (React, Angular, Vue.js)
* Knowledge of chatbot development and conversational AI Experience with AWS Bedrock Agents and Guardrails
* Familiarity with model distillation and prompt optimization techniques Understanding of responsible AI practices and AI security
**Recommended Certifcations:**
* AWS Certifed Machine Learning – Specialty
* AWS Certifed Solutions Architect
* General AI/ML Certifcations (TensorFlow Developer, Azure AI Engineer)
* UiPath AI Center Experience (nice to have)
**Education/Year of Exp:**  
Bachelor's degree and a minimum of 5 years of experience in automation engineering roles with a focus on AI/ML integrations and generative AI application development.
**Cultural Fit:**
* Effective communication skills for technical discussions
* Comfortable with Agile methodologies
* Ability to work remotely
* Alignment with customer's mission and values
* Adaptability to varying organizational structures
* Data Analysis and Data Architecture Skills
* Strong problem\-solving abilities for complex AI/ML challenges
Job Type: Full\-time
Pay: $122,670\.66 \- $147,732\.41 per year
Work Location: Hybrid remote in Herndon, VA 20171</t>
        </is>
      </c>
    </row>
    <row r="114">
      <c r="A114" t="inlineStr">
        <is>
          <t>in-dd4809ac209228e3</t>
        </is>
      </c>
      <c r="B114" t="inlineStr">
        <is>
          <t>Role: Senior AI Engineer:::Location: Naperville- IL (onsite)Local In person interview:::Job Type: Co</t>
        </is>
      </c>
      <c r="C114" t="inlineStr">
        <is>
          <t>Cloud Tekis LLC</t>
        </is>
      </c>
      <c r="D114" t="inlineStr">
        <is>
          <t>indeed</t>
        </is>
      </c>
      <c r="E114" t="inlineStr"/>
      <c r="F114" t="inlineStr"/>
      <c r="G114" t="inlineStr">
        <is>
          <t>Naperville, IL, US</t>
        </is>
      </c>
      <c r="H114" s="1" t="n">
        <v>46072</v>
      </c>
      <c r="I114" t="inlineStr">
        <is>
          <t>**Role: Senior AI Engineer**
**Location:** Naperville\- IL (onsite) Local In person interview
**Job Type: Contract**
**NOTE:\-Need Local Candidates**
**NOTE:\-Only Independent Visa Accepted**
NOTE:\-• AI certification required (AWS ML SClientialty or equivalent recognized AI/ML certification) and strong depth across AWS services.
We want someone who implemented a multimodal RAG system (at least worked with one type of RAG ). A real hands\-on engineer. Also, should be able to code in python. We are also evaluating in terms of clarity in thought process.
\*Good to have exposure on AWS and Azure but AWS at minimum.\*
\*Must\-Have Qualifications (All Required)\*
* Strong Python engineering background with production experience in cloud\-native services.
* Extensive hands\-on experience with AWS services: Amazon Bedrock (FMs \+ embeddings) and Bedrock Guardrails, AWS Lambda, CloudWatch, DynamoDB (schema and access patterns), S3 (bucket architecture, automation, event\-driven ingestion), Amazon Kendra (enterprise search / hybrid retrieval patterns), AWS Agent Core / Bedrock Agents (agent orchestration and tool use)
Proven expertise in:
* LLMs (prompting patterns, context management, hallucination mitigation)
* RAG (chunking, metadata, hybrid retrieval, reranking, citations)
* Data engineering on AWS (pipelines, quality checks, lineage, versioning)
* Database schema awareness and designing data access patterns for scalable retrieval
Production delivery skills:
* API Gateway, Step Functions, EventBridge, SQS/SNS
* OpenSearch / vector database patterns (as applicable)
* IAM least privilege, KMS, Secrets Manager/SSM, CloudTrail
* CI/CD and IaC (Terraform/CloudFormation/CDK)
* Reliability patterns (rate limiting, caching, retries, circuit breakers, DR awareness)
* AI certification required (AWS ML SClientialty or equivalent recognized AI/ML certification) and strong depth across AWS services.
Job Type: Part\-time
Pay: $50\.00 \- $65\.00 per hour
Work Location: In person</t>
        </is>
      </c>
    </row>
    <row r="115">
      <c r="A115" t="inlineStr">
        <is>
          <t>in-45efa5018ae1bb70</t>
        </is>
      </c>
      <c r="B115" t="inlineStr">
        <is>
          <t>AI Engineer I</t>
        </is>
      </c>
      <c r="C115" t="inlineStr">
        <is>
          <t>Ulbrich Stainless Steels &amp; Special Metals, Inc.</t>
        </is>
      </c>
      <c r="D115" t="inlineStr">
        <is>
          <t>indeed</t>
        </is>
      </c>
      <c r="E115" t="inlineStr"/>
      <c r="F115" t="inlineStr"/>
      <c r="G115" t="inlineStr">
        <is>
          <t>North Haven, CT, US</t>
        </is>
      </c>
      <c r="H115" s="1" t="n">
        <v>46072</v>
      </c>
      <c r="I115" t="inlineStr">
        <is>
          <t>**Company Description**  
Ulbrich was established in 1924 and is family\-owned and privately held. An international corporation with subsidiaries located in the US, Mexico, Germany and Austria. Ulbrich employs over 700 people worldwide.
At Ulbrich, we are ***Improving Lives with More Than Metal.*** We work hard for each other, our families, and the communities we live in. The respect and integrity of Ulbrich team members, dedication to their professions, collaborative participation in lean, and ensuring that safety comes first, has created a culture that has a positive impact on the lives of many. We connect with the world through our responsibility to produce critical products that benefit mankind.
The Ulbrich culture is guided by a set of shared values we call ***Our Core Tenets*****.** The tenets we live by each day are Continuous Improvement, Quality Commitment, Family Values, Total Company Involvement, and Customer Responsiveness. Through practicing these shared values, we drive profitable growth and success.
Come join the Ulbrich team and become part of a greater purpose and a promising future!
 **Job Description**  
Ulbrich Stainless Steels \&amp; Special Metals is seeking a talented and driven ***AI Engineer*** to join our growing IT team at our Corporate Headquarters in North Haven, CT. In this role, you will design, develop, and deploy AI\-powered solutions that enhance our products and services. You’ll work closely with employees and SME’s from across the company. This role combines software engineering, machine learning, and data science to deliver practical, production‑ready AI capabilities.
**Responsibilities**
* Design, optimize, and implement machine learning and/or generative AI models for operational and office applications;
* Assess business systems and departments to identify procedures that would benefit from AI processes and use cases;
* Evaluate and recommend appropriate models, frameworks, and architecture based on business requirements;
* Collaborate with cross\-functional teams to integrate AI into production systems;
* Implement AI algorithms using approved frameworks;
* Document models, assumptions, and decision logic;
* Maintain and improve existing AI pipelines and infrastructure; and
* Stay current with the latest AI research and technologies.
**Qualifications**  
* Bachelor’s degree in computer science, AI, Machine Learning, or related field;
* Two years of related experience with designing, developing and deploying AI\-powered solutions in a business environment;
* Experience in AI/ML development and deployment;
* Proficiency in Python (preferred), C, R, Java or similar as well as one or more ML frameworks;
* Strong understanding of data structures, algorithms, and model evaluation;
* Strong problem\-solving and debugging skills;
* Experience with Microsoft Copilot preferred; and
* Experience with data security preferred.
**Additional Information**  
This position which requires an on\-site presence (Monday\-Friday), offers a competitive base salary (plus bonus), comprehensive benefits, and an opportunity to expand your skills within a company that offers both a diverse workforce and a welcoming company culture.
Ulbrich is an Equal Opportunity Employer.</t>
        </is>
      </c>
    </row>
    <row r="116">
      <c r="A116" t="inlineStr">
        <is>
          <t>in-d63704aa2495b1ef</t>
        </is>
      </c>
      <c r="B116" t="inlineStr">
        <is>
          <t>AI Engineer</t>
        </is>
      </c>
      <c r="C116" t="inlineStr">
        <is>
          <t>Denodo</t>
        </is>
      </c>
      <c r="D116" t="inlineStr">
        <is>
          <t>indeed</t>
        </is>
      </c>
      <c r="E116" t="inlineStr"/>
      <c r="F116" t="inlineStr"/>
      <c r="G116" t="inlineStr">
        <is>
          <t>Palo Alto, CA, US</t>
        </is>
      </c>
      <c r="H116" s="1" t="n">
        <v>46071</v>
      </c>
      <c r="I116" t="inlineStr">
        <is>
          <t>**Job Category:** Product \&amp; Solutions
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Denodo Technologies, Inc. is seeking an AI Engineer in Palo Alto, CA (Telecommuting permissible from anywhere in U.S.). Responsible for developing innovative solutions using Large Language Models (LLMs) in conjunction with the data virtualization platform commercialized by the company (Denodo Platform).
Salary Range: $130,000\-$160,000/yr.**Job Responsibilities \&amp; Duties**
* Responsible for developing innovative solutions using Large Language Models (LLMs) in conjunction with the data virtualization platform commercialized by the company (Denodo Platform).
* Design and manage vector databases and embeddings to support semantic searches.
* Work on a solution using the Retrieval Augmented Generation (RAG) pattern to enable a Large Language Model (LLM) to retrieve and utilize data available through the data virtualization platform developed by the company (Denodo Platform).
	+ Ensure the solution can be integrated and deployed in conversational interfaces like chatbots and integrated with other data sources and platforms.
	+ Develop a chatbot prototype to illustrate its use.
* Design techniques, leveraging the power of LLMs, to improve the overall user experience and functionality of the Denodo Platform by automating complex tasks and improving query precision.
* Explore and implement additional use cases for LLMs within the data virtualization product, such as automatically correcting misspelled or poorly structured queries, categorizing views, or enhancing query optimization.
* Design, execute, and interpret experiments to evaluate different models and configurations.
* Ensure proper experimental setup, including data preparation and metric selection.
* Analyze and interpret results to drive decisions, ensuring the solutions meet precision and performance criteria and are suitable for real\-world integration.
* Optimize the solutions for scalability, security, and performance in enterprise environments.
* Collaborate with several company teams to ensure successful implementation across different environments and customers.
**Desired Skills \&amp; Experience**
* Master’s degree in information systems, computer science or a related field (or foreign equivalent)
* 2 years experience in a similar role within the data management or analytics software industry. 2 years inclusive experience designing, executing and interpreting experiments correctly. 2 years inclusive experience with web development skills, including experience with libraries such as React. 2 years inclusive experience in programming languages like Python and with AI/ML models. 2 years inclusive experience working with Large Language Models (LLM) and Retrieval Augmented Generation (RAG).
* **Special Requirements**: Demonstrated experience with vector databases and embeddings. Demonstrated experience integrating AI solutions into data virtualization products. Demonstrated experience with developing conversational AI solutions, including chatbots and integration with other platforms. Demonstrated experience with cloud platforms for deploying and scaling AI solutions.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  
**Nearest Major Market:** San Jose
**Nearest Secondary Market:** Palo Alto</t>
        </is>
      </c>
    </row>
    <row r="117">
      <c r="A117" t="inlineStr">
        <is>
          <t>in-bd6d67febc940dd6</t>
        </is>
      </c>
      <c r="B117" t="inlineStr">
        <is>
          <t>AI/ML Engineer - 6161180</t>
        </is>
      </c>
      <c r="C117" t="inlineStr">
        <is>
          <t>Accenture</t>
        </is>
      </c>
      <c r="D117" t="inlineStr">
        <is>
          <t>indeed</t>
        </is>
      </c>
      <c r="E117" t="inlineStr"/>
      <c r="F117" t="inlineStr"/>
      <c r="G117" t="inlineStr">
        <is>
          <t>Irving, TX, US</t>
        </is>
      </c>
      <c r="H117" s="1" t="n">
        <v>46071</v>
      </c>
      <c r="I11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an AI/ML Engineer, you will be responsible for developing applications and systems that utilize AI tools and Cloud AI services, ensuring they meet production\-ready quality standards.
* You will apply Generative AI models as part of the solution, which may include deep learning, neural networks, chatbots, and image processing.
* You are expected to be a subject matter expert, collaborate and manage the team to perform effectively, and be responsible for team decisions.
* Engaging with multiple teams, you will contribute to key decisions and provide solutions to problems for your immediate team and across various teams.
* Design and implement innovative AI solutions that address complex business challenges.
* Continuously evaluate and improve existing AI models and systems for enhanced performance.
* Collaborate with cross\-functional teams to integrate AI capabilities into various applications.
* Mentor junior team members and share knowledge on best practices in AI development.
* Stay updated on the latest trends and advancements in AI technology to drive innovation.
* Advanced proficiency in AI Agents is required.
* Advanced proficiency in Large Language Model (LLM) Fine\-Tuning is recommended.
**\*\*\*Role required onsite client work 60% (3 days per week) in Charlotte, NC or Dallas/Plano, TX**
Basic Qualifications:
* 7\+ years of total IT experience
* 2\-3 years of relevant skill experience in developing AI Agents and LLE modules
* Strong proficiency in Python and associated libraries (e.g., pandas, scikit\-learn)
* Experience working with large datasets, data modeling, and SQL
* Bachelor’s or master’s degree in computer science, Data Science, Artificial Intelligence, or a related field
Preferred Qualifications:
* Experience in Natural Language Processing (NLP) or Computer Vision
* Knowledge of big data technologies (Spark, Hadoop)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02/16/2026 and open for at least 3 days.*
*Accenture Flex offers a market competitive suite of benefits including medical, dental, vision, and long\-term disability coverage, a 401(k) plan, and paid time off. See more information on our benefits here:*
*Accenture Flex Jobs*
Role Location
*California – $47\.00 \- $57\.00/hour*
*Cleveland – $47\.00 \- $57\.00/hour*
*Colorado – $47\.00 \- $57\.00/hour*
*District of Columbia – $47\.00 \- $57\.00/hour*
*Illinois \- $47\.00 \- $57\.00/hour*
*Maryland – $47\.00 \- $57\.00/hour*
*Massachusetts – $47\.00 \- $57\.00/hour*
*Minnesota \- $47\.00 \- $57\.00/hour*
*New Jersey/New York – $47\.00 \- $57\.00/hour*
*Washington – $47\.00 \- $57\.00/hour*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8">
      <c r="A118" t="inlineStr">
        <is>
          <t>in-e7a901d5952adf86</t>
        </is>
      </c>
      <c r="B118" t="inlineStr">
        <is>
          <t>AI/ML Engineer - 6161180</t>
        </is>
      </c>
      <c r="C118" t="inlineStr">
        <is>
          <t>Accenture</t>
        </is>
      </c>
      <c r="D118" t="inlineStr">
        <is>
          <t>indeed</t>
        </is>
      </c>
      <c r="E118" t="inlineStr"/>
      <c r="F118" t="inlineStr"/>
      <c r="G118" t="inlineStr">
        <is>
          <t>Charlotte, NC, US</t>
        </is>
      </c>
      <c r="H118" s="1" t="n">
        <v>46071</v>
      </c>
      <c r="I11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an AI/ML Engineer, you will be responsible for developing applications and systems that utilize AI tools and Cloud AI services, ensuring they meet production\-ready quality standards.
* You will apply Generative AI models as part of the solution, which may include deep learning, neural networks, chatbots, and image processing.
* You are expected to be a subject matter expert, collaborate and manage the team to perform effectively, and be responsible for team decisions.
* Engaging with multiple teams, you will contribute to key decisions and provide solutions to problems for your immediate team and across various teams.
* Design and implement innovative AI solutions that address complex business challenges.
* Continuously evaluate and improve existing AI models and systems for enhanced performance.
* Collaborate with cross\-functional teams to integrate AI capabilities into various applications.
* Mentor junior team members and share knowledge on best practices in AI development.
* Stay updated on the latest trends and advancements in AI technology to drive innovation.
* Advanced proficiency in AI Agents is required.
* Advanced proficiency in Large Language Model (LLM) Fine\-Tuning is recommended.
**\*\*\*Role required onsite client work 60% (3 days per week) in Charlotte, NC or Dallas/Plano, TX**
Basic Qualifications:
* 7\+ years of total IT experience
* 2\-3 years of relevant skill experience in developing AI Agents and LLE modules
* Strong proficiency in Python and associated libraries (e.g., pandas, scikit\-learn)
* Experience working with large datasets, data modeling, and SQL
* Bachelor’s or master’s degree in computer science, Data Science, Artificial Intelligence, or a related field
Preferred Qualifications:
* Experience in Natural Language Processing (NLP) or Computer Vision
* Knowledge of big data technologies (Spark, Hadoop)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02/16/2026 and open for at least 3 days.*
*Accenture Flex offers a market competitive suite of benefits including medical, dental, vision, and long\-term disability coverage, a 401(k) plan, and paid time off. See more information on our benefits here:*
*Accenture Flex Jobs*
Role Location
*California – $47\.00 \- $57\.00/hour*
*Cleveland – $47\.00 \- $57\.00/hour*
*Colorado – $47\.00 \- $57\.00/hour*
*District of Columbia – $47\.00 \- $57\.00/hour*
*Illinois \- $47\.00 \- $57\.00/hour*
*Maryland – $47\.00 \- $57\.00/hour*
*Massachusetts – $47\.00 \- $57\.00/hour*
*Minnesota \- $47\.00 \- $57\.00/hour*
*New Jersey/New York – $47\.00 \- $57\.00/hour*
*Washington – $47\.00 \- $57\.00/hour*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9">
      <c r="A119" t="inlineStr">
        <is>
          <t>in-9a0bf5b005eaa7ab</t>
        </is>
      </c>
      <c r="B119" t="inlineStr">
        <is>
          <t>AI ML Engineer Remote Nationwide or Hybrid in MN/DC/NJ</t>
        </is>
      </c>
      <c r="C119" t="inlineStr">
        <is>
          <t>Optum</t>
        </is>
      </c>
      <c r="D119" t="inlineStr">
        <is>
          <t>indeed</t>
        </is>
      </c>
      <c r="E119" t="inlineStr"/>
      <c r="F119" t="inlineStr"/>
      <c r="G119" t="inlineStr">
        <is>
          <t>Basking Ridge, NJ, US</t>
        </is>
      </c>
      <c r="H119" s="1" t="n">
        <v>46071</v>
      </c>
      <c r="I119"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Provider Digital Technology team is focused on delivering a unified, intuitive digital entry point for UnitedHealthcare providers and partners to access tools, services, and information. We build consistent, secure, and scalable capabilities that simplify how providers discover, navigate, and engage with UHC's digital ecosystem. By working across UnitedHealthcare and the broader UnitedHealth Group organization, we reduce friction, enhance provider experience, and help advance UHC's mission to make the health system work better for everyone.  
Our team collaborates closely with engineering, platform, and business partners to integrate diverse applications and data sources into a seamless provider experience across Portal, API, EDI, Chat, and Voice channels. We are also advancing the responsible use of AI, including developing digital assistants and chatbots for both chat and voice interactions, always with a focus on safety, compliance, and improving provider workflows. Our work plays a critical role in scaling digital access, supporting the evolving needs of healthcare providers, and enabling faster, more efficient problem\-solving across the care delivery ecosystem.
You'll enjoy the flexibility to work remotely \* from anywhere within the U.S. as you take on some tough challenges. For all hires in the Minneapolis or Washington, D.C. area, you will be required to work in the office a minimum of four days per week.
 **Primary Responsibilities:**
* Drive responsible use of AI/ML adoption across the team, driving innovative use of both Generative AI and traditional ML techniques
* Design, develop, test, deploy, maintain, and continuously improve AI\-powered software solutions to meet customer and business needs
* Build responsible AI solutions and service components to support the Provider community, ensuring compliance with ethical and regulatory standards
* Develop new features leveraging AI/ML, including Generative AI models, predictive analytics, and automation capabilities
* Provide technical leadership for AI initiatives, including Chatbots and conversational AI solutions
* Partner with product management, architects, and engineering leadership to deliver creative, scalable AI solutions for healthcare challenges
* Accountable for high\-quality software deliverables and operational excellence
* Collaborate with broader engineering teams to integrate AI into cloud modernization efforts and digital\-first initiatives
* Exercise independent judgment to prioritize, plan, and manage AI\-related activities and projects
You'll be rewarded and recognized for your performance in an environment that will challenge you and give you clear direction on what it takes to succeed in your role as well as provide development for other roles you may be interested in.
 **Required Qualifications:**
* BS in Computer Science, Engineering, or related technical field (or equivalent experience)
* 4\+ years of software engineering experience
* 2\+ years of hands\-on experience building AI/ML solutions, including LLMs, Generative AI, and traditional ML models
* 2\+ years of experience with Web and API development
* 2\+ years of experience hosting applications in cloud environments (AWS preferred)
* Solid experience with Chatbots, Conversational AI, and NLP\-based solutions
* Solid experience with Agentic AI (MCP or similar agent orchestration frameworks) and Strands Agents
* Solid experience in Python or Java
* Solid knowledge of security, access controls, logging, monitoring, performance tuning, disaster recovery, and production operations
 **Preferred Qualifications:**
* Experience in the healthcare industry
* Full\-stack engineering experience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hourly pay for this role will range from $35\.00 to $62\.50 per hour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20">
      <c r="A120" t="inlineStr">
        <is>
          <t>in-b5dfebf7198bf6f0</t>
        </is>
      </c>
      <c r="B120" t="inlineStr">
        <is>
          <t>Principal Machine Learning Engineer</t>
        </is>
      </c>
      <c r="C120" t="inlineStr">
        <is>
          <t>Restaurant Brands International</t>
        </is>
      </c>
      <c r="D120" t="inlineStr">
        <is>
          <t>indeed</t>
        </is>
      </c>
      <c r="E120" t="inlineStr"/>
      <c r="F120" t="inlineStr"/>
      <c r="G120" t="inlineStr">
        <is>
          <t>Miami, FL, US</t>
        </is>
      </c>
      <c r="H120" s="1" t="n">
        <v>46071</v>
      </c>
      <c r="I120"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**Title: Machine Learning Engineer, QSR Forecasting \&amp; Labor Optimization**
**Location: Miami, FL (USA)**
**Reports to: Sr. Director, Data \&amp; Software Engineering**
**What You'll Do:**
* Design forecasts optimized for different decision horizons (same\-day labor adjustments, weekly schedules, long\-range planning)
* Design monitoring and governance processes to ensure forecast stability, fairness, and operational trust
* Own model lifecycle management including monitoring, alerting, retraining cadence, and rollback strategies
* Build and maintain store\-level and daypart\-level forecasting models for sales, transactions, and labor demand
* Apply time\-series analysis, regression, and ensemble machine learning techniques to short\- and long\-horizon forecasts
* Develop models that account for: Seasonality (daily, weekly, annual), promotions, limited\-time offers, and pricing changes, holidays, local events, weather, and store\-specific effects
* Leverage algorithms such as: XGBoost / LightGBM / CatBoost, Random Forest and Gradient Boosting
* Engineer features from POS, labor, calendar, and external datasets
* Evaluate model performance using appropriate QSR\-relevant metrics (e.g., MAPE at store/daypart level)
* Partner with operations, finance, and workforce management teams to translate forecasts into staffing recommendations
* Productionize models and support ongoing monitoring, retraining, and performance optimization
* Document modeling assumptions and results for both technical and operational stakeholders
**What You'll Need To Succeed:**
* 4\+ years of experience building forecasting or predictive models in production
* Bachelor’s or Master’s degree in Mathematics, Statistics, Computer Science, Engineering, Operations Research, or a related field
* Strong foundation in probability, statistics, linear algebra, and optimization
* Strong quantitative and analytical skills
* Hands\-on experience with: XGBoost, Random Forest, Gradient Boosting models, Python (NumPy, Pandas, scikit\-learn, stats models)
* Tools: Git, notebooks, experiment tracking, cloud ML platforms (preferred)
* Data: POS data, labor data, promotions, calendar and event features
* Experience modeling time\-series and panel data across many locations
* Ability to clearly communicate mathematical concepts to non\-technical business partners
* Ability to problem\-solve with an operations mindset, communicate clearly and influence operational decisions
* Ability to work with noisy, real\-world QSR data
* Experience in QSR, retail, hospitality, or multi\-unit operations
* Familiarity with: ARIMA/SARIMA, State\-space models, or Prophet Model interpretability tools (e.g., SHAP)
* Experience deploying ML models at scale (batch or real\-time)
* Exposure to workforce management, labor scheduling, or demand planning systems
RBI follows a 5 day, in\-office work schedule to support collaboration. Candidates should be comfortable working onsite 5 days per week out of our office in **Miami, FL.**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121">
      <c r="A121" t="inlineStr">
        <is>
          <t>in-f51bc6911ff658bf</t>
        </is>
      </c>
      <c r="B121" t="inlineStr">
        <is>
          <t>Staff Machine Learning Engineer, Money (Founding ML Lead)</t>
        </is>
      </c>
      <c r="C121" t="inlineStr">
        <is>
          <t>DoorDash</t>
        </is>
      </c>
      <c r="D121" t="inlineStr">
        <is>
          <t>indeed</t>
        </is>
      </c>
      <c r="E121" t="inlineStr"/>
      <c r="F121" t="inlineStr"/>
      <c r="G121" t="inlineStr">
        <is>
          <t>San Francisco, CA, US</t>
        </is>
      </c>
      <c r="H121" s="1" t="n">
        <v>46071</v>
      </c>
      <c r="I121" t="inlineStr">
        <is>
          <t>**About the Team**
------------------
The **Money org** at DoorDash builds the financial products and platforms that power our marketplace — from helping merchants grow their businesses with access to capital, to enabling banking products for Dashers, to optimizing consumer payments and checkout experiences.
We are forming a **new Money Machine Learning team**, and this role will be the **founding ML engineer**. The team's initial focus will be on **underwriting and decisioning for merchant cash advances and lending products**, with a broader mandate over time to support other high\-impact Money initiatives, including:
* Merchant, Dasher and Consumer financial products (banking, payouts, gift cards, risk)
* Consumer payments optimization (authorization rates, routing, cost efficiency)
* Platform\-level ML capabilities for credit and financial decisioning
This team will sit at the intersection of **fintech bets and the Money platform**, building reusable ML systems that scale across products. Over time, this role has the opportunity to **grow and shape a team**, setting technical direction and best practices for financial ML at DoorDash.
**About the Role**
------------------
We're looking for a **Staff Machine Learning Engineer** to lead the design, development, and deployment of **production\-grade ML systems** that drive financial decisioning across DoorDash's Money ecosystem.
You will start by owning ML\-driven **underwriting models for merchant cash advances**, partnering closely with Product, Risk, Data Science, and Engineering to improve approval rates, loss performance, and capital efficiency. As the Money ML surface area expands, you will broaden your scope to support additional initiatives such as **banking products, payouts, and consumer payments optimization**.
This is a highly impactful **individual contributor role** for someone who enjoys building **0****1 ML systems**, operating at Staff\-level scope, and influencing technical direction across multiple teams. You will play a key role in setting best practices for model development, deployment, monitoring, and governance across the Money org.
**You're excited about this opportunity because you will…**
-----------------------------------------------------------
* Own and build foundational ML systems that directly impact capital allocation, risk, and growth across DoorDash.
* Work on real\-world financial decisioning problems, including credit and underwriting, with clear business and customer impact.
* Lead 01 ML initiatives, defining how machine learning is applied across Money products.
* Operate at Staff\-level scope, influencing architecture, strategy, and execution beyond a single team.
* Collaborate closely with Product, Data Science, and Platform Engineering in a highly cross\-functional environment.
* Help shape the future of Money ML at DoorDash, with the opportunity to mentor others and grow a team over time.
**We're excited about you because…**
------------------------------------
* You have 8\+ years of industry experience building and deploying production\-scale ML systems.
* You have direct experience with credit, lending, or cash advance underwriting, including risk modeling and decisioning.
* You have a strong foundation in statistics, probability, and machine learning, and know how to apply them to noisy, real\-world financial data.
* You are fluent in Python (and/or Java, Scala, or C\+\+) and experienced with ML frameworks such as XGBoost, PyTorch, TensorFlow, or similar.
* You have designed and operated ML systems in production, including monitoring, retraining, and model governance.
* You can lead complex technical projects end\-to\-end, influencing stakeholders across multiple orgs.
* You communicate clearly and effectively with technical and non\-technical audiences.
* You are excited about building something new and operating with ambiguity at high ownership.
* Experience in fintech, payments, banking, or marketplace risk systems is a strong plus.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**About DoorDash**
------------------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22">
      <c r="A122" t="inlineStr">
        <is>
          <t>in-1499eb119b91d83a</t>
        </is>
      </c>
      <c r="B122" t="inlineStr">
        <is>
          <t>Principal Data/AI Engineer</t>
        </is>
      </c>
      <c r="C122" t="inlineStr">
        <is>
          <t>FujiFilm</t>
        </is>
      </c>
      <c r="D122" t="inlineStr">
        <is>
          <t>indeed</t>
        </is>
      </c>
      <c r="E122" t="inlineStr"/>
      <c r="F122" t="inlineStr"/>
      <c r="G122" t="inlineStr">
        <is>
          <t>Remote, US</t>
        </is>
      </c>
      <c r="H122" s="1" t="n">
        <v>46071</v>
      </c>
      <c r="I122" t="inlineStr">
        <is>
          <t>**Position Overview**
---------------------
The Principal Data/AI Engineer helps drive the technical strategy and architecture of enterprise\-scale data and AI platforms that power mission\-critical data products, analytics, and AI\-driven solutions. In this role, you will operate as a technical expert in planning, designing, developing, and debugging new and existing data pipelines. You will advocate for data and AI engineering best practices, including idempotent modular pipeline design, version control, automated testing, CI/CD, IaaS, data quality checks and observability. You will help mentor junior engineers through design guidance, code reviews, pairing, and enabling Agile frameworks to promote iterative delivery and continuous improvement.  
**Company Overview**
--------------------
The work we do at FUJIFILM Biotechnologies has never been more important—and we are looking for talented candidates to join us. We are growing our locations, our capabilities, and our teams, and looking for passionate, mission\-driven people like you who want to make a real difference in people’s lives.
Join FUJIFILM Biotechnologies and help make the next vaccine, cure, or gene therapy in partnership with some of the most innovative biopharma companies across the globe. We are proud to cultivate a culture that will fuel your passion, energy, and drive \- what we call Genki.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
You will work closely with cross\-functional team of business and IT peers and expected to lead by example \- balancing delivery speed of new features with long\-term platform health and technical excellence.  
What you'll do:* Architect, build, and maintain highly scalable batch and streaming pipelines on the Snowflake Data Platform (Snowpipe, Tasks, Streams, Dynamic Tables, Snowpark, Iceberg).
* Architect and deliver ML/GenAI solutions using managed cloud services (AWS, Azure, Snowflake Cortex).
* Implement modern data modeling and architecture patterns; establish and enforce standards for data quality (tests, expectations, SLAs/SLOs), observability (metrics, logs, traces), and lineage.
* Ensure integration of biotech systems (MES, LIMS, SCADA, ERP, QMS) into centralized data platform.
* Collaborate with product managers, product engineers, platform architects, and business stakeholders to align data and AI engineering solutions with business requirements.
* Enable modern AI use cases \- feature stores, vector search/RAG, model serving, safety/guardrails, and continuous monitoring for drift, bias, and performance.
* Optimize storage tiers, compute clusters/warehouses, caching, and workload orchestration for latency and throughput.
* Partner with cybersecurity and compliance teams to ensure adherence to GxP, FDA 21 CFR Part 11, and data privacy regulations.
* Lead design reviews, incident postmortems, and cross\-team architecture forums.
* Stay current with emerging technologies (data mesh, real\-time streaming, digital twins, generative AI platforms) and introduce relevant innovations.
* And other job duties that may be assigned from time to time.
What you'll need:* Bachelor’s degree in Computer Science, Data Engineering, AI/ML Engineering, or related field.
* 12\+ years of professional experience in data/software engineering, AI/ML engineering, or cloud platform engineering.
* Proven experience using Python and SQL
* Extensive experience building and maintaining data pipelines using modern frameworks (e.g. Airflow, dbt).
* Proven experience with data modelling for analytics and AI use cases.
* Strong experience with cloud platforms (AWS, Azure).
* Proven experience delivering production\-grade data solutions.
* Familiarity with biotech or life sciences systems and regulatory compliance frameworks (GxP, FDA, EMA).
Preferred Experience and Education:* Advanced degree (MS/PhD) preferred.
* Relevant industry certifications (e.g., Snowflake, AWS, Azure) preferred.
Knowledge, Skills and Abilities:* Design and implementation of scalable batch and streaming data pipelines.
* Strong proficiency in Python and SQL/dbt for data processing, automation, and analytics.
* Extensive experience in Airflow or similar orchestration tool.
* Expertise in designing and developing data solutions on Snowflake, including data modelling, performance optimization, and cost\-efficient usage.
* Experience with modern AI technologies, including LLMs, embeddings, and vector databases.
* Proven track of delivering cloud\-based solutions (AWS, Azure).
* Containerization and deployment of data and AI workloads using Docker.
* Orchestration and operation of containerized workloads using Kubernetes.
* Data quality management, observability, lineage, and governance.
* Knowledge of biotech IT/OT systems (MES, LIMS, SCADA), and compliance frameworks (GxP, FDA, data privacy).
* Strong problem\-solving, optimization, and troubleshooting skills for large\-scale data systems.
* Effective communication with both technical and non\-technical stakeholders, influencing at senior levels.
* Passion for emerging technologies, continuous improvement, and building innovative engineering cultures.
The US salary range for this position is $146,000 to $252,000\. Pay within this range varies by work location and may also depend on job\-related knowledge, skills, and experience.
Our programs are designed to focus on maintaining and enhancing all pillars of health with a robust benefits package including medical, dental, vision and prescription drug coverage with the option of a Health Savings Account with company contributions. In addition, we offer an industry leading 401(k)savings plan, insurance coverage, employee assistance programs and various wellness incentives. We support life\-work balance with paid vacation time, sick time, and company holidays. Explore a supportive environment that enriches both your personal and professional growth!
As part of any recruitment process, FUJIFILM Biotechnologies collects and processes personal data relating to job applicants. The organization is committed to being transparent about how it collects and uses that data and to meeting its data protection obligations and may share this as part of the global recruitment process with hiring managers in Europe and the United States.
This is a global position that will support all our sites. This position can be based at any of our locations around the globe. Benefits and compensation will be governed by the location that you are based from and considered your home site.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
**EEO Information**
-------------------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
If you require reasonable accommodation in completing this application, interviewing, completing any pre\-employment testing, or otherwise participating in the employee selection process, please direct your inquiries to our HR Department (fdbglobaltalent@fujifilm.com).</t>
        </is>
      </c>
    </row>
    <row r="123">
      <c r="A123" t="inlineStr">
        <is>
          <t>in-2a1c81e2d9cf16ad</t>
        </is>
      </c>
      <c r="B123" t="inlineStr">
        <is>
          <t>Senior Manager AI Engineer (GenAI Platform Services)</t>
        </is>
      </c>
      <c r="C123" t="inlineStr">
        <is>
          <t>Capital One</t>
        </is>
      </c>
      <c r="D123" t="inlineStr">
        <is>
          <t>indeed</t>
        </is>
      </c>
      <c r="E123" t="inlineStr"/>
      <c r="F123" t="inlineStr"/>
      <c r="G123" t="inlineStr">
        <is>
          <t>San Jose, CA, US</t>
        </is>
      </c>
      <c r="H123" s="1" t="n">
        <v>46070</v>
      </c>
      <c r="I123" t="inlineStr">
        <is>
          <t>Senior Manager AI Engineer (GenAI Platform Services)**Overview**: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using Python, C\+\+, C\#, Java, or Golang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AI Engineering  
San Jose, CA: $250,800 \- $286,200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4">
      <c r="A124" t="inlineStr">
        <is>
          <t>in-c429013d9b625201</t>
        </is>
      </c>
      <c r="B124" t="inlineStr">
        <is>
          <t>Senior Lead AI Engineer (GenAI Platform Services)</t>
        </is>
      </c>
      <c r="C124" t="inlineStr">
        <is>
          <t>Capital One</t>
        </is>
      </c>
      <c r="D124" t="inlineStr">
        <is>
          <t>indeed</t>
        </is>
      </c>
      <c r="E124" t="inlineStr"/>
      <c r="F124" t="inlineStr"/>
      <c r="G124" t="inlineStr">
        <is>
          <t>San Jose, CA, US</t>
        </is>
      </c>
      <c r="H124" s="1" t="n">
        <v>46070</v>
      </c>
      <c r="I124" t="inlineStr">
        <is>
          <t>Senior Lead AI Engineer (GenAI Platform Services)**Overview:**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5">
      <c r="A125" t="inlineStr">
        <is>
          <t>in-6a087fa8cdde82f7</t>
        </is>
      </c>
      <c r="B125" t="inlineStr">
        <is>
          <t>ML Engineer, GO-AI Technology &amp; Development Team</t>
        </is>
      </c>
      <c r="C125" t="inlineStr">
        <is>
          <t>Amazon.com</t>
        </is>
      </c>
      <c r="D125" t="inlineStr">
        <is>
          <t>indeed</t>
        </is>
      </c>
      <c r="E125" t="inlineStr"/>
      <c r="F125" t="inlineStr"/>
      <c r="G125" t="inlineStr">
        <is>
          <t>Westborough, MA, US</t>
        </is>
      </c>
      <c r="H125" s="1" t="n">
        <v>45998</v>
      </c>
      <c r="I12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6">
      <c r="A126" t="inlineStr">
        <is>
          <t>in-194a52dcf839cc5d</t>
        </is>
      </c>
      <c r="B126" t="inlineStr">
        <is>
          <t>ML Engineer, GO-AI Technology &amp; Development Team</t>
        </is>
      </c>
      <c r="C126" t="inlineStr">
        <is>
          <t>Amazon.com</t>
        </is>
      </c>
      <c r="D126" t="inlineStr">
        <is>
          <t>indeed</t>
        </is>
      </c>
      <c r="E126" t="inlineStr"/>
      <c r="F126" t="inlineStr"/>
      <c r="G126" t="inlineStr">
        <is>
          <t>Boston, MA, US</t>
        </is>
      </c>
      <c r="H126" s="1" t="n">
        <v>45998</v>
      </c>
      <c r="I12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7">
      <c r="A127" t="inlineStr">
        <is>
          <t>in-b9f5a89def39f90a</t>
        </is>
      </c>
      <c r="B127" t="inlineStr">
        <is>
          <t>ML Engineer, GO-AI Technology &amp; Development Team</t>
        </is>
      </c>
      <c r="C127" t="inlineStr">
        <is>
          <t>Amazon.com</t>
        </is>
      </c>
      <c r="D127" t="inlineStr">
        <is>
          <t>indeed</t>
        </is>
      </c>
      <c r="E127" t="inlineStr"/>
      <c r="F127" t="inlineStr"/>
      <c r="G127" t="inlineStr">
        <is>
          <t>Seattle, WA, US</t>
        </is>
      </c>
      <c r="H127" s="1" t="n">
        <v>45998</v>
      </c>
      <c r="I12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8">
      <c r="A128" t="inlineStr">
        <is>
          <t>in-ee3d6a874696d287</t>
        </is>
      </c>
      <c r="B128" t="inlineStr">
        <is>
          <t>ML Engineer, GO-AI Technology &amp; Development Team</t>
        </is>
      </c>
      <c r="C128" t="inlineStr">
        <is>
          <t>Amazon.com</t>
        </is>
      </c>
      <c r="D128" t="inlineStr">
        <is>
          <t>indeed</t>
        </is>
      </c>
      <c r="E128" t="inlineStr"/>
      <c r="F128" t="inlineStr"/>
      <c r="G128" t="inlineStr">
        <is>
          <t>Reading, MA, US</t>
        </is>
      </c>
      <c r="H128" s="1" t="n">
        <v>45998</v>
      </c>
      <c r="I12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9">
      <c r="A129" t="inlineStr">
        <is>
          <t>in-aa40894a16c9f2a3</t>
        </is>
      </c>
      <c r="B129" t="inlineStr">
        <is>
          <t>AI Principal Machine Learning Engineer (10026)</t>
        </is>
      </c>
      <c r="C129" t="inlineStr">
        <is>
          <t>Extreme Networks</t>
        </is>
      </c>
      <c r="D129" t="inlineStr">
        <is>
          <t>indeed</t>
        </is>
      </c>
      <c r="E129" t="inlineStr"/>
      <c r="F129" t="inlineStr"/>
      <c r="G129" t="inlineStr">
        <is>
          <t>Seattle, WA, US</t>
        </is>
      </c>
      <c r="H129" s="1" t="n">
        <v>45986</v>
      </c>
      <c r="I129" t="inlineStr">
        <is>
          <t>**AI Principal Machine Learning Engineer – (Gen AI, Big Data):****Are you energized by the idea of innovating with Generative AI? Do you want to create global impact while tackling challenges at the forefront of Artificial Intelligence? Do you dream of building ground\-breaking products that define the future of AI\-driven network management? Then come, advance with us at Extreme.**
This is a greenfield opportunity to shape next\-gen networking experiences at the cutting edge of Generative AI, Machine Learning, Big Data, and Cloud Computing. You will help define every aspect of the user journey, product vision, and technical roadmap, and you will drive innovation from concept to delivery.
There has never been a better time to join Extreme. With multiple acquisitions expanding our portfolio and market strategy, we are experiencing unprecedented growth worldwide. Recognized as a Technology Leader in the Gartner Magic Quadrant and a multi\-year Best Employer award winner, Extreme is committed to a culture of diversity, inclusion, and equality, where every employee thrives because of their differences, not despite them.
Our AI Core group is pioneering platforms and solutions for Generative AI, including AI Agents, RAG, Knowledge Bases, Data Mining, Anomaly Detection, and LLM fine\-tuning. These innovations power flagship Extreme products while enabling entirely new offerings. Together, we are driving a fundamental shift in how businesses manage networks by building intelligent, high\-performance multi\-agent systems that perceive, learn, and act in real time.
At Extreme, innovation is not just encouraged, it is expected. Advance with us and help shape the future of network intelligence.
### **Job Responsibilities**
* Provide technical leadership and vision for large\-scale distributed systems, ML platforms, and next\-generation data infrastructure
* Lead the design, architecture, and delivery of end\-to\-end solutions across the full SDLC, spanning development, testing, deployment, and operations
* Drive innovation in Big Data, Generative AI, and Graph ML by translating emerging technologies into production\-ready solutions
* Architect scalable microservices and real\-time inferencing systems leveraging modern ML infrastructure such as AI Agents, MCP, ML Inference, and LLM Gateway
* Mentor and grow engineering teams, set technical direction, and foster a culture of engineering rigor, collaboration, and operational excellence
* Champion best practices for building resilient, secure, and high\-performance systems, optimized for scale and reliability
### **Requirements**
* Degree in Computer Science, Mathematics, or a related field
* 10\+ years of experience across the full software development lifecycle including design, coding, reviews, testing, deployment, and operations
* 5\+ years of experience with distributed Big Data and ML platforms such as Spark, Lakehouse, Debezium, Kafka, Flink, or Hudi
* Hands\-on experience building Generative AI solutions such as RAG, AI Agents, and LLM fine\-tuning in production
* Experience working with Graph ML and Graph technologies such as GNNs
* Strong track record of end\-to\-end solution ownership, from design through production scaling
* 5\+ years of experience deploying large\-scale solutions on cloud platforms such as AWS, Azure, or GCP
* Proven ability to solve highly complex, ambiguous, cross\-domain problems with measurable business impact
### **Preferred Qualifications**
* MS or PhD in Computer Science, Machine Learning, or a related discipline
* Experience with sensitive or streaming data pipelines, including real\-time compliance and governance controls
* Salary based on qualifications, experience and region up to USD 170000 plus benefits.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0">
      <c r="A130" t="inlineStr">
        <is>
          <t>in-ba0a3f9165801c92</t>
        </is>
      </c>
      <c r="B130" t="inlineStr">
        <is>
          <t>AI Engineer / Senior Data Scientist</t>
        </is>
      </c>
      <c r="C130" t="inlineStr">
        <is>
          <t>Valmont Industries</t>
        </is>
      </c>
      <c r="D130" t="inlineStr">
        <is>
          <t>indeed</t>
        </is>
      </c>
      <c r="E130" t="inlineStr"/>
      <c r="F130" t="inlineStr"/>
      <c r="G130" t="inlineStr">
        <is>
          <t>US</t>
        </is>
      </c>
      <c r="H130" s="1" t="n">
        <v>46071</v>
      </c>
      <c r="I130" t="inlineStr">
        <is>
          <t>Menahem Begin 121 Tel Aviv 6701201*Why Valmont*  
We’re Here to Move the World Forward.
Valmont impacts millions of people around the world every day, yet they might not realize the many ways. Our technology is helping feed the growing population, supplying the world with more reliable energy and access to renewables, enhancing connectivity in remote and urban locations to create a sustainable future and so much more. Simply put, Valmont is advancing agricultural productivity and reimagining vital infrastructure to make life better.  
Join a *Fortune* 1000 company that respects hard work, honors diversity and invests in our employees as we focus on creating the world of tomorrow, today. *We are the modern workforce*. Are you ready to move the world forward? Apply now.
A Brief Summary of This Position:
Valmont Industries is a global leader in infrastructure and manufacturing, with over 12,000 employees worldwide. The Valmont AI Group, based in Israel, serves as a central hub for designing and delivering advanced AI\-powered solutions that drive operational excellence across the organization. The group focuses on building practical, high\-impact AI systems and intelligent agents that improve core business processes, including supply chain optimization, factory scheduling, production planning, and process automation.
We are looking for a Principal AI Engineer / Senior Data Scientist to take a leading role in designing and delivering advanced algorithms and AI agent\-based systems across Valmont. This is not a pure research position. The role requires strong algorithmic and data science expertise combined with end\-to\-end ownership from problem discovery through production deployment.
Who You Are:  
A well\-rounded AI professional who combines strong technical depth with business understanding; Ownership\-driven and collaborative, with the ability to lead initiatives end\-to\-end in cross\-functional environments; Comfortable working in dynamic, multi\-threaded problem spaces, balancing multiple moving parts and priorities. You will work on real, high\-impact problems, see your solutions adopted at scale, and help shape how AI is applied across a large organization.  
Essential Functions:  
* Own AI\-driven initiatives end\-to\-end
* Design and implement advanced algorithms and AI agents
* Collaborate with software engineers and business stakeholders
* Translate business challenges into AI solutions
* Take models from prototype to production
* Continuously improve deployed solutions
Required Qualifications of Every Candidate  
* B.Sc. in Computer Science, Physics or related field (M.Sc. – Advantage)
* 5\+ years of experience in data science or applied research
* Strong Python experience, including hands\-on experience with Pandas, Scikit\-learn, and PyTorch (advantage)
* Excellent communication skills with proven ability to collaborate effectively with both technical and business stakeholders
* Experience with Generative AI models, foundational models, and related concepts – Advantage
Highly Qualified Candidates Will Also Possess These Qualifications:* Experience leading cross\-functional AI projects in enterprise environments
* Experience deploying AI solutions at scale in production systems
Valmont does not discriminate against any employee or applicant in employment opportunities or practices on the basis of race, color, religion, sex, sexual orientation, gender identity, national origin, age, genetic information, veteran status, disability or any other characteristic protected by law. Reasonable accommodation may be made to enable individuals with disabilities to perform the essential functions.
If you have a disability and require any assistance in filling out the application for employment email EEOCompliance@Valmont.com.</t>
        </is>
      </c>
    </row>
    <row r="131">
      <c r="A131" t="inlineStr">
        <is>
          <t>in-51977f584cc5aae4</t>
        </is>
      </c>
      <c r="B131" t="inlineStr">
        <is>
          <t>Associate Software Engineer, AI Engineering</t>
        </is>
      </c>
      <c r="C131" t="inlineStr">
        <is>
          <t>TWG Global AI</t>
        </is>
      </c>
      <c r="D131" t="inlineStr">
        <is>
          <t>indeed</t>
        </is>
      </c>
      <c r="E131" t="inlineStr"/>
      <c r="F131" t="inlineStr"/>
      <c r="G131" t="inlineStr">
        <is>
          <t>New York, NY, US</t>
        </is>
      </c>
      <c r="H131" s="1" t="n">
        <v>46071</v>
      </c>
      <c r="I131" t="inlineStr">
        <is>
          <t>At TWG Group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We're looking for a **Associate Software Engineer, AI Engineering with** with deep experience across the stack, with a strong command of modern frontend frameworks (**React**) and professional experience writing backend code in **Java**. Ideal candidates will have a strong understanding of modern AI application patterns, including **agent\-based systems, tool calling, orchestration**, and stateful workflows using frameworks such as **LangGraph** or similar.
You'll collaborate closely with product and design, and take ownership of complex engineering challenges from concept through production.
**Key Responsibilities:**
* Design, build, and maintain AI agent–based systems that perform multi\-step tasks using defined goals, tools, and decision logic
* Design, build, and maintain full\-stack web applications, including supporting React\-based UIs, with thoughtful component architecture and performance optimization
* Both design, develop, and maintain backend services, RESTful APIs, and data models
* Architect scalable systems and contribute to high\-level design and planning
* Drive code quality, testing, and engineering best practices across the team
* Collaborate across functions to deliver end\-to\-end product features
**Requirements**
**Qualifications:**
* Demonstrated experience building real\-world AI applications, including agent workflows, orchestration logic, and modern LLM frameworks (e.g., LangGraph, LangChain, or equivalent).
* Strong proficiency in both React and Java, including state management and component architecture
* Solid understanding of database design, with experience in relational databases like PostgreSQL or MySQL
* Familiarity with distributed systems, microservices, and modern system design patterns
* Experience with cloud infrastructure (AWS, GCP, or Azure) and CI/CD pipelines
* Ability to write clean, well\-tested, maintainable code across the stack
* **Master's degree or higher in Computer Science, Engineering, or related field**
**Benefits**
**Position Location:**
This position is preferred to be located in Santa Monica, CA, or New York, NY. Relocation support can be provided to the right candidates.
**Compensation:**
The base pay for this position is $120,000\-130,000\. A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132">
      <c r="A132" t="inlineStr">
        <is>
          <t>in-053a28aac13fcec8</t>
        </is>
      </c>
      <c r="B132" t="inlineStr">
        <is>
          <t>Associate Software Engineer, AI Engineering</t>
        </is>
      </c>
      <c r="C132" t="inlineStr">
        <is>
          <t>TWG Global AI</t>
        </is>
      </c>
      <c r="D132" t="inlineStr">
        <is>
          <t>indeed</t>
        </is>
      </c>
      <c r="E132" t="inlineStr"/>
      <c r="F132" t="inlineStr"/>
      <c r="G132" t="inlineStr">
        <is>
          <t>Santa Monica, CA, US</t>
        </is>
      </c>
      <c r="H132" s="1" t="n">
        <v>46071</v>
      </c>
      <c r="I132" t="inlineStr">
        <is>
          <t>At TWG Group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We're looking for a **Associate Software Engineer, AI Engineering with** with deep experience across the stack, with a strong command of modern frontend frameworks (**React**) and professional experience writing backend code in **Java**. Ideal candidates will have a strong understanding of modern AI application patterns, including **agent\-based systems, tool calling, orchestration**, and stateful workflows using frameworks such as **LangGraph** or similar.
You'll collaborate closely with product and design, and take ownership of complex engineering challenges from concept through production.
**Key Responsibilities:**
* Design, build, and maintain AI agent–based systems that perform multi\-step tasks using defined goals, tools, and decision logic
* Design, build, and maintain full\-stack web applications, including supporting React\-based UIs, with thoughtful component architecture and performance optimization
* Both design, develop, and maintain backend services, RESTful APIs, and data models
* Architect scalable systems and contribute to high\-level design and planning
* Drive code quality, testing, and engineering best practices across the team
* Collaborate across functions to deliver end\-to\-end product features
**Requirements**
**Qualifications:**
* Demonstrated experience building real\-world AI applications, including agent workflows, orchestration logic, and modern LLM frameworks (e.g., LangGraph, LangChain, or equivalent).
* Strong proficiency in both React and Java, including state management and component architecture
* Solid understanding of database design, with experience in relational databases like PostgreSQL or MySQL
* Familiarity with distributed systems, microservices, and modern system design patterns
* Experience with cloud infrastructure (AWS, GCP, or Azure) and CI/CD pipelines
* Ability to write clean, well\-tested, maintainable code across the stack
* **Master's degree or higher in Computer Science, Engineering, or related field**
**Benefits**
**Position Location:**
This position is preferred to be located in Santa Monica, CA, or New York, NY. Relocation support can be provided to the right candidates.
**Compensation:**
The base pay for this position is $120,000\-130,000\. A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133">
      <c r="A133" t="inlineStr">
        <is>
          <t>in-042fef0163eaef0f</t>
        </is>
      </c>
      <c r="B133" t="inlineStr">
        <is>
          <t>AI Engineer</t>
        </is>
      </c>
      <c r="C133" t="inlineStr">
        <is>
          <t>within</t>
        </is>
      </c>
      <c r="D133" t="inlineStr">
        <is>
          <t>indeed</t>
        </is>
      </c>
      <c r="E133" t="inlineStr"/>
      <c r="F133" t="inlineStr"/>
      <c r="G133" t="inlineStr">
        <is>
          <t>New York, NY, US</t>
        </is>
      </c>
      <c r="H133" s="1" t="n">
        <v>46071</v>
      </c>
      <c r="I133" t="inlineStr">
        <is>
          <t>**About the Role** We are seeking an exceptional AI Engineer to join our growing team and take a leading role in building and evolving our internal AI\-powered agent platform used across the organization.
In this role, you will design, build, and improve AI\-powered applications that integrate large language models (LLMs) with internal tools, SQL databases, advertising APIs (Google Ads, Meta), and stateful code execution environments. You will play a critical role in improving reliability, context orchestration, evaluation maturity, and expanding Rai into document and workflow automation use cases.
Your work will directly impact 200–500 employees and potentially clients, making AI a core productivity multiplier across the organization.
**Responsibilities include but are not limited to:**
* **LLM Application Development Design, build, and maintain AI\-powered applications leveraging LLM APIs, tool calling, and structured outputs.**
* **Agent \&amp; Tool Orchestration** Develop and improve agent architectures that integrate tools such as SQL execution, Python code execution, and marketing platform APIs through MCP\-style integrations.
* **Context \&amp; Memory Management Design and refine multi\-turn context handling, session memory strategies, and prompt structures to improve response reliability and reduce hallucinations.**
* **Reliability \&amp; Guardrails** Implement safeguards for tool execution, SQL queries, and code execution. Improve retry logic, structured validation, and hallucination mitigation strategies.
* **Evaluation \&amp; Quality Assurance** Contribute to building structured evaluation frameworks for LLM\-powered systems, including multi\-turn testing, regression testing, and task\-based success metrics.
* **Product Expansion** Support expansion of Rai into document generation, tables, slide decks, and potential Google Workspace integrations.
* **Collaboration** Work closely with Machine Learning Engineers, Product Managers, and Full\-Stack Engineers to ensure AI systems are robust, maintainable, and aligned with business goals.
* **Continuous Innovation** Stay current with advances in LLM systems, agent architectures, and applied AI tooling to continuously improve Rai's capabilities.
**Requirements**
* Strong programming skills in Python with experience building production systems.
* Experience building applications powered by LLM APIs (OpenAI, Anthropic, Vertex AI, etc.).
* Deep understanding of:
* + Context windows and token limits
	+ Multi\-turn conversation behavior
	+ Tool/function calling
	+ Structured outputs (JSON schema)
	+ Prompt design and failure modes
* Experience integrating external APIs into production systems.
* Proficiency in SQL.
* Experience working with cloud platforms (GCP, AWS, or Azure).
* Strong problem\-solving skills and ability to debug complex system behavior.
* Excellent communication and cross\-functional collaboration skills.
**Strong Plus**
* Experience designing evaluation frameworks for LLM\-powered systems.
* Understanding of embeddings, vector search, and RAG architectures.
* Experience building agent or multi\-agent workflows.
* Experience with stateful execution environments or sandboxed code execution.
* Experience with document automation (Google Docs, Slides, PDFs).
* Experience building internal developer tools or productivity platforms.
* TypeScript.
**Required knowledge of:**
* Python
* SQL
* Cloud Platforms (GCP, AWS, Azure)
* LLMs / AI APIs
* Git / GitHub
**Nice to have:**
* Data Warehouses (BigQuery, Snowflake, Redshift)
* Data Transformation (dbt)
* Semantic Layers (Cube, Looker, dbt Metrics)
* TypeScript
**Our interview process includes, but is not limited to the following:**
* Excel and Typing Test
**We offer a competitive salary and benefits based on ability level, including:**
* Unlimited vacation policy
* Monthly Phone Stipend
* Comprehensive Medical, Dental, and Vision insurance options
* 401(K) plan with matching
* Dog friendly office
* Hybrid work opportunity
* Professional Development Program
* Bonus Perk \- Seamless allowance
Base salary based on education, experience, and skills level ($145,057\-$296,054\)
* **Level 1** \- Possesses essential capabilities
	+ $145,057\-$175,256
* **Level 2** \- Possesses developing capabilities
	+ $175,256\-$205,456
* **Level 3** \- Possesses notable capabilities.
	+ $205,456\-$235,655
* **Level 4** \- Possesses strong capabilities.
	+ $235,655\-$265,855
* **Level 5** \- Possesses advanced capabilities.
	+ - $265,855\-$296,054
**About WITHIN \&amp; Brkfst.io**
**WITHIN** is the world's first Performance Branding company, partnering with some of the biggest brands in the world to drive business growth through innovative marketing strategies. Our integrated operating model collapses the traditional marketing silos between creative and media, performance and brand, and across media channels. With a full suite of offerings including media, creative, SEO, Lifecycle, Retail Media, Affiliate and Influencer, we're able to work with our brand partners in an integrated fashion, allowing us to align marketing strategies back to core business objectives. Client teams at WITHIN are trained on how to always act as a trusted business partner, acting as a fiduciary to client needs above our own.
Teams at WITHIN have the ability to work with iconic brands such as The North Face, Timberland, Ben and Jerry's and Jose Cuervo. Everyone at WITHIN wants to grow and be challenged. It's a collaborative place made up of small, closely knit and versatile teams that are fast and adaptive to solve problems and build systems.
Check out some of our **work**!
**Brkfst.io** is an incubated venture within WITHIN, focused on connecting creators with major brands to produce impactful ads at scale.
We are, and we connect creators with big brands to make impactful ads at scale. We have a network of thousands of content creators with a variety of different skill\-sets, and we're looking to build a program that empowers them to create great ads for brands like Corkcicle, Perfume.com, Casper Mattresses, \&amp; more!
This is a very ambitious project and our roadmap is full of exciting features, so we're looking for people who love innovation and want to be challenged. We're a small team of scrappy individuals who are growing fast, and we're looking for someone to grow with us.
We **weave AI into everything we do**, using the latest tech across all teams to innovate, work smarter, and make better decisions. Whether it's in creative, operations, or anything else, AI helps us level up and do things at a whole new scale. We expect our people to use AI in their daily work, fully embracing it as a critical tool to help us succeed.
**Join Our Network!**
Stay connected with us and be the first to know about new opportunities, industry insights, and updates.
Follow us on:
* **LinkedIn**
* **WhatsApp Community**
* **I****nstagram**
* **Tik Tok**
**Locations**
* **New York City:** 43\-01 22nd St, Suite 602, Queens, NY 11101, United States
* **Bogotá:** WeWork Av. Carrera 19 \#100\-45 Usaquén, Piso (Floor) 10, Bogotá, Distrito Capital de Bogotá 110111, Colombia
* **Mexico City: Av.** Paseo de la Reforma 296, Piso (Floor) 25, Oficina 111, Ciudad de México, CDMX 06500, México</t>
        </is>
      </c>
    </row>
    <row r="134">
      <c r="A134" t="inlineStr">
        <is>
          <t>in-042fef0163eaef0f</t>
        </is>
      </c>
      <c r="B134" t="inlineStr">
        <is>
          <t>AI Engineer</t>
        </is>
      </c>
      <c r="C134" t="inlineStr">
        <is>
          <t>within</t>
        </is>
      </c>
      <c r="D134" t="inlineStr">
        <is>
          <t>indeed</t>
        </is>
      </c>
      <c r="E134">
        <f>HYPERLINK("https://www.indeed.com/viewjob?jk=042fef0163eaef0f", "https://www.indeed.com/viewjob?jk=042fef0163eaef0f")</f>
        <v/>
      </c>
      <c r="F134">
        <f>HYPERLINK("https://grnh.se/t8kc1i5q7us", "https://grnh.se/t8kc1i5q7us")</f>
        <v/>
      </c>
      <c r="G134" t="inlineStr">
        <is>
          <t>New York, NY, US</t>
        </is>
      </c>
      <c r="H134" s="2" t="n">
        <v>46071</v>
      </c>
      <c r="I134" t="inlineStr">
        <is>
          <t>**About the Role** We are seeking an exceptional AI Engineer to join our growing team and take a leading role in building and evolving our internal AI\-powered agent platform used across the organization.
In this role, you will design, build, and improve AI\-powered applications that integrate large language models (LLMs) with internal tools, SQL databases, advertising APIs (Google Ads, Meta), and stateful code execution environments. You will play a critical role in improving reliability, context orchestration, evaluation maturity, and expanding Rai into document and workflow automation use cases.
Your work will directly impact 200–500 employees and potentially clients, making AI a core productivity multiplier across the organization.
**Responsibilities include but are not limited to:**
* **LLM Application Development Design, build, and maintain AI\-powered applications leveraging LLM APIs, tool calling, and structured outputs.**
* **Agent \&amp; Tool Orchestration** Develop and improve agent architectures that integrate tools such as SQL execution, Python code execution, and marketing platform APIs through MCP\-style integrations.
* **Context \&amp; Memory Management Design and refine multi\-turn context handling, session memory strategies, and prompt structures to improve response reliability and reduce hallucinations.**
* **Reliability \&amp; Guardrails** Implement safeguards for tool execution, SQL queries, and code execution. Improve retry logic, structured validation, and hallucination mitigation strategies.
* **Evaluation \&amp; Quality Assurance** Contribute to building structured evaluation frameworks for LLM\-powered systems, including multi\-turn testing, regression testing, and task\-based success metrics.
* **Product Expansion** Support expansion of Rai into document generation, tables, slide decks, and potential Google Workspace integrations.
* **Collaboration** Work closely with Machine Learning Engineers, Product Managers, and Full\-Stack Engineers to ensure AI systems are robust, maintainable, and aligned with business goals.
* **Continuous Innovation** Stay current with advances in LLM systems, agent architectures, and applied AI tooling to continuously improve Rai's capabilities.
**Requirements**
* Strong programming skills in Python with experience building production systems.
* Experience building applications powered by LLM APIs (OpenAI, Anthropic, Vertex AI, etc.).
* Deep understanding of:
* + Context windows and token limits
	+ Multi\-turn conversation behavior
	+ Tool/function calling
	+ Structured outputs (JSON schema)
	+ Prompt design and failure modes
* Experience integrating external APIs into production systems.
* Proficiency in SQL.
* Experience working with cloud platforms (GCP, AWS, or Azure).
* Strong problem\-solving skills and ability to debug complex system behavior.
* Excellent communication and cross\-functional collaboration skills.
**Strong Plus**
* Experience designing evaluation frameworks for LLM\-powered systems.
* Understanding of embeddings, vector search, and RAG architectures.
* Experience building agent or multi\-agent workflows.
* Experience with stateful execution environments or sandboxed code execution.
* Experience with document automation (Google Docs, Slides, PDFs).
* Experience building internal developer tools or productivity platforms.
* TypeScript.
**Required knowledge of:**
* Python
* SQL
* Cloud Platforms (GCP, AWS, Azure)
* LLMs / AI APIs
* Git / GitHub
**Nice to have:**
* Data Warehouses (BigQuery, Snowflake, Redshift)
* Data Transformation (dbt)
* Semantic Layers (Cube, Looker, dbt Metrics)
* TypeScript
**Our interview process includes, but is not limited to the following:**
* Excel and Typing Test
**We offer a competitive salary and benefits based on ability level, including:**
* Unlimited vacation policy
* Monthly Phone Stipend
* Comprehensive Medical, Dental, and Vision insurance options
* 401(K) plan with matching
* Dog friendly office
* Hybrid work opportunity
* Professional Development Program
* Bonus Perk \- Seamless allowance
Base salary based on education, experience, and skills level ($145,057\-$296,054\)
* **Level 1** \- Possesses essential capabilities
	+ $145,057\-$175,256
* **Level 2** \- Possesses developing capabilities
	+ $175,256\-$205,456
* **Level 3** \- Possesses notable capabilities.
	+ $205,456\-$235,655
* **Level 4** \- Possesses strong capabilities.
	+ $235,655\-$265,855
* **Level 5** \- Possesses advanced capabilities.
	+ - $265,855\-$296,054
**About WITHIN \&amp; Brkfst.io**
**WITHIN** is the world's first Performance Branding company, partnering with some of the biggest brands in the world to drive business growth through innovative marketing strategies. Our integrated operating model collapses the traditional marketing silos between creative and media, performance and brand, and across media channels. With a full suite of offerings including media, creative, SEO, Lifecycle, Retail Media, Affiliate and Influencer, we're able to work with our brand partners in an integrated fashion, allowing us to align marketing strategies back to core business objectives. Client teams at WITHIN are trained on how to always act as a trusted business partner, acting as a fiduciary to client needs above our own.
Teams at WITHIN have the ability to work with iconic brands such as The North Face, Timberland, Ben and Jerry's and Jose Cuervo. Everyone at WITHIN wants to grow and be challenged. It's a collaborative place made up of small, closely knit and versatile teams that are fast and adaptive to solve problems and build systems.
Check out some of our **work**!
**Brkfst.io** is an incubated venture within WITHIN, focused on connecting creators with major brands to produce impactful ads at scale.
We are, and we connect creators with big brands to make impactful ads at scale. We have a network of thousands of content creators with a variety of different skill\-sets, and we're looking to build a program that empowers them to create great ads for brands like Corkcicle, Perfume.com, Casper Mattresses, \&amp; more!
This is a very ambitious project and our roadmap is full of exciting features, so we're looking for people who love innovation and want to be challenged. We're a small team of scrappy individuals who are growing fast, and we're looking for someone to grow with us.
We **weave AI into everything we do**, using the latest tech across all teams to innovate, work smarter, and make better decisions. Whether it's in creative, operations, or anything else, AI helps us level up and do things at a whole new scale. We expect our people to use AI in their daily work, fully embracing it as a critical tool to help us succeed.
**Join Our Network!**
Stay connected with us and be the first to know about new opportunities, industry insights, and updates.
Follow us on:
* **LinkedIn**
* **WhatsApp Community**
* **I****nstagram**
* **Tik Tok**
**Locations**
* **New York City:** 43\-01 22nd St, Suite 602, Queens, NY 11101, United States
* **Bogotá:** WeWork Av. Carrera 19 \#100\-45 Usaquén, Piso (Floor) 10, Bogotá, Distrito Capital de Bogotá 110111, Colombia
* **Mexico City: Av.** Paseo de la Reforma 296, Piso (Floor) 25, Oficina 111, Ciudad de México, CDMX 06500, México</t>
        </is>
      </c>
    </row>
    <row r="135">
      <c r="A135" t="inlineStr">
        <is>
          <t>in-ba0a3f9165801c92</t>
        </is>
      </c>
      <c r="B135" t="inlineStr">
        <is>
          <t>AI Engineer / Senior Data Scientist</t>
        </is>
      </c>
      <c r="C135" t="inlineStr">
        <is>
          <t>Valmont Industries</t>
        </is>
      </c>
      <c r="D135" t="inlineStr">
        <is>
          <t>indeed</t>
        </is>
      </c>
      <c r="E135">
        <f>HYPERLINK("https://www.indeed.com/viewjob?jk=ba0a3f9165801c92", "https://www.indeed.com/viewjob?jk=ba0a3f9165801c92")</f>
        <v/>
      </c>
      <c r="F135">
        <f>HYPERLINK("https://valmont.wd1.myworkdayjobs.com/en-US/ValmontCareers/job/Tel-Aviv/AI-Engineer---Senior-Data-Scientist_R26338", "https://valmont.wd1.myworkdayjobs.com/en-US/ValmontCareers/job/Tel-Aviv/AI-Engineer---Senior-Data-Scientist_R26338")</f>
        <v/>
      </c>
      <c r="G135" t="inlineStr">
        <is>
          <t>US</t>
        </is>
      </c>
      <c r="H135" s="2" t="n">
        <v>46071</v>
      </c>
      <c r="I135" t="inlineStr">
        <is>
          <t>Menahem Begin 121 Tel Aviv 6701201*Why Valmont*  
We’re Here to Move the World Forward.
Valmont impacts millions of people around the world every day, yet they might not realize the many ways. Our technology is helping feed the growing population, supplying the world with more reliable energy and access to renewables, enhancing connectivity in remote and urban locations to create a sustainable future and so much more. Simply put, Valmont is advancing agricultural productivity and reimagining vital infrastructure to make life better.  
Join a *Fortune* 1000 company that respects hard work, honors diversity and invests in our employees as we focus on creating the world of tomorrow, today. *We are the modern workforce*. Are you ready to move the world forward? Apply now.
A Brief Summary of This Position:
Valmont Industries is a global leader in infrastructure and manufacturing, with over 12,000 employees worldwide. The Valmont AI Group, based in Israel, serves as a central hub for designing and delivering advanced AI\-powered solutions that drive operational excellence across the organization. The group focuses on building practical, high\-impact AI systems and intelligent agents that improve core business processes, including supply chain optimization, factory scheduling, production planning, and process automation.
We are looking for a Principal AI Engineer / Senior Data Scientist to take a leading role in designing and delivering advanced algorithms and AI agent\-based systems across Valmont. This is not a pure research position. The role requires strong algorithmic and data science expertise combined with end\-to\-end ownership from problem discovery through production deployment.
Who You Are:  
A well\-rounded AI professional who combines strong technical depth with business understanding; Ownership\-driven and collaborative, with the ability to lead initiatives end\-to\-end in cross\-functional environments; Comfortable working in dynamic, multi\-threaded problem spaces, balancing multiple moving parts and priorities. You will work on real, high\-impact problems, see your solutions adopted at scale, and help shape how AI is applied across a large organization.  
Essential Functions:  
* Own AI\-driven initiatives end\-to\-end
* Design and implement advanced algorithms and AI agents
* Collaborate with software engineers and business stakeholders
* Translate business challenges into AI solutions
* Take models from prototype to production
* Continuously improve deployed solutions
Required Qualifications of Every Candidate  
* B.Sc. in Computer Science, Physics or related field (M.Sc. – Advantage)
* 5\+ years of experience in data science or applied research
* Strong Python experience, including hands\-on experience with Pandas, Scikit\-learn, and PyTorch (advantage)
* Excellent communication skills with proven ability to collaborate effectively with both technical and business stakeholders
* Experience with Generative AI models, foundational models, and related concepts – Advantage
Highly Qualified Candidates Will Also Possess These Qualifications:* Experience leading cross\-functional AI projects in enterprise environments
* Experience deploying AI solutions at scale in production systems
Valmont does not discriminate against any employee or applicant in employment opportunities or practices on the basis of race, color, religion, sex, sexual orientation, gender identity, national origin, age, genetic information, veteran status, disability or any other characteristic protected by law. Reasonable accommodation may be made to enable individuals with disabilities to perform the essential functions.
If you have a disability and require any assistance in filling out the application for employment email EEOCompliance@Valmont.com.</t>
        </is>
      </c>
    </row>
    <row r="136">
      <c r="A136" t="inlineStr">
        <is>
          <t>in-777f12180a36f3b0</t>
        </is>
      </c>
      <c r="B136" t="inlineStr">
        <is>
          <t>Lead Member of Technical Staff (LMTS) — Security Data Science &amp; ML Engineering</t>
        </is>
      </c>
      <c r="C136" t="inlineStr">
        <is>
          <t>Salesforce</t>
        </is>
      </c>
      <c r="D136" t="inlineStr">
        <is>
          <t>indeed</t>
        </is>
      </c>
      <c r="E136">
        <f>HYPERLINK("https://www.indeed.com/viewjob?jk=777f12180a36f3b0", "https://www.indeed.com/viewjob?jk=777f12180a36f3b0")</f>
        <v/>
      </c>
      <c r="F136">
        <f>HYPERLINK("https://salesforce.wd12.myworkdayjobs.com/en-US/External_Career_Site/job/Washington---Bellevue/Lead-Member-of-Technical-Staff--LMTS----Security-Data-Science---ML-Engineering_JR329326", "https://salesforce.wd12.myworkdayjobs.com/en-US/External_Career_Site/job/Washington---Bellevue/Lead-Member-of-Technical-Staff--LMTS----Security-Data-Science---ML-Engineering_JR329326")</f>
        <v/>
      </c>
      <c r="G136" t="inlineStr">
        <is>
          <t>Bellevue, WA, US</t>
        </is>
      </c>
      <c r="H136" s="2" t="n">
        <v>46071</v>
      </c>
      <c r="I13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is the world’s \#1 AI CRM, where humans and intelligent agents work together to drive customer success. As the company leading workforce transformation in the agentic era, Salesforce is redefining how data, AI, and trust converge at global scale.
Within Salesforce, the Security Engineering organization builds intelligent, data\-driven, and AI\-powered platforms that protect our global infrastructure and customers. We transform massive volumes of security telemetry into real\-time detections, decisions, and automated defensive actions, combining deep security domain expertise with modern data science, machine learning, and agentic AI systems.
Role Overview
We are seeking a hands\-on Lead Member of Technical Staff (LMTS) who blends software engineering rigor, data engineering depth, and production\-grade machine learning to power agentic security experiences.
This role sits at the intersection of high\-throughput data platforms, ML\-driven risk intelligence, and autonomous decisioning systems. You will design, build, and operate scalable data and ML services that enable real\-time threat detection, automated response, and proactive defense across Salesforce’s global ecosystem.
As a senior technical contributor, you will directly shape the architecture, reliability, and safety of AI\-driven security systems that reason, decide, and act at machine speed.
Key Responsibilities
Security Data Platforms \&amp; Architecture
* Design and implement scalable data models, domain contracts, and schemas with strong guarantees on performance, integrity, lineage, and governance.
* Build and optimize batch and streaming pipelines (ETL/ELT, near\-real\-time) with clear SLAs on latency, quality, and cost.
* Drive platform reliability through observability primitives including SLIs/SLOs, freshness and completeness checks, lineage tracking, and automated parity tests.
Machine Learning, Analytics \&amp; Risk Decisioning
* Develop, validate, and deploy statistical and ML models for security use cases such as anomaly detection, behavioral modeling, and risk scoring.
* Productionize models as reliable services with well\-defined APIs, feature stores, versioning, and continuous monitoring for drift, bias, and performance.
* Translate large\-scale security telemetry into actionable risk intelligence and automated decisions.
Agentic AI \&amp; LLM\-Powered Security (Core Focus)
* Design and deliver agentic workflows that combine perception, reasoning, and action to reduce time\-to\-detection and time\-to\-mitigation.
* Integrate LLMs with security pipelines to automate root\-cause analysis, contextual explanations, investigation summaries, and response orchestration.
* Build multi\-agent systems with role specialization, delegation, handoffs, and safe execution boundaries.
* Implement retrieval and memory at scale using RAG, hybrid search, re\-ranking, and grounding strategies with strict token and cost controls.
Production Systems, APIs \&amp; Integration
* Ship secure, well\-tested software that embeds ML and agentic workflows into production services, APIs, and internal platforms.
* Expose read\-only and action APIs for downstream systems and dashboards (e.g., executive, SOC, and customer\-facing views).
* Integrate with internal tooling and action systems while enforcing idempotency, retries, and side\-effect control.
Safety, Reliability \&amp; Governance
* Design autonomy envelopes including manual, confirm, and fully automated modes with policy enforcement, approvals, spend caps, and blast\-radius limits.
* Build end\-to\-end observability across agent lifecycles, from signal ingestion through planning, tool execution, and outcome verification.
* Implement reliability patterns such as bounded loops, circuit breakers, dead\-letter queues, compensating actions, and deterministic fallbacks.
* Ensure secure\-by\-design handling of sensitive data, complete audit trails, RBAC/ABAC enforcement, and compliance with privacy and regulatory requirements.
Technical Leadership \&amp; Collaboration
* Provide technical leadership through architecture reviews, design discussions, and code reviews.
* Mentor engineers and data scientists, raising the quality bar across data, ML, and agentic systems.
* Partner closely with security engineers, product leaders, and infrastructure teams to translate high\-impact security problems into pragmatic, scalable solutions.
* Stay current with data, ML, cloud, and agentic AI trends, introducing tools and patterns that materially improve outcomes.
Required Qualifications
* Bachelor’s or Master’s degree in Computer Science, Data Science, Statistics, Engineering, or equivalent practical experience.
* 8\+ years of experience building and operating large\-scale data or software systems with high throughput and low latency.
* Strong proficiency in Python (preferred), Scala, or Java, with excellent software engineering fundamentals.
* Expertise with data and stream processing technologies such as Airflow, Spark, Kafka, Flink, or equivalents.
* Solid SQL skills and experience with at least one NoSQL or distributed data store.
* Practical experience deploying and operating ML systems in production, including monitoring and lifecycle management.
* Cloud experience with AWS, GCP, or Azure and managed data/ML services.
* Strong understanding of statistics and machine learning methods and their real\-world tradeoffs.
* Excellent communication skills, with the ability to explain complex technical concepts to diverse stakeholders.
* Working knowledge of data privacy, secure data handling, and regulatory requirements (e.g., GDPR, CCPA).
Preferred \&amp; Nice\-to\-Have Qualifications
* Master’s degree in Software Engineering, Data Science, or related field.
* Experience with Salesforce data and analytics platforms such as Data Cloud, Tableau/CRMA, or MuleSoft.
* MLOps and infrastructure experience with Docker, Kubernetes, Terraform, CI/CD pipelines, and canary or blue\-green deployments.
* Experience with real\-time analytics and streaming security use cases.
* Familiarity with agentic frameworks and patterns (planner/supervisor models, multi\-agent orchestration, vector databases, model routing).
* Security domain experience with threat detection, vulnerability intelligence, asset graphs, OCSF, or runtime exploitability.
* Salesforce platform experience (Apex, LWC, APIs) or relevant certifications.
* Open\-source contributions or a strong portfolio demonstrating applied ML or data engineering excellence.
Why This Role Matters
This role sits at the frontier of security, data, and agentic AI. You will help define how Salesforce moves from human\-driven security operations to machine\-speed, autonomous defense systems that operate safely, transparently, and at global scale.
If you are excited about building production\-grade ML and agentic systems that protect real users, real data, and real infrastructure, this role offers both technical depth and industry\-level impact.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$172,500 \- $260,100 annually. In select cities within the San Francisco and New York City metropolitan area, the base salary range for this role is $207,800 \- $285,800 annually.\&amp;\#xa;\&amp;\#xa;The range represents base salary only, and does not include company bonus, incentive for sales roles, equity or benefits, as applicable.</t>
        </is>
      </c>
    </row>
    <row r="137">
      <c r="A137" t="inlineStr">
        <is>
          <t>in-e6f147f0554df239</t>
        </is>
      </c>
      <c r="B137" t="inlineStr">
        <is>
          <t>Applied Scientist</t>
        </is>
      </c>
      <c r="C137" t="inlineStr">
        <is>
          <t>KOAH</t>
        </is>
      </c>
      <c r="D137" t="inlineStr">
        <is>
          <t>indeed</t>
        </is>
      </c>
      <c r="E137">
        <f>HYPERLINK("https://www.indeed.com/viewjob?jk=e6f147f0554df239", "https://www.indeed.com/viewjob?jk=e6f147f0554df239")</f>
        <v/>
      </c>
      <c r="F137">
        <f>HYPERLINK("https://jobs.ashbyhq.com/koahlabs/f2f56714-59b5-4676-aa7c-f20658765baa?utm_source=2ENgyJeply", "https://jobs.ashbyhq.com/koahlabs/f2f56714-59b5-4676-aa7c-f20658765baa?utm_source=2ENgyJeply")</f>
        <v/>
      </c>
      <c r="G137" t="inlineStr">
        <is>
          <t>San Francisco, CA, US</t>
        </is>
      </c>
      <c r="H137" s="2" t="n">
        <v>46071</v>
      </c>
      <c r="I137" t="inlineStr">
        <is>
          <t>**Who We Are**
Koah Labs is building the ad network to power the next generation of AI\-native products. Our mission is to help publishers monetize and help advertisers reach the right audience — without compromising speed, UX, or privacy.
We’re a small, tight\-knit team in San Francisco with backgrounds at X, Apple, Meta, and early\-stage startups. We’ve raised $5\.7M from top investors and are growing fast with real traction on both the publisher and advertiser sides.
Working at Koah means joining at the ground floor: you’ll ship code that shapes the company and the ecosystem we’re building. We move quickly, operate with high trust, and care deeply about craft.
**Our Stack**
* **Infra**: Terraform, AWS, LGTM (Loki, Grafana, Tempo, Mimir), Tailscale, Cloudflare
* **Data**: PostgreSQL, ClickHouse, Redis, Kafka, Python
* **Core Application**: Ruby on Rails, React, TypeScript
* **SDKs**: Flutter, React Native, Android, iOS
**Example Projects**
* Design efficient algorithms for real\-time bidding systems, building upon the current pricing literature
* Create and productionize regression models to predict end conversions based on demographic, audience, and semantic data
* Apply privacy\-preserving clustering methods to categorize conversational data to improve advertiser outreach
* Analyze and pore over data to find alpha that can improve the core ad matching system balancing publisher and advertiser outcomes
**You might be a fit if**
* You have an advanced degree in Physics, Computer Science, Mathematics, Statistics, Engineering, or a related field
* You enjoy identifying and owning challenging problems, forming testable hypotheses, and conducting impactful research to drive significant business impact
* You have a relentless focus on continuous learning and making an impact with an ability to question the status quo
* You have strong mathematical and statistical modeling skills
* You enjoy communicating conclusions to both technical and non\-technical audiences alike
Compensation Range: $200K \- $300K</t>
        </is>
      </c>
    </row>
    <row r="138">
      <c r="A138" t="inlineStr">
        <is>
          <t>in-e4fc9a9979e0731e</t>
        </is>
      </c>
      <c r="B138" t="inlineStr">
        <is>
          <t>CT_NITRO Experimental AI Engineer</t>
        </is>
      </c>
      <c r="C138" t="inlineStr">
        <is>
          <t>EY</t>
        </is>
      </c>
      <c r="D138" t="inlineStr">
        <is>
          <t>indeed</t>
        </is>
      </c>
      <c r="E138">
        <f>HYPERLINK("https://www.indeed.com/viewjob?jk=e4fc9a9979e0731e", "https://www.indeed.com/viewjob?jk=e4fc9a9979e0731e")</f>
        <v/>
      </c>
      <c r="F138">
        <f>HYPERLINK("https://careers.ey.com/ey/job/Alpharetta-CT_NITRO-Experimental-AI-Engineer-GA-30009/1290432601/?feedId=338701&amp;utm_source=Indeed&amp;utm_campaign=EY_indeed", "https://careers.ey.com/ey/job/Alpharetta-CT_NITRO-Experimental-AI-Engineer-GA-30009/1290432601/?feedId=338701&amp;utm_source=Indeed&amp;utm_campaign=EY_indeed")</f>
        <v/>
      </c>
      <c r="G138" t="inlineStr">
        <is>
          <t>Alpharetta, GA, US</t>
        </is>
      </c>
      <c r="H138" s="2" t="n">
        <v>46056</v>
      </c>
      <c r="I138" t="inlineStr">
        <is>
          <t>At EY, we’re all in to shape your future with confidence.
We’ll help you succeed in a globally connected powerhouse of diverse teams and take your career wherever you want it to go. Join EY and help to build a better working world.
 **The selected candidate**
* Leads the design, development, and deployment of advanced generative AI models, including large language models (LLMs), driving innovation and solving complex business challenges
* Oversees the end\-to\-end data science lifecycle, from data acquisition and preprocessing to model validation and optimization, ensuring best practices and high\-quality outcomes
* Works on developing and deploying machine learning algorithms, ensuring models are optimized for performance and scalability
* Mentors and guides junior data scientists, fostering a collaborative environment and promoting knowledge sharing of cutting\-edge techniques and tools
* Partners with cross\-functional teams to integrate AI\-driven insights into products and services, translating sophisticated models into practical, scalable solutions that drive measurable impact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8\+ years’ experience in machine learning, large scale data acquisition, transformation, and cleaning, both structured and unstructured data
* Experience with generative LLM fine\-tuning and prompt engineering.
* Proficiency with data wrangling, visualization, and modeling in Python
* Experience in ML/NLP algorithms, including supervised and unsupervised learning.
* Good knowledge with cloud ecosystems, Azure is preferred
* Experience in machine learning frameworks and tools (e.g., sci\-kit\-learn, Keras, TensorFlow, MXNet, PyTorch, MLlib)
* Strong programming skills in Python
* Experience with tools in the distributed computing, GPU, cloud platforms, and Big Data domains (e.g., GCP, AWS, MS Azure, Hadoop, Spark, Databricks) is a plus
* Experience with SQL, Document DBs and Vector DBs
* Batch Processing \- Capability to design an efficient way of processing high volumes of data where a group of transactions is collected over a period Data
* Visualization and storytelling \- Capability to assimilate and present data, as well as more advanced visualization techniques. Capability to engage and explain data creating a narrative around data visualization
* Knowledge of containerization platforms like Docker is a plus.
* Experience with Git and modern software development workflow.
* Non\-Technical Skills:  
	+ Strong team and business communication skills – can walk through and approach with technical clients or explain tricky concepts to non\-technical people
	+ Must thrive in a fast\-paced environment and be able to work independently.
	+ Excellent in communication skills
* Education  
	+ Bachelor/Master/PG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$92,600 to $173,100\. The base salary range for New York City Metro Area, Washington State and California (excluding Sacramento) is $111,100 to $196,800\.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9">
      <c r="A139" t="inlineStr">
        <is>
          <t>in-194b31e5d67889e0</t>
        </is>
      </c>
      <c r="B139" t="inlineStr">
        <is>
          <t>Sr. Applied Scientist, Sponsored Products Off-Search Sourcing</t>
        </is>
      </c>
      <c r="C139" t="inlineStr">
        <is>
          <t>Amazon.com</t>
        </is>
      </c>
      <c r="D139" t="inlineStr">
        <is>
          <t>indeed</t>
        </is>
      </c>
      <c r="E139">
        <f>HYPERLINK("https://www.indeed.com/viewjob?jk=194b31e5d67889e0", "https://www.indeed.com/viewjob?jk=194b31e5d67889e0")</f>
        <v/>
      </c>
      <c r="F139">
        <f>HYPERLINK("https://www.amazon.jobs/jobs/3169094/sr-applied-scientist-sponsored-products-offsearch-sourcing?cmpid=DA_INAD200785B", "https://www.amazon.jobs/jobs/3169094/sr-applied-scientist-sponsored-products-offsearch-sourcing?cmpid=DA_INAD200785B")</f>
        <v/>
      </c>
      <c r="G139" t="inlineStr">
        <is>
          <t>Palo Alto, CA, US</t>
        </is>
      </c>
      <c r="H139" s="2" t="n">
        <v>46049</v>
      </c>
      <c r="I13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0">
      <c r="A140" t="inlineStr">
        <is>
          <t>in-d9619413c3d7ebfd</t>
        </is>
      </c>
      <c r="B140" t="inlineStr">
        <is>
          <t>Sr. Applied Scientist, Sponsored Products Off-Search Sourcing</t>
        </is>
      </c>
      <c r="C140" t="inlineStr">
        <is>
          <t>Amazon.com</t>
        </is>
      </c>
      <c r="D140" t="inlineStr">
        <is>
          <t>indeed</t>
        </is>
      </c>
      <c r="E140">
        <f>HYPERLINK("https://www.indeed.com/viewjob?jk=d9619413c3d7ebfd", "https://www.indeed.com/viewjob?jk=d9619413c3d7ebfd")</f>
        <v/>
      </c>
      <c r="F140">
        <f>HYPERLINK("https://www.amazon.jobs/jobs/3169094/sr-applied-scientist-sponsored-products-offsearch-sourcing?cmpid=DA_INAD200785B", "https://www.amazon.jobs/jobs/3169094/sr-applied-scientist-sponsored-products-offsearch-sourcing?cmpid=DA_INAD200785B")</f>
        <v/>
      </c>
      <c r="G140" t="inlineStr">
        <is>
          <t>Seattle, WA, US</t>
        </is>
      </c>
      <c r="H140" s="2" t="n">
        <v>46049</v>
      </c>
      <c r="I14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1">
      <c r="A141" t="inlineStr">
        <is>
          <t>in-6783c2cda9d8e70b</t>
        </is>
      </c>
      <c r="B141" t="inlineStr">
        <is>
          <t>Sr. Applied Scientist, Sponsored Products Off-Search Sourcing</t>
        </is>
      </c>
      <c r="C141" t="inlineStr">
        <is>
          <t>Amazon.com</t>
        </is>
      </c>
      <c r="D141" t="inlineStr">
        <is>
          <t>indeed</t>
        </is>
      </c>
      <c r="E141">
        <f>HYPERLINK("https://www.indeed.com/viewjob?jk=6783c2cda9d8e70b", "https://www.indeed.com/viewjob?jk=6783c2cda9d8e70b")</f>
        <v/>
      </c>
      <c r="F141">
        <f>HYPERLINK("https://www.amazon.jobs/jobs/3169094/sr-applied-scientist-sponsored-products-offsearch-sourcing?cmpid=DA_INAD200785B", "https://www.amazon.jobs/jobs/3169094/sr-applied-scientist-sponsored-products-offsearch-sourcing?cmpid=DA_INAD200785B")</f>
        <v/>
      </c>
      <c r="G141" t="inlineStr">
        <is>
          <t>New York, NY, US</t>
        </is>
      </c>
      <c r="H141" s="2" t="n">
        <v>46049</v>
      </c>
      <c r="I14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2">
      <c r="A142" t="inlineStr">
        <is>
          <t>in-be8b41ea00877f9d</t>
        </is>
      </c>
      <c r="B142" t="inlineStr">
        <is>
          <t>Applied Scientist II, Prime Video Personalization and Discovery Science</t>
        </is>
      </c>
      <c r="C142" t="inlineStr">
        <is>
          <t>Amazon.com</t>
        </is>
      </c>
      <c r="D142" t="inlineStr">
        <is>
          <t>indeed</t>
        </is>
      </c>
      <c r="E142">
        <f>HYPERLINK("https://www.indeed.com/viewjob?jk=be8b41ea00877f9d", "https://www.indeed.com/viewjob?jk=be8b41ea00877f9d")</f>
        <v/>
      </c>
      <c r="F142">
        <f>HYPERLINK("https://www.amazon.jobs/jobs/3168905/applied-scientist-ii-prime-video-personalization-and-discovery-science?cmpid=DA_INAD200785B", "https://www.amazon.jobs/jobs/3168905/applied-scientist-ii-prime-video-personalization-and-discovery-science?cmpid=DA_INAD200785B")</f>
        <v/>
      </c>
      <c r="G142" t="inlineStr">
        <is>
          <t>New York, NY, US</t>
        </is>
      </c>
      <c r="H142" s="2" t="n">
        <v>46047</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3">
      <c r="A143" t="inlineStr">
        <is>
          <t>in-60100845be02abf4</t>
        </is>
      </c>
      <c r="B143" t="inlineStr">
        <is>
          <t>Applied Scientist II, Prime Video Personalization and Discovery Science</t>
        </is>
      </c>
      <c r="C143" t="inlineStr">
        <is>
          <t>Amazon.com</t>
        </is>
      </c>
      <c r="D143" t="inlineStr">
        <is>
          <t>indeed</t>
        </is>
      </c>
      <c r="E143">
        <f>HYPERLINK("https://www.indeed.com/viewjob?jk=60100845be02abf4", "https://www.indeed.com/viewjob?jk=60100845be02abf4")</f>
        <v/>
      </c>
      <c r="F143">
        <f>HYPERLINK("https://www.amazon.jobs/jobs/3168905/applied-scientist-ii-prime-video-personalization-and-discovery-science?cmpid=DA_INAD200785B", "https://www.amazon.jobs/jobs/3168905/applied-scientist-ii-prime-video-personalization-and-discovery-science?cmpid=DA_INAD200785B")</f>
        <v/>
      </c>
      <c r="G143" t="inlineStr">
        <is>
          <t>Seattle, WA, US</t>
        </is>
      </c>
      <c r="H143" s="2" t="n">
        <v>46047</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4">
      <c r="A144" t="inlineStr">
        <is>
          <t>in-bbf8eb6f547a3f4b</t>
        </is>
      </c>
      <c r="B144" t="inlineStr">
        <is>
          <t>Applied Scientist II, Prime Video Personalization and Discovery Science</t>
        </is>
      </c>
      <c r="C144" t="inlineStr">
        <is>
          <t>Amazon.com</t>
        </is>
      </c>
      <c r="D144" t="inlineStr">
        <is>
          <t>indeed</t>
        </is>
      </c>
      <c r="E144">
        <f>HYPERLINK("https://www.indeed.com/viewjob?jk=bbf8eb6f547a3f4b", "https://www.indeed.com/viewjob?jk=bbf8eb6f547a3f4b")</f>
        <v/>
      </c>
      <c r="F144">
        <f>HYPERLINK("https://www.amazon.jobs/jobs/3168905/applied-scientist-ii-prime-video-personalization-and-discovery-science?cmpid=DA_INAD200785B", "https://www.amazon.jobs/jobs/3168905/applied-scientist-ii-prime-video-personalization-and-discovery-science?cmpid=DA_INAD200785B")</f>
        <v/>
      </c>
      <c r="G144" t="inlineStr">
        <is>
          <t>Sunnyvale, CA, US</t>
        </is>
      </c>
      <c r="H144" s="2" t="n">
        <v>46047</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5">
      <c r="A145" t="inlineStr">
        <is>
          <t>in-1b8180a310d59f89</t>
        </is>
      </c>
      <c r="B145" t="inlineStr">
        <is>
          <t>Applied Scientist, Amazon Connect</t>
        </is>
      </c>
      <c r="C145" t="inlineStr">
        <is>
          <t>Amazon Web Services</t>
        </is>
      </c>
      <c r="D145" t="inlineStr">
        <is>
          <t>indeed</t>
        </is>
      </c>
      <c r="E145">
        <f>HYPERLINK("https://www.indeed.com/viewjob?jk=1b8180a310d59f89", "https://www.indeed.com/viewjob?jk=1b8180a310d59f89")</f>
        <v/>
      </c>
      <c r="F145">
        <f>HYPERLINK("https://www.amazon.jobs/jobs/3168981/applied-scientist-amazon-connect?cmpid=DA_INAD200785B", "https://www.amazon.jobs/jobs/3168981/applied-scientist-amazon-connect?cmpid=DA_INAD200785B")</f>
        <v/>
      </c>
      <c r="G145" t="inlineStr">
        <is>
          <t>New York, NY, US</t>
        </is>
      </c>
      <c r="H145" s="2" t="n">
        <v>46047</v>
      </c>
      <c r="I14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46">
      <c r="A146" t="inlineStr">
        <is>
          <t>in-073b34f412b10e1e</t>
        </is>
      </c>
      <c r="B146" t="inlineStr">
        <is>
          <t>Applied Scientist, Amazon Connect</t>
        </is>
      </c>
      <c r="C146" t="inlineStr">
        <is>
          <t>Amazon Web Services</t>
        </is>
      </c>
      <c r="D146" t="inlineStr">
        <is>
          <t>indeed</t>
        </is>
      </c>
      <c r="E146">
        <f>HYPERLINK("https://www.indeed.com/viewjob?jk=073b34f412b10e1e", "https://www.indeed.com/viewjob?jk=073b34f412b10e1e")</f>
        <v/>
      </c>
      <c r="F146">
        <f>HYPERLINK("https://www.amazon.jobs/jobs/3168981/applied-scientist-amazon-connect?cmpid=DA_INAD200785B", "https://www.amazon.jobs/jobs/3168981/applied-scientist-amazon-connect?cmpid=DA_INAD200785B")</f>
        <v/>
      </c>
      <c r="G146" t="inlineStr">
        <is>
          <t>Seattle, WA, US</t>
        </is>
      </c>
      <c r="H146" s="2" t="n">
        <v>46047</v>
      </c>
      <c r="I14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47">
      <c r="A147" t="inlineStr">
        <is>
          <t>in-41b39fd2348362ca</t>
        </is>
      </c>
      <c r="B147" t="inlineStr">
        <is>
          <t>Applied Scientist, Safety ML</t>
        </is>
      </c>
      <c r="C147" t="inlineStr">
        <is>
          <t>Amazon.com</t>
        </is>
      </c>
      <c r="D147" t="inlineStr">
        <is>
          <t>indeed</t>
        </is>
      </c>
      <c r="E147">
        <f>HYPERLINK("https://www.indeed.com/viewjob?jk=41b39fd2348362ca", "https://www.indeed.com/viewjob?jk=41b39fd2348362ca")</f>
        <v/>
      </c>
      <c r="F147">
        <f>HYPERLINK("https://www.amazon.jobs/jobs/3161224/applied-scientist-safety-ml?cmpid=DA_INAD200785B", "https://www.amazon.jobs/jobs/3161224/applied-scientist-safety-ml?cmpid=DA_INAD200785B")</f>
        <v/>
      </c>
      <c r="G147" t="inlineStr">
        <is>
          <t>San Francisco, CA, US</t>
        </is>
      </c>
      <c r="H147" s="2" t="n">
        <v>46037</v>
      </c>
      <c r="I1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8">
      <c r="A148" t="inlineStr">
        <is>
          <t>in-8d29689f617b00f5</t>
        </is>
      </c>
      <c r="B148" t="inlineStr">
        <is>
          <t>Applied Scientist, Safety ML</t>
        </is>
      </c>
      <c r="C148" t="inlineStr">
        <is>
          <t>Amazon.com</t>
        </is>
      </c>
      <c r="D148" t="inlineStr">
        <is>
          <t>indeed</t>
        </is>
      </c>
      <c r="E148">
        <f>HYPERLINK("https://www.indeed.com/viewjob?jk=8d29689f617b00f5", "https://www.indeed.com/viewjob?jk=8d29689f617b00f5")</f>
        <v/>
      </c>
      <c r="F148">
        <f>HYPERLINK("https://www.amazon.jobs/jobs/3161224/applied-scientist-safety-ml?cmpid=DA_INAD200785B", "https://www.amazon.jobs/jobs/3161224/applied-scientist-safety-ml?cmpid=DA_INAD200785B")</f>
        <v/>
      </c>
      <c r="G148" t="inlineStr">
        <is>
          <t>Seattle, WA, US</t>
        </is>
      </c>
      <c r="H148" s="2" t="n">
        <v>46037</v>
      </c>
      <c r="I1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9">
      <c r="A149" t="inlineStr">
        <is>
          <t>in-97a981a282ffbb27</t>
        </is>
      </c>
      <c r="B149" t="inlineStr">
        <is>
          <t>Applied Scientist, LLM Code Agents, Kiro Science</t>
        </is>
      </c>
      <c r="C149" t="inlineStr">
        <is>
          <t>Amazon.com</t>
        </is>
      </c>
      <c r="D149" t="inlineStr">
        <is>
          <t>indeed</t>
        </is>
      </c>
      <c r="E149">
        <f>HYPERLINK("https://www.indeed.com/viewjob?jk=97a981a282ffbb27", "https://www.indeed.com/viewjob?jk=97a981a282ffbb27")</f>
        <v/>
      </c>
      <c r="F149">
        <f>HYPERLINK("https://www.amazon.jobs/jobs/3161363/applied-scientist-llm-code-agents-kiro-science?cmpid=DA_INAD200785B", "https://www.amazon.jobs/jobs/3161363/applied-scientist-llm-code-agents-kiro-science?cmpid=DA_INAD200785B")</f>
        <v/>
      </c>
      <c r="G149" t="inlineStr">
        <is>
          <t>Santa Clara, CA, US</t>
        </is>
      </c>
      <c r="H149" s="2" t="n">
        <v>46035</v>
      </c>
      <c r="I14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50">
      <c r="A150" t="inlineStr">
        <is>
          <t>in-f8d6725bb3d531a0</t>
        </is>
      </c>
      <c r="B150" t="inlineStr">
        <is>
          <t>Applied Scientist, LLM Code Agents, Kiro Science</t>
        </is>
      </c>
      <c r="C150" t="inlineStr">
        <is>
          <t>Amazon.com</t>
        </is>
      </c>
      <c r="D150" t="inlineStr">
        <is>
          <t>indeed</t>
        </is>
      </c>
      <c r="E150">
        <f>HYPERLINK("https://www.indeed.com/viewjob?jk=f8d6725bb3d531a0", "https://www.indeed.com/viewjob?jk=f8d6725bb3d531a0")</f>
        <v/>
      </c>
      <c r="F150">
        <f>HYPERLINK("https://www.amazon.jobs/jobs/3161363/applied-scientist-llm-code-agents-kiro-science?cmpid=DA_INAD200785B", "https://www.amazon.jobs/jobs/3161363/applied-scientist-llm-code-agents-kiro-science?cmpid=DA_INAD200785B")</f>
        <v/>
      </c>
      <c r="G150" t="inlineStr">
        <is>
          <t>Seattle, WA, US</t>
        </is>
      </c>
      <c r="H150" s="2" t="n">
        <v>46035</v>
      </c>
      <c r="I15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51">
      <c r="A151" t="inlineStr">
        <is>
          <t>in-87983d0809b72dca</t>
        </is>
      </c>
      <c r="B151" t="inlineStr">
        <is>
          <t>Applied Scientist II, Prime Video Personalization and Discovery Science</t>
        </is>
      </c>
      <c r="C151" t="inlineStr">
        <is>
          <t>Amazon.com</t>
        </is>
      </c>
      <c r="D151" t="inlineStr">
        <is>
          <t>indeed</t>
        </is>
      </c>
      <c r="E151">
        <f>HYPERLINK("https://www.indeed.com/viewjob?jk=87983d0809b72dca", "https://www.indeed.com/viewjob?jk=87983d0809b72dca")</f>
        <v/>
      </c>
      <c r="F151">
        <f>HYPERLINK("https://www.amazon.jobs/jobs/3165157/applied-scientist-ii-prime-video-personalization-and-discovery-science?cmpid=DA_INAD200785B", "https://www.amazon.jobs/jobs/3165157/applied-scientist-ii-prime-video-personalization-and-discovery-science?cmpid=DA_INAD200785B")</f>
        <v/>
      </c>
      <c r="G151" t="inlineStr">
        <is>
          <t>Seattle, WA, US</t>
        </is>
      </c>
      <c r="H151" s="2" t="n">
        <v>46034</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2">
      <c r="A152" t="inlineStr">
        <is>
          <t>in-84178450830353e1</t>
        </is>
      </c>
      <c r="B152" t="inlineStr">
        <is>
          <t>Applied Scientist II, Prime Video Personalization and Discovery Science</t>
        </is>
      </c>
      <c r="C152" t="inlineStr">
        <is>
          <t>Amazon.com</t>
        </is>
      </c>
      <c r="D152" t="inlineStr">
        <is>
          <t>indeed</t>
        </is>
      </c>
      <c r="E152">
        <f>HYPERLINK("https://www.indeed.com/viewjob?jk=84178450830353e1", "https://www.indeed.com/viewjob?jk=84178450830353e1")</f>
        <v/>
      </c>
      <c r="F152">
        <f>HYPERLINK("https://www.amazon.jobs/jobs/3165157/applied-scientist-ii-prime-video-personalization-and-discovery-science?cmpid=DA_INAD200785B", "https://www.amazon.jobs/jobs/3165157/applied-scientist-ii-prime-video-personalization-and-discovery-science?cmpid=DA_INAD200785B")</f>
        <v/>
      </c>
      <c r="G152" t="inlineStr">
        <is>
          <t>Sunnyvale, CA, US</t>
        </is>
      </c>
      <c r="H152" s="2" t="n">
        <v>46034</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3">
      <c r="A153" t="inlineStr">
        <is>
          <t>in-d442bfeb1bf5bcc7</t>
        </is>
      </c>
      <c r="B153" t="inlineStr">
        <is>
          <t>Applied Scientist, Alexa Smart Home</t>
        </is>
      </c>
      <c r="C153" t="inlineStr">
        <is>
          <t>Amazon.com</t>
        </is>
      </c>
      <c r="D153" t="inlineStr">
        <is>
          <t>indeed</t>
        </is>
      </c>
      <c r="E153">
        <f>HYPERLINK("https://www.indeed.com/viewjob?jk=d442bfeb1bf5bcc7", "https://www.indeed.com/viewjob?jk=d442bfeb1bf5bcc7")</f>
        <v/>
      </c>
      <c r="F153">
        <f>HYPERLINK("https://www.amazon.jobs/jobs/3169205/applied-scientist-alexa-smart-home?cmpid=DA_INAD200785B", "https://www.amazon.jobs/jobs/3169205/applied-scientist-alexa-smart-home?cmpid=DA_INAD200785B")</f>
        <v/>
      </c>
      <c r="G153" t="inlineStr">
        <is>
          <t>Seattle, WA, US</t>
        </is>
      </c>
      <c r="H153" s="2" t="n">
        <v>46033</v>
      </c>
      <c r="I15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4">
      <c r="A154" t="inlineStr">
        <is>
          <t>in-fe9093a8d469b577</t>
        </is>
      </c>
      <c r="B154" t="inlineStr">
        <is>
          <t>Applied Scientist, Alexa Smart Home</t>
        </is>
      </c>
      <c r="C154" t="inlineStr">
        <is>
          <t>Amazon.com</t>
        </is>
      </c>
      <c r="D154" t="inlineStr">
        <is>
          <t>indeed</t>
        </is>
      </c>
      <c r="E154">
        <f>HYPERLINK("https://www.indeed.com/viewjob?jk=fe9093a8d469b577", "https://www.indeed.com/viewjob?jk=fe9093a8d469b577")</f>
        <v/>
      </c>
      <c r="F154">
        <f>HYPERLINK("https://www.amazon.jobs/jobs/3169205/applied-scientist-alexa-smart-home?cmpid=DA_INAD200785B", "https://www.amazon.jobs/jobs/3169205/applied-scientist-alexa-smart-home?cmpid=DA_INAD200785B")</f>
        <v/>
      </c>
      <c r="G154" t="inlineStr">
        <is>
          <t>Sunnyvale, CA, US</t>
        </is>
      </c>
      <c r="H154" s="2" t="n">
        <v>46033</v>
      </c>
      <c r="I15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5">
      <c r="A155" t="inlineStr">
        <is>
          <t>in-4da9ca256af822e5</t>
        </is>
      </c>
      <c r="B155" t="inlineStr">
        <is>
          <t>Applied Scientist, AWS Applied AI Solutions</t>
        </is>
      </c>
      <c r="C155" t="inlineStr">
        <is>
          <t>Amazon Web Services</t>
        </is>
      </c>
      <c r="D155" t="inlineStr">
        <is>
          <t>indeed</t>
        </is>
      </c>
      <c r="E155">
        <f>HYPERLINK("https://www.indeed.com/viewjob?jk=4da9ca256af822e5", "https://www.indeed.com/viewjob?jk=4da9ca256af822e5")</f>
        <v/>
      </c>
      <c r="F155">
        <f>HYPERLINK("https://www.amazon.jobs/jobs/3166907/applied-scientist-aws-applied-ai-solutions?cmpid=DA_INAD200785B", "https://www.amazon.jobs/jobs/3166907/applied-scientist-aws-applied-ai-solutions?cmpid=DA_INAD200785B")</f>
        <v/>
      </c>
      <c r="G155" t="inlineStr">
        <is>
          <t>New York, NY, US</t>
        </is>
      </c>
      <c r="H155" s="2" t="n">
        <v>46030</v>
      </c>
      <c r="I15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56">
      <c r="A156" t="inlineStr">
        <is>
          <t>in-b30611feb6579891</t>
        </is>
      </c>
      <c r="B156" t="inlineStr">
        <is>
          <t>Applied Scientist, AWS Applied AI Solutions</t>
        </is>
      </c>
      <c r="C156" t="inlineStr">
        <is>
          <t>Amazon Web Services</t>
        </is>
      </c>
      <c r="D156" t="inlineStr">
        <is>
          <t>indeed</t>
        </is>
      </c>
      <c r="E156">
        <f>HYPERLINK("https://www.indeed.com/viewjob?jk=b30611feb6579891", "https://www.indeed.com/viewjob?jk=b30611feb6579891")</f>
        <v/>
      </c>
      <c r="F156">
        <f>HYPERLINK("https://www.amazon.jobs/jobs/3166907/applied-scientist-aws-applied-ai-solutions?cmpid=DA_INAD200785B", "https://www.amazon.jobs/jobs/3166907/applied-scientist-aws-applied-ai-solutions?cmpid=DA_INAD200785B")</f>
        <v/>
      </c>
      <c r="G156" t="inlineStr">
        <is>
          <t>Seattle, WA, US</t>
        </is>
      </c>
      <c r="H156" s="2" t="n">
        <v>46030</v>
      </c>
      <c r="I15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57">
      <c r="A157" t="inlineStr">
        <is>
          <t>in-df24411b2c6833c3</t>
        </is>
      </c>
      <c r="B157" t="inlineStr">
        <is>
          <t>Applied Scientist, Last Mile Delivery Automation</t>
        </is>
      </c>
      <c r="C157" t="inlineStr">
        <is>
          <t>Amazon.com</t>
        </is>
      </c>
      <c r="D157" t="inlineStr">
        <is>
          <t>indeed</t>
        </is>
      </c>
      <c r="E157">
        <f>HYPERLINK("https://www.indeed.com/viewjob?jk=df24411b2c6833c3", "https://www.indeed.com/viewjob?jk=df24411b2c6833c3")</f>
        <v/>
      </c>
      <c r="F157">
        <f>HYPERLINK("https://www.amazon.jobs/jobs/3155354/applied-scientist-last-mile-delivery-automation?cmpid=DA_INAD200785B", "https://www.amazon.jobs/jobs/3155354/applied-scientist-last-mile-delivery-automation?cmpid=DA_INAD200785B")</f>
        <v/>
      </c>
      <c r="G157" t="inlineStr">
        <is>
          <t>Bellevue, WA, US</t>
        </is>
      </c>
      <c r="H157" s="2" t="n">
        <v>46026</v>
      </c>
      <c r="I15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in-616c5bdf0feb2f22</t>
        </is>
      </c>
      <c r="B158" t="inlineStr">
        <is>
          <t>Applied Scientist, Last Mile Delivery Automation</t>
        </is>
      </c>
      <c r="C158" t="inlineStr">
        <is>
          <t>Amazon.com</t>
        </is>
      </c>
      <c r="D158" t="inlineStr">
        <is>
          <t>indeed</t>
        </is>
      </c>
      <c r="E158">
        <f>HYPERLINK("https://www.indeed.com/viewjob?jk=616c5bdf0feb2f22", "https://www.indeed.com/viewjob?jk=616c5bdf0feb2f22")</f>
        <v/>
      </c>
      <c r="F158">
        <f>HYPERLINK("https://www.amazon.jobs/jobs/3155354/applied-scientist-last-mile-delivery-automation?cmpid=DA_INAD200785B", "https://www.amazon.jobs/jobs/3155354/applied-scientist-last-mile-delivery-automation?cmpid=DA_INAD200785B")</f>
        <v/>
      </c>
      <c r="G158" t="inlineStr">
        <is>
          <t>Santa Clara, CA, US</t>
        </is>
      </c>
      <c r="H158" s="2" t="n">
        <v>46026</v>
      </c>
      <c r="I15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in-01945f69eb5ea687</t>
        </is>
      </c>
      <c r="B159" t="inlineStr">
        <is>
          <t>Senior Applied Scientist, Sponsored Products and Brands, Off-Search</t>
        </is>
      </c>
      <c r="C159" t="inlineStr">
        <is>
          <t>Amazon.com</t>
        </is>
      </c>
      <c r="D159" t="inlineStr">
        <is>
          <t>indeed</t>
        </is>
      </c>
      <c r="E159">
        <f>HYPERLINK("https://www.indeed.com/viewjob?jk=01945f69eb5ea687", "https://www.indeed.com/viewjob?jk=01945f69eb5ea687")</f>
        <v/>
      </c>
      <c r="F159">
        <f>HYPERLINK("https://www.amazon.jobs/jobs/3153569/senior-applied-scientist-sponsored-products-and-brands-offsearch?cmpid=DA_INAD200785B", "https://www.amazon.jobs/jobs/3153569/senior-applied-scientist-sponsored-products-and-brands-offsearch?cmpid=DA_INAD200785B")</f>
        <v/>
      </c>
      <c r="G159" t="inlineStr">
        <is>
          <t>Seattle, WA, US</t>
        </is>
      </c>
      <c r="H159" s="2" t="n">
        <v>46017</v>
      </c>
      <c r="I15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in-1c2c4fb9dd3ce117</t>
        </is>
      </c>
      <c r="B160" t="inlineStr">
        <is>
          <t>Senior Applied Scientist, Sponsored Products and Brands, Off-Search</t>
        </is>
      </c>
      <c r="C160" t="inlineStr">
        <is>
          <t>Amazon.com</t>
        </is>
      </c>
      <c r="D160" t="inlineStr">
        <is>
          <t>indeed</t>
        </is>
      </c>
      <c r="E160">
        <f>HYPERLINK("https://www.indeed.com/viewjob?jk=1c2c4fb9dd3ce117", "https://www.indeed.com/viewjob?jk=1c2c4fb9dd3ce117")</f>
        <v/>
      </c>
      <c r="F160">
        <f>HYPERLINK("https://www.amazon.jobs/jobs/3153569/senior-applied-scientist-sponsored-products-and-brands-offsearch?cmpid=DA_INAD200785B", "https://www.amazon.jobs/jobs/3153569/senior-applied-scientist-sponsored-products-and-brands-offsearch?cmpid=DA_INAD200785B")</f>
        <v/>
      </c>
      <c r="G160" t="inlineStr">
        <is>
          <t>New York, NY, US</t>
        </is>
      </c>
      <c r="H160" s="2" t="n">
        <v>46017</v>
      </c>
      <c r="I16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in-a38b6475b2ccb6ab</t>
        </is>
      </c>
      <c r="B161" t="inlineStr">
        <is>
          <t>Senior Applied Scientist, Sponsored Products and Brands, Off-Search</t>
        </is>
      </c>
      <c r="C161" t="inlineStr">
        <is>
          <t>Amazon.com</t>
        </is>
      </c>
      <c r="D161" t="inlineStr">
        <is>
          <t>indeed</t>
        </is>
      </c>
      <c r="E161">
        <f>HYPERLINK("https://www.indeed.com/viewjob?jk=a38b6475b2ccb6ab", "https://www.indeed.com/viewjob?jk=a38b6475b2ccb6ab")</f>
        <v/>
      </c>
      <c r="F161">
        <f>HYPERLINK("https://www.amazon.jobs/jobs/3153569/senior-applied-scientist-sponsored-products-and-brands-offsearch?cmpid=DA_INAD200785B", "https://www.amazon.jobs/jobs/3153569/senior-applied-scientist-sponsored-products-and-brands-offsearch?cmpid=DA_INAD200785B")</f>
        <v/>
      </c>
      <c r="G161" t="inlineStr">
        <is>
          <t>Palo Alto, CA, US</t>
        </is>
      </c>
      <c r="H161" s="2" t="n">
        <v>46017</v>
      </c>
      <c r="I16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in-d81cb3550ce6afa4</t>
        </is>
      </c>
      <c r="B162" t="inlineStr">
        <is>
          <t>Applied Scientist II, Prime Video - Personalization and Discovery Science</t>
        </is>
      </c>
      <c r="C162" t="inlineStr">
        <is>
          <t>Amazon.com</t>
        </is>
      </c>
      <c r="D162" t="inlineStr">
        <is>
          <t>indeed</t>
        </is>
      </c>
      <c r="E162">
        <f>HYPERLINK("https://www.indeed.com/viewjob?jk=d81cb3550ce6afa4", "https://www.indeed.com/viewjob?jk=d81cb3550ce6afa4")</f>
        <v/>
      </c>
      <c r="F162">
        <f>HYPERLINK("https://www.amazon.jobs/jobs/3154128/applied-scientist-ii-prime-video--personalization-and-discovery-science?cmpid=DA_INAD200785B", "https://www.amazon.jobs/jobs/3154128/applied-scientist-ii-prime-video--personalization-and-discovery-science?cmpid=DA_INAD200785B")</f>
        <v/>
      </c>
      <c r="G162" t="inlineStr">
        <is>
          <t>Seattle, WA, US</t>
        </is>
      </c>
      <c r="H162" s="2" t="n">
        <v>46012</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63">
      <c r="A163" t="inlineStr">
        <is>
          <t>in-886c5151503881c9</t>
        </is>
      </c>
      <c r="B163" t="inlineStr">
        <is>
          <t>Applied Scientist II, Prime Video - Personalization and Discovery Science</t>
        </is>
      </c>
      <c r="C163" t="inlineStr">
        <is>
          <t>Amazon.com</t>
        </is>
      </c>
      <c r="D163" t="inlineStr">
        <is>
          <t>indeed</t>
        </is>
      </c>
      <c r="E163">
        <f>HYPERLINK("https://www.indeed.com/viewjob?jk=886c5151503881c9", "https://www.indeed.com/viewjob?jk=886c5151503881c9")</f>
        <v/>
      </c>
      <c r="F163">
        <f>HYPERLINK("https://www.amazon.jobs/jobs/3154128/applied-scientist-ii-prime-video--personalization-and-discovery-science?cmpid=DA_INAD200785B", "https://www.amazon.jobs/jobs/3154128/applied-scientist-ii-prime-video--personalization-and-discovery-science?cmpid=DA_INAD200785B")</f>
        <v/>
      </c>
      <c r="G163" t="inlineStr">
        <is>
          <t>Sunnyvale, CA, US</t>
        </is>
      </c>
      <c r="H163" s="2" t="n">
        <v>46012</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64">
      <c r="A164" t="inlineStr">
        <is>
          <t>in-385689637c8a7fd3</t>
        </is>
      </c>
      <c r="B164" t="inlineStr">
        <is>
          <t>Applied Scientist, Delivery Foundation Model</t>
        </is>
      </c>
      <c r="C164" t="inlineStr">
        <is>
          <t>Amazon.com</t>
        </is>
      </c>
      <c r="D164" t="inlineStr">
        <is>
          <t>indeed</t>
        </is>
      </c>
      <c r="E164">
        <f>HYPERLINK("https://www.indeed.com/viewjob?jk=385689637c8a7fd3", "https://www.indeed.com/viewjob?jk=385689637c8a7fd3")</f>
        <v/>
      </c>
      <c r="F164">
        <f>HYPERLINK("https://www.amazon.jobs/jobs/3169077/applied-scientist-delivery-foundation-model-?cmpid=DA_INAD200785B", "https://www.amazon.jobs/jobs/3169077/applied-scientist-delivery-foundation-model-?cmpid=DA_INAD200785B")</f>
        <v/>
      </c>
      <c r="G164" t="inlineStr">
        <is>
          <t>Santa Clara, CA, US</t>
        </is>
      </c>
      <c r="H164" s="2" t="n">
        <v>46009</v>
      </c>
      <c r="I16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65">
      <c r="A165" t="inlineStr">
        <is>
          <t>in-eac1a73c4419a10d</t>
        </is>
      </c>
      <c r="B165" t="inlineStr">
        <is>
          <t>Applied Scientist, Delivery Foundation Model</t>
        </is>
      </c>
      <c r="C165" t="inlineStr">
        <is>
          <t>Amazon.com</t>
        </is>
      </c>
      <c r="D165" t="inlineStr">
        <is>
          <t>indeed</t>
        </is>
      </c>
      <c r="E165">
        <f>HYPERLINK("https://www.indeed.com/viewjob?jk=eac1a73c4419a10d", "https://www.indeed.com/viewjob?jk=eac1a73c4419a10d")</f>
        <v/>
      </c>
      <c r="F165">
        <f>HYPERLINK("https://www.amazon.jobs/jobs/3169077/applied-scientist-delivery-foundation-model-?cmpid=DA_INAD200785B", "https://www.amazon.jobs/jobs/3169077/applied-scientist-delivery-foundation-model-?cmpid=DA_INAD200785B")</f>
        <v/>
      </c>
      <c r="G165" t="inlineStr">
        <is>
          <t>Bellevue, WA, US</t>
        </is>
      </c>
      <c r="H165" s="2" t="n">
        <v>46009</v>
      </c>
      <c r="I16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66">
      <c r="A166" t="inlineStr">
        <is>
          <t>in-0943f0b4d77c0e31</t>
        </is>
      </c>
      <c r="B166" t="inlineStr">
        <is>
          <t>Principal Applied Scientist, Kiro Science</t>
        </is>
      </c>
      <c r="C166" t="inlineStr">
        <is>
          <t>Amazon Web Services</t>
        </is>
      </c>
      <c r="D166" t="inlineStr">
        <is>
          <t>indeed</t>
        </is>
      </c>
      <c r="E166">
        <f>HYPERLINK("https://www.indeed.com/viewjob?jk=0943f0b4d77c0e31", "https://www.indeed.com/viewjob?jk=0943f0b4d77c0e31")</f>
        <v/>
      </c>
      <c r="F166">
        <f>HYPERLINK("https://www.amazon.jobs/jobs/3161064/principal-applied-scientist-kiro-science?cmpid=DA_INAD200785B", "https://www.amazon.jobs/jobs/3161064/principal-applied-scientist-kiro-science?cmpid=DA_INAD200785B")</f>
        <v/>
      </c>
      <c r="G166" t="inlineStr">
        <is>
          <t>Santa Clara, CA, US</t>
        </is>
      </c>
      <c r="H166" s="2" t="n">
        <v>45999</v>
      </c>
      <c r="I16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7">
      <c r="A167" t="inlineStr">
        <is>
          <t>in-e74993c3f8d0f30b</t>
        </is>
      </c>
      <c r="B167" t="inlineStr">
        <is>
          <t>Principal Applied Scientist, Kiro Science</t>
        </is>
      </c>
      <c r="C167" t="inlineStr">
        <is>
          <t>Amazon Web Services</t>
        </is>
      </c>
      <c r="D167" t="inlineStr">
        <is>
          <t>indeed</t>
        </is>
      </c>
      <c r="E167">
        <f>HYPERLINK("https://www.indeed.com/viewjob?jk=e74993c3f8d0f30b", "https://www.indeed.com/viewjob?jk=e74993c3f8d0f30b")</f>
        <v/>
      </c>
      <c r="F167">
        <f>HYPERLINK("https://www.amazon.jobs/jobs/3161064/principal-applied-scientist-kiro-science?cmpid=DA_INAD200785B", "https://www.amazon.jobs/jobs/3161064/principal-applied-scientist-kiro-science?cmpid=DA_INAD200785B")</f>
        <v/>
      </c>
      <c r="G167" t="inlineStr">
        <is>
          <t>New York, NY, US</t>
        </is>
      </c>
      <c r="H167" s="2" t="n">
        <v>45999</v>
      </c>
      <c r="I16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8">
      <c r="A168" t="inlineStr">
        <is>
          <t>in-14cda893360df2f7</t>
        </is>
      </c>
      <c r="B168" t="inlineStr">
        <is>
          <t>Sr. Applied Scientist, Amazon Ads</t>
        </is>
      </c>
      <c r="C168" t="inlineStr">
        <is>
          <t>Amazon.com</t>
        </is>
      </c>
      <c r="D168" t="inlineStr">
        <is>
          <t>indeed</t>
        </is>
      </c>
      <c r="E168">
        <f>HYPERLINK("https://www.indeed.com/viewjob?jk=14cda893360df2f7", "https://www.indeed.com/viewjob?jk=14cda893360df2f7")</f>
        <v/>
      </c>
      <c r="F168">
        <f>HYPERLINK("https://www.amazon.jobs/jobs/3139328/sr-applied-scientist-amazon-ads?cmpid=DA_INAD200785B", "https://www.amazon.jobs/jobs/3139328/sr-applied-scientist-amazon-ads?cmpid=DA_INAD200785B")</f>
        <v/>
      </c>
      <c r="G168" t="inlineStr">
        <is>
          <t>Sunnyvale, CA, US</t>
        </is>
      </c>
      <c r="H168" s="2" t="n">
        <v>45998</v>
      </c>
      <c r="I1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9">
      <c r="A169" t="inlineStr">
        <is>
          <t>in-27c7a3c8de7f03b9</t>
        </is>
      </c>
      <c r="B169" t="inlineStr">
        <is>
          <t>Sr. Applied Scientist, Amazon Ads</t>
        </is>
      </c>
      <c r="C169" t="inlineStr">
        <is>
          <t>Amazon.com</t>
        </is>
      </c>
      <c r="D169" t="inlineStr">
        <is>
          <t>indeed</t>
        </is>
      </c>
      <c r="E169">
        <f>HYPERLINK("https://www.indeed.com/viewjob?jk=27c7a3c8de7f03b9", "https://www.indeed.com/viewjob?jk=27c7a3c8de7f03b9")</f>
        <v/>
      </c>
      <c r="F169">
        <f>HYPERLINK("https://www.amazon.jobs/jobs/3139328/sr-applied-scientist-amazon-ads?cmpid=DA_INAD200785B", "https://www.amazon.jobs/jobs/3139328/sr-applied-scientist-amazon-ads?cmpid=DA_INAD200785B")</f>
        <v/>
      </c>
      <c r="G169" t="inlineStr">
        <is>
          <t>Brooklyn, NY, US</t>
        </is>
      </c>
      <c r="H169" s="2" t="n">
        <v>45998</v>
      </c>
      <c r="I16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0">
      <c r="A170" t="inlineStr">
        <is>
          <t>in-f5c248a4e7f76445</t>
        </is>
      </c>
      <c r="B170" t="inlineStr">
        <is>
          <t>Sr. Applied Scientist, Amazon Ads</t>
        </is>
      </c>
      <c r="C170" t="inlineStr">
        <is>
          <t>Amazon.com</t>
        </is>
      </c>
      <c r="D170" t="inlineStr">
        <is>
          <t>indeed</t>
        </is>
      </c>
      <c r="E170">
        <f>HYPERLINK("https://www.indeed.com/viewjob?jk=f5c248a4e7f76445", "https://www.indeed.com/viewjob?jk=f5c248a4e7f76445")</f>
        <v/>
      </c>
      <c r="F170">
        <f>HYPERLINK("https://www.amazon.jobs/jobs/3139328/sr-applied-scientist-amazon-ads?cmpid=DA_INAD200785B", "https://www.amazon.jobs/jobs/3139328/sr-applied-scientist-amazon-ads?cmpid=DA_INAD200785B")</f>
        <v/>
      </c>
      <c r="G170" t="inlineStr">
        <is>
          <t>New York, NY, US</t>
        </is>
      </c>
      <c r="H170" s="2" t="n">
        <v>45998</v>
      </c>
      <c r="I17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1">
      <c r="A171" t="inlineStr">
        <is>
          <t>in-9fc2dab049d19396</t>
        </is>
      </c>
      <c r="B171" t="inlineStr">
        <is>
          <t>Sr. Applied Scientist, Amazon Ads</t>
        </is>
      </c>
      <c r="C171" t="inlineStr">
        <is>
          <t>Amazon.com</t>
        </is>
      </c>
      <c r="D171" t="inlineStr">
        <is>
          <t>indeed</t>
        </is>
      </c>
      <c r="E171">
        <f>HYPERLINK("https://www.indeed.com/viewjob?jk=9fc2dab049d19396", "https://www.indeed.com/viewjob?jk=9fc2dab049d19396")</f>
        <v/>
      </c>
      <c r="F171">
        <f>HYPERLINK("https://www.amazon.jobs/jobs/3139328/sr-applied-scientist-amazon-ads?cmpid=DA_INAD200785B", "https://www.amazon.jobs/jobs/3139328/sr-applied-scientist-amazon-ads?cmpid=DA_INAD200785B")</f>
        <v/>
      </c>
      <c r="G171" t="inlineStr">
        <is>
          <t>Boston, MA, US</t>
        </is>
      </c>
      <c r="H171" s="2" t="n">
        <v>45998</v>
      </c>
      <c r="I17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2">
      <c r="A172" t="inlineStr">
        <is>
          <t>in-82771f0ebe3403cd</t>
        </is>
      </c>
      <c r="B172" t="inlineStr">
        <is>
          <t>Sr. Applied Scientist, Amazon Ads</t>
        </is>
      </c>
      <c r="C172" t="inlineStr">
        <is>
          <t>Amazon.com</t>
        </is>
      </c>
      <c r="D172" t="inlineStr">
        <is>
          <t>indeed</t>
        </is>
      </c>
      <c r="E172">
        <f>HYPERLINK("https://www.indeed.com/viewjob?jk=82771f0ebe3403cd", "https://www.indeed.com/viewjob?jk=82771f0ebe3403cd")</f>
        <v/>
      </c>
      <c r="F172">
        <f>HYPERLINK("https://www.amazon.jobs/jobs/3139328/sr-applied-scientist-amazon-ads?cmpid=DA_INAD200785B", "https://www.amazon.jobs/jobs/3139328/sr-applied-scientist-amazon-ads?cmpid=DA_INAD200785B")</f>
        <v/>
      </c>
      <c r="G172" t="inlineStr">
        <is>
          <t>Santa Monica, CA, US</t>
        </is>
      </c>
      <c r="H172" s="2" t="n">
        <v>45998</v>
      </c>
      <c r="I17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3">
      <c r="A173" t="inlineStr">
        <is>
          <t>in-8d761b02cc588457</t>
        </is>
      </c>
      <c r="B173" t="inlineStr">
        <is>
          <t>Sr. Applied Scientist, Amazon Ads</t>
        </is>
      </c>
      <c r="C173" t="inlineStr">
        <is>
          <t>Amazon.com</t>
        </is>
      </c>
      <c r="D173" t="inlineStr">
        <is>
          <t>indeed</t>
        </is>
      </c>
      <c r="E173">
        <f>HYPERLINK("https://www.indeed.com/viewjob?jk=8d761b02cc588457", "https://www.indeed.com/viewjob?jk=8d761b02cc588457")</f>
        <v/>
      </c>
      <c r="F173">
        <f>HYPERLINK("https://www.amazon.jobs/jobs/3139328/sr-applied-scientist-amazon-ads?cmpid=DA_INAD200785B", "https://www.amazon.jobs/jobs/3139328/sr-applied-scientist-amazon-ads?cmpid=DA_INAD200785B")</f>
        <v/>
      </c>
      <c r="G173" t="inlineStr">
        <is>
          <t>Corvallis, OR, US</t>
        </is>
      </c>
      <c r="H173" s="2" t="n">
        <v>45998</v>
      </c>
      <c r="I17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4">
      <c r="A174" t="inlineStr">
        <is>
          <t>in-24188cb4646c8fb9</t>
        </is>
      </c>
      <c r="B174" t="inlineStr">
        <is>
          <t>Sr. Applied Scientist, Amazon Ads</t>
        </is>
      </c>
      <c r="C174" t="inlineStr">
        <is>
          <t>Amazon.com</t>
        </is>
      </c>
      <c r="D174" t="inlineStr">
        <is>
          <t>indeed</t>
        </is>
      </c>
      <c r="E174">
        <f>HYPERLINK("https://www.indeed.com/viewjob?jk=24188cb4646c8fb9", "https://www.indeed.com/viewjob?jk=24188cb4646c8fb9")</f>
        <v/>
      </c>
      <c r="F174">
        <f>HYPERLINK("https://www.amazon.jobs/jobs/3139328/sr-applied-scientist-amazon-ads?cmpid=DA_INAD200785B", "https://www.amazon.jobs/jobs/3139328/sr-applied-scientist-amazon-ads?cmpid=DA_INAD200785B")</f>
        <v/>
      </c>
      <c r="G174" t="inlineStr">
        <is>
          <t>Tukwila, WA, US</t>
        </is>
      </c>
      <c r="H174" s="2" t="n">
        <v>45998</v>
      </c>
      <c r="I17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5">
      <c r="A175" t="inlineStr">
        <is>
          <t>in-8f4beadcd362d0ce</t>
        </is>
      </c>
      <c r="B175" t="inlineStr">
        <is>
          <t>Sr. Applied Scientist, Amazon Ads</t>
        </is>
      </c>
      <c r="C175" t="inlineStr">
        <is>
          <t>Amazon.com</t>
        </is>
      </c>
      <c r="D175" t="inlineStr">
        <is>
          <t>indeed</t>
        </is>
      </c>
      <c r="E175">
        <f>HYPERLINK("https://www.indeed.com/viewjob?jk=8f4beadcd362d0ce", "https://www.indeed.com/viewjob?jk=8f4beadcd362d0ce")</f>
        <v/>
      </c>
      <c r="F175">
        <f>HYPERLINK("https://www.amazon.jobs/jobs/3139328/sr-applied-scientist-amazon-ads?cmpid=DA_INAD200785B", "https://www.amazon.jobs/jobs/3139328/sr-applied-scientist-amazon-ads?cmpid=DA_INAD200785B")</f>
        <v/>
      </c>
      <c r="G175" t="inlineStr">
        <is>
          <t>Palo Alto, CA, US</t>
        </is>
      </c>
      <c r="H175" s="2" t="n">
        <v>45998</v>
      </c>
      <c r="I17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6">
      <c r="A176" t="inlineStr">
        <is>
          <t>in-38d9dd9c39274368</t>
        </is>
      </c>
      <c r="B176" t="inlineStr">
        <is>
          <t>Sr. Applied Scientist, Amazon Ads</t>
        </is>
      </c>
      <c r="C176" t="inlineStr">
        <is>
          <t>Amazon.com</t>
        </is>
      </c>
      <c r="D176" t="inlineStr">
        <is>
          <t>indeed</t>
        </is>
      </c>
      <c r="E176">
        <f>HYPERLINK("https://www.indeed.com/viewjob?jk=38d9dd9c39274368", "https://www.indeed.com/viewjob?jk=38d9dd9c39274368")</f>
        <v/>
      </c>
      <c r="F176">
        <f>HYPERLINK("https://www.amazon.jobs/jobs/3139328/sr-applied-scientist-amazon-ads?cmpid=DA_INAD200785B", "https://www.amazon.jobs/jobs/3139328/sr-applied-scientist-amazon-ads?cmpid=DA_INAD200785B")</f>
        <v/>
      </c>
      <c r="G176" t="inlineStr">
        <is>
          <t>Seattle, WA, US</t>
        </is>
      </c>
      <c r="H176" s="2" t="n">
        <v>45998</v>
      </c>
      <c r="I17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7">
      <c r="A177" t="inlineStr">
        <is>
          <t>in-0dda2979185c958e</t>
        </is>
      </c>
      <c r="B177" t="inlineStr">
        <is>
          <t>Sr. Applied Scientist, Amazon Ads</t>
        </is>
      </c>
      <c r="C177" t="inlineStr">
        <is>
          <t>Amazon.com</t>
        </is>
      </c>
      <c r="D177" t="inlineStr">
        <is>
          <t>indeed</t>
        </is>
      </c>
      <c r="E177">
        <f>HYPERLINK("https://www.indeed.com/viewjob?jk=0dda2979185c958e", "https://www.indeed.com/viewjob?jk=0dda2979185c958e")</f>
        <v/>
      </c>
      <c r="F177">
        <f>HYPERLINK("https://www.amazon.jobs/jobs/3139328/sr-applied-scientist-amazon-ads?cmpid=DA_INAD200785B", "https://www.amazon.jobs/jobs/3139328/sr-applied-scientist-amazon-ads?cmpid=DA_INAD200785B")</f>
        <v/>
      </c>
      <c r="G177" t="inlineStr">
        <is>
          <t>Boulder, CO, US</t>
        </is>
      </c>
      <c r="H177" s="2" t="n">
        <v>45998</v>
      </c>
      <c r="I17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8">
      <c r="A178" t="inlineStr">
        <is>
          <t>in-db1cf17045a094e6</t>
        </is>
      </c>
      <c r="B178" t="inlineStr">
        <is>
          <t>Principal Applied Scientist, Sponsored Products and Brands</t>
        </is>
      </c>
      <c r="C178" t="inlineStr">
        <is>
          <t>Amazon.com</t>
        </is>
      </c>
      <c r="D178" t="inlineStr">
        <is>
          <t>indeed</t>
        </is>
      </c>
      <c r="E178">
        <f>HYPERLINK("https://www.indeed.com/viewjob?jk=db1cf17045a094e6", "https://www.indeed.com/viewjob?jk=db1cf17045a094e6")</f>
        <v/>
      </c>
      <c r="F178">
        <f>HYPERLINK("https://www.amazon.jobs/jobs/3130855/principal-applied-scientist-sponsored-products-and-brands?cmpid=DA_INAD200785B", "https://www.amazon.jobs/jobs/3130855/principal-applied-scientist-sponsored-products-and-brands?cmpid=DA_INAD200785B")</f>
        <v/>
      </c>
      <c r="G178" t="inlineStr">
        <is>
          <t>New York, NY, US</t>
        </is>
      </c>
      <c r="H178" s="2" t="n">
        <v>45979</v>
      </c>
      <c r="I17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in-5ad1a37083ed296e</t>
        </is>
      </c>
      <c r="B179" t="inlineStr">
        <is>
          <t>Principal Applied Scientist, Sponsored Products and Brands</t>
        </is>
      </c>
      <c r="C179" t="inlineStr">
        <is>
          <t>Amazon.com</t>
        </is>
      </c>
      <c r="D179" t="inlineStr">
        <is>
          <t>indeed</t>
        </is>
      </c>
      <c r="E179">
        <f>HYPERLINK("https://www.indeed.com/viewjob?jk=5ad1a37083ed296e", "https://www.indeed.com/viewjob?jk=5ad1a37083ed296e")</f>
        <v/>
      </c>
      <c r="F179">
        <f>HYPERLINK("https://www.amazon.jobs/jobs/3130855/principal-applied-scientist-sponsored-products-and-brands?cmpid=DA_INAD200785B", "https://www.amazon.jobs/jobs/3130855/principal-applied-scientist-sponsored-products-and-brands?cmpid=DA_INAD200785B")</f>
        <v/>
      </c>
      <c r="G179" t="inlineStr">
        <is>
          <t>Seattle, WA, US</t>
        </is>
      </c>
      <c r="H179" s="2" t="n">
        <v>45979</v>
      </c>
      <c r="I17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in-69caebac170ab1b1</t>
        </is>
      </c>
      <c r="B180" t="inlineStr">
        <is>
          <t>Applied Scientist, Personalization, DTx Science</t>
        </is>
      </c>
      <c r="C180" t="inlineStr">
        <is>
          <t>Amazon.com</t>
        </is>
      </c>
      <c r="D180" t="inlineStr">
        <is>
          <t>indeed</t>
        </is>
      </c>
      <c r="E180">
        <f>HYPERLINK("https://www.indeed.com/viewjob?jk=69caebac170ab1b1", "https://www.indeed.com/viewjob?jk=69caebac170ab1b1")</f>
        <v/>
      </c>
      <c r="F180">
        <f>HYPERLINK("https://www.amazon.jobs/jobs/3136853/applied-scientist-personalization-dtx-science?cmpid=DA_INAD200785B", "https://www.amazon.jobs/jobs/3136853/applied-scientist-personalization-dtx-science?cmpid=DA_INAD200785B")</f>
        <v/>
      </c>
      <c r="G180" t="inlineStr">
        <is>
          <t>New York, NY, US</t>
        </is>
      </c>
      <c r="H180" s="2" t="n">
        <v>45979</v>
      </c>
      <c r="I18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1">
      <c r="A181" t="inlineStr">
        <is>
          <t>in-c346b08f2df009bc</t>
        </is>
      </c>
      <c r="B181" t="inlineStr">
        <is>
          <t>Applied Scientist, Personalization, DTx Science</t>
        </is>
      </c>
      <c r="C181" t="inlineStr">
        <is>
          <t>Amazon.com</t>
        </is>
      </c>
      <c r="D181" t="inlineStr">
        <is>
          <t>indeed</t>
        </is>
      </c>
      <c r="E181">
        <f>HYPERLINK("https://www.indeed.com/viewjob?jk=c346b08f2df009bc", "https://www.indeed.com/viewjob?jk=c346b08f2df009bc")</f>
        <v/>
      </c>
      <c r="F181">
        <f>HYPERLINK("https://www.amazon.jobs/jobs/3136853/applied-scientist-personalization-dtx-science?cmpid=DA_INAD200785B", "https://www.amazon.jobs/jobs/3136853/applied-scientist-personalization-dtx-science?cmpid=DA_INAD200785B")</f>
        <v/>
      </c>
      <c r="G181" t="inlineStr">
        <is>
          <t>Seattle, WA, US</t>
        </is>
      </c>
      <c r="H181" s="2" t="n">
        <v>45979</v>
      </c>
      <c r="I18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2">
      <c r="A182" t="inlineStr">
        <is>
          <t>in-908cc5f38f397e0c</t>
        </is>
      </c>
      <c r="B182" t="inlineStr">
        <is>
          <t>Senior Applied Scientist, Sponsored Products and Brands</t>
        </is>
      </c>
      <c r="C182" t="inlineStr">
        <is>
          <t>Amazon.com</t>
        </is>
      </c>
      <c r="D182" t="inlineStr">
        <is>
          <t>indeed</t>
        </is>
      </c>
      <c r="E182">
        <f>HYPERLINK("https://www.indeed.com/viewjob?jk=908cc5f38f397e0c", "https://www.indeed.com/viewjob?jk=908cc5f38f397e0c")</f>
        <v/>
      </c>
      <c r="F182">
        <f>HYPERLINK("https://www.amazon.jobs/jobs/3130062/senior-applied-scientist-sponsored-products-and-brands?cmpid=DA_INAD200785B", "https://www.amazon.jobs/jobs/3130062/senior-applied-scientist-sponsored-products-and-brands?cmpid=DA_INAD200785B")</f>
        <v/>
      </c>
      <c r="G182" t="inlineStr">
        <is>
          <t>Seattle, WA, US</t>
        </is>
      </c>
      <c r="H182" s="2" t="n">
        <v>45979</v>
      </c>
      <c r="I18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83">
      <c r="A183" t="inlineStr">
        <is>
          <t>in-ab7bed1fd02634e2</t>
        </is>
      </c>
      <c r="B183" t="inlineStr">
        <is>
          <t>Senior Applied Scientist, Sponsored Products and Brands</t>
        </is>
      </c>
      <c r="C183" t="inlineStr">
        <is>
          <t>Amazon.com</t>
        </is>
      </c>
      <c r="D183" t="inlineStr">
        <is>
          <t>indeed</t>
        </is>
      </c>
      <c r="E183">
        <f>HYPERLINK("https://www.indeed.com/viewjob?jk=ab7bed1fd02634e2", "https://www.indeed.com/viewjob?jk=ab7bed1fd02634e2")</f>
        <v/>
      </c>
      <c r="F183">
        <f>HYPERLINK("https://www.amazon.jobs/jobs/3130062/senior-applied-scientist-sponsored-products-and-brands?cmpid=DA_INAD200785B", "https://www.amazon.jobs/jobs/3130062/senior-applied-scientist-sponsored-products-and-brands?cmpid=DA_INAD200785B")</f>
        <v/>
      </c>
      <c r="G183" t="inlineStr">
        <is>
          <t>New York, NY, US</t>
        </is>
      </c>
      <c r="H183" s="2" t="n">
        <v>45979</v>
      </c>
      <c r="I18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84">
      <c r="A184" t="inlineStr">
        <is>
          <t>in-0780b8365a6ed384</t>
        </is>
      </c>
      <c r="B184" t="inlineStr">
        <is>
          <t>Applied Scientist II, Prime Video Personalization and Discovery Science</t>
        </is>
      </c>
      <c r="C184" t="inlineStr">
        <is>
          <t>Amazon.com</t>
        </is>
      </c>
      <c r="D184" t="inlineStr">
        <is>
          <t>indeed</t>
        </is>
      </c>
      <c r="E184">
        <f>HYPERLINK("https://www.indeed.com/viewjob?jk=0780b8365a6ed384", "https://www.indeed.com/viewjob?jk=0780b8365a6ed384")</f>
        <v/>
      </c>
      <c r="F184">
        <f>HYPERLINK("https://www.amazon.jobs/jobs/3129475/applied-scientist-ii-prime-video-personalization-and-discovery-science?cmpid=DA_INAD200785B", "https://www.amazon.jobs/jobs/3129475/applied-scientist-ii-prime-video-personalization-and-discovery-science?cmpid=DA_INAD200785B")</f>
        <v/>
      </c>
      <c r="G184" t="inlineStr">
        <is>
          <t>New York, NY, US</t>
        </is>
      </c>
      <c r="H184" s="2" t="n">
        <v>45978</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5">
      <c r="A185" t="inlineStr">
        <is>
          <t>in-d78e72f9ae6fc972</t>
        </is>
      </c>
      <c r="B185" t="inlineStr">
        <is>
          <t>Applied Scientist II, Prime Video Personalization and Discovery Science</t>
        </is>
      </c>
      <c r="C185" t="inlineStr">
        <is>
          <t>Amazon.com</t>
        </is>
      </c>
      <c r="D185" t="inlineStr">
        <is>
          <t>indeed</t>
        </is>
      </c>
      <c r="E185">
        <f>HYPERLINK("https://www.indeed.com/viewjob?jk=d78e72f9ae6fc972", "https://www.indeed.com/viewjob?jk=d78e72f9ae6fc972")</f>
        <v/>
      </c>
      <c r="F185">
        <f>HYPERLINK("https://www.amazon.jobs/jobs/3129475/applied-scientist-ii-prime-video-personalization-and-discovery-science?cmpid=DA_INAD200785B", "https://www.amazon.jobs/jobs/3129475/applied-scientist-ii-prime-video-personalization-and-discovery-science?cmpid=DA_INAD200785B")</f>
        <v/>
      </c>
      <c r="G185" t="inlineStr">
        <is>
          <t>Sunnyvale, CA, US</t>
        </is>
      </c>
      <c r="H185" s="2" t="n">
        <v>45978</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6">
      <c r="A186" t="inlineStr">
        <is>
          <t>in-62db1f13fd54f31d</t>
        </is>
      </c>
      <c r="B186" t="inlineStr">
        <is>
          <t>Applied Scientist II, Prime Video Personalization and Discovery Science</t>
        </is>
      </c>
      <c r="C186" t="inlineStr">
        <is>
          <t>Amazon.com</t>
        </is>
      </c>
      <c r="D186" t="inlineStr">
        <is>
          <t>indeed</t>
        </is>
      </c>
      <c r="E186">
        <f>HYPERLINK("https://www.indeed.com/viewjob?jk=62db1f13fd54f31d", "https://www.indeed.com/viewjob?jk=62db1f13fd54f31d")</f>
        <v/>
      </c>
      <c r="F186">
        <f>HYPERLINK("https://www.amazon.jobs/jobs/3129475/applied-scientist-ii-prime-video-personalization-and-discovery-science?cmpid=DA_INAD200785B", "https://www.amazon.jobs/jobs/3129475/applied-scientist-ii-prime-video-personalization-and-discovery-science?cmpid=DA_INAD200785B")</f>
        <v/>
      </c>
      <c r="G186" t="inlineStr">
        <is>
          <t>Seattle, WA, US</t>
        </is>
      </c>
      <c r="H186" s="2" t="n">
        <v>45978</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7">
      <c r="A187" t="inlineStr">
        <is>
          <t>in-9e6ae972c847b687</t>
        </is>
      </c>
      <c r="B187" t="inlineStr">
        <is>
          <t>Sr. Applied Scientist, Sponsored Products</t>
        </is>
      </c>
      <c r="C187" t="inlineStr">
        <is>
          <t>Amazon.com</t>
        </is>
      </c>
      <c r="D187" t="inlineStr">
        <is>
          <t>indeed</t>
        </is>
      </c>
      <c r="E187">
        <f>HYPERLINK("https://www.indeed.com/viewjob?jk=9e6ae972c847b687", "https://www.indeed.com/viewjob?jk=9e6ae972c847b687")</f>
        <v/>
      </c>
      <c r="F187">
        <f>HYPERLINK("https://www.amazon.jobs/jobs/3136156/sr-applied-scientist-sponsored-products?cmpid=DA_INAD200785B", "https://www.amazon.jobs/jobs/3136156/sr-applied-scientist-sponsored-products?cmpid=DA_INAD200785B")</f>
        <v/>
      </c>
      <c r="G187" t="inlineStr">
        <is>
          <t>Arlington, VA, US</t>
        </is>
      </c>
      <c r="H187" s="2" t="n">
        <v>45976</v>
      </c>
      <c r="I18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88">
      <c r="A188" t="inlineStr">
        <is>
          <t>in-90195ebb0a585f19</t>
        </is>
      </c>
      <c r="B188" t="inlineStr">
        <is>
          <t>Sr. Applied Scientist, Sponsored Products</t>
        </is>
      </c>
      <c r="C188" t="inlineStr">
        <is>
          <t>Amazon.com</t>
        </is>
      </c>
      <c r="D188" t="inlineStr">
        <is>
          <t>indeed</t>
        </is>
      </c>
      <c r="E188">
        <f>HYPERLINK("https://www.indeed.com/viewjob?jk=90195ebb0a585f19", "https://www.indeed.com/viewjob?jk=90195ebb0a585f19")</f>
        <v/>
      </c>
      <c r="F188">
        <f>HYPERLINK("https://www.amazon.jobs/jobs/3136156/sr-applied-scientist-sponsored-products?cmpid=DA_INAD200785B", "https://www.amazon.jobs/jobs/3136156/sr-applied-scientist-sponsored-products?cmpid=DA_INAD200785B")</f>
        <v/>
      </c>
      <c r="G188" t="inlineStr">
        <is>
          <t>New York, NY, US</t>
        </is>
      </c>
      <c r="H188" s="2" t="n">
        <v>45976</v>
      </c>
      <c r="I18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89">
      <c r="A189" t="inlineStr">
        <is>
          <t>in-8d6e687a2a59afaf</t>
        </is>
      </c>
      <c r="B189" t="inlineStr">
        <is>
          <t>Sr. Applied Scientist, Sponsored Products</t>
        </is>
      </c>
      <c r="C189" t="inlineStr">
        <is>
          <t>Amazon.com</t>
        </is>
      </c>
      <c r="D189" t="inlineStr">
        <is>
          <t>indeed</t>
        </is>
      </c>
      <c r="E189">
        <f>HYPERLINK("https://www.indeed.com/viewjob?jk=8d6e687a2a59afaf", "https://www.indeed.com/viewjob?jk=8d6e687a2a59afaf")</f>
        <v/>
      </c>
      <c r="F189">
        <f>HYPERLINK("https://www.amazon.jobs/jobs/3136156/sr-applied-scientist-sponsored-products?cmpid=DA_INAD200785B", "https://www.amazon.jobs/jobs/3136156/sr-applied-scientist-sponsored-products?cmpid=DA_INAD200785B")</f>
        <v/>
      </c>
      <c r="G189" t="inlineStr">
        <is>
          <t>Seattle, WA, US</t>
        </is>
      </c>
      <c r="H189" s="2" t="n">
        <v>45976</v>
      </c>
      <c r="I18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0">
      <c r="A190" t="inlineStr">
        <is>
          <t>in-6f5cb6de036092e9</t>
        </is>
      </c>
      <c r="B190" t="inlineStr">
        <is>
          <t>Applied Scientist, AWS Agentic AI</t>
        </is>
      </c>
      <c r="C190" t="inlineStr">
        <is>
          <t>Amazon Web Services</t>
        </is>
      </c>
      <c r="D190" t="inlineStr">
        <is>
          <t>indeed</t>
        </is>
      </c>
      <c r="E190">
        <f>HYPERLINK("https://www.indeed.com/viewjob?jk=6f5cb6de036092e9", "https://www.indeed.com/viewjob?jk=6f5cb6de036092e9")</f>
        <v/>
      </c>
      <c r="F190">
        <f>HYPERLINK("https://www.amazon.jobs/jobs/3141517/applied-scientist-aws-agentic-ai-?cmpid=DA_INAD200785B", "https://www.amazon.jobs/jobs/3141517/applied-scientist-aws-agentic-ai-?cmpid=DA_INAD200785B")</f>
        <v/>
      </c>
      <c r="G190" t="inlineStr">
        <is>
          <t>Seattle, WA, US</t>
        </is>
      </c>
      <c r="H190" s="2" t="n">
        <v>45962</v>
      </c>
      <c r="I19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in-b9e7e9941176a0fc</t>
        </is>
      </c>
      <c r="B191" t="inlineStr">
        <is>
          <t>Applied Scientist, AWS Agentic AI</t>
        </is>
      </c>
      <c r="C191" t="inlineStr">
        <is>
          <t>Amazon Web Services</t>
        </is>
      </c>
      <c r="D191" t="inlineStr">
        <is>
          <t>indeed</t>
        </is>
      </c>
      <c r="E191">
        <f>HYPERLINK("https://www.indeed.com/viewjob?jk=b9e7e9941176a0fc", "https://www.indeed.com/viewjob?jk=b9e7e9941176a0fc")</f>
        <v/>
      </c>
      <c r="F191">
        <f>HYPERLINK("https://www.amazon.jobs/jobs/3141517/applied-scientist-aws-agentic-ai-?cmpid=DA_INAD200785B", "https://www.amazon.jobs/jobs/3141517/applied-scientist-aws-agentic-ai-?cmpid=DA_INAD200785B")</f>
        <v/>
      </c>
      <c r="G191" t="inlineStr">
        <is>
          <t>New York, NY, US</t>
        </is>
      </c>
      <c r="H191" s="2" t="n">
        <v>45962</v>
      </c>
      <c r="I19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in-7407a3015f09b4ac</t>
        </is>
      </c>
      <c r="B192" t="inlineStr">
        <is>
          <t>Applied Scientist, AWS Agentic AI</t>
        </is>
      </c>
      <c r="C192" t="inlineStr">
        <is>
          <t>Amazon Web Services</t>
        </is>
      </c>
      <c r="D192" t="inlineStr">
        <is>
          <t>indeed</t>
        </is>
      </c>
      <c r="E192">
        <f>HYPERLINK("https://www.indeed.com/viewjob?jk=7407a3015f09b4ac", "https://www.indeed.com/viewjob?jk=7407a3015f09b4ac")</f>
        <v/>
      </c>
      <c r="F192">
        <f>HYPERLINK("https://www.amazon.jobs/jobs/3141517/applied-scientist-aws-agentic-ai-?cmpid=DA_INAD200785B", "https://www.amazon.jobs/jobs/3141517/applied-scientist-aws-agentic-ai-?cmpid=DA_INAD200785B")</f>
        <v/>
      </c>
      <c r="G192" t="inlineStr">
        <is>
          <t>Santa Clara, CA, US</t>
        </is>
      </c>
      <c r="H192" s="2" t="n">
        <v>45962</v>
      </c>
      <c r="I19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in-44e8c0fa0fdb27db</t>
        </is>
      </c>
      <c r="B193" t="inlineStr">
        <is>
          <t>Sr. Applied Scientist, Prime Video - Personalization and Discovery Science</t>
        </is>
      </c>
      <c r="C193" t="inlineStr">
        <is>
          <t>Amazon.com</t>
        </is>
      </c>
      <c r="D193" t="inlineStr">
        <is>
          <t>indeed</t>
        </is>
      </c>
      <c r="E193">
        <f>HYPERLINK("https://www.indeed.com/viewjob?jk=44e8c0fa0fdb27db", "https://www.indeed.com/viewjob?jk=44e8c0fa0fdb27db")</f>
        <v/>
      </c>
      <c r="F193">
        <f>HYPERLINK("https://www.amazon.jobs/jobs/3118782/sr-applied-scientist-prime-video--personalization-and-discovery-science?cmpid=DA_INAD200785B", "https://www.amazon.jobs/jobs/3118782/sr-applied-scientist-prime-video--personalization-and-discovery-science?cmpid=DA_INAD200785B")</f>
        <v/>
      </c>
      <c r="G193" t="inlineStr">
        <is>
          <t>Sunnyvale, CA, US</t>
        </is>
      </c>
      <c r="H193" s="2" t="n">
        <v>45959</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4">
      <c r="A194" t="inlineStr">
        <is>
          <t>in-82c4f5cb3b0ba758</t>
        </is>
      </c>
      <c r="B194" t="inlineStr">
        <is>
          <t>Sr. Applied Scientist, Prime Video - Personalization and Discovery Science</t>
        </is>
      </c>
      <c r="C194" t="inlineStr">
        <is>
          <t>Amazon.com</t>
        </is>
      </c>
      <c r="D194" t="inlineStr">
        <is>
          <t>indeed</t>
        </is>
      </c>
      <c r="E194">
        <f>HYPERLINK("https://www.indeed.com/viewjob?jk=82c4f5cb3b0ba758", "https://www.indeed.com/viewjob?jk=82c4f5cb3b0ba758")</f>
        <v/>
      </c>
      <c r="F194">
        <f>HYPERLINK("https://www.amazon.jobs/jobs/3118782/sr-applied-scientist-prime-video--personalization-and-discovery-science?cmpid=DA_INAD200785B", "https://www.amazon.jobs/jobs/3118782/sr-applied-scientist-prime-video--personalization-and-discovery-science?cmpid=DA_INAD200785B")</f>
        <v/>
      </c>
      <c r="G194" t="inlineStr">
        <is>
          <t>Seattle, WA, US</t>
        </is>
      </c>
      <c r="H194" s="2" t="n">
        <v>45959</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5">
      <c r="A195" t="inlineStr">
        <is>
          <t>in-78e49cf892e0377a</t>
        </is>
      </c>
      <c r="B195" t="inlineStr">
        <is>
          <t>Sr. Applied Scientist, Prime Video - Personalization and Discovery Science</t>
        </is>
      </c>
      <c r="C195" t="inlineStr">
        <is>
          <t>Amazon.com</t>
        </is>
      </c>
      <c r="D195" t="inlineStr">
        <is>
          <t>indeed</t>
        </is>
      </c>
      <c r="E195">
        <f>HYPERLINK("https://www.indeed.com/viewjob?jk=78e49cf892e0377a", "https://www.indeed.com/viewjob?jk=78e49cf892e0377a")</f>
        <v/>
      </c>
      <c r="F195">
        <f>HYPERLINK("https://www.amazon.jobs/jobs/3118782/sr-applied-scientist-prime-video--personalization-and-discovery-science?cmpid=DA_INAD200785B", "https://www.amazon.jobs/jobs/3118782/sr-applied-scientist-prime-video--personalization-and-discovery-science?cmpid=DA_INAD200785B")</f>
        <v/>
      </c>
      <c r="G195" t="inlineStr">
        <is>
          <t>New York, NY, US</t>
        </is>
      </c>
      <c r="H195" s="2" t="n">
        <v>45959</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6">
      <c r="A196" t="inlineStr">
        <is>
          <t>in-50e6de7077b71cef</t>
        </is>
      </c>
      <c r="B196" t="inlineStr">
        <is>
          <t>Principal Applied Scientist, Advertiser Growth, Amazon Sponsored Products &amp; Brands</t>
        </is>
      </c>
      <c r="C196" t="inlineStr">
        <is>
          <t>Amazon.com</t>
        </is>
      </c>
      <c r="D196" t="inlineStr">
        <is>
          <t>indeed</t>
        </is>
      </c>
      <c r="E196">
        <f>HYPERLINK("https://www.indeed.com/viewjob?jk=50e6de7077b71cef", "https://www.indeed.com/viewjob?jk=50e6de7077b71cef")</f>
        <v/>
      </c>
      <c r="F196">
        <f>HYPERLINK("https://www.amazon.jobs/jobs/3115279/principal-applied-scientist-advertiser-growth-amazon-sponsored-products--brands?cmpid=DA_INAD200785B", "https://www.amazon.jobs/jobs/3115279/principal-applied-scientist-advertiser-growth-amazon-sponsored-products--brands?cmpid=DA_INAD200785B")</f>
        <v/>
      </c>
      <c r="G196" t="inlineStr">
        <is>
          <t>Palo Alto, CA, US</t>
        </is>
      </c>
      <c r="H196" s="2" t="n">
        <v>45942</v>
      </c>
      <c r="I19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in-0a4e2ac558948d9d</t>
        </is>
      </c>
      <c r="B197" t="inlineStr">
        <is>
          <t>Principal Applied Scientist, Advertiser Growth, Amazon Sponsored Products &amp; Brands</t>
        </is>
      </c>
      <c r="C197" t="inlineStr">
        <is>
          <t>Amazon.com</t>
        </is>
      </c>
      <c r="D197" t="inlineStr">
        <is>
          <t>indeed</t>
        </is>
      </c>
      <c r="E197">
        <f>HYPERLINK("https://www.indeed.com/viewjob?jk=0a4e2ac558948d9d", "https://www.indeed.com/viewjob?jk=0a4e2ac558948d9d")</f>
        <v/>
      </c>
      <c r="F197">
        <f>HYPERLINK("https://www.amazon.jobs/jobs/3115279/principal-applied-scientist-advertiser-growth-amazon-sponsored-products--brands?cmpid=DA_INAD200785B", "https://www.amazon.jobs/jobs/3115279/principal-applied-scientist-advertiser-growth-amazon-sponsored-products--brands?cmpid=DA_INAD200785B")</f>
        <v/>
      </c>
      <c r="G197" t="inlineStr">
        <is>
          <t>New York, NY, US</t>
        </is>
      </c>
      <c r="H197" s="2" t="n">
        <v>45942</v>
      </c>
      <c r="I19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in-8eaa67c2c815b54b</t>
        </is>
      </c>
      <c r="B198" t="inlineStr">
        <is>
          <t>Principal Applied Scientist, Advertiser Growth, Amazon Sponsored Products &amp; Brands</t>
        </is>
      </c>
      <c r="C198" t="inlineStr">
        <is>
          <t>Amazon.com</t>
        </is>
      </c>
      <c r="D198" t="inlineStr">
        <is>
          <t>indeed</t>
        </is>
      </c>
      <c r="E198">
        <f>HYPERLINK("https://www.indeed.com/viewjob?jk=8eaa67c2c815b54b", "https://www.indeed.com/viewjob?jk=8eaa67c2c815b54b")</f>
        <v/>
      </c>
      <c r="F198">
        <f>HYPERLINK("https://www.amazon.jobs/jobs/3115279/principal-applied-scientist-advertiser-growth-amazon-sponsored-products--brands?cmpid=DA_INAD200785B", "https://www.amazon.jobs/jobs/3115279/principal-applied-scientist-advertiser-growth-amazon-sponsored-products--brands?cmpid=DA_INAD200785B")</f>
        <v/>
      </c>
      <c r="G198" t="inlineStr">
        <is>
          <t>Seattle, WA, US</t>
        </is>
      </c>
      <c r="H198" s="2" t="n">
        <v>45942</v>
      </c>
      <c r="I19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in-949418a451543e55</t>
        </is>
      </c>
      <c r="B199" t="inlineStr">
        <is>
          <t>Applied Scientist II, Prime Video - Personalization and Discovery Science, Personalization and Discovery Science</t>
        </is>
      </c>
      <c r="C199" t="inlineStr">
        <is>
          <t>Amazon.com</t>
        </is>
      </c>
      <c r="D199" t="inlineStr">
        <is>
          <t>indeed</t>
        </is>
      </c>
      <c r="E199">
        <f>HYPERLINK("https://www.indeed.com/viewjob?jk=949418a451543e55", "https://www.indeed.com/viewjob?jk=949418a451543e55")</f>
        <v/>
      </c>
      <c r="F19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9" t="inlineStr">
        <is>
          <t>Sunnyvale, CA, US</t>
        </is>
      </c>
      <c r="H199" s="2" t="n">
        <v>45930</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in-173bc686097a9bcf</t>
        </is>
      </c>
      <c r="B200" t="inlineStr">
        <is>
          <t>Applied Scientist II, Prime Video - Personalization and Discovery Science, Personalization and Discovery Science</t>
        </is>
      </c>
      <c r="C200" t="inlineStr">
        <is>
          <t>Amazon.com</t>
        </is>
      </c>
      <c r="D200" t="inlineStr">
        <is>
          <t>indeed</t>
        </is>
      </c>
      <c r="E200">
        <f>HYPERLINK("https://www.indeed.com/viewjob?jk=173bc686097a9bcf", "https://www.indeed.com/viewjob?jk=173bc686097a9bcf")</f>
        <v/>
      </c>
      <c r="F20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00" t="inlineStr">
        <is>
          <t>Seattle, WA, US</t>
        </is>
      </c>
      <c r="H200" s="2" t="n">
        <v>45930</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in-cfd141ccb857aa08</t>
        </is>
      </c>
      <c r="B201" t="inlineStr">
        <is>
          <t>Applied Scientist II, Prime Video - Personalization and Discovery Science, Personalization and Discovery Science</t>
        </is>
      </c>
      <c r="C201" t="inlineStr">
        <is>
          <t>Amazon.com</t>
        </is>
      </c>
      <c r="D201" t="inlineStr">
        <is>
          <t>indeed</t>
        </is>
      </c>
      <c r="E201">
        <f>HYPERLINK("https://www.indeed.com/viewjob?jk=cfd141ccb857aa08", "https://www.indeed.com/viewjob?jk=cfd141ccb857aa08")</f>
        <v/>
      </c>
      <c r="F20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01" t="inlineStr">
        <is>
          <t>New York, NY, US</t>
        </is>
      </c>
      <c r="H201" s="2" t="n">
        <v>45930</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in-e36599f6c93cc05a</t>
        </is>
      </c>
      <c r="B202" t="inlineStr">
        <is>
          <t>Applied Scientist, Workplace Health &amp; Safety</t>
        </is>
      </c>
      <c r="C202" t="inlineStr">
        <is>
          <t>Amazon.com</t>
        </is>
      </c>
      <c r="D202" t="inlineStr">
        <is>
          <t>indeed</t>
        </is>
      </c>
      <c r="E202">
        <f>HYPERLINK("https://www.indeed.com/viewjob?jk=e36599f6c93cc05a", "https://www.indeed.com/viewjob?jk=e36599f6c93cc05a")</f>
        <v/>
      </c>
      <c r="F202">
        <f>HYPERLINK("https://www.amazon.jobs/jobs/3144886/applied-scientist-workplace-health--safety-?cmpid=DA_INAD200785B", "https://www.amazon.jobs/jobs/3144886/applied-scientist-workplace-health--safety-?cmpid=DA_INAD200785B")</f>
        <v/>
      </c>
      <c r="G202" t="inlineStr">
        <is>
          <t>Bellevue, WA, US</t>
        </is>
      </c>
      <c r="H202" s="2" t="n">
        <v>45917</v>
      </c>
      <c r="I20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in-f225362caf337cd4</t>
        </is>
      </c>
      <c r="B203" t="inlineStr">
        <is>
          <t>Applied Scientist, Workplace Health &amp; Safety</t>
        </is>
      </c>
      <c r="C203" t="inlineStr">
        <is>
          <t>Amazon.com</t>
        </is>
      </c>
      <c r="D203" t="inlineStr">
        <is>
          <t>indeed</t>
        </is>
      </c>
      <c r="E203">
        <f>HYPERLINK("https://www.indeed.com/viewjob?jk=f225362caf337cd4", "https://www.indeed.com/viewjob?jk=f225362caf337cd4")</f>
        <v/>
      </c>
      <c r="F203">
        <f>HYPERLINK("https://www.amazon.jobs/jobs/3144886/applied-scientist-workplace-health--safety-?cmpid=DA_INAD200785B", "https://www.amazon.jobs/jobs/3144886/applied-scientist-workplace-health--safety-?cmpid=DA_INAD200785B")</f>
        <v/>
      </c>
      <c r="G203" t="inlineStr">
        <is>
          <t>Nashville, TN, US</t>
        </is>
      </c>
      <c r="H203" s="2" t="n">
        <v>45917</v>
      </c>
      <c r="I20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in-bf681d35f1775b41</t>
        </is>
      </c>
      <c r="B204" t="inlineStr">
        <is>
          <t>Sr. Applied Scientist, Prime Video - Personalization and Discovery Science</t>
        </is>
      </c>
      <c r="C204" t="inlineStr">
        <is>
          <t>Amazon.com</t>
        </is>
      </c>
      <c r="D204" t="inlineStr">
        <is>
          <t>indeed</t>
        </is>
      </c>
      <c r="E204">
        <f>HYPERLINK("https://www.indeed.com/viewjob?jk=bf681d35f1775b41", "https://www.indeed.com/viewjob?jk=bf681d35f1775b41")</f>
        <v/>
      </c>
      <c r="F204">
        <f>HYPERLINK("https://www.amazon.jobs/jobs/3084479/sr-applied-scientist-prime-video--personalization-and-discovery-science?cmpid=DA_INAD200785B", "https://www.amazon.jobs/jobs/3084479/sr-applied-scientist-prime-video--personalization-and-discovery-science?cmpid=DA_INAD200785B")</f>
        <v/>
      </c>
      <c r="G204" t="inlineStr">
        <is>
          <t>New York, NY, US</t>
        </is>
      </c>
      <c r="H204" s="2" t="n">
        <v>45896</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5">
      <c r="A205" t="inlineStr">
        <is>
          <t>in-085218da1c25be8e</t>
        </is>
      </c>
      <c r="B205" t="inlineStr">
        <is>
          <t>Sr. Applied Scientist, Prime Video - Personalization and Discovery Science</t>
        </is>
      </c>
      <c r="C205" t="inlineStr">
        <is>
          <t>Amazon.com</t>
        </is>
      </c>
      <c r="D205" t="inlineStr">
        <is>
          <t>indeed</t>
        </is>
      </c>
      <c r="E205">
        <f>HYPERLINK("https://www.indeed.com/viewjob?jk=085218da1c25be8e", "https://www.indeed.com/viewjob?jk=085218da1c25be8e")</f>
        <v/>
      </c>
      <c r="F205">
        <f>HYPERLINK("https://www.amazon.jobs/jobs/3084479/sr-applied-scientist-prime-video--personalization-and-discovery-science?cmpid=DA_INAD200785B", "https://www.amazon.jobs/jobs/3084479/sr-applied-scientist-prime-video--personalization-and-discovery-science?cmpid=DA_INAD200785B")</f>
        <v/>
      </c>
      <c r="G205" t="inlineStr">
        <is>
          <t>Seattle, WA, US</t>
        </is>
      </c>
      <c r="H205" s="2" t="n">
        <v>45896</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6">
      <c r="A206" t="inlineStr">
        <is>
          <t>in-414f07ebda060460</t>
        </is>
      </c>
      <c r="B206" t="inlineStr">
        <is>
          <t>Sr. Applied Scientist, Prime Video - Personalization and Discovery Science</t>
        </is>
      </c>
      <c r="C206" t="inlineStr">
        <is>
          <t>Amazon.com</t>
        </is>
      </c>
      <c r="D206" t="inlineStr">
        <is>
          <t>indeed</t>
        </is>
      </c>
      <c r="E206">
        <f>HYPERLINK("https://www.indeed.com/viewjob?jk=414f07ebda060460", "https://www.indeed.com/viewjob?jk=414f07ebda060460")</f>
        <v/>
      </c>
      <c r="F206">
        <f>HYPERLINK("https://www.amazon.jobs/jobs/3084479/sr-applied-scientist-prime-video--personalization-and-discovery-science?cmpid=DA_INAD200785B", "https://www.amazon.jobs/jobs/3084479/sr-applied-scientist-prime-video--personalization-and-discovery-science?cmpid=DA_INAD200785B")</f>
        <v/>
      </c>
      <c r="G206" t="inlineStr">
        <is>
          <t>Sunnyvale, CA, US</t>
        </is>
      </c>
      <c r="H206" s="2" t="n">
        <v>45896</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7">
      <c r="A207" t="inlineStr">
        <is>
          <t>in-e5f164202d8c6373</t>
        </is>
      </c>
      <c r="B207" t="inlineStr">
        <is>
          <t>Applied Scientist II, Prime Video , Personalization and Discovery Science</t>
        </is>
      </c>
      <c r="C207" t="inlineStr">
        <is>
          <t>Amazon.com</t>
        </is>
      </c>
      <c r="D207" t="inlineStr">
        <is>
          <t>indeed</t>
        </is>
      </c>
      <c r="E207">
        <f>HYPERLINK("https://www.indeed.com/viewjob?jk=e5f164202d8c6373", "https://www.indeed.com/viewjob?jk=e5f164202d8c6373")</f>
        <v/>
      </c>
      <c r="F207">
        <f>HYPERLINK("https://www.amazon.jobs/jobs/3061303/applied-scientist-ii-prime-video--personalization-and-discovery-science?cmpid=DA_INAD200785B", "https://www.amazon.jobs/jobs/3061303/applied-scientist-ii-prime-video--personalization-and-discovery-science?cmpid=DA_INAD200785B")</f>
        <v/>
      </c>
      <c r="G207" t="inlineStr">
        <is>
          <t>Sunnyvale, CA, US</t>
        </is>
      </c>
      <c r="H207" s="2" t="n">
        <v>45886</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08">
      <c r="A208" t="inlineStr">
        <is>
          <t>in-9b3d3d1e847df112</t>
        </is>
      </c>
      <c r="B208" t="inlineStr">
        <is>
          <t>Applied Scientist II, Prime Video , Personalization and Discovery Science</t>
        </is>
      </c>
      <c r="C208" t="inlineStr">
        <is>
          <t>Amazon.com</t>
        </is>
      </c>
      <c r="D208" t="inlineStr">
        <is>
          <t>indeed</t>
        </is>
      </c>
      <c r="E208">
        <f>HYPERLINK("https://www.indeed.com/viewjob?jk=9b3d3d1e847df112", "https://www.indeed.com/viewjob?jk=9b3d3d1e847df112")</f>
        <v/>
      </c>
      <c r="F208">
        <f>HYPERLINK("https://www.amazon.jobs/jobs/3061303/applied-scientist-ii-prime-video--personalization-and-discovery-science?cmpid=DA_INAD200785B", "https://www.amazon.jobs/jobs/3061303/applied-scientist-ii-prime-video--personalization-and-discovery-science?cmpid=DA_INAD200785B")</f>
        <v/>
      </c>
      <c r="G208" t="inlineStr">
        <is>
          <t>New York, NY, US</t>
        </is>
      </c>
      <c r="H208" s="2" t="n">
        <v>45886</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09">
      <c r="A209" t="inlineStr">
        <is>
          <t>in-47f12ffd607a7dfe</t>
        </is>
      </c>
      <c r="B209" t="inlineStr">
        <is>
          <t>Applied Scientist II, Prime Video , Personalization and Discovery Science</t>
        </is>
      </c>
      <c r="C209" t="inlineStr">
        <is>
          <t>Amazon.com</t>
        </is>
      </c>
      <c r="D209" t="inlineStr">
        <is>
          <t>indeed</t>
        </is>
      </c>
      <c r="E209">
        <f>HYPERLINK("https://www.indeed.com/viewjob?jk=47f12ffd607a7dfe", "https://www.indeed.com/viewjob?jk=47f12ffd607a7dfe")</f>
        <v/>
      </c>
      <c r="F209">
        <f>HYPERLINK("https://www.amazon.jobs/jobs/3061303/applied-scientist-ii-prime-video--personalization-and-discovery-science?cmpid=DA_INAD200785B", "https://www.amazon.jobs/jobs/3061303/applied-scientist-ii-prime-video--personalization-and-discovery-science?cmpid=DA_INAD200785B")</f>
        <v/>
      </c>
      <c r="G209" t="inlineStr">
        <is>
          <t>Seattle, WA, US</t>
        </is>
      </c>
      <c r="H209" s="2" t="n">
        <v>45886</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10">
      <c r="A210" t="inlineStr">
        <is>
          <t>in-8acb4bbc3ff9c888</t>
        </is>
      </c>
      <c r="B210" t="inlineStr">
        <is>
          <t>Sr. Applied Scientist, Prime Video - Personalization and Discovery Science</t>
        </is>
      </c>
      <c r="C210" t="inlineStr">
        <is>
          <t>Amazon.com</t>
        </is>
      </c>
      <c r="D210" t="inlineStr">
        <is>
          <t>indeed</t>
        </is>
      </c>
      <c r="E210">
        <f>HYPERLINK("https://www.indeed.com/viewjob?jk=8acb4bbc3ff9c888", "https://www.indeed.com/viewjob?jk=8acb4bbc3ff9c888")</f>
        <v/>
      </c>
      <c r="F210">
        <f>HYPERLINK("https://www.amazon.jobs/jobs/3059256/sr-applied-scientist-prime-video--personalization-and-discovery-science?cmpid=DA_INAD200785B", "https://www.amazon.jobs/jobs/3059256/sr-applied-scientist-prime-video--personalization-and-discovery-science?cmpid=DA_INAD200785B")</f>
        <v/>
      </c>
      <c r="G210" t="inlineStr">
        <is>
          <t>New York, NY, US</t>
        </is>
      </c>
      <c r="H210" s="2" t="n">
        <v>45881</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in-04b70ba14bb5d4f1</t>
        </is>
      </c>
      <c r="B211" t="inlineStr">
        <is>
          <t>Applied Scientist II, Prime Video - Personalization and Discovery Science</t>
        </is>
      </c>
      <c r="C211" t="inlineStr">
        <is>
          <t>Amazon.com</t>
        </is>
      </c>
      <c r="D211" t="inlineStr">
        <is>
          <t>indeed</t>
        </is>
      </c>
      <c r="E211">
        <f>HYPERLINK("https://www.indeed.com/viewjob?jk=04b70ba14bb5d4f1", "https://www.indeed.com/viewjob?jk=04b70ba14bb5d4f1")</f>
        <v/>
      </c>
      <c r="F211">
        <f>HYPERLINK("https://www.amazon.jobs/jobs/3059253/applied-scientist-ii-prime-video--personalization-and-discovery-science?cmpid=DA_INAD200785B", "https://www.amazon.jobs/jobs/3059253/applied-scientist-ii-prime-video--personalization-and-discovery-science?cmpid=DA_INAD200785B")</f>
        <v/>
      </c>
      <c r="G211" t="inlineStr">
        <is>
          <t>Seattle, WA, US</t>
        </is>
      </c>
      <c r="H211" s="2" t="n">
        <v>45881</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in-4411a64a64a12395</t>
        </is>
      </c>
      <c r="B212" t="inlineStr">
        <is>
          <t>Applied Scientist II, Prime Video - Personalization and Discovery Science</t>
        </is>
      </c>
      <c r="C212" t="inlineStr">
        <is>
          <t>Amazon.com</t>
        </is>
      </c>
      <c r="D212" t="inlineStr">
        <is>
          <t>indeed</t>
        </is>
      </c>
      <c r="E212">
        <f>HYPERLINK("https://www.indeed.com/viewjob?jk=4411a64a64a12395", "https://www.indeed.com/viewjob?jk=4411a64a64a12395")</f>
        <v/>
      </c>
      <c r="F212">
        <f>HYPERLINK("https://www.amazon.jobs/jobs/3059253/applied-scientist-ii-prime-video--personalization-and-discovery-science?cmpid=DA_INAD200785B", "https://www.amazon.jobs/jobs/3059253/applied-scientist-ii-prime-video--personalization-and-discovery-science?cmpid=DA_INAD200785B")</f>
        <v/>
      </c>
      <c r="G212" t="inlineStr">
        <is>
          <t>Sunnyvale, CA, US</t>
        </is>
      </c>
      <c r="H212" s="2" t="n">
        <v>45881</v>
      </c>
      <c r="I2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in-68214bb978cb1f3b</t>
        </is>
      </c>
      <c r="B213" t="inlineStr">
        <is>
          <t>Applied Scientist II, Prime Video - Personalization and Discovery Science</t>
        </is>
      </c>
      <c r="C213" t="inlineStr">
        <is>
          <t>Amazon.com</t>
        </is>
      </c>
      <c r="D213" t="inlineStr">
        <is>
          <t>indeed</t>
        </is>
      </c>
      <c r="E213">
        <f>HYPERLINK("https://www.indeed.com/viewjob?jk=68214bb978cb1f3b", "https://www.indeed.com/viewjob?jk=68214bb978cb1f3b")</f>
        <v/>
      </c>
      <c r="F213">
        <f>HYPERLINK("https://www.amazon.jobs/jobs/3059253/applied-scientist-ii-prime-video--personalization-and-discovery-science?cmpid=DA_INAD200785B", "https://www.amazon.jobs/jobs/3059253/applied-scientist-ii-prime-video--personalization-and-discovery-science?cmpid=DA_INAD200785B")</f>
        <v/>
      </c>
      <c r="G213" t="inlineStr">
        <is>
          <t>New York, NY, US</t>
        </is>
      </c>
      <c r="H213" s="2" t="n">
        <v>45881</v>
      </c>
      <c r="I2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in-e143299fc2147e28</t>
        </is>
      </c>
      <c r="B214" t="inlineStr">
        <is>
          <t>Sr. Applied Scientist, Prime Video - Personalization and Discovery Science</t>
        </is>
      </c>
      <c r="C214" t="inlineStr">
        <is>
          <t>Amazon.com</t>
        </is>
      </c>
      <c r="D214" t="inlineStr">
        <is>
          <t>indeed</t>
        </is>
      </c>
      <c r="E214">
        <f>HYPERLINK("https://www.indeed.com/viewjob?jk=e143299fc2147e28", "https://www.indeed.com/viewjob?jk=e143299fc2147e28")</f>
        <v/>
      </c>
      <c r="F214">
        <f>HYPERLINK("https://www.amazon.jobs/jobs/3059256/sr-applied-scientist-prime-video--personalization-and-discovery-science?cmpid=DA_INAD200785B", "https://www.amazon.jobs/jobs/3059256/sr-applied-scientist-prime-video--personalization-and-discovery-science?cmpid=DA_INAD200785B")</f>
        <v/>
      </c>
      <c r="G214" t="inlineStr">
        <is>
          <t>Sunnyvale, CA, US</t>
        </is>
      </c>
      <c r="H214" s="2" t="n">
        <v>45881</v>
      </c>
      <c r="I2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in-b619f52f2e548b22</t>
        </is>
      </c>
      <c r="B215" t="inlineStr">
        <is>
          <t>Sr. Applied Scientist, Prime Video - Personalization and Discovery Science</t>
        </is>
      </c>
      <c r="C215" t="inlineStr">
        <is>
          <t>Amazon.com</t>
        </is>
      </c>
      <c r="D215" t="inlineStr">
        <is>
          <t>indeed</t>
        </is>
      </c>
      <c r="E215">
        <f>HYPERLINK("https://www.indeed.com/viewjob?jk=b619f52f2e548b22", "https://www.indeed.com/viewjob?jk=b619f52f2e548b22")</f>
        <v/>
      </c>
      <c r="F215">
        <f>HYPERLINK("https://www.amazon.jobs/jobs/3059256/sr-applied-scientist-prime-video--personalization-and-discovery-science?cmpid=DA_INAD200785B", "https://www.amazon.jobs/jobs/3059256/sr-applied-scientist-prime-video--personalization-and-discovery-science?cmpid=DA_INAD200785B")</f>
        <v/>
      </c>
      <c r="G215" t="inlineStr">
        <is>
          <t>Seattle, WA, US</t>
        </is>
      </c>
      <c r="H215" s="2" t="n">
        <v>45881</v>
      </c>
      <c r="I2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in-d704cc7d5d971cae</t>
        </is>
      </c>
      <c r="B216" t="inlineStr">
        <is>
          <t>Applied Scientist III, StoreGen</t>
        </is>
      </c>
      <c r="C216" t="inlineStr">
        <is>
          <t>Amazon.com</t>
        </is>
      </c>
      <c r="D216" t="inlineStr">
        <is>
          <t>indeed</t>
        </is>
      </c>
      <c r="E216">
        <f>HYPERLINK("https://www.indeed.com/viewjob?jk=d704cc7d5d971cae", "https://www.indeed.com/viewjob?jk=d704cc7d5d971cae")</f>
        <v/>
      </c>
      <c r="F216">
        <f>HYPERLINK("https://www.amazon.jobs/jobs/3065534/applied-scientist-iii-storegen?cmpid=DA_INAD200785B", "https://www.amazon.jobs/jobs/3065534/applied-scientist-iii-storegen?cmpid=DA_INAD200785B")</f>
        <v/>
      </c>
      <c r="G216" t="inlineStr">
        <is>
          <t>Sunnyvale, CA, US</t>
        </is>
      </c>
      <c r="H216" s="2" t="n">
        <v>45868</v>
      </c>
      <c r="I21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in-b5d5471d7a9565f7</t>
        </is>
      </c>
      <c r="B217" t="inlineStr">
        <is>
          <t>Applied Scientist III, StoreGen</t>
        </is>
      </c>
      <c r="C217" t="inlineStr">
        <is>
          <t>Amazon.com</t>
        </is>
      </c>
      <c r="D217" t="inlineStr">
        <is>
          <t>indeed</t>
        </is>
      </c>
      <c r="E217">
        <f>HYPERLINK("https://www.indeed.com/viewjob?jk=b5d5471d7a9565f7", "https://www.indeed.com/viewjob?jk=b5d5471d7a9565f7")</f>
        <v/>
      </c>
      <c r="F217">
        <f>HYPERLINK("https://www.amazon.jobs/jobs/3065534/applied-scientist-iii-storegen?cmpid=DA_INAD200785B", "https://www.amazon.jobs/jobs/3065534/applied-scientist-iii-storegen?cmpid=DA_INAD200785B")</f>
        <v/>
      </c>
      <c r="G217" t="inlineStr">
        <is>
          <t>Seattle, WA, US</t>
        </is>
      </c>
      <c r="H217" s="2" t="n">
        <v>45868</v>
      </c>
      <c r="I21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in-a2e97c56a8ed5d7e</t>
        </is>
      </c>
      <c r="B218" t="inlineStr">
        <is>
          <t>Sr. Applied Scientist, Amazon Advertising</t>
        </is>
      </c>
      <c r="C218" t="inlineStr">
        <is>
          <t>Amazon.com</t>
        </is>
      </c>
      <c r="D218" t="inlineStr">
        <is>
          <t>indeed</t>
        </is>
      </c>
      <c r="E218">
        <f>HYPERLINK("https://www.indeed.com/viewjob?jk=a2e97c56a8ed5d7e", "https://www.indeed.com/viewjob?jk=a2e97c56a8ed5d7e")</f>
        <v/>
      </c>
      <c r="F218">
        <f>HYPERLINK("https://www.amazon.jobs/jobs/3035686/sr-applied-scientist-amazon-advertising?cmpid=DA_INAD200785B", "https://www.amazon.jobs/jobs/3035686/sr-applied-scientist-amazon-advertising?cmpid=DA_INAD200785B")</f>
        <v/>
      </c>
      <c r="G218" t="inlineStr">
        <is>
          <t>New York, NY, US</t>
        </is>
      </c>
      <c r="H218" s="2"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in-c0be1701e53a0822</t>
        </is>
      </c>
      <c r="B219" t="inlineStr">
        <is>
          <t>Sr. Applied Scientist, Amazon Advertising</t>
        </is>
      </c>
      <c r="C219" t="inlineStr">
        <is>
          <t>Amazon.com</t>
        </is>
      </c>
      <c r="D219" t="inlineStr">
        <is>
          <t>indeed</t>
        </is>
      </c>
      <c r="E219">
        <f>HYPERLINK("https://www.indeed.com/viewjob?jk=c0be1701e53a0822", "https://www.indeed.com/viewjob?jk=c0be1701e53a0822")</f>
        <v/>
      </c>
      <c r="F219">
        <f>HYPERLINK("https://www.amazon.jobs/jobs/3035686/sr-applied-scientist-amazon-advertising?cmpid=DA_INAD200785B", "https://www.amazon.jobs/jobs/3035686/sr-applied-scientist-amazon-advertising?cmpid=DA_INAD200785B")</f>
        <v/>
      </c>
      <c r="G219" t="inlineStr">
        <is>
          <t>Arlington, VA, US</t>
        </is>
      </c>
      <c r="H219" s="2" t="n">
        <v>45851</v>
      </c>
      <c r="I2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in-7d230688e8d6d534</t>
        </is>
      </c>
      <c r="B220" t="inlineStr">
        <is>
          <t>Sr. Applied Scientist, Amazon Advertising</t>
        </is>
      </c>
      <c r="C220" t="inlineStr">
        <is>
          <t>Amazon.com</t>
        </is>
      </c>
      <c r="D220" t="inlineStr">
        <is>
          <t>indeed</t>
        </is>
      </c>
      <c r="E220">
        <f>HYPERLINK("https://www.indeed.com/viewjob?jk=7d230688e8d6d534", "https://www.indeed.com/viewjob?jk=7d230688e8d6d534")</f>
        <v/>
      </c>
      <c r="F220">
        <f>HYPERLINK("https://www.amazon.jobs/jobs/3035686/sr-applied-scientist-amazon-advertising?cmpid=DA_INAD200785B", "https://www.amazon.jobs/jobs/3035686/sr-applied-scientist-amazon-advertising?cmpid=DA_INAD200785B")</f>
        <v/>
      </c>
      <c r="G220" t="inlineStr">
        <is>
          <t>West Hollywood, CA, US</t>
        </is>
      </c>
      <c r="H220" s="2" t="n">
        <v>45851</v>
      </c>
      <c r="I2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in-c71a65ccd8698598</t>
        </is>
      </c>
      <c r="B221" t="inlineStr">
        <is>
          <t>Sr. Applied Scientist, Amazon Advertising</t>
        </is>
      </c>
      <c r="C221" t="inlineStr">
        <is>
          <t>Amazon.com</t>
        </is>
      </c>
      <c r="D221" t="inlineStr">
        <is>
          <t>indeed</t>
        </is>
      </c>
      <c r="E221">
        <f>HYPERLINK("https://www.indeed.com/viewjob?jk=c71a65ccd8698598", "https://www.indeed.com/viewjob?jk=c71a65ccd8698598")</f>
        <v/>
      </c>
      <c r="F221">
        <f>HYPERLINK("https://www.amazon.jobs/jobs/3035686/sr-applied-scientist-amazon-advertising?cmpid=DA_INAD200785B", "https://www.amazon.jobs/jobs/3035686/sr-applied-scientist-amazon-advertising?cmpid=DA_INAD200785B")</f>
        <v/>
      </c>
      <c r="G221" t="inlineStr">
        <is>
          <t>Los Angeles, CA, US</t>
        </is>
      </c>
      <c r="H221" s="2" t="n">
        <v>45851</v>
      </c>
      <c r="I2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in-258627bda54ca9f7</t>
        </is>
      </c>
      <c r="B222" t="inlineStr">
        <is>
          <t>Sr. Applied Scientist, Amazon Advertising</t>
        </is>
      </c>
      <c r="C222" t="inlineStr">
        <is>
          <t>Amazon.com</t>
        </is>
      </c>
      <c r="D222" t="inlineStr">
        <is>
          <t>indeed</t>
        </is>
      </c>
      <c r="E222">
        <f>HYPERLINK("https://www.indeed.com/viewjob?jk=258627bda54ca9f7", "https://www.indeed.com/viewjob?jk=258627bda54ca9f7")</f>
        <v/>
      </c>
      <c r="F222">
        <f>HYPERLINK("https://www.amazon.jobs/jobs/3035686/sr-applied-scientist-amazon-advertising?cmpid=DA_INAD200785B", "https://www.amazon.jobs/jobs/3035686/sr-applied-scientist-amazon-advertising?cmpid=DA_INAD200785B")</f>
        <v/>
      </c>
      <c r="G222" t="inlineStr">
        <is>
          <t>Seattle, WA, US</t>
        </is>
      </c>
      <c r="H222" s="2" t="n">
        <v>45851</v>
      </c>
      <c r="I2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in-301b196436cec0e2</t>
        </is>
      </c>
      <c r="B223" t="inlineStr">
        <is>
          <t>Sr. Applied Scientist, Amazon Advertising</t>
        </is>
      </c>
      <c r="C223" t="inlineStr">
        <is>
          <t>Amazon.com</t>
        </is>
      </c>
      <c r="D223" t="inlineStr">
        <is>
          <t>indeed</t>
        </is>
      </c>
      <c r="E223">
        <f>HYPERLINK("https://www.indeed.com/viewjob?jk=301b196436cec0e2", "https://www.indeed.com/viewjob?jk=301b196436cec0e2")</f>
        <v/>
      </c>
      <c r="F223">
        <f>HYPERLINK("https://www.amazon.jobs/jobs/3035686/sr-applied-scientist-amazon-advertising?cmpid=DA_INAD200785B", "https://www.amazon.jobs/jobs/3035686/sr-applied-scientist-amazon-advertising?cmpid=DA_INAD200785B")</f>
        <v/>
      </c>
      <c r="G223" t="inlineStr">
        <is>
          <t>Austin, TX, US</t>
        </is>
      </c>
      <c r="H223" s="2" t="n">
        <v>45851</v>
      </c>
      <c r="I2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in-2ad0dd86889d61f5</t>
        </is>
      </c>
      <c r="B224" t="inlineStr">
        <is>
          <t>Sr. Applied Scientist, Amazon Advertising</t>
        </is>
      </c>
      <c r="C224" t="inlineStr">
        <is>
          <t>Amazon.com</t>
        </is>
      </c>
      <c r="D224" t="inlineStr">
        <is>
          <t>indeed</t>
        </is>
      </c>
      <c r="E224">
        <f>HYPERLINK("https://www.indeed.com/viewjob?jk=2ad0dd86889d61f5", "https://www.indeed.com/viewjob?jk=2ad0dd86889d61f5")</f>
        <v/>
      </c>
      <c r="F224">
        <f>HYPERLINK("https://www.amazon.jobs/jobs/3035686/sr-applied-scientist-amazon-advertising?cmpid=DA_INAD200785B", "https://www.amazon.jobs/jobs/3035686/sr-applied-scientist-amazon-advertising?cmpid=DA_INAD200785B")</f>
        <v/>
      </c>
      <c r="G224" t="inlineStr">
        <is>
          <t>Simi Valley, CA, US</t>
        </is>
      </c>
      <c r="H224" s="2" t="n">
        <v>45851</v>
      </c>
      <c r="I2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in-4518cd86770a6e1a</t>
        </is>
      </c>
      <c r="B225" t="inlineStr">
        <is>
          <t>Sr. Applied Scientist, Amazon Advertising</t>
        </is>
      </c>
      <c r="C225" t="inlineStr">
        <is>
          <t>Amazon.com</t>
        </is>
      </c>
      <c r="D225" t="inlineStr">
        <is>
          <t>indeed</t>
        </is>
      </c>
      <c r="E225">
        <f>HYPERLINK("https://www.indeed.com/viewjob?jk=4518cd86770a6e1a", "https://www.indeed.com/viewjob?jk=4518cd86770a6e1a")</f>
        <v/>
      </c>
      <c r="F225">
        <f>HYPERLINK("https://www.amazon.jobs/jobs/3035686/sr-applied-scientist-amazon-advertising?cmpid=DA_INAD200785B", "https://www.amazon.jobs/jobs/3035686/sr-applied-scientist-amazon-advertising?cmpid=DA_INAD200785B")</f>
        <v/>
      </c>
      <c r="G225" t="inlineStr">
        <is>
          <t>Palo Alto, CA, US</t>
        </is>
      </c>
      <c r="H225" s="2" t="n">
        <v>45851</v>
      </c>
      <c r="I2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in-6db8acbf874ed697</t>
        </is>
      </c>
      <c r="B226" t="inlineStr">
        <is>
          <t>Sr. Applied Scientist, Sales AI</t>
        </is>
      </c>
      <c r="C226" t="inlineStr">
        <is>
          <t>Amazon.com</t>
        </is>
      </c>
      <c r="D226" t="inlineStr">
        <is>
          <t>indeed</t>
        </is>
      </c>
      <c r="E226">
        <f>HYPERLINK("https://www.indeed.com/viewjob?jk=6db8acbf874ed697", "https://www.indeed.com/viewjob?jk=6db8acbf874ed697")</f>
        <v/>
      </c>
      <c r="F226">
        <f>HYPERLINK("https://www.amazon.jobs/jobs/3020528/sr-applied-scientist-sales-ai?cmpid=DA_INAD200785B", "https://www.amazon.jobs/jobs/3020528/sr-applied-scientist-sales-ai?cmpid=DA_INAD200785B")</f>
        <v/>
      </c>
      <c r="G226" t="inlineStr">
        <is>
          <t>Seattle, WA, US</t>
        </is>
      </c>
      <c r="H226" s="2" t="n">
        <v>45830</v>
      </c>
      <c r="I22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in-92dfc5465ed64858</t>
        </is>
      </c>
      <c r="B227" t="inlineStr">
        <is>
          <t>Sr. Applied Scientist, Sales AI</t>
        </is>
      </c>
      <c r="C227" t="inlineStr">
        <is>
          <t>Amazon.com</t>
        </is>
      </c>
      <c r="D227" t="inlineStr">
        <is>
          <t>indeed</t>
        </is>
      </c>
      <c r="E227">
        <f>HYPERLINK("https://www.indeed.com/viewjob?jk=92dfc5465ed64858", "https://www.indeed.com/viewjob?jk=92dfc5465ed64858")</f>
        <v/>
      </c>
      <c r="F227">
        <f>HYPERLINK("https://www.amazon.jobs/jobs/3020528/sr-applied-scientist-sales-ai?cmpid=DA_INAD200785B", "https://www.amazon.jobs/jobs/3020528/sr-applied-scientist-sales-ai?cmpid=DA_INAD200785B")</f>
        <v/>
      </c>
      <c r="G227" t="inlineStr">
        <is>
          <t>Sunnyvale, CA, US</t>
        </is>
      </c>
      <c r="H227" s="2" t="n">
        <v>45830</v>
      </c>
      <c r="I22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in-ac4fbfb9304dc6a6</t>
        </is>
      </c>
      <c r="B228" t="inlineStr">
        <is>
          <t>Sr. Applied Scientist, Sales AI</t>
        </is>
      </c>
      <c r="C228" t="inlineStr">
        <is>
          <t>Amazon.com</t>
        </is>
      </c>
      <c r="D228" t="inlineStr">
        <is>
          <t>indeed</t>
        </is>
      </c>
      <c r="E228">
        <f>HYPERLINK("https://www.indeed.com/viewjob?jk=ac4fbfb9304dc6a6", "https://www.indeed.com/viewjob?jk=ac4fbfb9304dc6a6")</f>
        <v/>
      </c>
      <c r="F228">
        <f>HYPERLINK("https://www.amazon.jobs/jobs/3020528/sr-applied-scientist-sales-ai?cmpid=DA_INAD200785B", "https://www.amazon.jobs/jobs/3020528/sr-applied-scientist-sales-ai?cmpid=DA_INAD200785B")</f>
        <v/>
      </c>
      <c r="G228" t="inlineStr">
        <is>
          <t>New York, NY, US</t>
        </is>
      </c>
      <c r="H228" s="2" t="n">
        <v>45830</v>
      </c>
      <c r="I22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in-23d58ec8ee7b655c</t>
        </is>
      </c>
      <c r="B229" t="inlineStr">
        <is>
          <t>Senior Applied Scientist, Delivery Foundation Model</t>
        </is>
      </c>
      <c r="C229" t="inlineStr">
        <is>
          <t>Amazon.com</t>
        </is>
      </c>
      <c r="D229" t="inlineStr">
        <is>
          <t>indeed</t>
        </is>
      </c>
      <c r="E229">
        <f>HYPERLINK("https://www.indeed.com/viewjob?jk=23d58ec8ee7b655c", "https://www.indeed.com/viewjob?jk=23d58ec8ee7b655c")</f>
        <v/>
      </c>
      <c r="F229">
        <f>HYPERLINK("https://www.amazon.jobs/jobs/2998435/senior-applied-scientist-delivery-foundation-model-?cmpid=DA_INAD200785B", "https://www.amazon.jobs/jobs/2998435/senior-applied-scientist-delivery-foundation-model-?cmpid=DA_INAD200785B")</f>
        <v/>
      </c>
      <c r="G229" t="inlineStr">
        <is>
          <t>Bellevue, WA, US</t>
        </is>
      </c>
      <c r="H229" s="2" t="n">
        <v>45806</v>
      </c>
      <c r="I2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in-59fcb1da9ac98daf</t>
        </is>
      </c>
      <c r="B230" t="inlineStr">
        <is>
          <t>Senior Applied Scientist, Delivery Foundation Model</t>
        </is>
      </c>
      <c r="C230" t="inlineStr">
        <is>
          <t>Amazon.com</t>
        </is>
      </c>
      <c r="D230" t="inlineStr">
        <is>
          <t>indeed</t>
        </is>
      </c>
      <c r="E230">
        <f>HYPERLINK("https://www.indeed.com/viewjob?jk=59fcb1da9ac98daf", "https://www.indeed.com/viewjob?jk=59fcb1da9ac98daf")</f>
        <v/>
      </c>
      <c r="F230">
        <f>HYPERLINK("https://www.amazon.jobs/jobs/2998435/senior-applied-scientist-delivery-foundation-model-?cmpid=DA_INAD200785B", "https://www.amazon.jobs/jobs/2998435/senior-applied-scientist-delivery-foundation-model-?cmpid=DA_INAD200785B")</f>
        <v/>
      </c>
      <c r="G230" t="inlineStr">
        <is>
          <t>New York, NY, US</t>
        </is>
      </c>
      <c r="H230" s="2" t="n">
        <v>45806</v>
      </c>
      <c r="I2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in-c5ecbaa86234ac96</t>
        </is>
      </c>
      <c r="B231" t="inlineStr">
        <is>
          <t>Senior Applied Scientist, Delivery Foundation Model</t>
        </is>
      </c>
      <c r="C231" t="inlineStr">
        <is>
          <t>Amazon.com</t>
        </is>
      </c>
      <c r="D231" t="inlineStr">
        <is>
          <t>indeed</t>
        </is>
      </c>
      <c r="E231">
        <f>HYPERLINK("https://www.indeed.com/viewjob?jk=c5ecbaa86234ac96", "https://www.indeed.com/viewjob?jk=c5ecbaa86234ac96")</f>
        <v/>
      </c>
      <c r="F231">
        <f>HYPERLINK("https://www.amazon.jobs/jobs/2998435/senior-applied-scientist-delivery-foundation-model-?cmpid=DA_INAD200785B", "https://www.amazon.jobs/jobs/2998435/senior-applied-scientist-delivery-foundation-model-?cmpid=DA_INAD200785B")</f>
        <v/>
      </c>
      <c r="G231" t="inlineStr">
        <is>
          <t>Santa Clara, CA, US</t>
        </is>
      </c>
      <c r="H231" s="2" t="n">
        <v>45806</v>
      </c>
      <c r="I2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in-97dc19cc4ec81a0b</t>
        </is>
      </c>
      <c r="B232" t="inlineStr">
        <is>
          <t>Sr. Applied Scientist - Privacy, Privacy Engineering</t>
        </is>
      </c>
      <c r="C232" t="inlineStr">
        <is>
          <t>Amazon.com</t>
        </is>
      </c>
      <c r="D232" t="inlineStr">
        <is>
          <t>indeed</t>
        </is>
      </c>
      <c r="E232">
        <f>HYPERLINK("https://www.indeed.com/viewjob?jk=97dc19cc4ec81a0b", "https://www.indeed.com/viewjob?jk=97dc19cc4ec81a0b")</f>
        <v/>
      </c>
      <c r="F232">
        <f>HYPERLINK("https://www.amazon.jobs/jobs/2997657/sr-applied-scientist--privacy-privacy-engineering?cmpid=DA_INAD200785B", "https://www.amazon.jobs/jobs/2997657/sr-applied-scientist--privacy-privacy-engineering?cmpid=DA_INAD200785B")</f>
        <v/>
      </c>
      <c r="G232" t="inlineStr">
        <is>
          <t>San Francisco, CA, US</t>
        </is>
      </c>
      <c r="H232" s="2" t="n">
        <v>45787</v>
      </c>
      <c r="I23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in-ac57c83a0b56531f</t>
        </is>
      </c>
      <c r="B233" t="inlineStr">
        <is>
          <t>Sr. Applied Scientist - Privacy, Privacy Engineering</t>
        </is>
      </c>
      <c r="C233" t="inlineStr">
        <is>
          <t>Amazon.com</t>
        </is>
      </c>
      <c r="D233" t="inlineStr">
        <is>
          <t>indeed</t>
        </is>
      </c>
      <c r="E233">
        <f>HYPERLINK("https://www.indeed.com/viewjob?jk=ac57c83a0b56531f", "https://www.indeed.com/viewjob?jk=ac57c83a0b56531f")</f>
        <v/>
      </c>
      <c r="F233">
        <f>HYPERLINK("https://www.amazon.jobs/jobs/2997657/sr-applied-scientist--privacy-privacy-engineering?cmpid=DA_INAD200785B", "https://www.amazon.jobs/jobs/2997657/sr-applied-scientist--privacy-privacy-engineering?cmpid=DA_INAD200785B")</f>
        <v/>
      </c>
      <c r="G233" t="inlineStr">
        <is>
          <t>Santa Clara, CA, US</t>
        </is>
      </c>
      <c r="H233" s="2" t="n">
        <v>45787</v>
      </c>
      <c r="I23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in-76f5207a0bc17aa8</t>
        </is>
      </c>
      <c r="B234" t="inlineStr">
        <is>
          <t>Sr. Applied Scientist - Privacy, Privacy Engineering</t>
        </is>
      </c>
      <c r="C234" t="inlineStr">
        <is>
          <t>Amazon.com</t>
        </is>
      </c>
      <c r="D234" t="inlineStr">
        <is>
          <t>indeed</t>
        </is>
      </c>
      <c r="E234">
        <f>HYPERLINK("https://www.indeed.com/viewjob?jk=76f5207a0bc17aa8", "https://www.indeed.com/viewjob?jk=76f5207a0bc17aa8")</f>
        <v/>
      </c>
      <c r="F234">
        <f>HYPERLINK("https://www.amazon.jobs/jobs/2997657/sr-applied-scientist--privacy-privacy-engineering?cmpid=DA_INAD200785B", "https://www.amazon.jobs/jobs/2997657/sr-applied-scientist--privacy-privacy-engineering?cmpid=DA_INAD200785B")</f>
        <v/>
      </c>
      <c r="G234" t="inlineStr">
        <is>
          <t>Seattle, WA, US</t>
        </is>
      </c>
      <c r="H234" s="2" t="n">
        <v>45787</v>
      </c>
      <c r="I23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in-8e62db4ba8dc8d21</t>
        </is>
      </c>
      <c r="B235" t="inlineStr">
        <is>
          <t>Sr. Applied Scientist - Privacy, Privacy Engineering</t>
        </is>
      </c>
      <c r="C235" t="inlineStr">
        <is>
          <t>Amazon.com</t>
        </is>
      </c>
      <c r="D235" t="inlineStr">
        <is>
          <t>indeed</t>
        </is>
      </c>
      <c r="E235">
        <f>HYPERLINK("https://www.indeed.com/viewjob?jk=8e62db4ba8dc8d21", "https://www.indeed.com/viewjob?jk=8e62db4ba8dc8d21")</f>
        <v/>
      </c>
      <c r="F235">
        <f>HYPERLINK("https://www.amazon.jobs/jobs/2997657/sr-applied-scientist--privacy-privacy-engineering?cmpid=DA_INAD200785B", "https://www.amazon.jobs/jobs/2997657/sr-applied-scientist--privacy-privacy-engineering?cmpid=DA_INAD200785B")</f>
        <v/>
      </c>
      <c r="G235" t="inlineStr">
        <is>
          <t>Sunnyvale, CA, US</t>
        </is>
      </c>
      <c r="H235" s="2" t="n">
        <v>45787</v>
      </c>
      <c r="I23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in-032bd5cd5ebbe215</t>
        </is>
      </c>
      <c r="B236" t="inlineStr">
        <is>
          <t>AI/ML engineer</t>
        </is>
      </c>
      <c r="C236" t="inlineStr">
        <is>
          <t>ORCA - Lean Digital Solutions</t>
        </is>
      </c>
      <c r="D236" t="inlineStr">
        <is>
          <t>indeed</t>
        </is>
      </c>
      <c r="E236">
        <f>HYPERLINK("https://www.indeed.com/viewjob?jk=032bd5cd5ebbe215", "https://www.indeed.com/viewjob?jk=032bd5cd5ebbe215")</f>
        <v/>
      </c>
      <c r="F236">
        <f>HYPERLINK("http://www.indeed.com/job/aiml-engineer-032bd5cd5ebbe215", "http://www.indeed.com/job/aiml-engineer-032bd5cd5ebbe215")</f>
        <v/>
      </c>
      <c r="G236" t="inlineStr">
        <is>
          <t>Remote, US</t>
        </is>
      </c>
      <c r="H236" s="2" t="n">
        <v>46072</v>
      </c>
      <c r="I236" t="inlineStr">
        <is>
          <t>Job description:
**Position:** AI/ML Engineer  
**Type:** Full\-Time  
**Location:** Remote or On\-Site  
**Experience:** 3–5 Years
**Job Summary**  
We are seeking a Full\-Time AI/ML Engineer to build proprietary AI solutions for the manufacturing sector. You will design, train, and deploy custom machine learning models that improve manufacturing workflows, optimize processes, and enhance quality control. This role focuses on production\-grade AI development with minimal reliance on third\-party APIs.
**Responsibilities**
* Develop and fine\-tune ML models for process optimization, predictive error detection, and quality control
* Build scalable AI systems using Python
* Use pandas for data processing and feature engineering
* Deploy models using TensorFlow or PyTorch
* Integrate AI features into existing software systems
* Test, validate, and continuously improve model performance
**Requirements**
* 3–5 years of experience in AI/ML development
* Strong Python skills with hands\-on experience in pandas
* Experience with TensorFlow or PyTorch
* Experience deploying ML models in production
* Manufacturing experience is a plus
**What We Offer**
* Full\-time role in a high\-growth AI environment
* Opportunity to build proprietary AI solutions
* Competitive compensation based on experience
Job Type: Full\-time
Benefits:
* Paid time off
Education:
* Bachelor's (Required)
Experience:
* Python: 5 years (Required)
* TensorFlow: 3 years (Required)
* PyTorch: 3 years (Required)
* Machine learning: 3 years (Required)
* AI: 3 years (Required)
Job Type: Full\-time
Pay: $500,000\.00 \- $1,000,000\.00 per year
Work Location: Remote</t>
        </is>
      </c>
    </row>
    <row r="237">
      <c r="A237" t="inlineStr">
        <is>
          <t>in-77f2a5cf6fd06edf</t>
        </is>
      </c>
      <c r="B237" t="inlineStr">
        <is>
          <t>Senior AI/ML Engineer</t>
        </is>
      </c>
      <c r="C237" t="inlineStr">
        <is>
          <t>Node.Digital</t>
        </is>
      </c>
      <c r="D237" t="inlineStr">
        <is>
          <t>indeed</t>
        </is>
      </c>
      <c r="E237">
        <f>HYPERLINK("https://www.indeed.com/viewjob?jk=77f2a5cf6fd06edf", "https://www.indeed.com/viewjob?jk=77f2a5cf6fd06edf")</f>
        <v/>
      </c>
      <c r="F237">
        <f>HYPERLINK("http://www.indeed.com/job/senior-aiml-engineer-77f2a5cf6fd06edf", "http://www.indeed.com/job/senior-aiml-engineer-77f2a5cf6fd06edf")</f>
        <v/>
      </c>
      <c r="G237" t="inlineStr">
        <is>
          <t>Herndon, VA, US</t>
        </is>
      </c>
      <c r="H237" s="2" t="n">
        <v>46072</v>
      </c>
      <c r="I237" t="inlineStr">
        <is>
          <t>**Senior AI/ML Engineer**
**Location: Herndon, VA (Hybrid Work)**
**Required: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**Required Skills:**
* Overall experience of 6\-10 Years working on Application/framework development
* Min 5\+ years of exp in AI/ML\-based app/solution development with strong focus on generative AI applications
* Hands\-on experience with AWS services including Amazon Bedrock, S3, SageMaker, CDK,Lambda, and other AI/ML services
* Experience with generative AI models and frameworks (LLMs, RAG architectures, prompt engineering, model fne\-tuning)
* Hands\-on exp with OCR, ICR and OMR technologies is a must
* Good programming knowledge in Python and relevant ML/AI frameworks (TensorFlow, PyTorch, LangChain)
* Good understanding of Document Processing, classifcation, data extraction is a must Knowledge in Natural Language Processing (NLP), Deep Learning, and Generative AI is a must
* Hands\-on Web application/APIs Development experience is a must Profciency in asynchronous/multi\-threaded programming
* Strong knowledge of algorithms, data structures, complexity, optimization, caching and security
* Experience with JSON, SOAP, Rest, XML, XHTML, XSD and XSLT
* Strong knowledge of object\-oriented concepts and Database concepts Experience with databases like SQL Server, PostgreSQL
* Experience with NoSQL databases and vector databases (for RAG implementations) is a plus Knowledge of AWS cloud architecture patterns and serverless computing
* Experience with CI/CD pipelines and DevSecOps practices Knowledge of Agile methodologies is desirable
* Experience working with a toolchain that includes TFS, SVN, Git
* Involved in different phases of SDLC and have good working exposure on different SDLCs like Agile Methodologies
**Responsibility:**  
Your responsibility spans the design, maintenance, and optimization of intelligent automation solutions including AI Center troubleshooting and resolution of issues that might arise post\-implementation. You will focus on building generative AI applications with embedded artifcial intelligence or machine learning in support of continuous improvement, learning and augmented decision\-making.
**Key responsibilities include:**
* **Designing and implementing generative AI solutions using Amazon Bedrock, foundation models, and RAG architectures**
* **Building repeatable intelligent solutions/bots for document processing and data cleansing**
* **Developing and deploying scalable ML/AI models on AWS infrastructure**
* **Creating API endpoints and integrations for AI/ML services**
* **Implementing model evaluation, monitoring, and continuous improvement processes Collaborating with cross\-functional teams to embed AI capabilities across business functions**
**Nice to Have:**
* Experience with front\-end frameworks (React, Angular, Vue.js)
* Knowledge of chatbot development and conversational AI Experience with AWS Bedrock Agents and Guardrails
* Familiarity with model distillation and prompt optimization techniques Understanding of responsible AI practices and AI security
**Recommended Certifcations:**
* AWS Certifed Machine Learning – Specialty
* AWS Certifed Solutions Architect
* General AI/ML Certifcations (TensorFlow Developer, Azure AI Engineer)
* UiPath AI Center Experience (nice to have)
**Education/Year of Exp:**  
Bachelor's degree and a minimum of 5 years of experience in automation engineering roles with a focus on AI/ML integrations and generative AI application development.
**Cultural Fit:**
* Effective communication skills for technical discussions
* Comfortable with Agile methodologies
* Ability to work remotely
* Alignment with customer's mission and values
* Adaptability to varying organizational structures
* Data Analysis and Data Architecture Skills
* Strong problem\-solving abilities for complex AI/ML challenges
Job Type: Full\-time
Pay: $122,670\.66 \- $147,732\.41 per year
Work Location: Hybrid remote in Herndon, VA 20171</t>
        </is>
      </c>
    </row>
    <row r="238">
      <c r="A238" t="inlineStr">
        <is>
          <t>in-dd4809ac209228e3</t>
        </is>
      </c>
      <c r="B238" t="inlineStr">
        <is>
          <t>Role: Senior AI Engineer:::Location: Naperville- IL (onsite)Local In person interview:::Job Type: Co</t>
        </is>
      </c>
      <c r="C238" t="inlineStr">
        <is>
          <t>Cloud Tekis LLC</t>
        </is>
      </c>
      <c r="D238" t="inlineStr">
        <is>
          <t>indeed</t>
        </is>
      </c>
      <c r="E238">
        <f>HYPERLINK("https://www.indeed.com/viewjob?jk=dd4809ac209228e3", "https://www.indeed.com/viewjob?jk=dd4809ac209228e3")</f>
        <v/>
      </c>
      <c r="F238">
        <f>HYPERLINK("http://www.indeed.com/job/role-senior-ai-engineerlocation-naperville-il-onsitelocal-person-interviewjob-type-co-dd4809ac209228e3", "http://www.indeed.com/job/role-senior-ai-engineerlocation-naperville-il-onsitelocal-person-interviewjob-type-co-dd4809ac209228e3")</f>
        <v/>
      </c>
      <c r="G238" t="inlineStr">
        <is>
          <t>Naperville, IL, US</t>
        </is>
      </c>
      <c r="H238" s="2" t="n">
        <v>46072</v>
      </c>
      <c r="I238" t="inlineStr">
        <is>
          <t>**Role: Senior AI Engineer**
**Location:** Naperville\- IL (onsite) Local In person interview
**Job Type: Contract**
**NOTE:\-Need Local Candidates**
**NOTE:\-Only Independent Visa Accepted**
NOTE:\-• AI certification required (AWS ML SClientialty or equivalent recognized AI/ML certification) and strong depth across AWS services.
We want someone who implemented a multimodal RAG system (at least worked with one type of RAG ). A real hands\-on engineer. Also, should be able to code in python. We are also evaluating in terms of clarity in thought process.
\*Good to have exposure on AWS and Azure but AWS at minimum.\*
\*Must\-Have Qualifications (All Required)\*
* Strong Python engineering background with production experience in cloud\-native services.
* Extensive hands\-on experience with AWS services: Amazon Bedrock (FMs \+ embeddings) and Bedrock Guardrails, AWS Lambda, CloudWatch, DynamoDB (schema and access patterns), S3 (bucket architecture, automation, event\-driven ingestion), Amazon Kendra (enterprise search / hybrid retrieval patterns), AWS Agent Core / Bedrock Agents (agent orchestration and tool use)
Proven expertise in:
* LLMs (prompting patterns, context management, hallucination mitigation)
* RAG (chunking, metadata, hybrid retrieval, reranking, citations)
* Data engineering on AWS (pipelines, quality checks, lineage, versioning)
* Database schema awareness and designing data access patterns for scalable retrieval
Production delivery skills:
* API Gateway, Step Functions, EventBridge, SQS/SNS
* OpenSearch / vector database patterns (as applicable)
* IAM least privilege, KMS, Secrets Manager/SSM, CloudTrail
* CI/CD and IaC (Terraform/CloudFormation/CDK)
* Reliability patterns (rate limiting, caching, retries, circuit breakers, DR awareness)
* AI certification required (AWS ML SClientialty or equivalent recognized AI/ML certification) and strong depth across AWS services.
Job Type: Part\-time
Pay: $50\.00 \- $65\.00 per hour
Work Location: In person</t>
        </is>
      </c>
    </row>
    <row r="239">
      <c r="A239" t="inlineStr">
        <is>
          <t>in-d63704aa2495b1ef</t>
        </is>
      </c>
      <c r="B239" t="inlineStr">
        <is>
          <t>AI Engineer</t>
        </is>
      </c>
      <c r="C239" t="inlineStr">
        <is>
          <t>Denodo</t>
        </is>
      </c>
      <c r="D239" t="inlineStr">
        <is>
          <t>indeed</t>
        </is>
      </c>
      <c r="E239">
        <f>HYPERLINK("https://www.indeed.com/viewjob?jk=d63704aa2495b1ef", "https://www.indeed.com/viewjob?jk=d63704aa2495b1ef")</f>
        <v/>
      </c>
      <c r="F239">
        <f>HYPERLINK("https://jobs.denodo.com/job/Palo-Alto-AI-Engineer-CA-94301/1342652255/", "https://jobs.denodo.com/job/Palo-Alto-AI-Engineer-CA-94301/1342652255/")</f>
        <v/>
      </c>
      <c r="G239" t="inlineStr">
        <is>
          <t>Palo Alto, CA, US</t>
        </is>
      </c>
      <c r="H239" s="2" t="n">
        <v>46071</v>
      </c>
      <c r="I239" t="inlineStr">
        <is>
          <t>**Job Category:** Product \&amp; Solutions
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Denodo Technologies, Inc. is seeking an AI Engineer in Palo Alto, CA (Telecommuting permissible from anywhere in U.S.). Responsible for developing innovative solutions using Large Language Models (LLMs) in conjunction with the data virtualization platform commercialized by the company (Denodo Platform).
Salary Range: $130,000\-$160,000/yr.**Job Responsibilities \&amp; Duties**
* Responsible for developing innovative solutions using Large Language Models (LLMs) in conjunction with the data virtualization platform commercialized by the company (Denodo Platform).
* Design and manage vector databases and embeddings to support semantic searches.
* Work on a solution using the Retrieval Augmented Generation (RAG) pattern to enable a Large Language Model (LLM) to retrieve and utilize data available through the data virtualization platform developed by the company (Denodo Platform).
	+ Ensure the solution can be integrated and deployed in conversational interfaces like chatbots and integrated with other data sources and platforms.
	+ Develop a chatbot prototype to illustrate its use.
* Design techniques, leveraging the power of LLMs, to improve the overall user experience and functionality of the Denodo Platform by automating complex tasks and improving query precision.
* Explore and implement additional use cases for LLMs within the data virtualization product, such as automatically correcting misspelled or poorly structured queries, categorizing views, or enhancing query optimization.
* Design, execute, and interpret experiments to evaluate different models and configurations.
* Ensure proper experimental setup, including data preparation and metric selection.
* Analyze and interpret results to drive decisions, ensuring the solutions meet precision and performance criteria and are suitable for real\-world integration.
* Optimize the solutions for scalability, security, and performance in enterprise environments.
* Collaborate with several company teams to ensure successful implementation across different environments and customers.
**Desired Skills \&amp; Experience**
* Master’s degree in information systems, computer science or a related field (or foreign equivalent)
* 2 years experience in a similar role within the data management or analytics software industry. 2 years inclusive experience designing, executing and interpreting experiments correctly. 2 years inclusive experience with web development skills, including experience with libraries such as React. 2 years inclusive experience in programming languages like Python and with AI/ML models. 2 years inclusive experience working with Large Language Models (LLM) and Retrieval Augmented Generation (RAG).
* **Special Requirements**: Demonstrated experience with vector databases and embeddings. Demonstrated experience integrating AI solutions into data virtualization products. Demonstrated experience with developing conversational AI solutions, including chatbots and integration with other platforms. Demonstrated experience with cloud platforms for deploying and scaling AI solutions.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  
**Nearest Major Market:** San Jose
**Nearest Secondary Market:** Palo Alto</t>
        </is>
      </c>
    </row>
    <row r="240">
      <c r="A240" t="inlineStr">
        <is>
          <t>in-bd6d67febc940dd6</t>
        </is>
      </c>
      <c r="B240" t="inlineStr">
        <is>
          <t>AI/ML Engineer - 6161180</t>
        </is>
      </c>
      <c r="C240" t="inlineStr">
        <is>
          <t>Accenture</t>
        </is>
      </c>
      <c r="D240" t="inlineStr">
        <is>
          <t>indeed</t>
        </is>
      </c>
      <c r="E240">
        <f>HYPERLINK("https://www.indeed.com/viewjob?jk=bd6d67febc940dd6", "https://www.indeed.com/viewjob?jk=bd6d67febc940dd6")</f>
        <v/>
      </c>
      <c r="F240">
        <f>HYPERLINK("https://accenture.com/us-en/careers/jobdetails?id=14105872_en", "https://accenture.com/us-en/careers/jobdetails?id=14105872_en")</f>
        <v/>
      </c>
      <c r="G240" t="inlineStr">
        <is>
          <t>Irving, TX, US</t>
        </is>
      </c>
      <c r="H240" s="2" t="n">
        <v>46071</v>
      </c>
      <c r="I24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an AI/ML Engineer, you will be responsible for developing applications and systems that utilize AI tools and Cloud AI services, ensuring they meet production\-ready quality standards.
* You will apply Generative AI models as part of the solution, which may include deep learning, neural networks, chatbots, and image processing.
* You are expected to be a subject matter expert, collaborate and manage the team to perform effectively, and be responsible for team decisions.
* Engaging with multiple teams, you will contribute to key decisions and provide solutions to problems for your immediate team and across various teams.
* Design and implement innovative AI solutions that address complex business challenges.
* Continuously evaluate and improve existing AI models and systems for enhanced performance.
* Collaborate with cross\-functional teams to integrate AI capabilities into various applications.
* Mentor junior team members and share knowledge on best practices in AI development.
* Stay updated on the latest trends and advancements in AI technology to drive innovation.
* Advanced proficiency in AI Agents is required.
* Advanced proficiency in Large Language Model (LLM) Fine\-Tuning is recommended.
**\*\*\*Role required onsite client work 60% (3 days per week) in Charlotte, NC or Dallas/Plano, TX**
Basic Qualifications:
* 7\+ years of total IT experience
* 2\-3 years of relevant skill experience in developing AI Agents and LLE modules
* Strong proficiency in Python and associated libraries (e.g., pandas, scikit\-learn)
* Experience working with large datasets, data modeling, and SQL
* Bachelor’s or master’s degree in computer science, Data Science, Artificial Intelligence, or a related field
Preferred Qualifications:
* Experience in Natural Language Processing (NLP) or Computer Vision
* Knowledge of big data technologies (Spark, Hadoop)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02/16/2026 and open for at least 3 days.*
*Accenture Flex offers a market competitive suite of benefits including medical, dental, vision, and long\-term disability coverage, a 401(k) plan, and paid time off. See more information on our benefits here:*
*Accenture Flex Jobs*
Role Location
*California – $47\.00 \- $57\.00/hour*
*Cleveland – $47\.00 \- $57\.00/hour*
*Colorado – $47\.00 \- $57\.00/hour*
*District of Columbia – $47\.00 \- $57\.00/hour*
*Illinois \- $47\.00 \- $57\.00/hour*
*Maryland – $47\.00 \- $57\.00/hour*
*Massachusetts – $47\.00 \- $57\.00/hour*
*Minnesota \- $47\.00 \- $57\.00/hour*
*New Jersey/New York – $47\.00 \- $57\.00/hour*
*Washington – $47\.00 \- $57\.00/hour*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41">
      <c r="A241" t="inlineStr">
        <is>
          <t>in-e7a901d5952adf86</t>
        </is>
      </c>
      <c r="B241" t="inlineStr">
        <is>
          <t>AI/ML Engineer - 6161180</t>
        </is>
      </c>
      <c r="C241" t="inlineStr">
        <is>
          <t>Accenture</t>
        </is>
      </c>
      <c r="D241" t="inlineStr">
        <is>
          <t>indeed</t>
        </is>
      </c>
      <c r="E241">
        <f>HYPERLINK("https://www.indeed.com/viewjob?jk=e7a901d5952adf86", "https://www.indeed.com/viewjob?jk=e7a901d5952adf86")</f>
        <v/>
      </c>
      <c r="F241">
        <f>HYPERLINK("https://accenture.com/us-en/careers/jobdetails?id=14105872_en", "https://accenture.com/us-en/careers/jobdetails?id=14105872_en")</f>
        <v/>
      </c>
      <c r="G241" t="inlineStr">
        <is>
          <t>Charlotte, NC, US</t>
        </is>
      </c>
      <c r="H241" s="2" t="n">
        <v>46071</v>
      </c>
      <c r="I24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an AI/ML Engineer, you will be responsible for developing applications and systems that utilize AI tools and Cloud AI services, ensuring they meet production\-ready quality standards.
* You will apply Generative AI models as part of the solution, which may include deep learning, neural networks, chatbots, and image processing.
* You are expected to be a subject matter expert, collaborate and manage the team to perform effectively, and be responsible for team decisions.
* Engaging with multiple teams, you will contribute to key decisions and provide solutions to problems for your immediate team and across various teams.
* Design and implement innovative AI solutions that address complex business challenges.
* Continuously evaluate and improve existing AI models and systems for enhanced performance.
* Collaborate with cross\-functional teams to integrate AI capabilities into various applications.
* Mentor junior team members and share knowledge on best practices in AI development.
* Stay updated on the latest trends and advancements in AI technology to drive innovation.
* Advanced proficiency in AI Agents is required.
* Advanced proficiency in Large Language Model (LLM) Fine\-Tuning is recommended.
**\*\*\*Role required onsite client work 60% (3 days per week) in Charlotte, NC or Dallas/Plano, TX**
Basic Qualifications:
* 7\+ years of total IT experience
* 2\-3 years of relevant skill experience in developing AI Agents and LLE modules
* Strong proficiency in Python and associated libraries (e.g., pandas, scikit\-learn)
* Experience working with large datasets, data modeling, and SQL
* Bachelor’s or master’s degree in computer science, Data Science, Artificial Intelligence, or a related field
Preferred Qualifications:
* Experience in Natural Language Processing (NLP) or Computer Vision
* Knowledge of big data technologies (Spark, Hadoop)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on 02/16/2026 and open for at least 3 days.*
*Accenture Flex offers a market competitive suite of benefits including medical, dental, vision, and long\-term disability coverage, a 401(k) plan, and paid time off. See more information on our benefits here:*
*Accenture Flex Jobs*
Role Location
*California – $47\.00 \- $57\.00/hour*
*Cleveland – $47\.00 \- $57\.00/hour*
*Colorado – $47\.00 \- $57\.00/hour*
*District of Columbia – $47\.00 \- $57\.00/hour*
*Illinois \- $47\.00 \- $57\.00/hour*
*Maryland – $47\.00 \- $57\.00/hour*
*Massachusetts – $47\.00 \- $57\.00/hour*
*Minnesota \- $47\.00 \- $57\.00/hour*
*New Jersey/New York – $47\.00 \- $57\.00/hour*
*Washington – $47\.00 \- $57\.00/hour*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42">
      <c r="A242" t="inlineStr">
        <is>
          <t>in-f44d4e2401207f1b</t>
        </is>
      </c>
      <c r="B242" t="inlineStr">
        <is>
          <t>Principal Data/AI Engineer</t>
        </is>
      </c>
      <c r="C242" t="inlineStr">
        <is>
          <t>FujiFilm</t>
        </is>
      </c>
      <c r="D242" t="inlineStr">
        <is>
          <t>indeed</t>
        </is>
      </c>
      <c r="E242">
        <f>HYPERLINK("https://www.indeed.com/viewjob?jk=f44d4e2401207f1b", "https://www.indeed.com/viewjob?jk=f44d4e2401207f1b")</f>
        <v/>
      </c>
      <c r="F242">
        <f>HYPERLINK("https://uscareers-fujifilm.icims.com/jobs/36914/job?utm_source=indeed_integration&amp;iis=Job%20Board&amp;iisn=Indeed&amp;indeed-apply-token=73a2d2b2a8d6d5c0a62696875eaebd669103652d3f0c2cd5445d3e66b1592b0f", "https://uscareers-fujifilm.icims.com/jobs/36914/job?utm_source=indeed_integration&amp;iis=Job%20Board&amp;iisn=Indeed&amp;indeed-apply-token=73a2d2b2a8d6d5c0a62696875eaebd669103652d3f0c2cd5445d3e66b1592b0f")</f>
        <v/>
      </c>
      <c r="G242" t="inlineStr">
        <is>
          <t>Remote, US</t>
        </is>
      </c>
      <c r="H242" s="2" t="n">
        <v>46071</v>
      </c>
      <c r="I242" t="inlineStr">
        <is>
          <t>Position Overview:
The Principal Data/AI Engineer helps drive the technical strategy and architecture of enterprise\-scale data and AI platforms that power mission\-critical data products, analytics, and AI\-driven solutions. In this role, you will operate as a technical expert in planning, designing, developing, and debugging new and existing data pipelines. You will advocate for data and AI engineering best practices, including idempotent modular pipeline design, version control, automated testing, CI/CD, IaaS, data quality checks and observability. You will help mentor junior engineers through design guidance, code reviews, pairing, and enabling Agile frameworks to promote iterative delivery and continuous improvement.  
Company Overview:
The work we do at FUJIFILM Biotechnologies has never been more important—and we are looking for talented candidates to join us. We are growing our locations, our capabilities, and our teams, and looking for passionate, mission\-driven people like you who want to make a real difference in people’s lives.
Join FUJIFILM Biotechnologies and help make the next vaccine, cure, or gene therapy in partnership with some of the most innovative biopharma companies across the globe. We are proud to cultivate a culture that will fuel your passion, energy, and drive \- what we call Genki.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You will work closely with cross\-functional team of business and IT peers and expected to lead by example \- balancing delivery speed of new features with long\-term platform health and technical excellence.  
What you'll do:* Architect, build, and maintain highly scalable batch and streaming pipelines on the Snowflake Data Platform (Snowpipe, Tasks, Streams, Dynamic Tables, Snowpark, Iceberg).
* Architect and deliver ML/GenAI solutions using managed cloud services (AWS, Azure, Snowflake Cortex).
* Implement modern data modeling and architecture patterns; establish and enforce standards for data quality (tests, expectations, SLAs/SLOs), observability (metrics, logs, traces), and lineage.
* Ensure integration of biotech systems (MES, LIMS, SCADA, ERP, QMS) into centralized data platform.
* Collaborate with product managers, product engineers, platform architects, and business stakeholders to align data and AI engineering solutions with business requirements.
* Enable modern AI use cases \- feature stores, vector search/RAG, model serving, safety/guardrails, and continuous monitoring for drift, bias, and performance.
* Optimize storage tiers, compute clusters/warehouses, caching, and workload orchestration for latency and throughput.
* Partner with cybersecurity and compliance teams to ensure adherence to GxP, FDA 21 CFR Part 11, and data privacy regulations.
* Lead design reviews, incident postmortems, and cross\-team architecture forums.
* Stay current with emerging technologies (data mesh, real\-time streaming, digital twins, generative AI platforms) and introduce relevant innovations.
* And other job duties that may be assigned from time to time.
What you'll need:* Bachelor’s degree in Computer Science, Data Engineering, AI/ML Engineering, or related field.
* 12\+ years of professional experience in data/software engineering, AI/ML engineering, or cloud platform engineering.
* Proven experience using Python and SQL
* Extensive experience building and maintaining data pipelines using modern frameworks (e.g. Airflow, dbt).
* Proven experience with data modelling for analytics and AI use cases.
* Strong experience with cloud platforms (AWS, Azure).
* Proven experience delivering production\-grade data solutions.
* Familiarity with biotech or life sciences systems and regulatory compliance frameworks (GxP, FDA, EMA).
Preferred Experience and Education:* Advanced degree (MS/PhD) preferred.
* Relevant industry certifications (e.g., Snowflake, AWS, Azure) preferred.
Knowledge, Skills and Abilities:* Design and implementation of scalable batch and streaming data pipelines.
* Strong proficiency in Python and SQL/dbt for data processing, automation, and analytics.
* Extensive experience in Airflow or similar orchestration tool.
* Expertise in designing and developing data solutions on Snowflake, including data modelling, performance optimization, and cost\-efficient usage.
* Experience with modern AI technologies, including LLMs, embeddings, and vector databases.
* Proven track of delivering cloud\-based solutions (AWS, Azure).
* Containerization and deployment of data and AI workloads using Docker.
* Orchestration and operation of containerized workloads using Kubernetes.
* Data quality management, observability, lineage, and governance.
* Knowledge of biotech IT/OT systems (MES, LIMS, SCADA), and compliance frameworks (GxP, FDA, data privacy).
* Strong problem\-solving, optimization, and troubleshooting skills for large\-scale data systems.
* Effective communication with both technical and non\-technical stakeholders, influencing at senior levels.
* Passion for emerging technologies, continuous improvement, and building innovative engineering cultures.
EEO Information: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If you require reasonable accommodation in completing this application, interviewing, completing any pre\-employment testing, or otherwise participating in the employee selection process, please direct your inquiries to our HR Department (fdbglobaltalent@fujifilm.com).</t>
        </is>
      </c>
    </row>
    <row r="243">
      <c r="A243" t="inlineStr">
        <is>
          <t>in-8b8e7ccafbd8422f</t>
        </is>
      </c>
      <c r="B243" t="inlineStr">
        <is>
          <t>Senior Computer Vision /Machine Learning Engineer II - Indianapolis</t>
        </is>
      </c>
      <c r="C243" t="inlineStr">
        <is>
          <t>Dandy</t>
        </is>
      </c>
      <c r="D243" t="inlineStr">
        <is>
          <t>indeed</t>
        </is>
      </c>
      <c r="E243">
        <f>HYPERLINK("https://www.indeed.com/viewjob?jk=8b8e7ccafbd8422f", "https://www.indeed.com/viewjob?jk=8b8e7ccafbd8422f")</f>
        <v/>
      </c>
      <c r="F243">
        <f>HYPERLINK("https://jobs.ashbyhq.com/dandy/a022158c-ec4e-4d1f-9380-363df49b72c1?utm_source=RQq82E3v32", "https://jobs.ashbyhq.com/dandy/a022158c-ec4e-4d1f-9380-363df49b72c1?utm_source=RQq82E3v32")</f>
        <v/>
      </c>
      <c r="G243" t="inlineStr">
        <is>
          <t>Indianapolis, IN, US</t>
        </is>
      </c>
      <c r="H243" s="2" t="n">
        <v>46071</v>
      </c>
      <c r="I243"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In the past 3 years, Dandy has built the leading digital\-first custom dental appliance manufacturer. As we go through our next level of scale, Dandy is building a world class Machine Learning \&amp; Computer Vision team to enhance our 3D dental platform and automate many of the human\-driven processes in our manufacturing today.
The global, remote team tackles problems involving 3D geometric computer vision, generative deep learning, and SOTA machine learning methods. As a part of this newly created team, you will play a key role in laying the foundation that will drive the team’s success. You will establish best practices, solve ambiguous data problems that have never been solved before with industry wide impact, and be given the freedom to innovate.
**What You'll Do**
* Build Computer Vision models to extract structure from unstructured, information\-dense 3D scans
* Research SOTA methods for developing models to accomplish 3D generative AI tasks as well as conventional computer vision tasks.
* Work with product and research teams to identify opportunities for improvement in our current product line and for enabling upcoming product lines
* Work with massive datasets to develop both generic models as well as fine tune models for specific applications
* Develop evaluation methods which allow us to establish confidence in our datasets and models
* Implement best practices for our MLOps pipelines
* Work closely with product owners on a feature focused team to deliver value quickly to Dandy’s customers
**What We're Looking For**
* 8\+ years experience post Master's degree, or 5\+ years of experience post PhD
* Extensive experience in Python
* Extensive experience in SOTA 2D deep learning and/or experience with 3D deep learning
* Experience with 3D geometric Computer Vision
* Experience with PyTorch
* Have immaculate attention to detail and take pride in delivering excellent code and results
* Masters or PhD in related field
* Candidates must be able to work onsite in Indianapolis, IN 3 days per week
**Req ID:** J\-684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Compensation Range: $216,750 \- $255,000</t>
        </is>
      </c>
    </row>
    <row r="244">
      <c r="A244" t="inlineStr">
        <is>
          <t>in-ec9e9938d73713a5</t>
        </is>
      </c>
      <c r="B244" t="inlineStr">
        <is>
          <t>Senior Computer Vision /Machine Learning Engineer II - Provo</t>
        </is>
      </c>
      <c r="C244" t="inlineStr">
        <is>
          <t>Dandy</t>
        </is>
      </c>
      <c r="D244" t="inlineStr">
        <is>
          <t>indeed</t>
        </is>
      </c>
      <c r="E244">
        <f>HYPERLINK("https://www.indeed.com/viewjob?jk=ec9e9938d73713a5", "https://www.indeed.com/viewjob?jk=ec9e9938d73713a5")</f>
        <v/>
      </c>
      <c r="F244">
        <f>HYPERLINK("https://jobs.ashbyhq.com/dandy/2a96d200-9839-46b0-8edc-45fcda43c198?utm_source=RQq82E3v32", "https://jobs.ashbyhq.com/dandy/2a96d200-9839-46b0-8edc-45fcda43c198?utm_source=RQq82E3v32")</f>
        <v/>
      </c>
      <c r="G244" t="inlineStr">
        <is>
          <t>Indianapolis, IN, US</t>
        </is>
      </c>
      <c r="H244" s="2" t="n">
        <v>46071</v>
      </c>
      <c r="I244"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In the past 3 years, Dandy has built the leading digital\-first custom dental appliance manufacturer. As we go through our next level of scale, Dandy is building a world class Machine Learning \&amp; Computer Vision team to enhance our 3D dental platform and automate many of the human\-driven processes in our manufacturing today.
The global, remote team tackles problems involving 3D geometric computer vision, generative deep learning, and SOTA machine learning methods. As a part of this newly created team, you will play a key role in laying the foundation that will drive the team’s success. You will establish best practices, solve ambiguous data problems that have never been solved before with industry wide impact, and be given the freedom to innovate.
**What You'll Do**
* Build Computer Vision models to extract structure from unstructured, information\-dense 3D scans
* Research SOTA methods for developing models to accomplish 3D generative AI tasks as well as conventional computer vision tasks.
* Work with product and research teams to identify opportunities for improvement in our current product line and for enabling upcoming product lines
* Work with massive datasets to develop both generic models as well as fine tune models for specific applications
* Develop evaluation methods which allow us to establish confidence in our datasets and models
* Implement best practices for our MLOps pipelines
* Work closely with product owners on a feature focused team to deliver value quickly to Dandy’s customers
**What We're Looking For**
* 8\+ years experience post Master's degree, or 5\+ years of experience post PhD
* Extensive experience in Python
* Extensive experience in SOTA 2D deep learning and/or experience with 3D deep learning
* Experience with 3D geometric Computer Vision
* Experience with PyTorch
* Have immaculate attention to detail and take pride in delivering excellent code and results
* Masters or PhD in related field
* Candidates must be able to work onsite in Provo, UT 3 days per week
**Req ID:** J\-684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Compensation Range: $216,750 \- $255,000</t>
        </is>
      </c>
    </row>
    <row r="245">
      <c r="A245" t="inlineStr">
        <is>
          <t>in-9a0bf5b005eaa7ab</t>
        </is>
      </c>
      <c r="B245" t="inlineStr">
        <is>
          <t>AI ML Engineer Remote Nationwide or Hybrid in MN/DC/NJ</t>
        </is>
      </c>
      <c r="C245" t="inlineStr">
        <is>
          <t>Optum</t>
        </is>
      </c>
      <c r="D245" t="inlineStr">
        <is>
          <t>indeed</t>
        </is>
      </c>
      <c r="E245">
        <f>HYPERLINK("https://www.indeed.com/viewjob?jk=9a0bf5b005eaa7ab", "https://www.indeed.com/viewjob?jk=9a0bf5b005eaa7ab")</f>
        <v/>
      </c>
      <c r="F245">
        <f>HYPERLINK("https://uhg.taleo.net/careersection/10000/jobdetail.ftl?job=2341638&amp;lang=en", "https://uhg.taleo.net/careersection/10000/jobdetail.ftl?job=2341638&amp;lang=en")</f>
        <v/>
      </c>
      <c r="G245" t="inlineStr">
        <is>
          <t>Basking Ridge, NJ, US</t>
        </is>
      </c>
      <c r="H245" s="2" t="n">
        <v>46071</v>
      </c>
      <c r="I245"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Provider Digital Technology team is focused on delivering a unified, intuitive digital entry point for UnitedHealthcare providers and partners to access tools, services, and information. We build consistent, secure, and scalable capabilities that simplify how providers discover, navigate, and engage with UHC's digital ecosystem. By working across UnitedHealthcare and the broader UnitedHealth Group organization, we reduce friction, enhance provider experience, and help advance UHC's mission to make the health system work better for everyone.  
Our team collaborates closely with engineering, platform, and business partners to integrate diverse applications and data sources into a seamless provider experience across Portal, API, EDI, Chat, and Voice channels. We are also advancing the responsible use of AI, including developing digital assistants and chatbots for both chat and voice interactions, always with a focus on safety, compliance, and improving provider workflows. Our work plays a critical role in scaling digital access, supporting the evolving needs of healthcare providers, and enabling faster, more efficient problem\-solving across the care delivery ecosystem.
You'll enjoy the flexibility to work remotely \* from anywhere within the U.S. as you take on some tough challenges. For all hires in the Minneapolis or Washington, D.C. area, you will be required to work in the office a minimum of four days per week.
 **Primary Responsibilities:**
* Drive responsible use of AI/ML adoption across the team, driving innovative use of both Generative AI and traditional ML techniques
* Design, develop, test, deploy, maintain, and continuously improve AI\-powered software solutions to meet customer and business needs
* Build responsible AI solutions and service components to support the Provider community, ensuring compliance with ethical and regulatory standards
* Develop new features leveraging AI/ML, including Generative AI models, predictive analytics, and automation capabilities
* Provide technical leadership for AI initiatives, including Chatbots and conversational AI solutions
* Partner with product management, architects, and engineering leadership to deliver creative, scalable AI solutions for healthcare challenges
* Accountable for high\-quality software deliverables and operational excellence
* Collaborate with broader engineering teams to integrate AI into cloud modernization efforts and digital\-first initiatives
* Exercise independent judgment to prioritize, plan, and manage AI\-related activities and projects
You'll be rewarded and recognized for your performance in an environment that will challenge you and give you clear direction on what it takes to succeed in your role as well as provide development for other roles you may be interested in.
 **Required Qualifications:**
* BS in Computer Science, Engineering, or related technical field (or equivalent experience)
* 4\+ years of software engineering experience
* 2\+ years of hands\-on experience building AI/ML solutions, including LLMs, Generative AI, and traditional ML models
* 2\+ years of experience with Web and API development
* 2\+ years of experience hosting applications in cloud environments (AWS preferred)
* Solid experience with Chatbots, Conversational AI, and NLP\-based solutions
* Solid experience with Agentic AI (MCP or similar agent orchestration frameworks) and Strands Agents
* Solid experience in Python or Java
* Solid knowledge of security, access controls, logging, monitoring, performance tuning, disaster recovery, and production operations
 **Preferred Qualifications:**
* Experience in the healthcare industry
* Full\-stack engineering experience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hourly pay for this role will range from $35\.00 to $62\.50 per hour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46">
      <c r="A246" t="inlineStr">
        <is>
          <t>in-b5dfebf7198bf6f0</t>
        </is>
      </c>
      <c r="B246" t="inlineStr">
        <is>
          <t>Principal Machine Learning Engineer</t>
        </is>
      </c>
      <c r="C246" t="inlineStr">
        <is>
          <t>Restaurant Brands International</t>
        </is>
      </c>
      <c r="D246" t="inlineStr">
        <is>
          <t>indeed</t>
        </is>
      </c>
      <c r="E246">
        <f>HYPERLINK("https://www.indeed.com/viewjob?jk=b5dfebf7198bf6f0", "https://www.indeed.com/viewjob?jk=b5dfebf7198bf6f0")</f>
        <v/>
      </c>
      <c r="F246">
        <f>HYPERLINK("https://rbi.wd3.myworkdayjobs.com/RBI_External_Career_Site/job/Corp---Miami-Corporate-Office/AI-ML-Data-Scientist_R2651", "https://rbi.wd3.myworkdayjobs.com/RBI_External_Career_Site/job/Corp---Miami-Corporate-Office/AI-ML-Data-Scientist_R2651")</f>
        <v/>
      </c>
      <c r="G246" t="inlineStr">
        <is>
          <t>Miami, FL, US</t>
        </is>
      </c>
      <c r="H246" s="2" t="n">
        <v>46071</v>
      </c>
      <c r="I246"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**Title: Machine Learning Engineer, QSR Forecasting \&amp; Labor Optimization**
**Location: Miami, FL (USA)**
**Reports to: Sr. Director, Data \&amp; Software Engineering**
**What You'll Do:**
* Design forecasts optimized for different decision horizons (same\-day labor adjustments, weekly schedules, long\-range planning)
* Design monitoring and governance processes to ensure forecast stability, fairness, and operational trust
* Own model lifecycle management including monitoring, alerting, retraining cadence, and rollback strategies
* Build and maintain store\-level and daypart\-level forecasting models for sales, transactions, and labor demand
* Apply time\-series analysis, regression, and ensemble machine learning techniques to short\- and long\-horizon forecasts
* Develop models that account for: Seasonality (daily, weekly, annual), promotions, limited\-time offers, and pricing changes, holidays, local events, weather, and store\-specific effects
* Leverage algorithms such as: XGBoost / LightGBM / CatBoost, Random Forest and Gradient Boosting
* Engineer features from POS, labor, calendar, and external datasets
* Evaluate model performance using appropriate QSR\-relevant metrics (e.g., MAPE at store/daypart level)
* Partner with operations, finance, and workforce management teams to translate forecasts into staffing recommendations
* Productionize models and support ongoing monitoring, retraining, and performance optimization
* Document modeling assumptions and results for both technical and operational stakeholders
**What You'll Need To Succeed:**
* 4\+ years of experience building forecasting or predictive models in production
* Bachelor’s or Master’s degree in Mathematics, Statistics, Computer Science, Engineering, Operations Research, or a related field
* Strong foundation in probability, statistics, linear algebra, and optimization
* Strong quantitative and analytical skills
* Hands\-on experience with: XGBoost, Random Forest, Gradient Boosting models, Python (NumPy, Pandas, scikit\-learn, stats models)
* Tools: Git, notebooks, experiment tracking, cloud ML platforms (preferred)
* Data: POS data, labor data, promotions, calendar and event features
* Experience modeling time\-series and panel data across many locations
* Ability to clearly communicate mathematical concepts to non\-technical business partners
* Ability to problem\-solve with an operations mindset, communicate clearly and influence operational decisions
* Ability to work with noisy, real\-world QSR data
* Experience in QSR, retail, hospitality, or multi\-unit operations
* Familiarity with: ARIMA/SARIMA, State\-space models, or Prophet Model interpretability tools (e.g., SHAP)
* Experience deploying ML models at scale (batch or real\-time)
* Exposure to workforce management, labor scheduling, or demand planning systems
RBI follows a 5 day, in\-office work schedule to support collaboration. Candidates should be comfortable working onsite 5 days per week out of our office in **Miami, FL.**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247">
      <c r="A247" t="inlineStr">
        <is>
          <t>in-6a087fa8cdde82f7</t>
        </is>
      </c>
      <c r="B247" t="inlineStr">
        <is>
          <t>ML Engineer, GO-AI Technology &amp; Development Team</t>
        </is>
      </c>
      <c r="C247" t="inlineStr">
        <is>
          <t>Amazon.com</t>
        </is>
      </c>
      <c r="D247" t="inlineStr">
        <is>
          <t>indeed</t>
        </is>
      </c>
      <c r="E247">
        <f>HYPERLINK("https://www.indeed.com/viewjob?jk=6a087fa8cdde82f7", "https://www.indeed.com/viewjob?jk=6a087fa8cdde82f7")</f>
        <v/>
      </c>
      <c r="F247">
        <f>HYPERLINK("https://www.amazon.jobs/jobs/3173298/ml-engineer-goai-technology--development-team?cmpid=DA_INAD200785B", "https://www.amazon.jobs/jobs/3173298/ml-engineer-goai-technology--development-team?cmpid=DA_INAD200785B")</f>
        <v/>
      </c>
      <c r="G247" t="inlineStr">
        <is>
          <t>Westborough, MA, US</t>
        </is>
      </c>
      <c r="H247" s="2" t="n">
        <v>45998</v>
      </c>
      <c r="I24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8">
      <c r="A248" t="inlineStr">
        <is>
          <t>in-194a52dcf839cc5d</t>
        </is>
      </c>
      <c r="B248" t="inlineStr">
        <is>
          <t>ML Engineer, GO-AI Technology &amp; Development Team</t>
        </is>
      </c>
      <c r="C248" t="inlineStr">
        <is>
          <t>Amazon.com</t>
        </is>
      </c>
      <c r="D248" t="inlineStr">
        <is>
          <t>indeed</t>
        </is>
      </c>
      <c r="E248">
        <f>HYPERLINK("https://www.indeed.com/viewjob?jk=194a52dcf839cc5d", "https://www.indeed.com/viewjob?jk=194a52dcf839cc5d")</f>
        <v/>
      </c>
      <c r="F248">
        <f>HYPERLINK("https://www.amazon.jobs/jobs/3173298/ml-engineer-goai-technology--development-team?cmpid=DA_INAD200785B", "https://www.amazon.jobs/jobs/3173298/ml-engineer-goai-technology--development-team?cmpid=DA_INAD200785B")</f>
        <v/>
      </c>
      <c r="G248" t="inlineStr">
        <is>
          <t>Boston, MA, US</t>
        </is>
      </c>
      <c r="H248" s="2" t="n">
        <v>45998</v>
      </c>
      <c r="I24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9">
      <c r="A249" t="inlineStr">
        <is>
          <t>in-b9f5a89def39f90a</t>
        </is>
      </c>
      <c r="B249" t="inlineStr">
        <is>
          <t>ML Engineer, GO-AI Technology &amp; Development Team</t>
        </is>
      </c>
      <c r="C249" t="inlineStr">
        <is>
          <t>Amazon.com</t>
        </is>
      </c>
      <c r="D249" t="inlineStr">
        <is>
          <t>indeed</t>
        </is>
      </c>
      <c r="E249">
        <f>HYPERLINK("https://www.indeed.com/viewjob?jk=b9f5a89def39f90a", "https://www.indeed.com/viewjob?jk=b9f5a89def39f90a")</f>
        <v/>
      </c>
      <c r="F249">
        <f>HYPERLINK("https://www.amazon.jobs/jobs/3173298/ml-engineer-goai-technology--development-team?cmpid=DA_INAD200785B", "https://www.amazon.jobs/jobs/3173298/ml-engineer-goai-technology--development-team?cmpid=DA_INAD200785B")</f>
        <v/>
      </c>
      <c r="G249" t="inlineStr">
        <is>
          <t>Seattle, WA, US</t>
        </is>
      </c>
      <c r="H249" s="2" t="n">
        <v>45998</v>
      </c>
      <c r="I24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50">
      <c r="A250" t="inlineStr">
        <is>
          <t>in-ee3d6a874696d287</t>
        </is>
      </c>
      <c r="B250" t="inlineStr">
        <is>
          <t>ML Engineer, GO-AI Technology &amp; Development Team</t>
        </is>
      </c>
      <c r="C250" t="inlineStr">
        <is>
          <t>Amazon.com</t>
        </is>
      </c>
      <c r="D250" t="inlineStr">
        <is>
          <t>indeed</t>
        </is>
      </c>
      <c r="E250">
        <f>HYPERLINK("https://www.indeed.com/viewjob?jk=ee3d6a874696d287", "https://www.indeed.com/viewjob?jk=ee3d6a874696d287")</f>
        <v/>
      </c>
      <c r="F250">
        <f>HYPERLINK("https://www.amazon.jobs/jobs/3173298/ml-engineer-goai-technology--development-team?cmpid=DA_INAD200785B", "https://www.amazon.jobs/jobs/3173298/ml-engineer-goai-technology--development-team?cmpid=DA_INAD200785B")</f>
        <v/>
      </c>
      <c r="G250" t="inlineStr">
        <is>
          <t>Reading, MA, US</t>
        </is>
      </c>
      <c r="H250" s="2" t="n">
        <v>45998</v>
      </c>
      <c r="I25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51">
      <c r="A251" t="inlineStr">
        <is>
          <t>in-aa40894a16c9f2a3</t>
        </is>
      </c>
      <c r="B251" t="inlineStr">
        <is>
          <t>AI Principal Machine Learning Engineer (10026)</t>
        </is>
      </c>
      <c r="C251" t="inlineStr">
        <is>
          <t>Extreme Networks</t>
        </is>
      </c>
      <c r="D251" t="inlineStr">
        <is>
          <t>indeed</t>
        </is>
      </c>
      <c r="E251">
        <f>HYPERLINK("https://www.indeed.com/viewjob?jk=aa40894a16c9f2a3", "https://www.indeed.com/viewjob?jk=aa40894a16c9f2a3")</f>
        <v/>
      </c>
      <c r="F251">
        <f>HYPERLINK("https://jobs.lever.co/extremenetworks/c442198e-6eaf-4112-b324-02c7312d277e?lever-source=Indeed", "https://jobs.lever.co/extremenetworks/c442198e-6eaf-4112-b324-02c7312d277e?lever-source=Indeed")</f>
        <v/>
      </c>
      <c r="G251" t="inlineStr">
        <is>
          <t>Seattle, WA, US</t>
        </is>
      </c>
      <c r="H251" s="2" t="n">
        <v>45986</v>
      </c>
      <c r="I251" t="inlineStr">
        <is>
          <t>**AI Principal Machine Learning Engineer – (Gen AI, Big Data):****Are you energized by the idea of innovating with Generative AI? Do you want to create global impact while tackling challenges at the forefront of Artificial Intelligence? Do you dream of building ground\-breaking products that define the future of AI\-driven network management? Then come, advance with us at Extreme.**
This is a greenfield opportunity to shape next\-gen networking experiences at the cutting edge of Generative AI, Machine Learning, Big Data, and Cloud Computing. You will help define every aspect of the user journey, product vision, and technical roadmap, and you will drive innovation from concept to delivery.
There has never been a better time to join Extreme. With multiple acquisitions expanding our portfolio and market strategy, we are experiencing unprecedented growth worldwide. Recognized as a Technology Leader in the Gartner Magic Quadrant and a multi\-year Best Employer award winner, Extreme is committed to a culture of diversity, inclusion, and equality, where every employee thrives because of their differences, not despite them.
Our AI Core group is pioneering platforms and solutions for Generative AI, including AI Agents, RAG, Knowledge Bases, Data Mining, Anomaly Detection, and LLM fine\-tuning. These innovations power flagship Extreme products while enabling entirely new offerings. Together, we are driving a fundamental shift in how businesses manage networks by building intelligent, high\-performance multi\-agent systems that perceive, learn, and act in real time.
At Extreme, innovation is not just encouraged, it is expected. Advance with us and help shape the future of network intelligence.
### **Job Responsibilities**
* Provide technical leadership and vision for large\-scale distributed systems, ML platforms, and next\-generation data infrastructure
* Lead the design, architecture, and delivery of end\-to\-end solutions across the full SDLC, spanning development, testing, deployment, and operations
* Drive innovation in Big Data, Generative AI, and Graph ML by translating emerging technologies into production\-ready solutions
* Architect scalable microservices and real\-time inferencing systems leveraging modern ML infrastructure such as AI Agents, MCP, ML Inference, and LLM Gateway
* Mentor and grow engineering teams, set technical direction, and foster a culture of engineering rigor, collaboration, and operational excellence
* Champion best practices for building resilient, secure, and high\-performance systems, optimized for scale and reliability
### **Requirements**
* Degree in Computer Science, Mathematics, or a related field
* 10\+ years of experience across the full software development lifecycle including design, coding, reviews, testing, deployment, and operations
* 5\+ years of experience with distributed Big Data and ML platforms such as Spark, Lakehouse, Debezium, Kafka, Flink, or Hudi
* Hands\-on experience building Generative AI solutions such as RAG, AI Agents, and LLM fine\-tuning in production
* Experience working with Graph ML and Graph technologies such as GNNs
* Strong track record of end\-to\-end solution ownership, from design through production scaling
* 5\+ years of experience deploying large\-scale solutions on cloud platforms such as AWS, Azure, or GCP
* Proven ability to solve highly complex, ambiguous, cross\-domain problems with measurable business impact
### **Preferred Qualifications**
* MS or PhD in Computer Science, Machine Learning, or a related discipline
* Experience with sensitive or streaming data pipelines, including real\-time compliance and governance controls
* Salary based on qualifications, experience and region up to USD 170000 plus benefits.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2">
      <c r="A252" t="inlineStr">
        <is>
          <t>in-51977f584cc5aae4</t>
        </is>
      </c>
      <c r="B252" t="inlineStr">
        <is>
          <t>Associate Software Engineer, AI Engineering</t>
        </is>
      </c>
      <c r="C252" t="inlineStr">
        <is>
          <t>TWG Global AI</t>
        </is>
      </c>
      <c r="D252" t="inlineStr">
        <is>
          <t>indeed</t>
        </is>
      </c>
      <c r="E252">
        <f>HYPERLINK("https://www.indeed.com/viewjob?jk=51977f584cc5aae4", "https://www.indeed.com/viewjob?jk=51977f584cc5aae4")</f>
        <v/>
      </c>
      <c r="F252">
        <f>HYPERLINK("https://apply.workable.com/j/A4D94B788C", "https://apply.workable.com/j/A4D94B788C")</f>
        <v/>
      </c>
      <c r="G252" t="inlineStr">
        <is>
          <t>New York, NY, US</t>
        </is>
      </c>
      <c r="H252" s="2" t="n">
        <v>46071</v>
      </c>
      <c r="I252" t="inlineStr">
        <is>
          <t>At TWG Group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We're looking for a **Associate Software Engineer, AI Engineering with** with deep experience across the stack, with a strong command of modern frontend frameworks (**React**) and professional experience writing backend code in **Java**. Ideal candidates will have a strong understanding of modern AI application patterns, including **agent\-based systems, tool calling, orchestration**, and stateful workflows using frameworks such as **LangGraph** or similar.
You'll collaborate closely with product and design, and take ownership of complex engineering challenges from concept through production.
**Key Responsibilities:**
* Design, build, and maintain AI agent–based systems that perform multi\-step tasks using defined goals, tools, and decision logic
* Design, build, and maintain full\-stack web applications, including supporting React\-based UIs, with thoughtful component architecture and performance optimization
* Both design, develop, and maintain backend services, RESTful APIs, and data models
* Architect scalable systems and contribute to high\-level design and planning
* Drive code quality, testing, and engineering best practices across the team
* Collaborate across functions to deliver end\-to\-end product features
**Requirements**
**Qualifications:**
* Demonstrated experience building real\-world AI applications, including agent workflows, orchestration logic, and modern LLM frameworks (e.g., LangGraph, LangChain, or equivalent).
* Strong proficiency in both React and Java, including state management and component architecture
* Solid understanding of database design, with experience in relational databases like PostgreSQL or MySQL
* Familiarity with distributed systems, microservices, and modern system design patterns
* Experience with cloud infrastructure (AWS, GCP, or Azure) and CI/CD pipelines
* Ability to write clean, well\-tested, maintainable code across the stack
* **Master's degree or higher in Computer Science, Engineering, or related field**
**Benefits**
**Position Location:**
This position is preferred to be located in Santa Monica, CA, or New York, NY. Relocation support can be provided to the right candidates.
**Compensation:**
The base pay for this position is $120,000\-130,000\. A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253">
      <c r="A253" t="inlineStr">
        <is>
          <t>in-053a28aac13fcec8</t>
        </is>
      </c>
      <c r="B253" t="inlineStr">
        <is>
          <t>Associate Software Engineer, AI Engineering</t>
        </is>
      </c>
      <c r="C253" t="inlineStr">
        <is>
          <t>TWG Global AI</t>
        </is>
      </c>
      <c r="D253" t="inlineStr">
        <is>
          <t>indeed</t>
        </is>
      </c>
      <c r="E253">
        <f>HYPERLINK("https://www.indeed.com/viewjob?jk=053a28aac13fcec8", "https://www.indeed.com/viewjob?jk=053a28aac13fcec8")</f>
        <v/>
      </c>
      <c r="F253">
        <f>HYPERLINK("https://apply.workable.com/j/415C098857", "https://apply.workable.com/j/415C098857")</f>
        <v/>
      </c>
      <c r="G253" t="inlineStr">
        <is>
          <t>Santa Monica, CA, US</t>
        </is>
      </c>
      <c r="H253" s="2" t="n">
        <v>46071</v>
      </c>
      <c r="I253" t="inlineStr">
        <is>
          <t>At TWG Group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We're looking for a **Associate Software Engineer, AI Engineering with** with deep experience across the stack, with a strong command of modern frontend frameworks (**React**) and professional experience writing backend code in **Java**. Ideal candidates will have a strong understanding of modern AI application patterns, including **agent\-based systems, tool calling, orchestration**, and stateful workflows using frameworks such as **LangGraph** or similar.
You'll collaborate closely with product and design, and take ownership of complex engineering challenges from concept through production.
**Key Responsibilities:**
* Design, build, and maintain AI agent–based systems that perform multi\-step tasks using defined goals, tools, and decision logic
* Design, build, and maintain full\-stack web applications, including supporting React\-based UIs, with thoughtful component architecture and performance optimization
* Both design, develop, and maintain backend services, RESTful APIs, and data models
* Architect scalable systems and contribute to high\-level design and planning
* Drive code quality, testing, and engineering best practices across the team
* Collaborate across functions to deliver end\-to\-end product features
**Requirements**
**Qualifications:**
* Demonstrated experience building real\-world AI applications, including agent workflows, orchestration logic, and modern LLM frameworks (e.g., LangGraph, LangChain, or equivalent).
* Strong proficiency in both React and Java, including state management and component architecture
* Solid understanding of database design, with experience in relational databases like PostgreSQL or MySQL
* Familiarity with distributed systems, microservices, and modern system design patterns
* Experience with cloud infrastructure (AWS, GCP, or Azure) and CI/CD pipelines
* Ability to write clean, well\-tested, maintainable code across the stack
* **Master's degree or higher in Computer Science, Engineering, or related field**
**Benefits**
**Position Location:**
This position is preferred to be located in Santa Monica, CA, or New York, NY. Relocation support can be provided to the right candidates.
**Compensation:**
The base pay for this position is $120,000\-130,000\. A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li-4374050309</t>
        </is>
      </c>
      <c r="B2" t="inlineStr">
        <is>
          <t>Robotics AI Engineer</t>
        </is>
      </c>
      <c r="C2" t="inlineStr">
        <is>
          <t>TSR Consulting</t>
        </is>
      </c>
      <c r="D2" t="inlineStr">
        <is>
          <t>linkedin</t>
        </is>
      </c>
      <c r="E2" t="inlineStr"/>
      <c r="F2" t="inlineStr"/>
      <c r="G2" t="inlineStr">
        <is>
          <t>San Francisco, CA</t>
        </is>
      </c>
      <c r="H2" t="inlineStr"/>
      <c r="I2" t="inlineStr">
        <is>
          <t>Our Artificial Intelligence and Data team is at the forefront of integrating cutting\-edge technology with physical systems. As a Senior Consultant in Physical AI, you will collaborate closely with clients and interdisciplinary teams at EY to develop innovative solutions that leverage the power of robotics, software, and open\-source technologies. This role offers a unique opportunity to engage in continuous learning and research, driving advancements in how businesses utilize AI across various industries. You will be instrumental in shaping the future of Physical AI, with the chance to influence new methodologies and technologies that address complex challenges.
**Key Responsibilities** 
 In this role, you will be responsible for delivering state\-of\-the\-art Physical AI solutions. Your key responsibilities will include:
 • Developing and implementing scalable demos that highlight the integration of software and hardware in Physical AI applications.
 • Conduct analytics and monitor market trends to inform solution development, identify emerging opportunities, and position the teams capabilities strategically within the evolving Physical AI landscape.
 • Utilizing strong knowledge of the NVIDIA ecosystem to design and execute solutions that meet stakeholder needs.
 • Leading development in robotics, focusing on kinetics, perception, and decision making to enhance operational efficiency and safety.
 • Collaborating with a variety of stakeholders to understand requirements and provide technical leadership throughout the project lifecycle.
**Skills and Attributes for Success** 
 To thrive in this role, you will need a combination of technical expertise and strong interpersonal skills. Key attributes include:
 • A passion for innovation and a proactive approach to problem\-solving.
 • Excellent communication skills to effectively convey complex concepts to diverse audiences.
 • Strong analytical skills to guide project direction and decision\-making.
 • Ability to build and maintain relationships with clients and team members, fostering a collaborative environment.
 • A commitment to delivering high\-quality client services and continuous improvement.
 To Qualify for the Role, You Must Have
 • A Bachelors degree in a relevant field (e.g., Robotics, Computer Science, Mechanical Engineering, Electrical Engineering).
 • 3\-6 years of full\-time working experience in Robotics, Digital Twin, and Computer Vision/Deep Learning/Reinforcement Learning.
 • Proven experience in developing and implementing scalable AI systems that integrate software and hardware components effectively.
 • Strong proficiency in programming languages such as Python, C\+\+, or Java, with hands\-on experience in robotics frameworks (e.g., ROS) and simulation environments (e.g., Isaac Sim).
 • Extensive knowledge of the NVIDIA ecosystem, including experience with their offerings and implementation strategies for robotics and AI applications.
 • Solid understanding of robotic systems, including kinematics, dynamics, control algorithms, and sensor integration (e.g., LIDAR, cameras).
 • Familiarity with machine learning techniques and algorithms, particularly in the context of robotics, automation, and decision\-making processes.
 • Experience designing, building, and maintaining robotics systems and digital twin models, with a focus on real\-time data integration and simulation.
 • Proficiency in using data manipulation and analysis tools (e.g., Pandas, NumPy) to derive insights from sensor data and simulations, along with experience in popular ML frameworks such as TensorFlow or PyTorch.
 • Experience with DevOps tools (e.g., GIT, Azure DevOps) and Agile methodologies (e.g., Jira) to develop and deploy analytical solutions with multiple features, pipelines, and releases.
 • Excellent communication skills to clearly convey findings, recommendations, and opportunities for improvement to clients and team members.
 • Willingness to travel as needed to engage with clients and stakeholders.
**Ideally, Youll Also Have** 
 • An advanced degree (Masters or Ph.D.) in Robotics, Computer Science, Mechanical/Aerospace Engineering, Electrical Engineering, or a related quantitative field; graduate school years can substitute for some industry experience.
 • Previous experience in research projects related to robotics, automation, or digital twin technologies, including contributions to academic journals or conferences that showcase research findings and technical expertise.
 • Proficiency in computer vision techniques and libraries (e.g., OpenCV) for object detection, tracking, and recognition, with practical applications in robotics.
 • Experience in designing and implementing control systems for robotic applications, including PID controllers, state\-space control, and adaptive control techniques.
 • Ability to develop and optimize algorithms for tasks such as path planning, motion planning, and decision\-making in robotics, enhancing system performance and efficiency.
 • Familiarity with Hardware\-in\-the\-loop (HIL) testing techniques to validate the performance of robotic systems in real\-time by integrating hardware components with simulation models.
 • Strong understanding of and/or interest in Agentic AI and Generative AI, with the ability to explore and implement innovative applications in these areas.
 • Experience with Cosmos or similar data management platforms to facilitate the integration and analysis of large datasets in AI applications.</t>
        </is>
      </c>
    </row>
    <row r="3">
      <c r="A3" t="inlineStr">
        <is>
          <t>li-4374031814</t>
        </is>
      </c>
      <c r="B3" t="inlineStr">
        <is>
          <t>AI Engineer</t>
        </is>
      </c>
      <c r="C3" t="inlineStr">
        <is>
          <t>FetchJobs.co</t>
        </is>
      </c>
      <c r="D3" t="inlineStr">
        <is>
          <t>linkedin</t>
        </is>
      </c>
      <c r="E3" t="inlineStr"/>
      <c r="F3" t="inlineStr"/>
      <c r="G3" t="inlineStr"/>
      <c r="H3" t="inlineStr"/>
      <c r="I3" t="inlineStr">
        <is>
          <t>**About The Company**
 MassMutual is a leading mutual life insurance company committed to helping individuals and families achieve financial security through innovative insurance and financial products. With a rich history of over 170 years, MassMutual has established itself as a trusted partner in financial planning, wealth management, and retirement solutions. The company prides itself on its customer\-centric approach, integrity, and dedication to community service. As a forward\-thinking organization, MassMutual continually invests in cutting\-edge technology and talent to enhance its offerings and maintain its position at the forefront of the insurance industry.
**About The Role**
 MassMutual's Data Science team is seeking an impact\-driven Lead AI Engineer to join our high\-performing, cross\-functional team. In this role, you will lead the design and deployment of advanced AI solutions that drive strategic decision\-making and business transformation. You'll apply cutting\-edge techniques in machine learning, generative AI, and large language models (LLMs) to solve complex, high\-value problems across the enterprise. This is a unique opportunity to work alongside experts in applied mathematics, statistics, computer science, and physics, collaborating on initiatives that shape the future of MassMutual and the life insurance industry at large.
**Qualifications**
 The ideal candidate will possess recognized industry expertise in AI and machine learning, with a proven track record of delivering impactful solutions. A minimum of 7\+ years of experience in data science, AI engineering, or related roles is required. Deep understanding of machine learning, statistics, natural language processing (NLP), optimization, and large language models is essential. Hands\-on experience with AI deployment frameworks such as MLflow, llama\-index, and MCP is highly desirable. Candidates should have extensive experience testing LLM behavior across various foundation models and benchmarks. Strong programming skills in Python are necessary, with proficiency in R being a plus. Familiarity with SQL, database design, cloud\-native data platforms, vector databases, and semantic search will be advantageous. Excellent communication skills are vital, particularly the ability to explain complex technical concepts to non\-technical stakeholders. A master's or doctoral degree in Computer Science, Statistics, Applied Mathematics, Electrical Engineering, Physics, or a related quantitative field is required.
**Responsibilities**
* Architect and lead end\-to\-end machine learning and AI solutions supporting diverse enterprise use cases, utilizing large language models, deep learning, and probabilistic modeling—from ideation through to production deployment.
* Deploy scalable Generative AI and Agentic AI systems that directly support and enhance business objectives and strategies.
* Establish and promote best practices in AI development, ensuring responsible AI deployment, ethical considerations, and compliance with industry standards.
* Drive innovation by identifying emerging AI technologies and translating research breakthroughs into practical, scalable applications that add value to the organization.
* Collaborate closely with engineering teams to develop robust, production\-grade AI pipelines and APIs, ensuring seamless integration with existing systems.
* Prototype and deliver AI\-powered applications, including web applications, dashboards, and visualizations that facilitate data\-driven decision\-making across departments.
* Influence senior leadership by aligning AI initiatives with broader enterprise strategies and effectively communicating insights, progress, and potential impacts.
* Mentor and develop junior team members, fostering a culture of technical excellence, continuous learning, and innovation within the team.
**Benefits**
 MassMutual offers a comprehensive benefits package designed to support the health, well\-being, and professional growth of its employees. This includes competitive salary packages, health insurance plans, retirement savings options, and paid time off. Employees have access to ongoing training and development opportunities, fostering continuous learning and career advancement. The company promotes a collaborative and inclusive work environment that values diversity and encourages innovative thinking. Additionally, employees benefit from flexible work arrangements and resources that support work\-life balance, ensuring a fulfilling and sustainable career at MassMutual.
 Equal Opportunity
 MassMutual is an equal employment opportunity employer. We welcome all qualified applicants regardless of race, color, religion, sex, sexual orientation, gender identity, national origin, age, disability, or veteran status. We are committed to creating an inclusive environment that values diversity and promotes equal opportunity for all employees. If you require an accommodation during the application process, please contact us and share the specifics of the assistance you need. We encourage candidates from all backgrounds to apply and look forward to welcoming diverse talent to our team.</t>
        </is>
      </c>
    </row>
    <row r="4">
      <c r="A4" t="inlineStr">
        <is>
          <t>li-4372849753</t>
        </is>
      </c>
      <c r="B4" t="inlineStr">
        <is>
          <t>Founding AI/ML Engineer (Production) - NYC - $250k-$500k+ + Founding Equity</t>
        </is>
      </c>
      <c r="C4" t="inlineStr">
        <is>
          <t>Open Talent</t>
        </is>
      </c>
      <c r="D4" t="inlineStr">
        <is>
          <t>linkedin</t>
        </is>
      </c>
      <c r="E4" t="inlineStr"/>
      <c r="F4" t="inlineStr"/>
      <c r="G4" t="inlineStr">
        <is>
          <t>New York, NY</t>
        </is>
      </c>
      <c r="H4" t="inlineStr"/>
      <c r="I4" t="inlineStr">
        <is>
          <t>**Founding AI/ML Engineer (Production) \- NYC \- $250k\-$500k\+ \+ Founding Equity** 
*We’re hiring for one of NYC’s top 10 robotics startups. If you’re an elite engineer looking to join an A squad\-builders from SpaceX, Palantir, Google \&amp; Anduril \- this is where you want to be.* 
 \*
 Most AI roles are currently focused on generating pixels or text. This team are using LLMs to command multi\-ton autonomous machines.
***Must be based in NYC \&amp; role requires US citizenship due to regulatory constraints.***
 We need a
 **Founding AI/ML Engineer** 
 to build the production intelligence layer for autonomous heavy machinery. This isn't a research lab. We have real robots, real customers, and systems operating in the field 24/7\. Your work won't just generate tokens; it will drive physical outcomes.
**The Work** 
 This is a 100% production role focused on critical AI infrastructure. You are responsible for the intelligence that allows multi\-ton machines to act on complex environments.
* **Production LLMs:** 
 Fine\-tuning and deploying models that handle mission\-critical operational logic.
* **Systems \&amp; Infra:** 
 Building the RAG pipelines and data flywheels that power our fleet’s intelligence.
* **Evals \&amp; Determinism:** 
 Designing evaluation frameworks to ensure model outputs are safe and reliable enough for heavy hardware.
* **Problem Solving:** 
 Moving from raw telemetry to deployed models. You own the pipeline, the tuning, and the performance in the field.
**The Team** 
 You’ll be joining a high\-density team from
 **SpaceX, Palantir, and Anduril** 
 . We’ve stripped away the typical corporate friction\-no bloated meetings or research for the sake of research. We hire for high agency and low ego. As a founding hire, you aren't just training models; you’re architecting the intelligence of the company.
**What we're looking for** 
 We want high\-signal builders who are bored with "wrapper" apps and want to solve hard problems grounded in physics.
* **Production Grit:** 
 You’ve shipped ML systems at scale. You care about inference latency and reliability more than "vibe checks."
* **LLM Mastery:** 
 Deep experience with fine\-tuning, RAG, and prompt engineering in high\-stakes environments.
* **Systems Thinker:** 
 You understand the full stack. You know how to optimize models to run efficiently and how to build the infra that supports them.
* **High\-Bar Pedigree:** 
 You’ve worked in environments where the standard for "production\-ready" is exceptionally high.
**Stack \&amp; Comp** 
* **Stack:** 
 Python, PyTorch, LLMs, RAG, Vector DBs, Kubernetes.
* **Location:** 
 NYC (Manhattan) \- On\-site/Hybrid.
* **Comp:** 
 $250k \- $500k\+ base \+
 **Founding Member Equity** 
 .
**The Process:** 
**1 Week \&amp; 0 Take\-Homes** 
 We move as fast as we ship. We can go from first touch to offer in one week:
1. **(Founders) Technical Deep Dive:** 
 A conversation about the most complex AI system you’ve actually shipped.
2. **(Team)Practical Pairing:** 
 Solving a real\-world production ML or data infra problem together.
 **No Leetcode.**
3. **(Exec) Founding Team Chat:** 
 A focus on judgment, trade\-offs \&amp; vision.
 If you’re ready to put AI into the physical world, let’s talk.
**TL;DR** 
* **Role:** 
 Founding AI/ML Engineer (Production)
* **Focus:** 
 Fine\-tuning, Evals, and RAG for Robotics
* **Team:** 
 Ex\-SpaceX, Palantir, Anduril, Google
* **Comp:** 
 $250k \- $500k\+ base \+ Founding Equity
* **Process:** 
 1 week. 3 rounds.
**Equal Opportunity** 
 We're hiring for an Equal Opportunity Employer.
 \*All our new jobs are posted here 1st:
**linkedin.com/in/sufyanbashir/**</t>
        </is>
      </c>
    </row>
    <row r="5">
      <c r="A5" t="inlineStr">
        <is>
          <t>li-4297979510</t>
        </is>
      </c>
      <c r="B5" t="inlineStr">
        <is>
          <t>AI/ML Engineer</t>
        </is>
      </c>
      <c r="C5" t="inlineStr">
        <is>
          <t>hackajob</t>
        </is>
      </c>
      <c r="D5" t="inlineStr">
        <is>
          <t>linkedin</t>
        </is>
      </c>
      <c r="E5" t="inlineStr"/>
      <c r="F5" t="inlineStr"/>
      <c r="G5" t="inlineStr"/>
      <c r="H5" t="inlineStr"/>
      <c r="I5" t="inlineStr">
        <is>
          <t>***hackajob** 
 is collaborating with
 **Leo Technologies** 
 to connect them with exceptional tech professionals for this role.*
 As an AI/NLP Engineer on our Data Science team, you will be at the forefront of leveraging Large Language Models (LLMs) and cutting\-edge AI techniques to create transformative solutions for public safety and intelligence workflows. You will apply your expertise in LLMs, Retrieval\-Augmented Generation (RAG), semantic search, Agentic AI, GraphRAG, and other advanced AI solutions to develop, enhance, and deploy robust features that enable real\-time decision\-making for our end users. You will work closely with product, engineering, and data science teams to translate real\-world problems into scalable, production\-grade solutions. This is an individual contributor (IC) role that emphasizes technical depth, experimentation, and hands\-on engineering. You will participate in all phases of the AI solution lifecycle, from architecture and design through prototyping, implementation, evaluation, productionization and continuous improvement.
* Design, build, and optimize AI\-powered solutions using LLMs, RAG pipelines, semantic search, GraphRAG, and Agentic AI architectures.
* Implement and experiment with the latest advancements in large\-scale language modeling, including prompt engineering, model fine\-tuning, evaluation, and monitoring.
* Collaborate with product, backend, and data engineering teams to define requirements, break down complex problems, and deliver high\-impact features aligned with business objectives.
* Inform robust data ingestion and retrieval pipelines that power real\-time and batch AI applications using open\-source and proprietary tools.
* Integrate external data sources (e.g., knowledge graphs, internal databases, third\-party APIs) to enhance the context\-awareness and capabilities of LLM\-based workflows.
* Evaluate and implement best practices for prompt design, model alignment, safety, and guardrails for responsible AI deployment.
* Stay on top of emerging AI research and contribute to internal knowledge\-sharing, tech talks, and proof\-of\-concept projects.
* Author clean, well\-documented, and testable code; participate in peer code reviews and engineering design discussions.
* Proactively identify bottlenecks and propose solutions to improve system scalability, efficiency, and reliability.
* Bachelor's or Master's degree in Computer Science, Artificial Intelligence, Data Science, or a related field.
* 5\+ years of hands\-on experience in applied AI, NLP, or ML engineering (with at least 2 years working directly with LLMs, RAG, semantic search and Agentic AI).
* Deep familiarity with LLMs (e.g. OpenAI, Claude, Gemini), prompt engineering, and responsible deployment in production settings.
* Experience designing, building, and optimizing RAG pipelines, semantic search, vector databases (e.g. ElasticSearch, Pinecone), and Agentic or multi\-agent AI workflows in in large scale production setup. Exposure to MCP and A2A protocol is a plus.
* Exposure to GraphRAG or graph\-based knowledge retrieval techniques is a strong plus.
* Strong proficiency with modern ML frameworks and libraries (e.g. LangChain, LlamaIndex, PyTorch, HuggingFace Transformers).
* Ability to design APIs and scalable backend services, with hands\-on experience in Python.
* Experience building, deploying, and monitoring AI/ML workloads in cloud environments (AWS, Azure) using services like AWS SageMaker, AWS Bedrock, AzureAI, etc. Experience with tools to load balance different LLMs providers is a plus.
* Familiarity with MLOps practices, CI/CD for AI, model monitoring, data versioning, and continuous integration.
* Demonstrated ability to work with large, complex datasets, perform data cleaning, feature engineering, and develop scalable data pipelines.
* Excellent problem\-solving, collaboration, and communication skills; able to work effectively across remote and distributed teams.
* Proven record of shipping robust, high\-impact AI solutions, ideally in fast\-paced or regulated environments.</t>
        </is>
      </c>
    </row>
    <row r="6">
      <c r="A6" t="inlineStr">
        <is>
          <t>li-4375411016</t>
        </is>
      </c>
      <c r="B6" t="inlineStr">
        <is>
          <t>Senior AI/ML Engineer</t>
        </is>
      </c>
      <c r="C6" t="inlineStr">
        <is>
          <t>Involved Solutions</t>
        </is>
      </c>
      <c r="D6" t="inlineStr">
        <is>
          <t>linkedin</t>
        </is>
      </c>
      <c r="E6" t="inlineStr"/>
      <c r="F6" t="inlineStr"/>
      <c r="G6" t="inlineStr">
        <is>
          <t>Boston, MA</t>
        </is>
      </c>
      <c r="H6" t="inlineStr"/>
      <c r="I6" t="inlineStr">
        <is>
          <t>We have partnered with an ambitious digital health company based in Boston that is using AI to transform how chronic disease is monitored and managed at scale. Backed by $85 million in Series C funding and working with over 60 hospital networks across the US, they are at an inflection point, the clinical validation is done, the contracts are signed, and now they need to build. Their engineering team is small, exceptionally talented, and working on problems that have a direct impact on patient outcomes.
 The Opportunity:
 As they scale their AI platform across an expanding network of health system clients, they need a Senior AI/ML Engineer who can take ownership of complex technical challenges and help drive the next generation of their clinical intelligence product. This is not a role for someone who wants to maintain existing systems, it is for someone who wants to build something genuinely new in a space where the stakes are real.
 What You'll Be Doing:
* Designing and delivering LLM\-powered features that surface clinical insights from complex, unstructured patient data
* Building and maintaining RAG pipelines that make vast volumes of medical records intelligible and actionable
* Working with vector databases to enable fast, accurate retrieval across large clinical datasets
* Collaborating closely with clinical advisors and product teams to ensure AI outputs meet real\-world healthcare standards
* Mentoring junior engineers and contributing to the technical culture of a growing AI team
 What We're Looking For
* 5 to 8 years of AI/ML engineering experience with production LLM work you can speak to directly
* Strong Python and hands\-on experience with frameworks like LangChain, LlamaIndex, or Hugging Face
* Experience working with unstructured data at scale
* Cloud experience across AWS or Azure
 Nice to have:
* Experience in healthcare, clinical AI, or life sciences
* Familiarity with HIPAA compliance requirements
* Exposure to medical NLP or clinical NLP tooling such as AWS Comprehend Medical
 What's on Offer
* Equity in a company with a clear and credible growth trajectory
* Fully remote\-first with occasional travel to Boston HQ
* Comprehensive health, dental and vision coverage
* 401(k) with company match</t>
        </is>
      </c>
    </row>
    <row r="7">
      <c r="A7" t="inlineStr">
        <is>
          <t>li-4375405302</t>
        </is>
      </c>
      <c r="B7" t="inlineStr">
        <is>
          <t>Senior AI/ML Engineer</t>
        </is>
      </c>
      <c r="C7" t="inlineStr">
        <is>
          <t>Involved Solutions</t>
        </is>
      </c>
      <c r="D7" t="inlineStr">
        <is>
          <t>linkedin</t>
        </is>
      </c>
      <c r="E7" t="inlineStr"/>
      <c r="F7" t="inlineStr"/>
      <c r="G7" t="inlineStr">
        <is>
          <t>Austin, TX</t>
        </is>
      </c>
      <c r="H7" t="inlineStr"/>
      <c r="I7" t="inlineStr">
        <is>
          <t>We have partnered with a fast\-growing SaaS company based in Austin that is embedding AI across its entire customer experience platform, and doing it properly. Series C funded with over $120 million raised, they serve more than 2,000 businesses globally and have just crossed $50 million ARR. This is a company that has found its market, proven its model, and is now scaling hard. Engineering is taken seriously here; the CTO came from a foundational AI research background, and the team reflects that.
 The Opportunity
 With AI now central to their product strategy, they are hiring a Senior AI/ML Engineer to join a growing team responsible for building the intelligence layer across their platform. This is a high\-visibility role with real scope, you will be contributing to features used by millions of end users and working alongside some of the strongest engineers in the business.
 What You'll Be Doing:
* Building and scaling LLM\-powered features across a high\-traffic SaaS platform used by businesses globally
* Designing RAG architectures and prompt engineering frameworks that power intelligent, context\-aware product experiences
* Working with vector databases and embedding models to deliver fast, relevant AI\-driven outputs at scale
* Partnering with product managers and frontend engineers to ship AI features end to end
* Playing an active role in technical strategy discussions and helping define how AI evolves across the product
 What We're Looking For
* 5 to 8 years of AI/ML engineering experience with a strong focus on LLMs in production
* Hands\-on experience with LangChain, LlamaIndex, or similar frameworks
* Proven ability to build and ship AI features in a fast\-moving product environment
* Strong Python and experience with at least one major cloud provider
* Someone who is comfortable with ambiguity and can balance speed with quality
 Nice to have:
* Experience scaling AI systems on high\-traffic consumer or B2B SaaS platforms
* Familiarity with A/B testing AI features and measuring their business impact
* Knowledge of cost optimisation strategies for LLM inference at scale
 What's on Offer:
* Equity with real upside at a company approaching a significant growth milestone
* Fully remote\-first with optional access to the Austin office
* Comprehensive health, dental and vision coverage
* 401(k) with company match</t>
        </is>
      </c>
    </row>
    <row r="8">
      <c r="A8" t="inlineStr">
        <is>
          <t>li-4372796646</t>
        </is>
      </c>
      <c r="B8" t="inlineStr">
        <is>
          <t>Machine Learning Engineer</t>
        </is>
      </c>
      <c r="C8" t="inlineStr">
        <is>
          <t>Capgemini</t>
        </is>
      </c>
      <c r="D8" t="inlineStr">
        <is>
          <t>linkedin</t>
        </is>
      </c>
      <c r="E8" t="inlineStr"/>
      <c r="F8" t="inlineStr"/>
      <c r="G8" t="inlineStr">
        <is>
          <t>New York, NY</t>
        </is>
      </c>
      <c r="H8" t="inlineStr"/>
      <c r="I8"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New York, NY
 Job Description:
* Analyze large and complex datasets to derive actionable insights and inform business strategies.
* Develop and implement advanced machine learning models and algorithms.
* Collaborate with cross\-functional teams to understand business needs and provide data\-driven solutions.
* Communicate findings and recommendations to stakeholders and executive leadership.
* Stay updated with the latest trends and technologies in data science and machine learning.
 Basic Qualifications:
* Proficient in Pyspark, Py\-Torch \&amp; GenAI,
* Experience in Python, Pandas, NumPy, Scikit\-Learn
* Bachelor's degree in Computer Science, Statistics, Applied Mathematics, or a related field.
* Minimum of 8 years of experience in a data science role.
* Proficiency in programming languages such as Python or R..
* Strong understanding of machine learning techniques and algorithms.
 Preferred Qualifications:
* Experience with modern ML frameworks such as PyTorch, TensorFlow
* Experience with big data technologies such as PySpark
* Experience with ML model training within cloud infra such as Azure, AWS, GCP
* Proven track record of successfully deploying and optimizing ML models in a production environment.
* Excellent communication and visualization skills to effectively present data insights to non\-technical stakeholders."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The base compensation range for this role in the posted location is: $96000 to $110000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9">
      <c r="A9" t="inlineStr">
        <is>
          <t>li-4374071248</t>
        </is>
      </c>
      <c r="B9" t="inlineStr">
        <is>
          <t>Machine Learning Engineer</t>
        </is>
      </c>
      <c r="C9" t="inlineStr">
        <is>
          <t>TekStream Solutions</t>
        </is>
      </c>
      <c r="D9" t="inlineStr">
        <is>
          <t>linkedin</t>
        </is>
      </c>
      <c r="E9" t="inlineStr"/>
      <c r="F9" t="inlineStr"/>
      <c r="G9" t="inlineStr"/>
      <c r="H9" t="inlineStr"/>
      <c r="I9" t="inlineStr">
        <is>
          <t>Machine Learning Engineer
 Remote
**Role and Responsibilities** 
 Model Development
* Collaborate with data scientists and SMEs to develop ML models using curated datasets.
* Conduct experiments, prototypes, and proof\-of\-concepts to validate model performance.
* Create scalable and reusable training pipelines using Databricks notebooks and MLflow.
 Implementation and Optimisation
* LLMs (Large Language Models), RAGs, and AI agent systems for various business applications. Deployment \&amp; MLOps
* Operationalize models with robust CI/CD workflows.
* Deploy models usingMLflow, SageMaker, or custom APIs.
* Monitor production models for accuracy, drift, and latency; manage retraining schedules.
 Data Integration \&amp; Architecture Alignment
* Work closely with Data Engineering to align ML pipelines with the Bronze, Silver, Gold layers of a Medallion Architecture.
* Engineer high\-quality features and maintain training/inference pipelines.
 Cloud and Platform Engineering
* Leverage AWS services including S3, EC2, Lambda, SageMaker, and Step Functions.
 Collaboration \&amp; Documentation
* Document ML artifacts, processes, and performance outcomes.
* Contribute to agile project ceremonies and maintain a feedback loop with stakeholders.
* Share knowledge and mentor junior team members.
**Required Skills:** 
* 5\+ years of experience in ML Engineering or Applied Machine Learning.
* Strong Python skills and hands\-on experience with ML libraries (e.g., scikit\-learn, XGBoost, PyTorch, TensorFlow).
* Proficient with Databricks, MLflow, and PySpark.
* Solid understanding of model lifecycle and MLOps practices.
* Experience with AWS\-based data infrastructure and related DevOps practices.
* Demonstrated ability to productionize models and integrate with business system
* Strong understanding of mathematics and statistics relevant to machine learning and AI.
* Proven experience with machine learning models and algorithms (supervised, unsupervised, deep learning, etc.).
* Solid background in software engineering principles and best practices.
* Hands\-on experience with model training frameworks (e.g., TensorFlow, PyTorch, Hugging Face).
* Experience with MLOps tools and workflows, particularly on AWS (SageMaker, Lambda, S3, etc.).
* Practical experience with LLMs, RAGs, and AI agent architectures.
* Proficiency with the Databricks platform for data engineering and ML pipelines.
* Advanced programming skills in Python.
* Excellent communication and teamwork abilities.
**Preferred Skills:** 
* Experience building and deploying interactive UIs for AI models using Streamlit, Gradio, or similar frameworks for rapid prototyping and real\-time model interactions
* Business acumen and ability to align AI solutions with organizational goals.
* Optimize compute and storage resources for performance and cost\-efficiency.</t>
        </is>
      </c>
    </row>
    <row r="10">
      <c r="A10" t="inlineStr">
        <is>
          <t>li-4375190918</t>
        </is>
      </c>
      <c r="B10" t="inlineStr">
        <is>
          <t>Senior AI/ML Engineer</t>
        </is>
      </c>
      <c r="C10" t="inlineStr">
        <is>
          <t>Involved Solutions</t>
        </is>
      </c>
      <c r="D10" t="inlineStr">
        <is>
          <t>linkedin</t>
        </is>
      </c>
      <c r="E10" t="inlineStr"/>
      <c r="F10" t="inlineStr"/>
      <c r="G10" t="inlineStr">
        <is>
          <t>New York, United States</t>
        </is>
      </c>
      <c r="H10" t="inlineStr"/>
      <c r="I10" t="inlineStr">
        <is>
          <t>We have partnered with a rapidly scaling fintech company headquartered in New York that is redefining how mid\-market businesses manage financial risk through AI. Series C funded and backed by some of the most respected names in financial services venture, they have grown from 80 to 250 people in the last 18 months and are on a clear path to IPO within the next three years. Their platform is already trusted by over 400 enterprise clients, and the AI team sits at the absolute core of the product, not as a bolt\-on.
 The Opportunity:
 This is a senior hire that will shape the direction of their AI capability. As the business accelerates its roadmap, they need an experienced AI/ML Engineer who has been here before, someone who can operate with autonomy, make strong technical decisions, and raise the bar for the team around them. You will be working on problems that genuinely matter, with real data, real stakes, and real impact on the product.
 What You'll Be Doing:
* Architecting and building production\-grade LLM pipelines and RAG systems that power core platform features
* Leading the integration and fine\-tuning of large language models for financial data use cases
* Owning vector database infrastructure including Pinecone and Weaviate to support intelligent search and retrieval at scale
* Acting as a technical authority across the AI team, mentoring more junior engineers and setting engineering standards
* Partnering directly with product and data science leadership to define and deliver the AI roadmap
 What We're Looking For:
* 5 to 8 years of hands\-on AI/ML engineering experience
* A strong track record of shipping LLM\-powered products into production at scale
* Deep expertise in Python and frameworks such as LangChain or LlamaIndex
* Solid cloud platform experience across AWS or GCP
* The ability to operate as a technical leader without needing a lot of direction
 Nice to have:
* Background in financial services or fintech
* Experience with Pinecone, Weaviate, or ChromaDB
* Exposure to financial risk modelling or fraud detection use cases
 What's on Offer
* Meaningful equity package
* Fully remote\-first with occasional team offsites
* Comprehensive health, dental and vision coverage
* 401(k) with company match</t>
        </is>
      </c>
    </row>
    <row r="11">
      <c r="A11" t="inlineStr">
        <is>
          <t>li-4374040406</t>
        </is>
      </c>
      <c r="B11" t="inlineStr">
        <is>
          <t>AI/ML Engineer</t>
        </is>
      </c>
      <c r="C11" t="inlineStr">
        <is>
          <t>Data Capital Incorporation</t>
        </is>
      </c>
      <c r="D11" t="inlineStr">
        <is>
          <t>linkedin</t>
        </is>
      </c>
      <c r="E11" t="inlineStr"/>
      <c r="F11" t="inlineStr"/>
      <c r="G11" t="inlineStr"/>
      <c r="H11" t="inlineStr"/>
      <c r="I11" t="inlineStr">
        <is>
          <t>Required Skills:
 5\+ years of experience in ML Engineering or Applied Machine Learning.
 Strong Python skills and hands\-on experience with ML libraries (e.g., scikit\-learn, XGBoost, PyTorch, TensorFlow).
 Proficient with Databricks, MLflow, and PySpark.
 Solid understanding of model lifecycle and MLOps practices.
 Experience with AWS\-based data infrastructure and related DevOps practices.
 Demonstrated ability to productionize models and integrate with business system
 Strong understanding of mathematics and statistics relevant to machine learning and AI.
 Proven experience with machine learning models and algorithms (supervised, unsupervised, deep learning, etc.).
 Solid background in software engineering principles and best practices.
 Hands\-on experience with model training frameworks (e.g., TensorFlow, PyTorch, Hugging Face).
 Experience with MLOps tools and workflows, particularly on AWS (SageMaker, Lambda, S3, etc.).
 Practical experience with LLMs, RAGs, and AI agent architectures.
 Proficiency with the Databricks platform for data engineering and ML pipelines.
 Advanced programming skills in Python.
 Excellent communication and teamwork abilities.</t>
        </is>
      </c>
    </row>
    <row r="12">
      <c r="A12" t="inlineStr">
        <is>
          <t>li-4375151231</t>
        </is>
      </c>
      <c r="B12" t="inlineStr">
        <is>
          <t>AI / ML Engineer</t>
        </is>
      </c>
      <c r="C12" t="inlineStr">
        <is>
          <t>Wiraa</t>
        </is>
      </c>
      <c r="D12" t="inlineStr">
        <is>
          <t>linkedin</t>
        </is>
      </c>
      <c r="E12" t="inlineStr"/>
      <c r="F12" t="inlineStr"/>
      <c r="G12" t="inlineStr"/>
      <c r="H12" t="inlineStr"/>
      <c r="I12" t="inlineStr">
        <is>
          <t>**About The Company**
 At General Motors, our product teams are at the forefront of redefining mobility and transportation. We are committed to creating innovative vehicles and experiences that prioritize human\-centered design, ensuring that our products are not only visually impressive but also emotionally engaging. Our relentless pursuit of technological advancement has led us to develop breakthrough hardware and battery systems, intuitive software, and next\-generation safety and entertainment features. With a global presence, we aim to make driving safer, smarter, and more connected, shaping the future of transportation for millions of people worldwide.
**About The Role**
 We are seeking a highly skilled Staff AI/ML Engineer to join our Embodied AI organization. In this senior individual contributor role, you will be responsible for developing and deploying cutting\-edge machine learning solutions that enhance autonomous driving capabilities. Your work will directly impact vehicle safety, reliability, and performance across diverse real\-world scenarios. You will collaborate closely with cross\-functional engineering teams, contribute to the strategic technical direction within your domain, and mentor junior engineers. Your expertise will help translate innovative research into scalable onboard ML solutions, supporting continuous improvements in our autonomy stack.
**Qualifications**
* Bachelor’s, Master’s, or PhD in Computer Science, Robotics, Machine Learning, or a related field
* Experience working with large\-scale foundation models and alignment methods applied to real\-world systems
* Proficiency in Python and PyTorch
* Experience building and scaling model training pipelines for efficient iteration
* Strong data processing skills using tools such as NumPy, Pandas, and Apache Spark
* Proven ability to deliver applied ML solutions within real\-world constraints and timelines
* Excellent communication skills for effective cross\-team collaboration
* Experience deploying ML models into production environments and understanding deployment workflows
* Experience in robotics or autonomous driving systems is preferred
**Responsibilities**
* Design and implement machine learning solutions aligned with GM’s autonomous driving objectives
* Apply techniques such as unsupervised pre\-training, imitation learning, reinforcement learning, model scaling, foundation modeling, to solve problems related to object detection, tracking, classification, trajectory generation, and safety
* Collaborate with cross\-functional teams to deploy ML models and algorithms into onboard vehicle systems
* Contribute to applied research efforts and stay current with advancements in ML frameworks and methodologies
* Develop efficient infrastructure, pipelines, and tooling to facilitate rapid model iteration and deployment
* Lead technical execution from prototyping through to production deployment, documenting best practices and learnings
* Support and mentor engineering team members through technical collaboration, code reviews, and knowledge sharing
**Benefits**
* Comprehensive health and wellbeing benefits including medical, dental, and vision coverage
* Health Savings Account (HSA) and Flexible Spending Accounts (FSA)
* Retirement savings plan with company match
* Sick leave, paid vacation, and holidays
* Tuition assistance programs
* Employee assistance program and wellness initiatives
* GM vehicle discounts and potential eligibility for a company vehicle
* Relocation benefits may be available for eligible candidates
 Equal Opportunity
 General Motors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veteran status. We believe that a diverse workforce enhances our innovation and success, and we encourage candidates from all backgrounds to apply.</t>
        </is>
      </c>
    </row>
    <row r="13">
      <c r="A13" t="inlineStr">
        <is>
          <t>li-4374000910</t>
        </is>
      </c>
      <c r="B13" t="inlineStr">
        <is>
          <t>Machine Learning Engineer</t>
        </is>
      </c>
      <c r="C13" t="inlineStr">
        <is>
          <t>RK Infotech LLC</t>
        </is>
      </c>
      <c r="D13" t="inlineStr">
        <is>
          <t>linkedin</t>
        </is>
      </c>
      <c r="E13" t="inlineStr"/>
      <c r="F13" t="inlineStr"/>
      <c r="G13" t="inlineStr">
        <is>
          <t>Florida, United States</t>
        </is>
      </c>
      <c r="H13" t="inlineStr"/>
      <c r="I13" t="inlineStr">
        <is>
          <t>We Are Hiring: AI / Machine Learning Engineer (Entry\-Level \| 0–5 Years)
 We are hiring
 **Master’s students** 
 who are looking to start their professional career in the
 **US IT industry** 
 in the field of
 **Artificial Intelligence \&amp; Machine Learning** 
 . This opportunity is ideal for candidates with strong ML fundamentals, academic projects, or internship experience and a passion for solving real\-world problems using data.
**Location:** 
 Remote / Onsite (Client Requirement – USA)
**Employment Type:** 
 Full\-Time (W2\)
**Experience Level:** 
 Entry\-Level / 0–5 Years
**Key Responsibilities** 
 • Assist in developing, training, and evaluating ML/AI models
 • Work with large datasets for data preprocessing and feature engineering
 • Implement machine learning algorithms under senior guidance
 • Support model testing, validation, and performance tuning
 • Work on client\-driven and internal AI/ML projects
 • Create basic reports, visualizations, and model insights
 • Follow SDLC, ML best practices, and documentation standards
 • Collaborate with data scientists, engineers, and business teams
**Required Skills \&amp; Qualifications** 
 •
 **Master’s degree (completed or pursuing)** 
 in Data Science, AI, ML, Computer Science, Engineering, or related fields
 • Strong programming knowledge in
 **Python** 
 • Understanding of
 **Machine Learning concepts** 
 (supervised, unsupervised, model training/testing, overfitting, etc.)
 • Knowledge of
 **statistics, probability, and linear algebra** 
 • Familiarity with
 **Pandas, NumPy, Scikit\-learn** 
 • Basic knowledge of
 **SQL and databases** 
 • Good communication skills (important for US clients)
 • Strong willingness to learn and adapt
**Preferred / Nice to Have** 
 • Academic or internship projects in
 **AI / ML / Data Science** 
 • Exposure to
 **TensorFlow, PyTorch, Keras** 
 • Knowledge of
 **Deep Learning, NLP, or Computer Vision** 
 • Experience with data visualization tools (Matplotlib, Seaborn, Power BI, Tableau)
 • Cloud exposure (AWS / Azure / GCP – ML services preferred)
 • Kaggle participation, GitHub projects, or certifications</t>
        </is>
      </c>
    </row>
    <row r="14">
      <c r="A14" t="inlineStr">
        <is>
          <t>li-4375135819</t>
        </is>
      </c>
      <c r="B14" t="inlineStr">
        <is>
          <t>Machine Learning Engineer</t>
        </is>
      </c>
      <c r="C14" t="inlineStr">
        <is>
          <t>Wiraa</t>
        </is>
      </c>
      <c r="D14" t="inlineStr">
        <is>
          <t>linkedin</t>
        </is>
      </c>
      <c r="E14" t="inlineStr"/>
      <c r="F14" t="inlineStr"/>
      <c r="G14" t="inlineStr"/>
      <c r="H14" t="inlineStr"/>
      <c r="I14" t="inlineStr">
        <is>
          <t>**About The Company**
 At Crowe, we are dedicated to fostering a dynamic and innovative work environment where talent thrives. With over 80 years of industry excellence, Crowe has established itself as a leading consulting and technology firm in the United States, providing a comprehensive range of services including audit, tax, advisory, and technology solutions. Our commitment to diversity, well\-being, and professional growth makes us a preferred employer for talented individuals seeking meaningful careers. We believe in creating an inclusive culture that values different perspectives and empowers our employees to deliver impactful results. As part of our ongoing commitment to innovation, we heavily invest in groundbreaking ideas, including AI\-powered insights and advanced technological solutions, positioning ourselves at the forefront of industry transformation.
**About The Role**
 We are seeking a highly skilled and motivated Tech Lead for AI Products to join our innovative team. In this pivotal role, you will oversee the entire development lifecycle of AI solutions, from conceptualization to deployment. Your responsibilities will include designing scalable architecture, supporting feature development, and ensuring the delivery of high\-quality releases. You will act as a bridge between stakeholders and engineering teams, translating complex business needs into effective AI solutions. Your expertise will guide project timelines, facilitate transitions from proof of concept to production, and implement rigorous testing protocols. As a leader, you will conduct ethical reviews, manage risk assessments, and foster a culture of continuous improvement. Mentoring team members and promoting high coding standards will be integral to your role, ensuring the growth of a talented and cohesive team. Additionally, you will prepare comprehensive documentation and user materials to promote the effective adoption of AI solutions. Willingness to travel as needed to meet client requirements is expected.
**Qualifications**
* Proficiency in scalable, production\-level Python programming
* Experience with Linux/UNIX systems
* Hands\-on experience with machine learning frameworks such as TensorFlow and PyTorch
* Expertise in designing and developing AI/ML models
* Knowledge of Generative AI (GenAI), prompt engineering, and multi\-agent orchestration
* Familiarity with software development lifecycle and MLOps practices, including CI/CD with Docker and Git
* Strong communication skills to convey technical concepts effectively to non\-technical stakeholders
* Experience with Agile methodologies such as Scrum or Kanban
* Willingness to travel as required
**Responsibilities**
* Lead the development and deployment of AI products, overseeing the entire project lifecycle
* Design scalable and robust AI architecture aligned with business needs
* Support feature development and ensure high\-quality, production\-ready code
* Translate stakeholder requirements into technical solutions and project plans
* Manage project timelines and oversee transitions from proof of concept to deployment
* Implement testing protocols to maintain solution integrity and performance
* Conduct ethical reviews, risk assessments, and security evaluations of AI solutions
* Collaborate with engineering teams to uphold quality standards and optimize workflows
* Mentor team members, fostering professional growth and maintaining high coding standards
* Prepare documentation, user guides, and training materials for AI solutions
* Identify opportunities for process improvement and innovation within AI projects
* Maintain awareness of emerging AI/ML technologies and incorporate best practices
**Benefits**
* Competitive salary range reflecting experience and skills
* Comprehensive health, dental, and vision insurance plans
* Flexible remote work options and unlimited paid time off
* Opportunities for professional development and continuous learning
* Inclusive and collaborative work environment
* Support for mentorship and career advancement
* Participation in innovative projects shaping the future of AI in industry
 Equal Opportunity
 Crowe LLP is an equal opportunity employer committed to fostering an inclusive environment for all employees and applicants. We do not discriminate based on race, color, religion, sex, national origin, age, disability, sexual orientation, gender identity, or any other protected characteristic. We value diversity and are dedicated to providing equitable opportunities for growth and development. All employment decisions are made based on qualifications, merit, and business needs. We encourage qualified individuals from all backgrounds to apply and join our team.</t>
        </is>
      </c>
    </row>
    <row r="15">
      <c r="A15" t="inlineStr">
        <is>
          <t>li-4374041723</t>
        </is>
      </c>
      <c r="B15" t="inlineStr">
        <is>
          <t>ML Engineer</t>
        </is>
      </c>
      <c r="C15" t="inlineStr">
        <is>
          <t>Avance Consulting</t>
        </is>
      </c>
      <c r="D15" t="inlineStr">
        <is>
          <t>linkedin</t>
        </is>
      </c>
      <c r="E15" t="inlineStr"/>
      <c r="F15" t="inlineStr"/>
      <c r="G15" t="inlineStr">
        <is>
          <t>Richardson, TX</t>
        </is>
      </c>
      <c r="H15" t="inlineStr"/>
      <c r="I15" t="inlineStr">
        <is>
          <t>**Job Description** 
 ML Engineer with expertise in Computer Vision, Edge AI deployment, GCP cloud services, and retail domain workflows
 Richardson, TX
**Required Qualifications:** 
* At least 4 years of experience in Information Technology
* Strong hands\-on experience with
 **MLOps** 
 , model deployment, CI/CD, and monitoring.
* Proficiency in
 **Computer Vision frameworks** 
 : OpenCV, TensorFlow, PyTorch, ONNX, YOLO, etc
* Experience deploying
 **AI models on edge devices** 
 , Deepstream, Nvidia Services
* Advanced Python development skills with experience in designing scalable ml systems, automations, sdk, multiprocessing etc
* Hands\-on with
 **containerization** 
 ,
 **model optimization** 
 , and
 **hardware acceleration**
* Solid understanding of
 **data pipelines** 
 ,
 **feature stores** 
 , and
 **ML model lifecycle**
* Implementation of MLOps tools like
 **Grafana, Prometheus, Poetry, Snyk** 
 and others
**Preferred Qualifications:** 
* Experience with
 **GCP cloud services** 
 and Kubernetes
* Experienced in Agile way of working, manage team effort and track through JIRA
* Certifications in GCP, MLOps and Computer vision Technology
* High Impact client communication
* Domain experience with Retail Clients
* Strong problem\-solving skills and ability to evaluate multiple solution paths
* Excellent communication and stakeholder management skills</t>
        </is>
      </c>
    </row>
    <row r="16">
      <c r="A16" t="inlineStr">
        <is>
          <t>li-4375184624</t>
        </is>
      </c>
      <c r="B16" t="inlineStr">
        <is>
          <t>Senior Machine Learning Engineer</t>
        </is>
      </c>
      <c r="C16" t="inlineStr">
        <is>
          <t>People In AI</t>
        </is>
      </c>
      <c r="D16" t="inlineStr">
        <is>
          <t>linkedin</t>
        </is>
      </c>
      <c r="E16" t="inlineStr"/>
      <c r="F16" t="inlineStr"/>
      <c r="G16" t="inlineStr"/>
      <c r="H16" t="inlineStr"/>
      <c r="I16" t="inlineStr">
        <is>
          <t>**Senior Machine Learning Engineer** 
**$240K–$260K base \+ equity** 
**United States (Remote)** 
 Join a high\-growth, privacy\-first AI startup transforming how enterprises convert third\-party data into high\-accuracy, ML\-ready features. Backed by over $100M in funding and valued near unicorn status, the company is building core infrastructure for responsible, high\-performance personalization at scale.
**About the Company** 
 This team turns consented behavioral data such as purchasing, browsing, app usage, and location into compact predictive representations, often 100x smaller than raw data while maintaining or improving performance.
 Their ML\-ready features consistently outperform traditional datasets and power personalization, marketing optimization, and customer intelligence for leading enterprise brands.
**The Role** 
 As a Senior Machine Learning Engineer, you will build and ship production ML systems operating on massive behavioral datasets. This role is focused on taking models from experimentation to live environments, with strong emphasis on real\-time inference, scalability, and measurable business impact.
**What You’ll Do** 
* Build and deploy large\-scale representation learning and personalization models
* Develop embeddings, ranking systems, recommendation engines, and CTR models
* Design real\-time and low\-latency inference pipelines
* Own the full ML lifecycle from data processing to production monitoring
* Improve model performance and manage drift in live systems
**What You’ll Bring** 
* Experience shipping ML models into production at scale
* Strong background in embeddings, representation learning, CTR, or sequence modeling
* Hands\-on experience with real\-time or near\-real\-time ML systems
* Solid understanding of data pipelines, orchestration, and experimentation tooling
* Product mindset with strong ownership and startup experience
**Tech Stack** 
* Python
* Spark
* Airflow
* CI/CD pipelines
* PyTorch or TensorFlow
* Distributed data and inference systems
**Why Join** 
* Own high\-impact ML systems tied directly to revenue outcomes
* Work on privacy\-first AI infrastructure at enterprise scale
* Join a well\-capitalized company with meaningful equity upside
* Collaborate with experienced leaders in data and machine learning
**About People In AI** 
 We’re a specialized recruiting firm working exclusively with top\-tier AI startups. We help you navigate the hiring process with insight and discretion, ensuring the roles we present align with your goals, not just your résumé.</t>
        </is>
      </c>
    </row>
    <row r="17">
      <c r="A17" t="inlineStr">
        <is>
          <t>li-4374062023</t>
        </is>
      </c>
      <c r="B17" t="inlineStr">
        <is>
          <t>Senior ML Engineer</t>
        </is>
      </c>
      <c r="C17" t="inlineStr">
        <is>
          <t>GlobalLogic</t>
        </is>
      </c>
      <c r="D17" t="inlineStr">
        <is>
          <t>linkedin</t>
        </is>
      </c>
      <c r="E17" t="inlineStr"/>
      <c r="F17" t="inlineStr"/>
      <c r="G17" t="inlineStr"/>
      <c r="H17" t="inlineStr"/>
      <c r="I17" t="inlineStr">
        <is>
          <t>**Job Description:** 
* Hands on with designing end to end scalable ML system
* Hands on with implementation of scalable ML system. Proven ownership across entire or partial ML and MLOps lifecycle: Evaluation Techniques, Machine Learning Algorithms, Statistical Modeling, End to end deployment, Metric generation, Model monitoring and deployment, Prompt Engineering.
* Hand on with ML Model optimization \- quantization, pruning, or speculative decoding etc.
* Hand on with ML Model system optimizations ie ability to quickly identify bottlenecks and resolve them from System perspective.
* Programming \&amp; Frameworks: Hands on and have worked on recent projects (within last 12 months) in: Java (Library/Dependency Management, Algorithms), Package and distribution management, Python, TensorFlow / PyTorch.
* Knowledge of DevOps principles and tools (e.g., CI/CD pipelines, Terraform).
* Strong understanding of containerization technologies (e.g., Docker, Kubernetes).
**Good To have:** 
* GCP ML Tech stack
* Experienced with Infrastructure as Code (IaC)
* Experience with big data technologies such as Apache Spark or Hadoop.
* Stay informed about the ethical implications of machine learning eg: selection bias
* Model Training
* Data Analytics \- figure out anomalies, skew, discrepancies
* Hands on with developing on Device ML System.
**Education:** 
* Bachelor’s or Master’s degree in Computer Science, Computer or Electrical Engineering, Mathematics, or a related field.
 Note: GlobalLogic estimates the starting pay range for this role to be performed remotely and the salary range will be $140,000/yr to $150,000/yr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t>
        </is>
      </c>
    </row>
    <row r="18">
      <c r="A18" t="inlineStr">
        <is>
          <t>li-4374068479</t>
        </is>
      </c>
      <c r="B18" t="inlineStr">
        <is>
          <t>AI/ML Engineer – (Next-Generation AI Platforms &amp; Workloads)</t>
        </is>
      </c>
      <c r="C18" t="inlineStr">
        <is>
          <t>VeeAR Projects Inc.</t>
        </is>
      </c>
      <c r="D18" t="inlineStr">
        <is>
          <t>linkedin</t>
        </is>
      </c>
      <c r="E18" t="inlineStr"/>
      <c r="F18" t="inlineStr"/>
      <c r="G18" t="inlineStr">
        <is>
          <t>Sunnyvale, CA</t>
        </is>
      </c>
      <c r="H18" t="inlineStr"/>
      <c r="I18"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19">
      <c r="A19" t="inlineStr">
        <is>
          <t>li-4374041479</t>
        </is>
      </c>
      <c r="B19" t="inlineStr">
        <is>
          <t>Senior Machine Learning Engineer</t>
        </is>
      </c>
      <c r="C19" t="inlineStr">
        <is>
          <t>CAE</t>
        </is>
      </c>
      <c r="D19" t="inlineStr">
        <is>
          <t>linkedin</t>
        </is>
      </c>
      <c r="E19" t="inlineStr"/>
      <c r="F19" t="inlineStr"/>
      <c r="G19" t="inlineStr">
        <is>
          <t>Arlington, TX</t>
        </is>
      </c>
      <c r="H19" t="inlineStr"/>
      <c r="I19" t="inlineStr">
        <is>
          <t>**Who We Are:** 
*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We are seeking a highly skilled and experienced Machine Learning Engineer to join our growing AI \&amp; Data Science team in R\&amp;D. This role is ideal for someone passionate about solving complex problems using data\-driven approaches and deploying scalable machine learning solutions in production environments. Additionally, this role will focus on designing scalable NLP systems powered by state\-of\-the\-art transformer models, optimizing inference performance, and integrating LLMs into real\-world products. You’ll collaborate with cross\-functional teams to deliver intelligent, language\-driven solutions that enhance user experience and business outcomes. This position is onsite with locations in Tampa FL, Arlington TX, or Orlando FL.
**Essential Duties and Responsibilities** 
 Reasonable accommodations may be made to enable individuals with disabilities to perform the essential functions.
* Design, develop, and deploy machine learning models for real\-world applications.
* Build scalable data pipelines and model training workflows using modern tools and frameworks.
* Conduct rigorous model evaluation, validation, and performance tuning.
* Monitor and maintain deployed models, ensuring reliability and accuracy over time.
* Design, fine\-tune, and deploy LLMs (LLaMA, Mistral, etc.) for various NLP tasks such as summarization, question answering, semantic search, and chatbots.
* Develop scalable and efficient model serving infrastructure using tools like ONNX, TensorRT, DeepSpeed, or vLLM.
* Implement retrieval\-augmented generation (RAG) pipelines using vector databases (e.g., FAISS, Weaviate, Pinecone, Milvus).
* Optimize LLM inference for latency, throughput, and cost across cloud and edge environments.
* Collaborate with cross\-functional teams to understand business requirements and translate them into ML solutions.
* Stay current with the latest research and trends in machine learning, AI \&amp; LLMs.
* Mentor junior engineers and contribute to team knowledge sharing.
* Document processes, models, and decisions for transparency and reproducibility.
**Qualifications and Education Requirements** 
* Bachelor’s or Master’s degree in Computer Science, Machine Learning, or related field. PhD is a plus.
* 5\+ years of software development experience, with at least 2 years focused on NLP or LLMs.
* Proficiency in ML frameworks (PyTorch, TensorFlow, Scikit\-learn, CUDA).
* Good understanding of distributed systems, understanding of microservice architecture and REST APIs.
* Strong understanding of MLOps tools and practices (MLflow, Airflow, DVC).
* Hands\-on experience with Hugging Face Transformers, LangChain, and OpenAI APIs.
* Technology proficiency with cloud platforms (AWS, GCP, Azure), Linux, and container orchestration (Docker, Kubernetes).
* Proven track record of deploying ML models in production environments.
* Experience in working with SQL/NoSQL database systems such as MySQL, MongoDB or Elasticsearch.
* Due to U.S. Government contract requirements, only U.S. citizens are eligible for this role.
**Preferred Skills** 
* Experience with deep learning, NLP, computer vision, or reinforcement learning.
* Experience with feature engineering and model interpretability techniques.
* Knowledge of prompt engineering and prompt optimization strategies.
* Experience with multi\-modal models (e.g., combining text with image or audio inputs).
* Familiarity with distributed training and model parallelism.
* Experience with fine\-tuning LLMs using LoRA, QLoRA, or PEFT techniques is a plus.
* Familiarity with CI/CD pipelines and version control (Git).
* Ability to work in a fast\-paced, agile development environment.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**Due to U.S. Government contract requirements, only U.S. citizens are eligible for this role.** 
**Work Environment and Physical Demands** 
* Duties performed in an office environment and manufacturing facility.
* Must be able to work overtime on and off\-shifts as required.
* May be required to sit down for long lengths of time.
* May be required to climb stairs.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t>
        </is>
      </c>
    </row>
    <row r="20">
      <c r="A20" t="inlineStr">
        <is>
          <t>li-4374090233</t>
        </is>
      </c>
      <c r="B20" t="inlineStr">
        <is>
          <t>AI Engineer</t>
        </is>
      </c>
      <c r="C20" t="inlineStr">
        <is>
          <t>Denodo</t>
        </is>
      </c>
      <c r="D20" t="inlineStr">
        <is>
          <t>linkedin</t>
        </is>
      </c>
      <c r="E20" t="inlineStr"/>
      <c r="F20" t="inlineStr"/>
      <c r="G20" t="inlineStr">
        <is>
          <t>Palo Alto, CA</t>
        </is>
      </c>
      <c r="H20" t="inlineStr"/>
      <c r="I20" t="inlineStr">
        <is>
          <t>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Denodo Technologies, Inc. is seeking an AI Engineer in Palo Alto, CA (Telecommuting permissible from anywhere in U.S.). Responsible for developing innovative solutions using Large Language Models (LLMs) in conjunction with the data virtualization platform commercialized by the company (Denodo Platform).
 Salary Range: $130,000\-$160,000/yr.
****Job Responsibilities \&amp; Duties****
* Responsible for developing innovative solutions using Large Language Models (LLMs) in conjunction with the data virtualization platform commercialized by the company (Denodo Platform).
* Design and manage vector databases and embeddings to support semantic searches.
* Work on a solution using the Retrieval Augmented Generation (RAG) pattern to enable a Large Language Model (LLM) to retrieve and utilize data available through the data virtualization platform developed by the company (Denodo Platform).
+ Ensure the solution can be integrated and deployed in conversational interfaces like chatbots and integrated with other data sources and platforms.
+ Develop a chatbot prototype to illustrate its use.
* Design techniques, leveraging the power of LLMs, to improve the overall user experience and functionality of the Denodo Platform by automating complex tasks and improving query precision.
* Explore and implement additional use cases for LLMs within the data virtualization product, such as automatically correcting misspelled or poorly structured queries, categorizing views, or enhancing query optimization.
* Design, execute, and interpret experiments to evaluate different models and configurations.
* Ensure proper experimental setup, including data preparation and metric selection.
* Analyze and interpret results to drive decisions, ensuring the solutions meet precision and performance criteria and are suitable for real\-world integration.
* Optimize the solutions for scalability, security, and performance in enterprise environments.
* Collaborate with several company teams to ensure successful implementation across different environments and customers.
**Desired Skills \&amp; Experience**
* Master’s degree in information systems, computer science or a related field (or foreign equivalent)
* 2 years experience in a similar role within the data management or analytics software industry. 2 years inclusive experience designing, executing and interpreting experiments correctly. 2 years inclusive experience with web development skills, including experience with libraries such as React. 2 years inclusive experience in programming languages like Python and with AI/ML models. 2 years inclusive experience working with Large Language Models (LLM) and Retrieval Augmented Generation (RAG).
* Special Requirements: Demonstrated experience with vector databases and embeddings. Demonstrated experience integrating AI solutions into data virtualization products. Demonstrated experience with developing conversational AI solutions, including chatbots and integration with other platforms. Demonstrated experience with cloud platforms for deploying and scaling AI solutions.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t>
        </is>
      </c>
    </row>
    <row r="21">
      <c r="A21" t="inlineStr">
        <is>
          <t>li-4374057707</t>
        </is>
      </c>
      <c r="B21" t="inlineStr">
        <is>
          <t>Machine Learning Engineer</t>
        </is>
      </c>
      <c r="C21" t="inlineStr">
        <is>
          <t>NLB Services</t>
        </is>
      </c>
      <c r="D21" t="inlineStr">
        <is>
          <t>linkedin</t>
        </is>
      </c>
      <c r="E21" t="inlineStr"/>
      <c r="F21" t="inlineStr"/>
      <c r="G21" t="inlineStr">
        <is>
          <t>Richardson, TX</t>
        </is>
      </c>
      <c r="H21" t="inlineStr"/>
      <c r="I21" t="inlineStr">
        <is>
          <t>**Role\- ML Engineer \- Computer Vision** 
**Duration\- Fulltime (Visa Independent candidates only)** 
**Location\- Richardson, TX (onsite)** 
**Job Description** 
**Required Qualifications:** 
* Strong hands\-on experience with
 **MLOps** 
 , model deployment, CI/CD, and monitoring.
* Proficiency in
 **Computer Vision frameworks** 
 : OpenCV, TensorFlow, PyTorch, ONNX, YOLO, etc
* Experience deploying
 **AI models on edge devices** 
 , Deepstream, Nvidia Services
* Advanced Python development skills with experience in designing scalable ml systems, automations, sdk, multiprocessing etc
* Hands\-on with
 **containerization** 
 ,
 **model optimization** 
 , and
 **hardware acceleration**
* Solid understanding of
 **data pipelines** 
 ,
 **feature stores** 
 , and
 **ML model lifecycle**
* Implementation of MLOps tools like
 **Grafana, Prometheus, Poetry, Snyk** 
 and others
**Preferred Qualifications:** 
* Experience with
 **GCP cloud services** 
 and Kubernetes
* Experienced in Agile way of working, manage team effort and track through JIRA
* Certifications in GCP, MLOps and Computer vision Technology
* High Impact client communication
* Domain experience with Retail Clients
* Strong problem\-solving skills and ability to evaluate multiple solution paths
* Excellent communication and stakeholder management skills</t>
        </is>
      </c>
    </row>
    <row r="22">
      <c r="A22" t="inlineStr">
        <is>
          <t>li-4375194454</t>
        </is>
      </c>
      <c r="B22" t="inlineStr">
        <is>
          <t>AI/ML Engineer</t>
        </is>
      </c>
      <c r="C22" t="inlineStr">
        <is>
          <t>micro1</t>
        </is>
      </c>
      <c r="D22" t="inlineStr">
        <is>
          <t>linkedin</t>
        </is>
      </c>
      <c r="E22" t="inlineStr"/>
      <c r="F22" t="inlineStr"/>
      <c r="G22" t="inlineStr"/>
      <c r="H22" t="inlineStr"/>
      <c r="I22" t="inlineStr">
        <is>
          <t>**Job Title:** 
 AI/ML Engineer
**Job Type:** 
 Full\-time, Contractual
**Job Summary:** 
 Join our customer's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3">
      <c r="A23" t="inlineStr">
        <is>
          <t>li-4374078363</t>
        </is>
      </c>
      <c r="B23" t="inlineStr">
        <is>
          <t>AI Engineer, Entry Level</t>
        </is>
      </c>
      <c r="C23" t="inlineStr">
        <is>
          <t>Jobright.ai</t>
        </is>
      </c>
      <c r="D23" t="inlineStr">
        <is>
          <t>linkedin</t>
        </is>
      </c>
      <c r="E23" t="inlineStr"/>
      <c r="F23" t="inlineStr"/>
      <c r="G23" t="inlineStr"/>
      <c r="H23" t="inlineStr"/>
      <c r="I23"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Build and refine autonomous AI agents that interact with complex environments to solve real\-world user problems
* Develop and optimize sophisticated prompt engineering workflows and multi\-agent orchestration frameworks to enhance product capabilities
* Integrate Large Language Models (LLMs) into the Jobright application, ensuring high\-quality, low\-latency, and reliable AI responses
* Work at the intersection of product and engineering to transform user requirements into functional AI\-driven features
* Implement Retrieval\-Augmented Generation (RAG) systems and fine\-tune models to improve the accuracy and context\-awareness of our agents
**Qualification** 
 Required
* Recent graduate or entry\-level professional (0–2 years of experience) with a degree in Computer Science, AI, or a related technical field
* Strong proficiency in Python and experience working with LLM APIs (such as OpenAI, Anthropic, or open\-source models via Hugging Face)
* Practical understanding of agentic workflows, prompt chaining, and the latest trends in generative AI
* Solid software engineering foundations, including a strong grasp of APIs, asynchronous programming, and version control (Git)
* Must live in and be authorized to work in the United States
 Preferred
* Previous internship or personal project experience building AI\-powered applications, chatbots, or autonomous agents
* Familiarity with agent frameworks such as LangChain, AutoGPT, or CrewAI
* Experience with vector databases and semantic search implementation
* Basic understanding of front\-end or full\-stack integration to help bridge the gap between AI logic and user interfaces</t>
        </is>
      </c>
    </row>
    <row r="24">
      <c r="A24" t="inlineStr">
        <is>
          <t>li-4360120716</t>
        </is>
      </c>
      <c r="B24" t="inlineStr">
        <is>
          <t>Senior Applied Scientist - AI/ML</t>
        </is>
      </c>
      <c r="C24" t="inlineStr">
        <is>
          <t>Wealth.com</t>
        </is>
      </c>
      <c r="D24" t="inlineStr">
        <is>
          <t>linkedin</t>
        </is>
      </c>
      <c r="E24">
        <f>HYPERLINK("https://www.linkedin.com/jobs/view/4360120716", "https://www.linkedin.com/jobs/view/4360120716")</f>
        <v/>
      </c>
      <c r="F24" t="inlineStr"/>
      <c r="G24" t="inlineStr"/>
      <c r="H24" t="inlineStr"/>
      <c r="I24" t="inlineStr">
        <is>
          <t>**About Us**
 Wealth.com is the industry’s leading estate planning platform, empowering more than 1,000 wealth management firms to modernize how they talk about estate planning with their clients. As the only tech\-led, end\-to\-end platform built specifically for financial institutions, Wealth.com enables firms to drive scale, efficiency, and measurable client impact. Trusted by some of the largest names in finance, Wealth.com combines proprietary AI, robust security, and deep technological and legal expertise to serve the full range of client needs, from foundational plans to the most sophisticated estate strategies. The company has been widely recognized for innovation and leadership, winning Top Estate Planning Technology and Top Estate Planning Implementation at the 2025 WealthManagement.com Industry Awards, being named the 2024 Best Technology Provider in the Trust category, and earning \#1 in estate planning market share in the 2025 Kitces AdvisorTech Study.
 Our team is fundamental to our standing as the leading estate planning platform. We cultivate a collaborative and supportive environment, fostering innovation and making Wealth.com a truly enjoyable workplace. Wealth.com is proud to be certified as a Great Place to Work for 2025\.
**The Role**
 We are seeking an Applied Scientist with a strong software engineering foundation to build the next generation of legal and financial AI. In this role, you will move beyond theoretical knowledge and focus on the practical application of building, scaling, and maintaining robust, production\-grade AI systems. You will work on a variety of initiatives, from complex document understanding to the development of sophisticated AI agents that will redefine how estate planning is done.
 Your primary focus will be on the "how"—how to effectively leverage state\-of\-the\-art models in a real\-world application, how to build scalable and secure systems around their limitations, and how to ship products that deliver real value to our users.
**What You Will Do**
* Design, build, and deploy production\-grade systems leveraging Large Language Models (LLMs) from providers like OpenAI, Google (Vertex AI), and Anthropic.
* Develop and scale end\-to\-end applications for complex document understanding, focusing on textual, financial, and tabular data. This includes building sophisticated, high\-precision RAG (Retrieval\-Augmented Generation) systems that are battle\-tested for production traffic.
* Implement robust guardrails, validation layers, and monitoring to preemptively address model limitations, such as hallucinations, both in offline evaluation and online production environments.
* Engineer and deploy complex, multi\-step AI agents, with a focus on creating agentic workflows that are scalable, maintainable, and secure, especially when handling highly sensitive client data.
* Own projects from conception to deployment, making key architectural decisions and ensuring the systems you build meet stringent requirements for latency, precision, and recall.
* Build scalable ETL (Extract, Transform, Load) data pipelines to process and prepare complex datasets for AI model consumption.
* Collaborate closely with product managers, software engineers, and other scientists to build tools, define metrics, and continuously improve the end\-to\-end quality of our AI systems.
* Align your technical work with business outcomes, effectively communicating the impact and performance of the systems you build to stakeholders.
**Qualifications**
* A degree in Computer Science, Engineering, or a related quantitative field (or equivalent practical experience).
* Proven experience building and shipping software in a production environment. You are a builder at heart and have a portfolio of projects (personal or professional) that have seen real user traffic.
* Strong software engineering fundamentals, including data structures, algorithms, system design, and writing clean, maintainable code.
* Hands\-on experience building, deploying, and maintaining production\-level agent systems using frameworks like Agent Development Kit (ADK) or LangGraph.
* Proficiency in Python and a strong aptitude for working in a polyglot environment that may include TypeScript, C\#, etc.
* Experience developing applications that consume and integrate APIs from major AI providers (e.g., Google Vertex AI, Azure OpenAI).
**Preferred Qualifications (Bonus Points)**
* 5\+ years of professional experience writing production code and shipping AI/ML\-powered features.
* Demonstrated experience building and scaling agentic workflows. Extra points if you have dealt with highly sensitive data as part of these agents.
* Experience working in a highly regulated industry such as LegalTech, FinTech, or HealthTech. You understand the unique challenges and importance of security and privacy.
* Experience with MLOps, including setting up training pipelines, monitoring model performance in production, and implementing CI/CD for ML systems.
* Familiarity with techniques for ensuring data privacy and security in AI systems (e.g., identifying and sanitizing PII).
**Benefits \&amp; Perks**
* Competitive salary.
* Hybrid work arrangement if located in the Phoenix or New York area; otherwise, fully remote. We also meet together in person several times a year.
* Excellent medical, dental, and vision insurance options, with low\-cost premium structures that demonstrate our commitment to offering great value to our employees.
* 100% company\-paid basic life insurance, short\-term and long\-term disability insurance.
* 100% paid parental leave upon eligibility.
* Company equity managed through Carta.
* 401k with match and 100% vesting upon hire.
* Flexible PTO in an environment where taking time off to relax or recharge is supported and encouraged.
* Take time off for holidays—and yes, your birthday counts too. Celebrate, relax, and recharge without thinking twice.
 Wealth is an equal opportunity employer and encourages people from all backgrounds to apply. Should you have a disability or special need that requires accommodation, please let us know.
 Compensation Range: $180K \- $215K</t>
        </is>
      </c>
    </row>
    <row r="25">
      <c r="A25" t="inlineStr">
        <is>
          <t>li-4375401729</t>
        </is>
      </c>
      <c r="B25" t="inlineStr">
        <is>
          <t>AI Engineer</t>
        </is>
      </c>
      <c r="C25" t="inlineStr">
        <is>
          <t>NuStar Technologies</t>
        </is>
      </c>
      <c r="D25" t="inlineStr">
        <is>
          <t>linkedin</t>
        </is>
      </c>
      <c r="E25">
        <f>HYPERLINK("https://www.linkedin.com/jobs/view/4375401729", "https://www.linkedin.com/jobs/view/4375401729")</f>
        <v/>
      </c>
      <c r="F25" t="inlineStr"/>
      <c r="G25" t="inlineStr">
        <is>
          <t>Des Moines, IA</t>
        </is>
      </c>
      <c r="H25" t="inlineStr"/>
      <c r="I25" t="inlineStr">
        <is>
          <t>Must Have Technical/Functional Skills
 Looking for an experienced AI Engineer (6–8 years) to design, develop, and deploy cutting\-edge AI/ML solutions. The ideal candidate will have strong experience in machine learning, deep learning, data engineering, and building scalable AI systems for real\-world applications.
**Responsibilities**
* Build and optimize ML/Deep Learning models for NLP, CV, and predictive analytics.
* Develop end to end AI pipelines including training, deployment, and monitoring.
* Deploy models using Docker/Kubernetes and cloud platforms (Azure/AWS/GCP).
* Work with large datasets and build data pipelines using Python, SQL, and Spark/Databricks.
* Implement MLOps practices (CI/CD, model tracking, monitoring).
* Collaborate with cross functional teams to translate business needs into AI solutions.
 Technical Skills
* Programming Languages: Python (strong expertise), SQL
* ML/DL Frameworks: TensorFlow, PyTorch, Scikit\-learn
* NLP/LLM Tools: Transformers, LangChain, OpenAI APIs
* Cloud Platforms: Azure/AWS/GCP (at least one required)
* MLOps: MLflow, Kubernetes, Docker, Git
* Big Data Tools: Spark, Hive, Databricks (preferred)
**Experience**
* 4–6 years of experience in AI/ML engineering roles.
* End\-to\-end experience from data preparation to model deployment.
* Building scalable production grade AI solutions.
 Salary Range\- $85,000\-$105,000 a year</t>
        </is>
      </c>
    </row>
    <row r="26">
      <c r="A26" t="inlineStr">
        <is>
          <t>li-4375403317</t>
        </is>
      </c>
      <c r="B26" t="inlineStr">
        <is>
          <t>Machine Learning Engineer</t>
        </is>
      </c>
      <c r="C26" t="inlineStr">
        <is>
          <t>QuadSci.ai</t>
        </is>
      </c>
      <c r="D26" t="inlineStr">
        <is>
          <t>linkedin</t>
        </is>
      </c>
      <c r="E26">
        <f>HYPERLINK("https://www.linkedin.com/jobs/view/4375403317", "https://www.linkedin.com/jobs/view/4375403317")</f>
        <v/>
      </c>
      <c r="F26" t="inlineStr"/>
      <c r="G26" t="inlineStr"/>
      <c r="H26" t="inlineStr"/>
      <c r="I26" t="inlineStr">
        <is>
          <t>**About QuadSci.ai:** 
**QuadSci is an AI product company for software companies.** 
 QuadSci AIs are fine\-tuned and locally deployed within customer environments. Our AIs process BILLIONS of product analytics, observability and customer data events to determine churn, contraction, and growth signals as far as 12 months in advance.
 We started QuadSci to answer 2 fundamental questions:
* Customers demand great experiences from software vendors and require you to lead them in their journey…
 **Why isn’t this easy in the age of AI?**
* Software companies want to deliver great customer experiences but internal processes distract from Customers…
 **How can AI \&amp; Orchestrated Actions create a performance flywheel for the top \&amp; bottom line?**
 QuadSci is empowering Go\-To\-Market (GTM, Sales, Customer Success, Marketing, Services, etc.) leaders to scientifically manage customer lifecycle, GTM performance and ARR predictability to add points to the "Rule of 40" only QuadSci can provide.
**About the ML Engineer role:** 
 You are an expert at finding patterns and explaining insights from application \&amp; event data using supervised and unsupervised ML approaches to customers. Our AI insights \&amp; signals are the source of powering orchestrated actions (next\-best action) that improves GTM performance of customer\-centric organizations. You will be accountable for the development \&amp; packaging, fine\-tuning and performance monitoring of QuadSci's AI products (Cohorts AI \&amp; Growth AI). A summary of your responsibilities is below:
* Field deployed AI/ML Engineer working across 1 \- 5 customers
* Analyzing diverse and dynamic data sets across application telemetry, CRM, Support, Accounting / Billing, Website Analytics and other common enterprise data sources.
* Utilize our auto feature engineering assets focused on large telemetry data sets (TBs to PBs)
* Deploy, train, test and monitor AI products at scale within a Customers’ operating architecture in platforms such as Vertex AI
* Engage with other QuadSci deployed colleagues on the explanation of data insights, confirmation of design requirements, root cause analysis, etc.
* Work with Customers on AI feature roadmaps (incl. GenAI applications) for their models and ongoing performance management of deployed AI models
* Collaborate with QuadSci colleagues, Customer Cloud Ops and Partners on ML ops, integrations and performance management
* Contribute to QuadSci codebase for auto\-feature engineering, AI product packaging, next best action logic and more
**Basic Qualifications \- Must have:** 
* Bachelor’s degree in Computer Science, Data Science, Statistics, Mathematics or other related field
* 3\+ years of relevant experience in data science or product development
* Experience with data science and cloud computing environments like VertexAI, Sagemaker or similar tool
* Demonstrated success in the use of clustering, classification, regression, decision trees etc to deliver transformative insights
* Strong experience in building, training, and tuning predictive machine learning, especially in the domains of next best offer or recommended action based on time\-series type data sets
* Experience in Natural Language Processing (NLP) for sentiment analysis and behavioral modeling
* Hands on experience with Pandas, Polars and / or Dask (Coiled) for data transformation \&amp; feature engineering
**Advanced Qualifications \- Nice to have:** 
* Masters degree in Computer Science, Data Science, Applied Statistics or a related field
* Deployment architecture experience for MLOps optimization using technologies like Dagster or similar tool
* Experience in the use of Large Language Models (LLMs, both Open Source \&amp; Proprietary), Embeddings algorithms,Vector DBs and APIs to create GenAI applications
* Familiarity with technologies and/or data architectures such as: Pendo, Salesforce and Open Telemetry
* Direct experience in the use of AI/ML to automate essential business processes that have an impact to Field teams or Customers
 At QuadSci, we believe equal opportunity fuels innovation and strengthens our culture. We actively welcome candidates from all backgrounds and are committed to creating an environment where everyone can thrive on the merits of their efforts and outcomes. QuadSci is an equal opportunity/affirmative action employer.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t>
        </is>
      </c>
    </row>
    <row r="27">
      <c r="A27" t="inlineStr">
        <is>
          <t>li-4375400794</t>
        </is>
      </c>
      <c r="B27" t="inlineStr">
        <is>
          <t>Senior AI Engineer</t>
        </is>
      </c>
      <c r="C27" t="inlineStr">
        <is>
          <t>NuStar Technologies</t>
        </is>
      </c>
      <c r="D27" t="inlineStr">
        <is>
          <t>linkedin</t>
        </is>
      </c>
      <c r="E27">
        <f>HYPERLINK("https://www.linkedin.com/jobs/view/4375400794", "https://www.linkedin.com/jobs/view/4375400794")</f>
        <v/>
      </c>
      <c r="F27" t="inlineStr"/>
      <c r="G27" t="inlineStr">
        <is>
          <t>Des Moines, IA</t>
        </is>
      </c>
      <c r="H27" t="inlineStr"/>
      <c r="I27" t="inlineStr">
        <is>
          <t>Must Have Technical/Functional Skills
 Seeking a highly skilled Senior AI Engineer to lead the design, development, and deployment of advanced AI/ML solutions. The ideal candidate has strong expertise in machine learning, deep learning, LLMs, and scalable AI system architecture, with the ability to mentor junior engineers and drive strategic AI initiatives.
 Key Responsibilities
 AI/ML Architecture \&amp; Development
* Lead development of sophisticated machine learning and deep learning models for NLP, computer vision, and predictive analytics.
* Architect and optimize LLM based and GenAI solutions, including fine\-tuning, RAG pipelines, and custom model development.
* Drive feature engineering, experimentation, model tuning, and validation.
 AI System Design \&amp; Deployment
* Build and maintain end to end AI pipelines from data ingestion to production deployment.
* Deploy large\-scale AI systems on cloud platforms (Azure, AWS, or GCP) using Docker, Kubernetes, and serverless technologies.
* Implement scalable API endpoints and microservices for AI model consumption.
 MLOps Strategy \&amp; Automation
* Implement modern MLOps practices—model tracking, versioning, monitoring, drift detection, automated retraining.
* Own CI/CD pipelines for AI workloads using GitHub Actions, Azure DevOps, Jenkins, etc.
 Data Engineering
* Work closely with data engineering teams to build high\-quality data pipelines.
* Manage large datasets using Spark/Databricks, SQL, and data processing frameworks.
 Salary Range\- $85,000\-$105,000 a year</t>
        </is>
      </c>
    </row>
    <row r="28">
      <c r="A28" t="inlineStr">
        <is>
          <t>li-4375417956</t>
        </is>
      </c>
      <c r="B28" t="inlineStr">
        <is>
          <t>Machine Learning Engineer</t>
        </is>
      </c>
      <c r="C28" t="inlineStr">
        <is>
          <t>Heven AeroTech</t>
        </is>
      </c>
      <c r="D28" t="inlineStr">
        <is>
          <t>linkedin</t>
        </is>
      </c>
      <c r="E28">
        <f>HYPERLINK("https://www.linkedin.com/jobs/view/4375417956", "https://www.linkedin.com/jobs/view/4375417956")</f>
        <v/>
      </c>
      <c r="F28" t="inlineStr"/>
      <c r="G28" t="inlineStr"/>
      <c r="H28" t="inlineStr"/>
      <c r="I28" t="inlineStr">
        <is>
          <t>**Role Summary:** 
**The Machine Learning Engineer will architect and deploy production AI/ML systems that power autonomous aerospace operations from edge to cloud. This role involves building and maintaining the complete ML lifecycle—spanning from data pipelines to deployed models—with a focus on computer vision for autonomous navigation, LLMs for mission planning, and agentic AI for enterprise optimization. The position requires taking full ownership of system reliability, performance, and the operational excellence necessary to enable next\-generation autonomous Unmanned Aircraft Systems (UAS).** 
**Essential Responsibilities:** 
 ML Pipeline Development
* Build data processing and training pipelines using Google Cloud
* Develop computer vision models for obstacle detection, target recognition, and sensor fusion
* Implement automated retraining workflows and experiment tracking systems
* Create CI/CD pipelines for model deployment
 Edge Deployment \&amp; Optimization
* Optimize models for edge devices through quantization, pruning, and compression
* Deploy inference pipelines on UAS hardware with power and memory constraints
* Implement visual\-inertial odometry for GPS\-denied navigation
* Develop over\-the\-air updates and offline\-capable systems with network fallback
* Integrate sensor fusion algorithms (camera, LiDAR, radar, IMU)
 Production Monitoring \&amp; Maintenance
* Monitor model performance, latency, and availability against SLAs
* Build drift detection, A/B testing, and alerting systems
* Troubleshoot production issues and maintain audit trails
 LLM \&amp; Agentic AI
* Deploy and fine\-tune LLMs for mission planning
* Build RAG systems and agentic AI workflows for enterprise operations
**Qualifications \&amp; Experience:** 
 Required: 
* Bachelor's degree in Computer Science, Applied Mathematics, or related technical field
* 5\+ years building production ML systems; 3\+ years with Google Cloud Platform
* Google Professional Machine Learning Engineer Certification (current or obtainable within 1 month)
* Expert Python; production experience with TensorFlow or PyTorch
* Computer vision systems: object detection, segmentation, tracking
* Edge deployment with TensorFlow Lite, TensorRT, or ONNX; model optimization experience
* MLOps: CI/CD, monitoring, experiment tracking
* Experience deploying LLMs and RAG systems
* U.S. Person status; ability to obtain DoD Secret clearance within 6 months
 Strongly Preferred: 
* Edge hardware deployment (NVIDIA Jetson, Google Coral TPU)
* Embedded Linux and ROS experience
* Defense/aerospace industry background
* Additional Google Cloud certifications
* Domain expertise: GPS\-denied navigation, sensor fusion, UAV/drone systems, or adversarial ML
**Physical Requirements:** 
* The ability to maintain a stable, upright seated or standing position for extended periods (typically 6–10 hours per day) without significant physical fatigue.
* High\-frequency use of fingers and wrists for data entry, complex coding, and navigating digital interfaces using keyboards and mice.
* The capacity for "near\-point" visual tasking, involving the ability to focus on high\-resolution displays for long durations and process dense information without excessive eye strain.</t>
        </is>
      </c>
    </row>
    <row r="29">
      <c r="A29" t="inlineStr">
        <is>
          <t>li-4375414137</t>
        </is>
      </c>
      <c r="B29" t="inlineStr">
        <is>
          <t>Senior ML Engineer I/II, Agentic Simulations</t>
        </is>
      </c>
      <c r="C29" t="inlineStr">
        <is>
          <t>Lila Sciences</t>
        </is>
      </c>
      <c r="D29" t="inlineStr">
        <is>
          <t>linkedin</t>
        </is>
      </c>
      <c r="E29">
        <f>HYPERLINK("https://www.linkedin.com/jobs/view/4375414137", "https://www.linkedin.com/jobs/view/4375414137")</f>
        <v/>
      </c>
      <c r="F29" t="inlineStr"/>
      <c r="G29" t="inlineStr">
        <is>
          <t>Cambridge, MA</t>
        </is>
      </c>
      <c r="H29" t="inlineStr"/>
      <c r="I29" t="inlineStr">
        <is>
          <t>**Your Impact at Lila**
 As a member of our team in the Physical Sciences division, you will shape the ML\- and agent\-driven infrastructure that enables Lila’s scientific superintelligence to autonomously construct, execute, and interpret complex physics simulations. Your work will focus on building the core systems that allow AI agents to reason over and control computational experiments, spanning from electronic structure calculations to surrogate\-driven atomistic modeling, and beyond. Your work will directly influence how autonomous computational processes will explore chemical and materials landscapes with unprecedented autonomy and robustness.
**What You'll Be Building**
* Architect and implement agentic frameworks that support dynamic, multi\-stage simulation workflows for scientific tasks
* Develop pipelines enabling agents to autonomously plan, schedule, execute, and interpret computational tasks at scale
* Build integration layers and APIs that connect ML models, large\-scale simulation engines, databases, and heterogeneous compute platforms.
* Work with AI researchers to productionize agent behaviors, including tool\-use strategies, simulation\-aware decision loops, and adaptive task planning.
* Improve the robustness, modularity, performance, and reproducibility of agent\-driven computational workflows; build internal tooling for debugging, observability, and validation.
**What You’ll Need To Succeed**
* MS/PhD or equivalent experience in Computer Science, ML/AI, Scientific Computing, or a related technical field.
* Strong experience building ML\-driven pipelines, workflow systems, or tool\-use frameworks, ideally for complex or scientific applications.
* Proficiency in Python and ML ecosystems; experience with one or more compiled languages (e.g., C\+\+, Rust, Julia) is beneficial.
* Familiarity with large\-scale scientific or engineering software, including integrating external tools into automated computational workflows.
* Experience with distributed systems, HPC environments, cloud platforms, or accelerator\-based computing.
* Deep understanding of modern ML architectures and their deployment in production systems (e.g., GNNs, transformers, diffusion models, multimodal or tool\-using models).
* Strong engineering fundamentals: reproducibility, testing, modular design, CI/CD, and scalable ML operations.
**Bonus Points For**
* Experience developing or integrating agentic frameworks, autonomous ML pipelines, or multi\-step tool\-using agents, particularly for scientific applications
* Background in large\-scale simulation frameworks, scientific workflow orchestration, or automated computational experiment platforms.
* Contributions to open\-source ML infrastructure, workflow engines, agent frameworks, or scientific software ecosystems.
* Familiarity with data\-centric engineering practices: streaming systems, provenance tracking, distributed metadata services, or large\-scale data orchestration.
* Experience with workflow orchestration systems (e.g., Flyte, Prefect, Airflow) and container orchestration (Kubernetes).
* Familiarity with materials science simulation codes (VASP, LAMMPS) or workflow frameworks (atomate, aiida) is a plus but not required.
* Expertise in advanced ML techniques relevant to agentic reasoning (planning models, self\-improving systems, multi\-tool agents, RLHF/RLAIF workflows).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**Compensation**
 We expect the base salary for this role to fall between
 **$176,000 –$304,000 USD per year** 
 , along with bonus potential and generous early equity. The final offer will reflect your unique background, expertise, and impact.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30">
      <c r="A30" t="inlineStr">
        <is>
          <t>li-4375411016</t>
        </is>
      </c>
      <c r="B30" t="inlineStr">
        <is>
          <t>Senior AI/ML Engineer</t>
        </is>
      </c>
      <c r="C30" t="inlineStr">
        <is>
          <t>Involved Solutions</t>
        </is>
      </c>
      <c r="D30" t="inlineStr">
        <is>
          <t>linkedin</t>
        </is>
      </c>
      <c r="E30">
        <f>HYPERLINK("https://www.linkedin.com/jobs/view/4375411016", "https://www.linkedin.com/jobs/view/4375411016")</f>
        <v/>
      </c>
      <c r="F30" t="inlineStr"/>
      <c r="G30" t="inlineStr">
        <is>
          <t>Boston, MA</t>
        </is>
      </c>
      <c r="H30" t="inlineStr"/>
      <c r="I30" t="inlineStr">
        <is>
          <t>We have partnered with an ambitious digital health company based in Boston that is using AI to transform how chronic disease is monitored and managed at scale. Backed by $85 million in Series C funding and working with over 60 hospital networks across the US, they are at an inflection point, the clinical validation is done, the contracts are signed, and now they need to build. Their engineering team is small, exceptionally talented, and working on problems that have a direct impact on patient outcomes.
 The Opportunity:
 As they scale their AI platform across an expanding network of health system clients, they need a Senior AI/ML Engineer who can take ownership of complex technical challenges and help drive the next generation of their clinical intelligence product. This is not a role for someone who wants to maintain existing systems, it is for someone who wants to build something genuinely new in a space where the stakes are real.
 What You'll Be Doing:
* Designing and delivering LLM\-powered features that surface clinical insights from complex, unstructured patient data
* Building and maintaining RAG pipelines that make vast volumes of medical records intelligible and actionable
* Working with vector databases to enable fast, accurate retrieval across large clinical datasets
* Collaborating closely with clinical advisors and product teams to ensure AI outputs meet real\-world healthcare standards
* Mentoring junior engineers and contributing to the technical culture of a growing AI team
 What We're Looking For
* 5 to 8 years of AI/ML engineering experience with production LLM work you can speak to directly
* Strong Python and hands\-on experience with frameworks like LangChain, LlamaIndex, or Hugging Face
* Experience working with unstructured data at scale
* Cloud experience across AWS or Azure
 Nice to have:
* Experience in healthcare, clinical AI, or life sciences
* Familiarity with HIPAA compliance requirements
* Exposure to medical NLP or clinical NLP tooling such as AWS Comprehend Medical
 What's on Offer
* Equity in a company with a clear and credible growth trajectory
* Fully remote\-first with occasional travel to Boston HQ
* Comprehensive health, dental and vision coverage
* 401(k) with company match</t>
        </is>
      </c>
    </row>
    <row r="31">
      <c r="A31" t="inlineStr">
        <is>
          <t>li-4375405302</t>
        </is>
      </c>
      <c r="B31" t="inlineStr">
        <is>
          <t>Senior AI/ML Engineer</t>
        </is>
      </c>
      <c r="C31" t="inlineStr">
        <is>
          <t>Involved Solutions</t>
        </is>
      </c>
      <c r="D31" t="inlineStr">
        <is>
          <t>linkedin</t>
        </is>
      </c>
      <c r="E31">
        <f>HYPERLINK("https://www.linkedin.com/jobs/view/4375405302", "https://www.linkedin.com/jobs/view/4375405302")</f>
        <v/>
      </c>
      <c r="F31" t="inlineStr"/>
      <c r="G31" t="inlineStr">
        <is>
          <t>Austin, TX</t>
        </is>
      </c>
      <c r="H31" t="inlineStr"/>
      <c r="I31" t="inlineStr">
        <is>
          <t>We have partnered with a fast\-growing SaaS company based in Austin that is embedding AI across its entire customer experience platform, and doing it properly. Series C funded with over $120 million raised, they serve more than 2,000 businesses globally and have just crossed $50 million ARR. This is a company that has found its market, proven its model, and is now scaling hard. Engineering is taken seriously here; the CTO came from a foundational AI research background, and the team reflects that.
 The Opportunity
 With AI now central to their product strategy, they are hiring a Senior AI/ML Engineer to join a growing team responsible for building the intelligence layer across their platform. This is a high\-visibility role with real scope, you will be contributing to features used by millions of end users and working alongside some of the strongest engineers in the business.
 What You'll Be Doing:
* Building and scaling LLM\-powered features across a high\-traffic SaaS platform used by businesses globally
* Designing RAG architectures and prompt engineering frameworks that power intelligent, context\-aware product experiences
* Working with vector databases and embedding models to deliver fast, relevant AI\-driven outputs at scale
* Partnering with product managers and frontend engineers to ship AI features end to end
* Playing an active role in technical strategy discussions and helping define how AI evolves across the product
 What We're Looking For
* 5 to 8 years of AI/ML engineering experience with a strong focus on LLMs in production
* Hands\-on experience with LangChain, LlamaIndex, or similar frameworks
* Proven ability to build and ship AI features in a fast\-moving product environment
* Strong Python and experience with at least one major cloud provider
* Someone who is comfortable with ambiguity and can balance speed with quality
 Nice to have:
* Experience scaling AI systems on high\-traffic consumer or B2B SaaS platforms
* Familiarity with A/B testing AI features and measuring their business impact
* Knowledge of cost optimisation strategies for LLM inference at scale
 What's on Offer:
* Equity with real upside at a company approaching a significant growth milestone
* Fully remote\-first with optional access to the Austin office
* Comprehensive health, dental and vision coverage
* 401(k) with company match</t>
        </is>
      </c>
    </row>
    <row r="32">
      <c r="A32" t="inlineStr">
        <is>
          <t>li-4374074446</t>
        </is>
      </c>
      <c r="B32" t="inlineStr">
        <is>
          <t>AI / Machine Learning Engineer</t>
        </is>
      </c>
      <c r="C32" t="inlineStr">
        <is>
          <t>Graystone Group</t>
        </is>
      </c>
      <c r="D32" t="inlineStr">
        <is>
          <t>linkedin</t>
        </is>
      </c>
      <c r="E32">
        <f>HYPERLINK("https://www.linkedin.com/jobs/view/4374074446", "https://www.linkedin.com/jobs/view/4374074446")</f>
        <v/>
      </c>
      <c r="F32" t="inlineStr"/>
      <c r="G32" t="inlineStr"/>
      <c r="H32" t="inlineStr"/>
      <c r="I32" t="inlineStr">
        <is>
          <t>**About the Opportunity** 
 Graystone Group is partnering with a highly innovative, compliance\-driven technology organization to identify an experienced
 **AI/ML Engineer** 
 to architect and operationalize advanced AI capabilities across a mission\-critical enterprise platform.
 This is a high\-impact role for a hands\-on engineer who thrives at the intersection of LLMs, MLOps, and scalable AI architecture within regulated environments. You will play a key role in designing, deploying, and optimizing intelligent systems—including retrieval\-augmented generation (RAG), agentic frameworks, and secure tool integrations—while ensuring performance, cost\-efficiency, and audit\-ready compliance.
 The ideal candidate is both strategic and technical: someone who can design AI systems from first principles while owning full lifecycle delivery from model development through production deployment and continuous optimization.
**Key Responsibilities** 
**AI/ML Architecture \&amp; System Design** 
* Design and implement scalable AI/ML architectures, with a focus on Large Language Models (LLMs), RAG pipelines, and agentic workflows
* Establish reference architectures for compliant, traceable, and production\-grade ML systems in regulated environments (e.g., GxP/GMP)
* Define prompt orchestration, guardrails, and traceability patterns to ensure safe and reliable model outputs
**LLM, RAG \&amp; Agentic Frameworks** 
* Build and operationalize LLM\-powered applications using modern frameworks and orchestration patterns (ReAct, Chain\-of\-Thought, tool use)
* Architect multi\-agent systems that integrate disparate enterprise data sources
* Develop and deploy Model Context Protocol (MCP) servers and secure tool connectors for LLM interoperability
**MLOps \&amp; Production Deployment** 
* Own end\-to\-end ML lifecycle including data pipelines, model training, fine\-tuning, evaluation, and deployment
* Stand up CI/CD pipelines for ML workflows including experiment tracking, feature stores, and model registries
* Deploy scalable solutions using containerization and orchestration tools (Docker, Kubernetes, serverless environments)
**Cost Optimization \&amp; Performance (FinOps for AI)** 
* Optimize model selection, inference throughput, and infrastructure costs through batching, caching, quantization, and distillation
* Implement cost observability, autoscaling strategies, and budget\-aware architecture decisions
* Continuously improve system performance while maintaining SLAs and cost efficiency
**Safety, Security \&amp; Compliance** 
* Implement AI safety guardrails including input/output filtering, prompt injection mitigation, and audit logging
* Enforce RBAC, least\-privilege access, privacy\-by\-design, and secure data handling (PII/PHI)
* Support validation documentation, audit trails, and change control in regulated environments
**Cross\-Functional Collaboration \&amp; Leadership** 
* Translate product and business requirements into scalable AI solutions
* Partner with Product, QA, Validation, and Engineering teams to deliver production\-ready systems
* Provide technical mentorship, code reviews, and guidance on ML best practices and standards
* Contribute to long\-term AI/ML roadmap, tooling evaluations, and build\-vs\-buy decisions
**Required Qualifications** 
* 5\+ years of hands\-on experience in Machine Learning, including model development and production deployment
* Strong experience with LLMs (OpenAI, Azure OpenAI, or similar), RAG pipelines, and prompt engineering
* Proven expertise in Python and strong software engineering fundamentals (testing, CI/CD, observability)
* Experience with modern ML frameworks (PyTorch, TensorFlow, or equivalent)
* Hands\-on experience with MLOps tools such as MLflow, Kubeflow, SageMaker, or similar platforms
* Cloud experience (Azure preferred) including Azure AI Foundry, Azure OpenAI, and Azure AI Search (vector/hybrid search)
* Experience designing AI architecture patterns including RAG, agentic workflows, and tool orchestration frameworks
* Familiarity with vector databases (e.g., pgvector, Azure Cognitive Search, Pinecone, FAISS)
* Experience deploying ML systems using Docker, Kubernetes, and scalable cloud infrastructure
* Strong understanding of model evaluation, monitoring, drift detection, and continuous optimization
* Ability to operate in regulated, audit\-ready, or compliance\-driven environments
**Preferred Qualifications** 
* Experience in Life Sciences, Healthcare, or other regulated environments (GxP/GMP, 21 CFR Part 11, EU Annex 11\)
* Experience designing or operating MCP servers or similar LLM tool execution frameworks
* Background in AI security, privacy engineering, or threat modeling for LLM systems
* Experience with enterprise reporting tools (Power BI, Tableau, SSRS)
* Exposure to large\-scale data processing tools (Spark, Flink, or similar)
* Demonstrated success optimizing AI/ML workloads for cost, scalability, and performance</t>
        </is>
      </c>
    </row>
    <row r="33">
      <c r="A33" t="inlineStr">
        <is>
          <t>li-4372796646</t>
        </is>
      </c>
      <c r="B33" t="inlineStr">
        <is>
          <t>Machine Learning Engineer</t>
        </is>
      </c>
      <c r="C33" t="inlineStr">
        <is>
          <t>Capgemini</t>
        </is>
      </c>
      <c r="D33" t="inlineStr">
        <is>
          <t>linkedin</t>
        </is>
      </c>
      <c r="E33">
        <f>HYPERLINK("https://www.linkedin.com/jobs/view/4372796646", "https://www.linkedin.com/jobs/view/4372796646")</f>
        <v/>
      </c>
      <c r="F33">
        <f>HYPERLINK("https://careers.capgemini.com/job/New-York%2C-NY-Machine-Learning-Engineer-NY-10001/1270383701/?feedId=388933&amp;utm_source=LinkedInJobPostings&amp;urlHash=gOsH", "https://careers.capgemini.com/job/New-York%2C-NY-Machine-Learning-Engineer-NY-10001/1270383701/?feedId=388933&amp;utm_source=LinkedInJobPostings&amp;urlHash=gOsH")</f>
        <v/>
      </c>
      <c r="G33" t="inlineStr">
        <is>
          <t>New York, NY</t>
        </is>
      </c>
      <c r="H33" t="inlineStr"/>
      <c r="I33"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New York, NY
 Job Description:
* Analyze large and complex datasets to derive actionable insights and inform business strategies.
* Develop and implement advanced machine learning models and algorithms.
* Collaborate with cross\-functional teams to understand business needs and provide data\-driven solutions.
* Communicate findings and recommendations to stakeholders and executive leadership.
* Stay updated with the latest trends and technologies in data science and machine learning.
 Basic Qualifications:
* Proficient in Pyspark, Py\-Torch \&amp; GenAI,
* Experience in Python, Pandas, NumPy, Scikit\-Learn
* Bachelor's degree in Computer Science, Statistics, Applied Mathematics, or a related field.
* Minimum of 8 years of experience in a data science role.
* Proficiency in programming languages such as Python or R..
* Strong understanding of machine learning techniques and algorithms.
 Preferred Qualifications:
* Experience with modern ML frameworks such as PyTorch, TensorFlow
* Experience with big data technologies such as PySpark
* Experience with ML model training within cloud infra such as Azure, AWS, GCP
* Proven track record of successfully deploying and optimizing ML models in a production environment.
* Excellent communication and visualization skills to effectively present data insights to non\-technical stakeholders."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The base compensation range for this role in the posted location is: $96000 to $110000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4">
      <c r="A34" t="inlineStr">
        <is>
          <t>li-4374071248</t>
        </is>
      </c>
      <c r="B34" t="inlineStr">
        <is>
          <t>Machine Learning Engineer</t>
        </is>
      </c>
      <c r="C34" t="inlineStr">
        <is>
          <t>TekStream Solutions</t>
        </is>
      </c>
      <c r="D34" t="inlineStr">
        <is>
          <t>linkedin</t>
        </is>
      </c>
      <c r="E34">
        <f>HYPERLINK("https://www.linkedin.com/jobs/view/4374071248", "https://www.linkedin.com/jobs/view/4374071248")</f>
        <v/>
      </c>
      <c r="F34" t="inlineStr"/>
      <c r="G34" t="inlineStr"/>
      <c r="H34" t="inlineStr"/>
      <c r="I34" t="inlineStr">
        <is>
          <t>Machine Learning Engineer
 Remote
**Role and Responsibilities** 
 Model Development
* Collaborate with data scientists and SMEs to develop ML models using curated datasets.
* Conduct experiments, prototypes, and proof\-of\-concepts to validate model performance.
* Create scalable and reusable training pipelines using Databricks notebooks and MLflow.
 Implementation and Optimisation
* LLMs (Large Language Models), RAGs, and AI agent systems for various business applications. Deployment \&amp; MLOps
* Operationalize models with robust CI/CD workflows.
* Deploy models usingMLflow, SageMaker, or custom APIs.
* Monitor production models for accuracy, drift, and latency; manage retraining schedules.
 Data Integration \&amp; Architecture Alignment
* Work closely with Data Engineering to align ML pipelines with the Bronze, Silver, Gold layers of a Medallion Architecture.
* Engineer high\-quality features and maintain training/inference pipelines.
 Cloud and Platform Engineering
* Leverage AWS services including S3, EC2, Lambda, SageMaker, and Step Functions.
 Collaboration \&amp; Documentation
* Document ML artifacts, processes, and performance outcomes.
* Contribute to agile project ceremonies and maintain a feedback loop with stakeholders.
* Share knowledge and mentor junior team members.
**Required Skills:** 
* 5\+ years of experience in ML Engineering or Applied Machine Learning.
* Strong Python skills and hands\-on experience with ML libraries (e.g., scikit\-learn, XGBoost, PyTorch, TensorFlow).
* Proficient with Databricks, MLflow, and PySpark.
* Solid understanding of model lifecycle and MLOps practices.
* Experience with AWS\-based data infrastructure and related DevOps practices.
* Demonstrated ability to productionize models and integrate with business system
* Strong understanding of mathematics and statistics relevant to machine learning and AI.
* Proven experience with machine learning models and algorithms (supervised, unsupervised, deep learning, etc.).
* Solid background in software engineering principles and best practices.
* Hands\-on experience with model training frameworks (e.g., TensorFlow, PyTorch, Hugging Face).
* Experience with MLOps tools and workflows, particularly on AWS (SageMaker, Lambda, S3, etc.).
* Practical experience with LLMs, RAGs, and AI agent architectures.
* Proficiency with the Databricks platform for data engineering and ML pipelines.
* Advanced programming skills in Python.
* Excellent communication and teamwork abilities.
**Preferred Skills:** 
* Experience building and deploying interactive UIs for AI models using Streamlit, Gradio, or similar frameworks for rapid prototyping and real\-time model interactions
* Business acumen and ability to align AI solutions with organizational goals.
* Optimize compute and storage resources for performance and cost\-efficiency.</t>
        </is>
      </c>
    </row>
    <row r="35">
      <c r="A35" t="inlineStr">
        <is>
          <t>li-4375192923</t>
        </is>
      </c>
      <c r="B35" t="inlineStr">
        <is>
          <t>Senior Principal AI Engineer -Enfi</t>
        </is>
      </c>
      <c r="C35" t="inlineStr">
        <is>
          <t>Unusual Ventures</t>
        </is>
      </c>
      <c r="D35" t="inlineStr">
        <is>
          <t>linkedin</t>
        </is>
      </c>
      <c r="E35">
        <f>HYPERLINK("https://www.linkedin.com/jobs/view/4375192923", "https://www.linkedin.com/jobs/view/4375192923")</f>
        <v/>
      </c>
      <c r="F35" t="inlineStr"/>
      <c r="G35" t="inlineStr">
        <is>
          <t>Boston, MA</t>
        </is>
      </c>
      <c r="H35" t="inlineStr"/>
      <c r="I35" t="inlineStr">
        <is>
          <t>**Overview**
 We’re looking for a
 **Senior Principal AI Engineer** 
 to provide hands\-on technical leadership across complex, production\-grade AI systems. This role is for a builder\-architect—someone who has repeatedly taken AI systems from idea to production, understands where they fail at scale, and knows how to unblock teams to move faster without sacrificing outcomes.
 This is not a pure strategy or people\-management role. It is a deeply technical builder role with organizational impact. You will define technical direction by writing code, designing systems, and helping the organization stay in builder mode as complexity and scale increase.
**What You’ll Do**
* Architect and build end\-to\-end AI systems including LLM orchestration, retrieval layers, agentic workflows, and structured reasoning systems
* Lead the design of multi\-agent and tool\-calling systems that operate reliably in production
* Establish and evolve architecture patterns for scalable, cost\-aware, and observable AI applications
* Drive technical decisions across data modeling, AI pipelines, infrastructure, and APIs
* Define best practices for evaluation, monitoring, and governance of AI systems in production
* Mentor senior engineers through design reviews, code reviews, and system\-level debugging
* Translate ambiguous business and domain problems into clear technical strategies
* Stay ahead of emerging AI techniques and integrate what matters—without chasing hype
**Core Skills \&amp; Experience**
* 12\+ years of software engineering experience, with deep hands\-on experience building AI/ML systems in production
* Strong proficiency in TypeScript, React, Go, Python and modern AI frameworks
* Extensive experience with LLMs, including RAG, tool use, prompt systems, and agentic architectures
* Proven ability to design and ship large\-scale AI systems that run reliably in real\-world environments
* Strong architectural judgment across data systems, AI models, infrastructure, and application layers
* Deep understanding of AI failure modes: hallucination, drift, brittleness, latency, and cost blowups
* Excellent communication skills—able to explain technical tradeoffs to both technical and non\-technical audiences
* Track record of shipping systems end\-to\-end, not just prototypes or research work
**Builder Mentality (This Is Core to the Role)**
* We are explicitly looking for builders.
* By “builder,” we mean an operating mode, not a title.
**Builders:**
* Bias toward systems that solve user needs, not perfect abstractions
* Move comfortably from ambiguity → first draft → iteration → production
* Optimize for learning velocity and customer impact, not theoretical completeness
* Are willing to build the entire arc of a system to surface real constraints early
* Treat quality as something you earn through iteration, not something you gate progress with
* Understand that the last 10–20% of a system—integration, edge cases, UX, usability, reliability—is where real work happens
**At the Principal level, being a builder also means:**
* Helping the organization stay in builder mode as it grows
* Collapsing unnecessary complexity rather than introducing more process
* Knowing when architectural rigor matters, and when it is premature
* Pulling promising work across the finish line instead of waiting for “perfect readiness”
* Modeling speed, ownership, and clarity for other senior engineers
* Your impact is measured not only by what you build, but by how much faster and more effectively others can build because of you.
**Preferred Experience (Domain\-Flexible Specialties)**
* Knowledge graph architecture, ontology design, or semantic modeling in complex domains
* Graph databases, graph query languages, or graph ML techniques
* Hybrid systems combining structured reasoning with LLM\-based approaches
* Entity resolution, schema alignment, or knowledge fusion at scale
* AI systems requiring explainability, auditability, or lineage tracking
* Experience building AI systems in regulated or high\-stakes domains (finance, healthcare, legal, government)
* MLOps, evaluation infrastructure, or long\-running AI services operating at scale
**What You’ll Love**
* Owning the technical direction of real AI systems that make it into production
* Solving hard, ambiguous problems where architecture and execution matter equally
* Leading through hands\-on building, not layers of process
* Working in an environment that values shipping, learning, and iteration over perfection
* Having the latitude to shape both systems and how teams build them
**About Us**
 We are an AI\-first company, and we mean that literally.
 AI is not a feature we bolt on. It’s not a marketing layer. It’s not a roadmap experiment. It is the foundation of how we design, build, and operate.
 We are building systems where machines do what machines do best: pattern recognition, synthesis, analysis at scale. As well as what humans do what humans do best: judgment, context, trust, and accountability.
 That means rethinking workflows from the ground up. Not “how do we add AI to this process?” but “how should this process exist in a machine\-augmented world?”
 We care deeply about shipping real systems that work in production. In regulated environments. With real customers. At scale.
 If you’re excited to help invent the next way software is built and deployed, and to do it alongside a team of deeply pragmatic, AI\-obsessed builders, we’d love to talk.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6">
      <c r="A36" t="inlineStr">
        <is>
          <t>li-4375196904</t>
        </is>
      </c>
      <c r="B36" t="inlineStr">
        <is>
          <t>Full Stack AI Engineer</t>
        </is>
      </c>
      <c r="C36" t="inlineStr">
        <is>
          <t>Kyth</t>
        </is>
      </c>
      <c r="D36" t="inlineStr">
        <is>
          <t>linkedin</t>
        </is>
      </c>
      <c r="E36">
        <f>HYPERLINK("https://www.linkedin.com/jobs/view/4375196904", "https://www.linkedin.com/jobs/view/4375196904")</f>
        <v/>
      </c>
      <c r="F36" t="inlineStr"/>
      <c r="G36" t="inlineStr"/>
      <c r="H36" t="inlineStr"/>
      <c r="I36" t="inlineStr">
        <is>
          <t>**Company Description** 
 Kyth is redefining the legal recruiting landscape by leveraging the power of generative AI, particularly advancements in large language models. Our innovative approach aims to revolutionize modern legal talent solutions, keeping pace with the industry's evolving needs. With an emphasis on cutting\-edge technology, Kyth is committed to providing unmatched value in legal recruitment. Explore more about our mission and work at www.kyth.ai.
**Role Description** 
 As a Full Stack AI Engineer at Kyth, you will be pivotal in building the technology infrastructure that powers AI\-driven legal talent matching. You'll have the opportunity to work at the intersection of modern web development and cutting\-edge AI, creating scalable systems that transform how legal professionals connect with opportunities.
**Key Responsibilities:** 
1. **Product Development:** 
 Build and ship features across the full stack, from intuitive user interfaces to robust APIs and data pipelines, that directly support our mission to revolutionize legal recruiting.
2. **AI Integration \&amp; Infrastructure:** 
 Work closely with our AI/product team to implement and optimize LLM\-powered features, vector search capabilities, and data processing workflows. Build the systems that make AI work seamlessly for our users, with an eye toward autonomous, self\-sustaining pipelines rather than manually supervised ones.
3. **Agentic Systems \&amp; Orchestration:** 
 Design and contribute to multi\-agent orchestration pipelines that operate reliably with minimal human intervention. We're building systems that think and act at scale. You should be comfortable reasoning about agent behavior, failure modes, and pipeline architecture at a systems level.
4. **Database \&amp; Search Architecture:** 
 Design and maintain database schemas, work with vector databases, and build efficient data pipelines that power our matching algorithms and search capabilities.
5. **Testing \&amp; Reliability:** 
 Own the integrity of what you build. This means writing comprehensive test suites, establishing testing frameworks that cover both traditional application logic and AI pipeline behavior, and integrating them into CI/CD workflows. A well\-designed agentic pipeline is only as good as the tests backing it.
6. **Scalability \&amp; Performance:** 
 Own system reliability, performance optimization, and monitoring. Ensure our platform scales gracefully as we grow while maintaining security and compliance standards (SOC 2, data handling best practices).
7. **Cross\-Functional Collaboration:** 
 Work hand\-in\-hand with Product, Design, and legal domain experts to translate requirements into technical solutions. Bridge the divide between technical implementation and user needs.
8. **Continuous Evolution:** 
 Stay current with modern web development practices, AI tooling, and emerging technologies. The landscape moves quickly, and our team strives to be nimble and adaptable.
**Qualifications:** 
* **Full\-Stack Proficiency:** 
 Strong experience with modern web frameworks and languages (e.g., React, Next.js, Python, Node.js, TypeScript/JavaScript)
* **Database Experience:** 
 Proficiency working with SQL databases (PostgreSQL) and familiarity with vector databases (Supabase, Pinecone, Qdrant, Chroma) or willingness to learn
* **AI/LLM Familiarity:** 
 Experience integrating LLM APIs, working with embeddings, or building AI\-powered features is a strong plus. Familiarity with frameworks like LangChain, LlamaIndex, or similar is valuable but not required.
* **Agentic Systems Orientation:** 
 Familiarity with multi\-agent orchestration frameworks and agentic pipeline design is a significant plus. More important than hands\-on experience is a systems architect mindset. You understand the principles behind building robust, mostly autonomous systems and can reason about how to make them reliable and safe.
* **Testing \&amp; CI/CD:** 
 Demonstrated experience writing test suites and integrating them into CI/CD pipelines. Comfort establishing testing conventions in fast\-moving codebases.
* **Cloud \&amp; DevOps:** 
 Experience with modern deployment workflows, cloud platforms (AWS, GCP, Vercel, Supabase), and CI/CD pipelines
* **Fast\-Moving Adaptability:** 
 Ability to keep up with rapidly evolving technologies and continuously adapt to new tools, libraries, and best practices
* **Communication Skills:** 
 Outstanding ability to collaborate across disciplines, comfortable discussing technical tradeoffs with engineers and translating complex systems for non\-technical stakeholders
* **Ownership Mindset:** 
 Comfortable in an early\-stage environment with ambiguity, iteration, and end\-to\-end ownership of features and systems
 Please fill out this form for serious inquiries: https://forms.gle/ipXKL3zFsgAgANbW7</t>
        </is>
      </c>
    </row>
    <row r="37">
      <c r="A37" t="inlineStr">
        <is>
          <t>li-4375178928</t>
        </is>
      </c>
      <c r="B37" t="inlineStr">
        <is>
          <t>Forward-Deployed AI Engineer - Customer Intelligence</t>
        </is>
      </c>
      <c r="C37" t="inlineStr">
        <is>
          <t>GoodStream</t>
        </is>
      </c>
      <c r="D37" t="inlineStr">
        <is>
          <t>linkedin</t>
        </is>
      </c>
      <c r="E37">
        <f>HYPERLINK("https://www.linkedin.com/jobs/view/4375178928", "https://www.linkedin.com/jobs/view/4375178928")</f>
        <v/>
      </c>
      <c r="F37" t="inlineStr"/>
      <c r="G37" t="inlineStr">
        <is>
          <t>New York, NY</t>
        </is>
      </c>
      <c r="H37" t="inlineStr"/>
      <c r="I37" t="inlineStr">
        <is>
          <t>GoodStream delivers real\-time portfolio intelligence for private capital. We ingest portfolio data from inboxes and drives, extract and validate key fields with full provenance, and keep portfolio truth continuously up to date. $1\.35M raised. 7 active pilots including Techstars. 10\-person team targeting the $13T private capital market.
 This is one of those rare roles where product, customers, and AI all converge in the same seat. If that kind of work energizes you, this could be something special.
 Today our CEO runs this loop: customer call, transcript to Claude, PRD, prototype in Lovable, iterate with customer, spec to engineering \- all in one day. We're looking for someone who wants to own that loop full\-time and make it even better.
 You'll be equal parts product builder, customer intelligence lead, and AI power user. You'll submit PRs via Claude Code, build prototypes with Lovable, mine call transcripts with Fireflies, and make sure every customer interaction feeds back into the product fast.
 What we're looking for:
* AI power user \- you already use these tools daily for real work and can show us examples
* \- VC/private capital experience \- you understand fund structures, LP/GP dynamics, portfolio ops
* \- Product instinct \- opinionated about what to build, can translate pain to prototypes
* \- Startup energy \- thrive as employee 5\-30 at a Seed to Series B company
* \- Consultative and hands\-on \- earn trust with sophisticated buyers while staying close to the product
 Strong preferences: NYC metro, comfort with light coding via AI tools, experience at Aumni/Carta/Standard Metrics/Visible/Affinity/DealCloud/Juniper Square or similar.
 Comp: $120\-160K base \+ $20K variable \+ equity.
 Apply: Send a note to keith@goodstream.com with (1\) why this role, (2\) something you've built or prototyped with AI, and (3\) a time you went from customer conversation to product change in under a week.</t>
        </is>
      </c>
    </row>
    <row r="38">
      <c r="A38" t="inlineStr">
        <is>
          <t>li-4375409510</t>
        </is>
      </c>
      <c r="B38" t="inlineStr">
        <is>
          <t>Senior Manager AI Engineer (GenAI Platform Services)</t>
        </is>
      </c>
      <c r="C38" t="inlineStr">
        <is>
          <t>Capital One</t>
        </is>
      </c>
      <c r="D38" t="inlineStr">
        <is>
          <t>linkedin</t>
        </is>
      </c>
      <c r="E38">
        <f>HYPERLINK("https://www.linkedin.com/jobs/view/4375409510", "https://www.linkedin.com/jobs/view/4375409510")</f>
        <v/>
      </c>
      <c r="F38">
        <f>HYPERLINK("https://dsp.prng.co/L-oN-_b&amp;urlHash=8yOB", "https://dsp.prng.co/L-oN-_b&amp;urlHash=8yOB")</f>
        <v/>
      </c>
      <c r="G38" t="inlineStr">
        <is>
          <t>McLean, VA</t>
        </is>
      </c>
      <c r="H38" t="inlineStr"/>
      <c r="I38" t="inlineStr">
        <is>
          <t>**Overview** 
 :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using Python, C\+\+, C\#, Java, or Golang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AI Engineering
 San Jose, CA: $250,800 \- $286,200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2026-02-19T20:35:00Z</dcterms:created>
  <dcterms:modified xsi:type="dcterms:W3CDTF">2026-02-19T20:35:00Z</dcterms:modified>
</cp:coreProperties>
</file>