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in-bcb6e752639fe319</t>
        </is>
      </c>
      <c r="B2" t="inlineStr">
        <is>
          <t>Data Engineer (USC &amp; GC Only | NO H1, OPT, CPT....)</t>
        </is>
      </c>
      <c r="C2" t="inlineStr">
        <is>
          <t>ACR Technology Inc</t>
        </is>
      </c>
      <c r="D2" t="inlineStr">
        <is>
          <t>indeed</t>
        </is>
      </c>
      <c r="E2" t="inlineStr"/>
      <c r="F2" t="inlineStr"/>
      <c r="G2" t="inlineStr">
        <is>
          <t>California City, CA, US</t>
        </is>
      </c>
      <c r="H2" s="1" t="n">
        <v>46072</v>
      </c>
      <c r="I2" t="inlineStr">
        <is>
          <t>**Job Description: Data Engineer**
**Eligibility:** Only U.S. Citizen or Green Card
**Responsibilities**
* Design, build, and maintain scalable **ETL pipelines**, data workflows, and **data warehousing** solutions for analytics and reporting.
* Develop and optimize data **modeling** solutions, databases, and large\-scale datasets using platforms such as **Google BigQuery**, **Hive**, and cloud\-native technologies.
* Write and optimize complex **SQL** queries and implement **Python**, **Spark**, and **Scala**\-based data transformations.
* Build and maintain batch and streaming data pipelines using **Spark**, **PySpark**, **Scala**, and messaging systems such as Kafka.
* Orchestrate workflows and automate data processes using **Apache Airflow**.
* Integrate data from multiple sources, including third\-party systems via **REST APIs**, ensuring data quality, consistency, governance, and compliance.
* Collaborate with product, engineering, and business teams to translate requirements into scalable technical solutions.
* Test, deploy, monitor, and support data solutions across cloud environments (AWS, Azure, or GCP).
* Document processes, contribute to continuous improvement initiatives, and provide technical guidance to users and cross\-functional teams.
**Qualifications**
* 5\+ years of experience in data engineering, analytics, or related fields.
* Advanced proficiency in **SQL** and strong programming skills in **Python and/or Scala**.
* Hands\-on experience with **ETL processes**, **data modeling**, and **data warehousing** concepts.
* Experience working with cloud data platforms such as **Google BigQuery**, AWS, or Azure.
* Strong experience with **Spark (PySpark/Scala)** and big data technologies such as **Hive** and Kafka.
* Experience building and managing workflows using **Apache Airflow**.
* Experience integrating systems using **REST APIs**.
* Knowledge of data governance, data quality, and compliance best practices.
* Bachelor’s degree in Computer Science, Engineering, or equivalent experience.
Job Types: Full\-time, Contract, Permanent
Pay: $40\.00 \- $50\.00 per hour
Work Location: In person</t>
        </is>
      </c>
    </row>
    <row r="3">
      <c r="A3" t="inlineStr">
        <is>
          <t>in-5dc4ba20264ef1c6</t>
        </is>
      </c>
      <c r="B3" t="inlineStr">
        <is>
          <t>Director, Data Engineering</t>
        </is>
      </c>
      <c r="C3" t="inlineStr">
        <is>
          <t>Versant</t>
        </is>
      </c>
      <c r="D3" t="inlineStr">
        <is>
          <t>indeed</t>
        </is>
      </c>
      <c r="E3" t="inlineStr"/>
      <c r="F3" t="inlineStr"/>
      <c r="G3" t="inlineStr">
        <is>
          <t>New York, NY, US</t>
        </is>
      </c>
      <c r="H3" s="1" t="n">
        <v>46072</v>
      </c>
      <c r="I3"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As a Director of Data Engineering, you will be play a pivotal role in the design, development, and implementation of robust data architecture and pipelines that support critical business decisions, analytics, and product development. This role is crucial in creating a connected data ecosystem that unleashes the power of our first party, third party and zero party data to drive innovation and growth. This data ecosystem is at the core of making intelligent customer and business decisions.
This role is ideal for a hands\-on technical individual who thrives in a fast\-paced, media\-rich environment and is passionate about driving innovation through data.
*Responsibilities include, but are not limited to:*
* Lead high\-performing data engineering squads, setting clear objectives, fostering a collaborative environment, and driving team growth.
* Lead the design, development, and maintenance of scalable data pipelines and architectures across internal, third\-party, and cloud\-based sources.
* Ensure data accuracy, completeness, and consistency across various sources.
* Collaborate with data scientists and business teams to improve data models that feed business intelligence tools, increasing data accessibility and fostering data\-driven decision\-making across the organization.
* Implement best practices for data engineering, including performance tuning, monitoring, and documentation.
* Evaluate and adopt emerging technologies to improve data engineering capabilities.
* Foster the growth of your team members through coaching, mentorship, and opportunities for technical development.
* Contribute to strategic planning and execution of data initiatives aligned with business goals.
* Support the Sr. Director of Data Engineering in executing the broader data strategy and roadmap.
**Qualifications**  
* Proven experience (8\+ years) in data engineering
* Experience with media\-specific data platforms, including content management systems, ad tech, and digital media analytics tools.
* Proficiency in programming languages such as Python, Java, or Scala for data processing tasks.
* Experience with cloud platforms (e.g., AWS, Google Cloud, Azure) and cloud data warehouses (e.g., Redshift, Snowflake, Databricks.)
* Expertise in SQL/ NoSQL databases (e.g., PostgreSQL, MongoDB, BigQuery, or similar), and big data technologies (e.g., Hadoop, Spark, Kafka, etc.).
* Strong background in designing and building complex, high\-performance data systems, including data lakes, data warehouses, and real\-time data pipelines.
* Proven ability to manage and scale a growing team of data engineers, providing both technical guidance and career development.
* Excellent communication skills to collaborate with other teams and stakeholders.
* Familiarity with data visualization tools like Tableau or Looker.
* Ability to work collaboratively with cross\-functional teams in a matrixed organization.
* Experience with machine learning and data science workflows.
* Familiarity with media industry standards and analytics platforms (e.g., Nielsen, comScore, etc.).
* Strong decision\-making skills and adaptability to changing circumstances.
* Exposure to agile development practices and project management tools (e.g., Jira, Confluence)
Salary range: $165,000 \- $210,000 (bonus and long\-term incentive eligible)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4">
      <c r="A4" t="inlineStr">
        <is>
          <t>in-a4c6079caadaf6c2</t>
        </is>
      </c>
      <c r="B4" t="inlineStr">
        <is>
          <t>GEN AI Data Engineer</t>
        </is>
      </c>
      <c r="C4" t="inlineStr">
        <is>
          <t>Broadmind INC</t>
        </is>
      </c>
      <c r="D4" t="inlineStr">
        <is>
          <t>indeed</t>
        </is>
      </c>
      <c r="E4" t="inlineStr"/>
      <c r="F4" t="inlineStr"/>
      <c r="G4" t="inlineStr">
        <is>
          <t>Dallas, TX, US</t>
        </is>
      </c>
      <c r="H4" s="1" t="n">
        <v>46072</v>
      </c>
      <c r="I4" t="inlineStr">
        <is>
          <t>\#GenerativeAIEngineer
Location: Texas, USA
Employment Type: hashtag\#W2 / \#1099
Duration: Long\-Term Opportunity
We are actively looking for an experienced Generative AI Engineer with strong expertise in LLMs, AI/ML frameworks, and cloud\-based AI development for a long\-term engagement in Texas. Key Responsibilities: Design and develop Generative AI applications Work with LLMs such as GPT, Claude, Llama, etc. Build and optimize RAG pipelines Implement advanced prompt engineering strategies Integrate AI solutions with backend systems Deploy and maintain AI models in cloud environments Required Skills: Strong Python programming skills Experience with OpenAI / Azure OpenAI Hands\-on experience with LangChain / LlamaIndex Knowledge of Vector Databases (Pinecone, FAISS, etc.) Cloud experience (Azure / AWS / GCP) API development and system integration experience
Application \&amp; Interview Process: Share your updated resume at: suman@beaninfosys.com
No prior scheduling required – Directly attend the interview using the link below after sharing your resume.
Direct Interview Link:
https://interview\-beaninfo.hireko.ai/anonymousInterviewSession/job\_1429914448\_e7cfcf46\-a7f4\-42a8\-bd74\-6ebf5ba767ea?settings\=eyJyZW5kZXJJRCI6ICJwYXJ0aWNsZS1zcGhlcmUiLCAiaXNTY3JlZW5TaGFyZU1hbmRhdG9yeSI6IHRydWV9
Please ensure your resume is shared before joining the interview. Immediate Joiners Preferred Strong referrals are highly appreciated
Job Type: Contract
Pay: $104,934\.79 \- $126,373\.08 per year
Application Question(s):
* Willing to work on W2
Work Location: In person</t>
        </is>
      </c>
    </row>
    <row r="5">
      <c r="A5" t="inlineStr">
        <is>
          <t>in-4530cffebf3d1b57</t>
        </is>
      </c>
      <c r="B5" t="inlineStr">
        <is>
          <t>Sr. Director, Analytics Engineering</t>
        </is>
      </c>
      <c r="C5" t="inlineStr">
        <is>
          <t>Monogram Health</t>
        </is>
      </c>
      <c r="D5" t="inlineStr">
        <is>
          <t>indeed</t>
        </is>
      </c>
      <c r="E5" t="inlineStr"/>
      <c r="F5" t="inlineStr"/>
      <c r="G5" t="inlineStr">
        <is>
          <t>TN, US</t>
        </is>
      </c>
      <c r="H5" s="1" t="n">
        <v>46072</v>
      </c>
      <c r="I5" t="inlineStr">
        <is>
          <t>### **Position:** ***Senior Director of Analytics Engineering***
The **Senior Director, Analytics Engineering** will be responsible for aligning data used by operations, finance, IT, external vendors, and health plans to best position Monogram Health for successful performance within Value\-Based Care contracts. The right candidate will be able to bridge technical and business requirements to provide value creation both internally and externally. In addition, the Senior Director, Analytics Engineering will hold responsibility over all DataMart (Gold Layer) development, in support of internal operational reporting and both internal and external financial, patient outcomes, and quality reporting. This position reports to the VP, Reporting \&amp; Analytics Engineering.
**Roles and Responsibilities**
* Lead a team of data engineers, developers, and analysts in the design, development, and maintenance of the DataMart (Gold Layer) for business and operational support
* Lead the design, development, and execution of the membership eligibility and lead generation process for populations attributed to Monogram through Value\-Based Care contracts
* Design and operationalize performance monitoring tools and capabilities for dashboards (internal and client\-facing), internal management reporting and board reporting
* Partner with our Implementations and Client Partnership teams on achieving successful client implementations
* Partner with departments such as IT and Finance in ensuring appropriate data structure and reporting
* Create an environment conducive to growth by creating scalable and flexible solutions to data challenges
**Position Requirements**
* 8\+ years previous experience working in a Value\-Based Care provider group and/or health plan
* Experience working with standard software development processes (e.g. developing within Scrum framework)
* Experience in data engineering to support analytics use cases
* Experience in coaching, leading and hiring a top performing team
* Highly proficient in SQL
* Expertise in healthcare claims and healthcare operational data analysis
* Project Management experience
* Cloud computing experience
#### **Benefits**
* **Comprehensive Benefits \-** Medical, dental, and vision insurance, employee assistance program, employer\-paid and voluntary life insurance, disability insurance, plus health and flexible spending accounts
* **Financial \&amp; Retirement Support –** Competitive compensation, 401k with employer match, and financial wellness resources
* **Time Off \&amp; Leave –** Paid holidays, flexible vacation time/PSSL, and paid parental leave
* **Wellness \&amp; Growth –** Work life assistance resources, physical wellness perks, mental health support, employee referral program, and BenefitHub for employee discounts
#### **About Monogram Health**
Monogram Health is a leading multispecialty provider of in\-home, evidence\-based care for the most complex of patients who have multiple chronic conditions. Monogram health takes a comprehensive and personalized approach to a person’s health, treating not only a disease, but all of the chronic conditions that are present \- such as diabetes, hypertension, chronic kidney disease, heart failure, depression, COPD, and other metabolic disorders.
Monogram Health employs a robust clinical team, leveraging specialists across multiple disciplines including nephrology, cardiology, endocrinology, pulmonology, behavioral health, and palliative care to diagnose and treat health issues; review and prescribe medication; provide guidance, education, and counselling on a patient’s healthcare options; as well as assist with daily needs such as access to food, eating healthy, transportation, financial assistance, and more. Monogram Health is available 24 hours a day, 7 days a week, and on holidays, to support and treat patients in their home.
Monogram Health’s personalized and innovative treatment model is proven to dramatically improve patient outcomes and quality of life while reducing medical costs across the health care continuum.</t>
        </is>
      </c>
    </row>
    <row r="6">
      <c r="A6" t="inlineStr">
        <is>
          <t>in-99d939b138879f42</t>
        </is>
      </c>
      <c r="B6" t="inlineStr">
        <is>
          <t>Senior Data Engineer – R01560921</t>
        </is>
      </c>
      <c r="C6" t="inlineStr">
        <is>
          <t>Brillio LLC</t>
        </is>
      </c>
      <c r="D6" t="inlineStr">
        <is>
          <t>indeed</t>
        </is>
      </c>
      <c r="E6" t="inlineStr"/>
      <c r="F6" t="inlineStr"/>
      <c r="G6" t="inlineStr">
        <is>
          <t>Dallas, TX, US</t>
        </is>
      </c>
      <c r="H6" s="1" t="n">
        <v>46071</v>
      </c>
      <c r="I6" t="inlineStr">
        <is>
          <t>**Senior Data Engineer \- R01560921**
=====================================
**About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**Senior Data Engineer**###### **Primary Skills**
* Spark \- Pyspark, SQL, SQL (Basic \+ Advanced), Python, Hive, Data Modelling Fundamentals
###### **Specialization**
* Data Analysis: Data Engineer
###### **Job requirements**
* 3\+ years of hands\-on experience in production support for data engineering or analytics applications.
* Proficiency in PySpark for managing and troubleshooting data processing jobs.
* Solid experience with AWS cloud services, including EKS (Elastic Kubernetes Service) and EMR (Elastic MapReduce), S3, Glue, Step Function.
* Hands\-on experience with Control\-M for workflow orchestration and monitoring.
* Working knowledge of MongoDB and Snowflake for production data management.
* Experience with log monitoring and analysis using Elasticsearch Service (ESS).
* Good understanding of ETL processes, incident management, and production monitoring best practices.
* Strong problem\-solving, troubleshooting, and analytical skills.
* Excellent communication and collaboration abilities.
Responsibilities* Provide production support for data pipelines and workflows, ensuring high availability and timely resolution of incidents.
* Monitor, troubleshoot, and optimize PySpark\-based data processing jobs.
* Support and maintain data processing applications deployed on AWS services, including EKS and EMR.
* Manage and orchestrate workflows using Control\-M, including scheduling, monitoring, and error handling.
* Perform root cause analysis and implement permanent fixes for recurring production issues.
* Oversee data storage and management in MongoDB and Snowflake, ensuring data quality and consistency.
* Monitor and analyze application and system logs using Elasticsearch Service (ESS) to proactively identify and resolve issues.
* Collaborate with data engineering, analytics, and operations teams to deliver reliable data solutions.
* Maintain and update technical documentation related to production support processes and incident management.
* Participate in on\-call rotations and respond to critical production alerts as needed.
Know what it’s like to work and grow at Brillio: Click here  
**Salary: 55\-60 USD per\-month\-salary**</t>
        </is>
      </c>
    </row>
    <row r="7">
      <c r="A7" t="inlineStr">
        <is>
          <t>in-f1aa3cd212268ecd</t>
        </is>
      </c>
      <c r="B7" t="inlineStr">
        <is>
          <t>Data Engineer, AVS Digital Transformation (AI &amp; Analytics)</t>
        </is>
      </c>
      <c r="C7" t="inlineStr">
        <is>
          <t>GE HealthCare</t>
        </is>
      </c>
      <c r="D7" t="inlineStr">
        <is>
          <t>indeed</t>
        </is>
      </c>
      <c r="E7" t="inlineStr"/>
      <c r="F7" t="inlineStr"/>
      <c r="G7" t="inlineStr">
        <is>
          <t>Burlington, MA, US</t>
        </is>
      </c>
      <c r="H7" s="1" t="n">
        <v>46071</v>
      </c>
      <c r="I7" t="inlineStr">
        <is>
          <t>**Job Description Summary**
===========================
The GEHC Advanced Visualization Solutions (AVS) segment, a fast\-growing business in GE HealthCare, is the global leader in ultrasound medical devices and solutions. The portfolio spans the continuum of care to enable customers with ultrasound screening, diagnosis, treatment and monitoring of diseases. Our customers are seeking to improve efficiency in radiology and beyond and increase user confidence to provide better clinical outcomes continues to grow. Consequently, the need for AI, digital solutions, and automation, connecting devices and software in one seamless ecosystem continues to proliferate.
This person will design and build comprehensive data solutions that will power GE Healthcare’s AVS segment’s next generation of analytics and AI. In this hands\-on role, you will design and build curated semantic layers, scalable pipelines, and enterprise\-grade sematic models –whilst layering in AI\-powered capabilities using approved platforms as the foundation matures.  
\*\*No sponsorship or OPT for this role\*\***Job Description**
===================
As the Data Engineer of the AVS Digital Transformation team, you’ll bridge enterprise data strategy with segment\-specific innovation to deliver self\-service analytics, conversational AI, predictive insights and intelligent automation within AVS.
**1\. Build an AI\-Ready Data Foundation (40%)**
* Design and implement curated, semantic data layers (dimensional models, business definitions), ensuring accuracy, traceability, and AI/ML readiness for BI and generative AI use cases.
* Design scalable SQL\-based pipelines to transform raw and enterprise data into analytics\-ready assets
* Implement data quality frameworks, lineage, and governance, according to standards set by the central data office team.
**2\. Elevate Analytics \&amp; Self\-Service (35%)**
* Lead enterprise\-grade Power BI semantic model design (Dataflows, composite models, aggregations) to enable low\-latency, high\-performance reporting for executives and analysts.
* Integrate and extend enterprise semantic models with AVS\-specific business logic and conformed dimensions, aligning definitions across the segment.
* Define best practices for DAX, M, and workspace governance (deployment pipelines, refresh strategies) within team to advance BI maturity and self\-service
* Partner with visualization analysts and business leaders to translate requirements into trusted, performant models and reusable domain data products.
**3\. Drive AI \&amp; Advanced Analytics Adoption (25%)**
* Design AI\-ready semantic layers and metadata that enable natural\-language querying, conversational analytics, automated retrieval and intelligent workflows
* Build and deploy AI solutions using enterprise\-approved platforms. Implement operational forecasting, anomaly detection and segmentation.
* Engage central AI/ IT for evaluation, architecture guidance and enterprise deployment of AI use cases that exceed approved platform capabilities
**Required Qualifications**
* 8\+ years in data architecture/engineering delivering dimensional models, curated marts, and production pipelines in cloud environments (e.g., AWS Redshift/S3/Glue, Microsoft Fabric/Azure, ADF or equivalent).
* Mastery of SQL, DAX, and Power Query (M); strong performance tuning and model optimization at scale.
* Deep Power BI experience: semantic modeling, composite models, aggregations, dataflows, and Fabric integration.
* Hands‑on with Copilot Studio, Fabric Data Agents, or AWS Bedrock.
* Familiarity with Power Apps / Power Automate for end‑to‑end digital workflows.
**Preferred**
* Microsoft certifications: DP‑600 (Fabric Analytics Engineer), DP\-700 (Fabric Data Engineer), PL‑300 (Power BI Data Analyst), AZ\-900 (Azure AI), PL\-400 (Power Platform Developer Associate)
* AI/ML integration: Python for data prep/modeling; designing data/semantics for NLQ, agentic systems, and platforms such as AWS Bedrock or Fabric ML.
* Experience partnering with centralized AI and data teams to produce models and agentic solutions.
* ERP/CRM data integration (e.g., Oracle EBS, Salesforce) and familiarity with enterprise data governance.
We will not sponsor individuals for employment visas, now or in the future, for this job opening. For U.S. based positions only, the pay range for this position is $138,000\.00\-$207,000\.00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reimbursement.**Additional Information**
==========================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8">
      <c r="A8" t="inlineStr">
        <is>
          <t>in-0810483373172a57</t>
        </is>
      </c>
      <c r="B8" t="inlineStr">
        <is>
          <t>Analytics Engineering Lead</t>
        </is>
      </c>
      <c r="C8" t="inlineStr"/>
      <c r="D8" t="inlineStr">
        <is>
          <t>indeed</t>
        </is>
      </c>
      <c r="E8" t="inlineStr"/>
      <c r="F8" t="inlineStr"/>
      <c r="G8" t="inlineStr">
        <is>
          <t>US</t>
        </is>
      </c>
      <c r="H8" s="1" t="n">
        <v>46071</v>
      </c>
      <c r="I8" t="inlineStr">
        <is>
          <t>**About Novellia**
------------------
Novellia is the first and only company that lets anyone in the US gain access to nearly a decade of their health data in under 30 seconds, 100% free. All your health records, across doctors, in one place, always up to date.
We are the only patient\-powered real\-world data platform delivering comprehensive, patient\-authorized longitudinal health insights to accelerate biopharma innovation. Unlike traditional RWD providers who offer fragmented institutional data, we empower patients to access 15\+ years of their health records for free, then transform these complete health journeys into fit\-for\-purpose datasets for evidence generation, regulatory submissions, and market access.
We’re growing 5x YoY with top pharma partners. Our data have been published with leading scientific organizations such as ASCO and SABCS/AACR, and we are backed by tier\-1 investors including Spark Capital, Khosla Ventures, Bling Capital, and more.
**About the Role**
------------------
We are seeking an experienced Analytics Engineer to own and scale Novellia's analytics engineering function. Title — whether Senior, Lead, or Staff — will reflect the right candidate's experience and scope.
This role is deeply technical. You will architect, build, and maintain the data models, pipelines, and infrastructure that power our research, product, and commercial work. You will report directly to the CTO and have end\-to\-end ownership of analytics engineering. At the same time, this is not a siloed role. You will work closely with Engineering, Data Science, and our Commercial team (Sales, Client Solutions, Marketing) to ensure our data is clean, reliable, research\-ready, and aligned with customer needs. You should also be comfortable engaging directly with clients when needed \- whether that’s providing technical context alongside our Commercial team, or answering pointed questions from our biopharma partners. This role will also partner closely with the Senior Data Analytics Engineer, Commercial Team, who owns client\-facing analytics and insight delivery — ensuring that the data infrastructure you build directly powers the work our partners rely on.
We are a fast\-growing Series A company. That means ambiguity, changing priorities, and high standards. The right person thrives in that environment — bringing rigor, initiative, and a calm, collaborative approach to solving complex problems.
**What Success Looks Like (First 6–12 Months)**
-----------------------------------------------
* Develop a deep understanding of our data infrastructure and identify opportunities for improvement
* Ensure models and pipelines are well\-documented, reproducible, and built for scale
* Establish clear standards and processes that make it easy for others to build on your work
* Build strong working relationships with cross\-functional stakeholders and become a trusted technical partner
* Contribute to a culture of technical excellence and collaborative problem\-solving
**Responsibilities**
--------------------
* Design, implement, and manage scalable data pipelines and analytics platforms.
* Build and maintain dbt models to support customer projects and internal decision making.
* Work with internal stakeholders to ensure data products are research\-ready and aligned with customer needs
* Implement and manage data instrumentation and product analytics tooling (e.g. Mixpanel) to ensure accurate tracking and reporting
* Identify opportunities for optimizing data workflows and proactively address technical debt.
* Partner with Engineering, Data Science, and Commercial teams to translate business and client needs into reliable, scalable data solutions
**Requirements**
----------------
* 5\+ years of experience in data engineering or analytics roles in a startup or high growth environment.
* Proficiency in SQL and experience with dbt for data modeling and transformations.
* Strong experience with modern data warehouse platforms (Snowflake, BigQuery, Redshift)
* Strong understanding of data architecture, ETL processes, and pipeline management.
* Proven ability to manage and own data products end\-to\-end, ideally from scratch.
* Experience with cloud platforms (AWS, GCP, etc.) for data storage and processing.
* Familiarity with product analytics tooling (e.g. Mixpanel) and modern BI tools (e.g. Looker, Tableau, Metabase)
* Clear communicator who can translate complex technical concepts for non\-technical stakeholders
* Proven ability to operate effectively in ambiguous, fast\-moving environments
* Builds well\-documented, maintainable systems with a focus on long\-term scalability
* Leverages AI tooling to improve system design, accelerate documentation, and automate repetitive workflows
**Bonus Skills**
----------------
* Experience with natural language processing (NLP) techniques and tools for analyzing unstructured text data.
* Knowledge of distributed computing frameworks (e.g., Spark, Hadoop) and big data processing technologies.
* Familiarity with time\-series data analysis and forecasting techniques.
* Contributions to open\-source projects or active participation in the developer community.
* Familiarity with healthcare data formats like FHIR and CCDA.
**Who You Are**
---------------
* Deeply technical and proud of your craft
* High ownership: you don’t wait to be told what’s broken
* Creative under constraints
* Direct and low\-ego in collaboration
* Comfortable giving and receiving feedback
* Energized by building systems that scale beyond yourself
**Benefits \&amp; Perks**
---------------------
* Competitive equity package
* Medical, dental, and vision coverage
* 401(k)
* Flexible time off
* Wellness stipend
* Up to 12 weeks of parental leave
Don’t meet every requirement? Studies show women and people of color are less likely to apply unless they meet 100% of qualifications. At Novellia, we’re committed to building a diverse, inclusive workplace. If you’re excited about this role but don’t meet every requirement, we encourage you to apply.
U.S. Applicants Only.
Compensation Range: $150K \- $190K</t>
        </is>
      </c>
    </row>
    <row r="9">
      <c r="A9" t="inlineStr">
        <is>
          <t>in-023f87df7973209d</t>
        </is>
      </c>
      <c r="B9" t="inlineStr">
        <is>
          <t>Senior Data Engineer</t>
        </is>
      </c>
      <c r="C9" t="inlineStr">
        <is>
          <t>OnMed</t>
        </is>
      </c>
      <c r="D9" t="inlineStr">
        <is>
          <t>indeed</t>
        </is>
      </c>
      <c r="E9" t="inlineStr"/>
      <c r="F9" t="inlineStr"/>
      <c r="G9" t="inlineStr">
        <is>
          <t>White Plains, NY, US</t>
        </is>
      </c>
      <c r="H9" s="1" t="n">
        <v>46071</v>
      </c>
      <c r="I9" t="inlineStr">
        <is>
          <t>**Who We Are and Why Join Us**
At OnMed our purpose is simple but powerful...to improve the quality of life and sense of well\-being in our communities by bringing access to healthcare to everyone, everywhere. Our path to everywhere has already begun, with our innovative CareStation, a small but mighty, Clinic\-in\-a\-Box, bringing \#healthcareaccess anywhere with an outlet to plug it in. Poised to become a key component in America’s public health infrastructure, the OnMed CareStation is the only tech\-enabled, human\-led, hybrid care solution that combines the comprehensive experience, trust and outcomes of a clinic, with the rapid scalability of virtual care.
At OnMed, every role, every day, is directly impacting the communities we serve. You’ll join a high\-performing purpose\-driven team, innovating to break down the barriers that keep people from the care they need.
This is not just a job… it’s a movement to bring healthcare where and when people need it most. It’s healthcare that shows up.
 **Who You Are**
You are a senior\-level Data Engineer and integration architect experienced in designing and scaling enterprise data platforms in cloud\-first environments. You bring deep expertise in Databricks and Microsoft Azure and have led the architecture, optimization, and governance of modern data ecosystems.
You think beyond pipelines – you design resilient, scalable data platforms that power analytics, interoperability, and operational systems. You are comfortable operating at both the strategic architecture level and the hands\-on engineering level. You thrive in high\-growth environments and are motivated by leveraging data to expand access to quality healthcare.
 **Role Responsibilities**
**Enterprise Data Architecture \&amp; Platform Ownership**
* Architect, design, and scale enterprise\-grade data solutions using Databricks and Azure cloud services.
* Own and evolve the Databricks environment, including performance optimization, cost management, governance, and security controls.
* Define long\-term data architecture strategy aligned to business growth and healthcare compliance, and the evolution of OnMed’s CareStation and HomeStation platforms.
* Establish data modeling standards, metadata management practices, and scalable ETL/ELT frameworks.
 **Integration Architecture \&amp; Interoperability**
* Serve as lead integration architect across all system interfaces and API\-driven data exchanges.
* Design and optimize integration patterns using Azure Data Factory, Azure API Management, and event\-driven architectures.
* Ensure reliable, secure, and scalable interoperability between internal systems, third\-party platforms, and healthcare data sources – including HL7/FHIR\-based integrations with EHR and clinical systems.
* Oversee monitoring, observability, and fault tolerance across all integration touchpoints.
 **Data Engineering \&amp; Pipeline Development**
* Build and optimize high\-performance, scalable data pipelines in Databricks using Python and SQL.
* Design and implement advanced data transformations and complex query optimization.
* Implement automated testing, validation frameworks, and data quality controls to ensure pipeline reliability.
* Drive CI/CD practices and infrastructure\-as\-code principles for data platform management.
 **Governance, Security \&amp; Compliance**
* Establish and enforce data governance standards using Databricks Unity Catalog, including lineage tracking, auditing, and role\-based access controls.
* Ensure compliance with healthcare data privacy and security regulations including HIPAA, HITRUST, and SOC 2 requirements.
* Implement role\-based access, encryption standards, and secure API management, and access controls for PHI/PII data handling.
 **Cross\-Functional Leadership**
* Partner with BI, analytics, product, and engineering teams to translate business needs into scalable data solutions.
* Provide architectural guidance and mentorship to junior engineers and analysts.
* Influence data strategy at the leadership level through proactive recommendations and roadmap planning.
* Communicate technical concepts clearly to non\-technical stakeholders including clinical, operational, and executive audiences.
**Knowledge, Skills \&amp; Abilities**
* Experience operating in regulated industries; healthcare (HIPAA, HITRUST, SOC 2\) strongly preferred.
* Deep expertise in Databricks: Delta Lake, Unity Catalog, performance tuning, cost optimization, job orchestration.
* Advanced knowledge of Azure services including Azure Data Factory, Azure API Management, Azure Storage, and related cloud infrastructure.
* Strong proficiency in SQL (complex query optimization, performance tuning, indexing strategies) and Python; working knowledge of C\# a plus.
* Extensive experience designing scalable ETL/ELT frameworks and data warehousing solutions.
* Experience implementing event\-driven or API\-based integration architectures.
* Familiarity with healthcare interoperability standards (HL7, FHIR) is a strong advantage.
* Proven ability to balance architectural vision with hands\-on execution.
* Strong communication skills with the ability to influence technical and non\-technical stakeholders at all levels.
* Demonstrated ability to mentor engineers and drive engineering best practices across a team.
**Requirements**
**Education \&amp; Experience**
* Bachelor's degree in Computer Science, Information Technology, or a related field.
* 7\+ years of progressive experience in data engineering, data architecture, or enterprise integration.
**Benefits**
**Benefits**
OnMed provides a competitive salary and benefits package, including unlimited PTO and paid holidays. **The base salary range for this role is up to $170,000 commensurate with the candidate's experience, plus an annual discretionary performance bonus.**
OnMed is a proud equal opportunity employer. All qualified applicants will be considered without regard to race, color, creed, religion, gender, sexual orientation, national origin, genetic information, disability, age, marital status, veteran status, or any other category protected by law.</t>
        </is>
      </c>
    </row>
    <row r="10">
      <c r="A10" t="inlineStr">
        <is>
          <t>in-0a2a86a17d01ea79</t>
        </is>
      </c>
      <c r="B10" t="inlineStr">
        <is>
          <t>Data Engineer (contract)</t>
        </is>
      </c>
      <c r="C10" t="inlineStr">
        <is>
          <t>KPMG</t>
        </is>
      </c>
      <c r="D10" t="inlineStr">
        <is>
          <t>indeed</t>
        </is>
      </c>
      <c r="E10" t="inlineStr"/>
      <c r="F10" t="inlineStr"/>
      <c r="G10" t="inlineStr">
        <is>
          <t>Remote, US</t>
        </is>
      </c>
      <c r="H10" s="1" t="n">
        <v>46071</v>
      </c>
      <c r="I10" t="inlineStr">
        <is>
          <t>**Responsibilities:**  
* Snowflake experience (preferred SnowPro certified with Tasks/Streams/SnowPipe/Openflow)
* Data warehouse experience particularly with migrations from SQL server to Snowflake
* Strong SQL stored procedure experience
* Strong SSIS experience with some VB and C\# scripting experience
* Act with integrity, professionalism, and personal responsibility to uphold the firm’s respectful and courteous work environment.
**Qualifications:**  
* Data migration to snowflake, end to end
* Proven experience as a Data Engineer or in a similar role
* 3\-5 years of experience
\=\=\=\=\=
﻿KPMG LLP (“KPMG”) seeks a contractor in the United States to provide service to KPMG through one of our contracted employer/agency service providers. All applicants for any KPMG role are expected to act with integrity, professionalism, and personal responsibility to uphold the firm’s respectful and courteous work environment. All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Nothing herein shall be deemed to create an employer\-employee relationship between contractor and KPMG, nor shall contractor be considered a representative or agent of KPMG.
KPMG LLP and its subsidiaries comply with all local/state regulations in regard to displaying pay rate ranges. The pay rate range(s) displayed is/are specifically for those contracted who will perform work in or reside in the location(s) listed, if selected for the role. Pay is determined based on a variety of factors including market data, ranges, applicant's skills and prior relevant experience, certain degrees and certifications (e.g. JD, technology), and specific location, for example. Additionally, applicants may be required to apply and become employed by a service provider utilized by KPMG, and final pay rate(s) and/or eligibility for additional benefits may be determined by such provider.
KPMG LLP, its subsidiaries, and its agency service providers (including, but not limited to, MBO Partners Inc., Magnit LLC, and TalentBurst Inc.) are equal opportunity employers/contractors. All qualified applicants are considered without regard to race, color, creed, religion, age, sex/gender, national origin, ancestry, citizenship status, marital status, sexual orientation, gender identity or expression, disability, physical or mental handicap unrelated to ability, pregnancy, veteran status, unfavorable discharge from military service, genetic information, or other legally protected status.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Pay Rate Range
110 \- 120 USD hourly</t>
        </is>
      </c>
    </row>
    <row r="11">
      <c r="A11" t="inlineStr">
        <is>
          <t>in-21817b50f6c6bbcf</t>
        </is>
      </c>
      <c r="B11" t="inlineStr">
        <is>
          <t>Staff Data Engineer - Technical Strategic Programs</t>
        </is>
      </c>
      <c r="C11" t="inlineStr">
        <is>
          <t>Intuit</t>
        </is>
      </c>
      <c r="D11" t="inlineStr">
        <is>
          <t>indeed</t>
        </is>
      </c>
      <c r="E11" t="inlineStr"/>
      <c r="F11" t="inlineStr"/>
      <c r="G11" t="inlineStr">
        <is>
          <t>Mountain View, CA, US</t>
        </is>
      </c>
      <c r="H11" s="1" t="n">
        <v>46071</v>
      </c>
      <c r="I11" t="inlineStr">
        <is>
          <t>**Overview**
------------
The Tech Strategic Programs organization delivers for Intuit and Tech Strategy by transforming and driving how our Technology ecosystem operates to accelerate outcomes for our customers. This small, yet mighty team works with senior leaders and partners across the company. We focus on strategic planning, the operating rhythm, executive narratives, workforce programs and delivering intelligent insights that accelerate execution across the tech portfolio and highest priority business growth areas.  
We are looking for a strategic and organized leader with a passion for innovation and data\-driven optimization. As a Data Engineer, you will work alongside senior leaders to deliver the foundational data architecture that allows Intuit to measure execution velocity and accelerate critical business outcomes. **Responsibilities**
**In this role, you will:**
* **Build and Maintain Data Marts:** Design, develop, and manage the tables and data marts that serve as the foundation for our team’s daily reporting. You will partner with data scientists, technical program managers, AI engineers, and other stakeholders to ensure our data is structured for speed and reusability.
* **Own Data Quality \&amp; Reliability:** Proactively monitor data pipelines, troubleshoot discrepancies, and debug issues quickly to ensure data integrity.
* **Track Key Success Metrics:** Implement and track leading indicators and success metrics, helping the organization understand whether initiatives are delivering the desired outcomes.
* **Develop Execution Dashboards:** Design and build intuitive, self\-service dashboards (using Tableau/Qlik) that allow stakeholders to monitor program health and execution velocity.
* **Communicate Insights:** Translate complex datasets into clear, concise summaries for business partners and leadership, highlighting trends, risks, and opportunities.
* **Collaborate Cross\-Functionally:** Partner with other analysts and data engineers across Intuit to share best practices, align on metric definitions, and drive cross\-team analytics projects.
 **What you’ll bring:*** **Speed as a habit:** Drive velocity in the organization by accelerating customer, business, and technology outcomes by identifying and driving key opportunities across the company
* **Emerging technology mastery:** Continuously explore emerging trends, tools, and techniques in Generative AI. Follow trends and research topics of leveraging AI/GenAI to improve workforce efficiency.
* **Understands customer behaviors:** Partner with cross\-functional partners to influence and drive end\-to\-end solutions for customer problems. Execute with a boundaryless mindset and contribute to solutions outside of your primary area of ownership
* **Durable data solutions:** Design and implement durable data solutions that will solve critical customer problems in a fast\-paced environment. Create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Be prepared to get hands\-on and debug complex issues or create fully working POCs which teams can take forward.
* **Communicate effectively:** Explain complex designs to both technical and non\-technical stakeholders and drive consensus.
 **Qualifications**
* 7\+ years of experience in Data Analytics, Business Intelligence, Engineering or related technical field
* Bachelor's in Statistics, Mathematics, Computer Science, or related field.
* Proficient with unstructured data and turning raw data into a usable, high\-quality dataset ready for effective use
* Strong proficiency in visualization tools with hands\-on experience building complex dashboards in Tableau, Qlik, or PowerBI.
* Proven track records of developing and managing complex analytics data mart and data pipelines is a must\-have.
* Demonstrated experience with big data tools and frameworks such as Apache Spark, Hadoop or Databricks.
* Experience with data modeling, data warehousing, and building ETL pipelines.
* Experience in applying advanced analytics techniques such as python, ML models, LLM, etc., is a plus.
* Ability to create analytical framework for solving complex business problems with proven track record.
* Ability to manage multiple projects simultaneously to meet objectives.
* Outstanding communications skills with both technical and non\-technical. Be able to communicate effectively with senior executives.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2">
      <c r="A12" t="inlineStr">
        <is>
          <t>in-b5ce8de08896f8da</t>
        </is>
      </c>
      <c r="B12" t="inlineStr">
        <is>
          <t>Staff Data Engineer - Technical Strategic Programs</t>
        </is>
      </c>
      <c r="C12" t="inlineStr">
        <is>
          <t>Intuit</t>
        </is>
      </c>
      <c r="D12" t="inlineStr">
        <is>
          <t>indeed</t>
        </is>
      </c>
      <c r="E12" t="inlineStr"/>
      <c r="F12" t="inlineStr"/>
      <c r="G12" t="inlineStr">
        <is>
          <t>San Diego, CA, US</t>
        </is>
      </c>
      <c r="H12" s="1" t="n">
        <v>46071</v>
      </c>
      <c r="I12" t="inlineStr">
        <is>
          <t>**Overview**
------------
The Tech Strategic Programs organization delivers for Intuit and Tech Strategy by transforming and driving how our Technology ecosystem operates to accelerate outcomes for our customers. This small, yet mighty team works with senior leaders and partners across the company. We focus on strategic planning, the operating rhythm, executive narratives, workforce programs and delivering intelligent insights that accelerate execution across the tech portfolio and highest priority business growth areas.  
We are looking for a strategic and organized leader with a passion for innovation and data\-driven optimization. As a Data Engineer, you will work alongside senior leaders to deliver the foundational data architecture that allows Intuit to measure execution velocity and accelerate critical business outcomes. **Responsibilities**
**In this role, you will:**
* **Build and Maintain Data Marts:** Design, develop, and manage the tables and data marts that serve as the foundation for our team’s daily reporting. You will partner with data scientists, technical program managers, AI engineers, and other stakeholders to ensure our data is structured for speed and reusability.
* **Own Data Quality \&amp; Reliability:** Proactively monitor data pipelines, troubleshoot discrepancies, and debug issues quickly to ensure data integrity.
* **Track Key Success Metrics:** Implement and track leading indicators and success metrics, helping the organization understand whether initiatives are delivering the desired outcomes.
* **Develop Execution Dashboards:** Design and build intuitive, self\-service dashboards (using Tableau/Qlik) that allow stakeholders to monitor program health and execution velocity.
* **Communicate Insights:** Translate complex datasets into clear, concise summaries for business partners and leadership, highlighting trends, risks, and opportunities.
* **Collaborate Cross\-Functionally:** Partner with other analysts and data engineers across Intuit to share best practices, align on metric definitions, and drive cross\-team analytics projects.
 **What you’ll bring:*** **Speed as a habit:** Drive velocity in the organization by accelerating customer, business, and technology outcomes by identifying and driving key opportunities across the company
* **Emerging technology mastery:** Continuously explore emerging trends, tools, and techniques in Generative AI. Follow trends and research topics of leveraging AI/GenAI to improve workforce efficiency.
* **Understands customer behaviors:** Partner with cross\-functional partners to influence and drive end\-to\-end solutions for customer problems. Execute with a boundaryless mindset and contribute to solutions outside of your primary area of ownership
* **Durable data solutions:** Design and implement durable data solutions that will solve critical customer problems in a fast\-paced environment. Create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Be prepared to get hands\-on and debug complex issues or create fully working POCs which teams can take forward.
* **Communicate effectively:** Explain complex designs to both technical and non\-technical stakeholders and drive consensus.
 **Qualifications**
* 7\+ years of experience in Data Analytics, Business Intelligence, Engineering or related technical field
* Bachelor's in Statistics, Mathematics, Computer Science, or related field.
* Proficient with unstructured data and turning raw data into a usable, high\-quality dataset ready for effective use
* Strong proficiency in visualization tools with hands\-on experience building complex dashboards in Tableau, Qlik, or PowerBI.
* Proven track records of developing and managing complex analytics data mart and data pipelines is a must\-have.
* Demonstrated experience with big data tools and frameworks such as Apache Spark, Hadoop or Databricks.
* Experience with data modeling, data warehousing, and building ETL pipelines.
* Experience in applying advanced analytics techniques such as python, ML models, LLM, etc., is a plus.
* Ability to create analytical framework for solving complex business problems with proven track record.
* Ability to manage multiple projects simultaneously to meet objectives.
* Outstanding communications skills with both technical and non\-technical. Be able to communicate effectively with senior executives.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3">
      <c r="A13" t="inlineStr">
        <is>
          <t>in-87af0453e9eb4f0e</t>
        </is>
      </c>
      <c r="B13" t="inlineStr">
        <is>
          <t>Staff Data Engineer | Luma New</t>
        </is>
      </c>
      <c r="C13" t="inlineStr">
        <is>
          <t>Dotmatics Ltd.</t>
        </is>
      </c>
      <c r="D13" t="inlineStr">
        <is>
          <t>indeed</t>
        </is>
      </c>
      <c r="E13" t="inlineStr"/>
      <c r="F13" t="inlineStr"/>
      <c r="G13" t="inlineStr">
        <is>
          <t>US</t>
        </is>
      </c>
      <c r="H13" s="1" t="n">
        <v>46071</v>
      </c>
      <c r="I13" t="inlineStr">
        <is>
          <t>**Our Why At Dotmatics**
At Dotmatics, we believe science, data, and decision\-making must be deeply intertwined for innovation to thrive.
Our Portfolio includes Luma, LumaLab Connect, ELN Platform, Graphpad Prism, Geneious, SnapGene, Protein Metrics, OMIQ, FCS Express, LabArchives, NQuery, EasyPanel, MStar, SoftGenetics and Virscidian.
**We have a vision for a new Lab of the Future that will change the future of scientific research.**
We have created the world’s most comprehensive digital science platform – best\-of\-breed software applications already used by more than 2 million scientists, together in a single ecosystem united by a powerful, flexible enterprise data platform. This is not flat data buried away in digital graveyards. This is dynamic, multi\-dimensional decision\-making.
Scientific enterprises need a new level of effectiveness to achieve tomorrow’s breakthroughs. Illness will not wait. The biosphere will not wait. We are tireless in our vision, because the time for innovation is now.
**Shaping the Future of Science At Dotmatics**
Our global team of more than 800 colleagues are dedicated to supporting our customers in over 180 countries. Together, with our scientific community of users, we accelerate scientific innovation in order to make the world a healthier, cleaner, and safer place to live.
You’ll join a collaborative, global team pushing the boundaries of scientific innovation. Your ideas and efforts will have a tangible impact, accelerating scientific progress and discovery. We offer a dynamic, remote\-friendly environment that fosters high integrity and collaboration, empowering you to excel. Dotmatics is a company built by scientists, for scientists. Combined, we are now the world’s largest cloud\-based scientific research R\&amp;D platform. We need your help to keep growing and pioneering the future.
**We are Science Driven. We are Customer Centric. We are Better Together.**
**What do we need**
Dotmatics is seeking a Staff Engineer to join our team. We are building the most powerful R\&amp;D AI\-Powered platform in the world. Luma is an AI\-Native Multimodal Research Platform for Scientific Intelligence, Luma fits the way our customers “do science”. It allows scientists to streamline scientific research with adaptive R\&amp;D workflows driven by AI and seamless data integration. As a Staff Engineer, you will be responsible for driving improvements in reliability, performance, and operability while helping to hire, mentor, and grow a world\-class engineering team. You are curious and have some working knowledge of using AI in your everyday work or in your own personal projects, and be motivated to find new ways to use AI in software development.  
This is a remote position, located in Mass. There will be some travel required to the office in Boston for team meetings and working sessions.
**In this role you will**
* Define and drive system architecture for services within a Node.js/TypeScript ecosystem.
* Contribute to and improve engineering standards, patterns, and best practices for distributed systems, observability, and reliability.
* Architect and implement serverless and event\-driven data processing pipelines for high\-volume scientific data.
* Guarantee the scalability, maintainability, and security of software solutions.
* Provide technical guidance to Software Engineers, conduct code reviews, and raise the bar for design, code quality, and operational excellence.
* Help shape user interfaces that are intuitive and accelerate scientific research.
* Collaborate with other teams to build scientific solutions on top of a best\-in\-class scientific data engine.
**We are looking for candidates** with 12\+ years experience in engineering preferably in a SaaS environment, and ideally with a degree in Computer Science, Software Engineering, or equivalent. You will be curious and inquisitive question the why and how!!  
**The key skills we are looking for**
* Strong engineering background with Node.js and React.
* Proven experience designing and implementing distributed, event\-driven systems and high\-level web applications.
* Experience implementing automated testing platforms, unit tests, and integration tests.
* Professional experience with PostgreSQL and building/consuming RESTful APIs.
* Hands\-on experience with AWS in production environments and a solid understanding of Kubernetes for orchestrating workloads.
* Proficiency with CI/CD tools such as GitHub Actions and AWS CodePipeline.
* Knowledge of Agile software development practices.
**You may also have experience in**
* Setting technical direction, leading cross\-team initiatives, and levelling up other engineers.
* Background in complex data pipelines and scaling.
* Message\-based architectures (e.g., Kafka).
* Deployment technologies like Terraform.
* Exposure to AWS and/or GCP or designing systems portable across multiple cloud providers.
* Building Windows applications.
* Building scalable distributed systems using Kubernetes and other cloud\-native technologies.
* Experience within Life Sciences or R\&amp;D data management.
**Total Rewards**
Dotmatics utilises a national market\-based approach to base pay benchmarking and pay band development. The candidate's final starting pay is based on job\-related skills, experience, job specific qualifications \&amp; location. In addition to base salary, Dotmatics has implemented a total rewards strategy, which is the combination of compensation, benefits and recognition.
***Certain positions are also eligible for variable pay; your recruiter will discuss the full compensation package details.***
**Other Total Rewards Offered**
* Medical, Dental, Vision, Insurance
* Health Spending Accounts
* Wellness Benefits (Mental Health Apps and Fitness Perks)
* Company\-paid Life and Disability Insurance
* 401k Retirement Plan (with 4% company match; immediate vesting)
* Flexible Time off Plan (for US exempt employees)
This is the range that we, in good faith, believe is the range of possible compensation for this role at the time of this posting. We may ultimately pay more or less than the posted range. This range may be modified in the future.
Starting Base Pay Range
$142,445 \- $163,811 USD
Research shows us the confidence gap and imposter syndrome can get in the way of meeting outstanding candidates, so please don’t hesitate to apply — we’d love to hear from you.
By submitting your application, you agree that Dotmatics may collect your personal data for recruiting, global organization planning, and related purposes. Dotmatics Privacy Notice explains what personal information we may process, where we may process your personal information, our purposes for processing your personal information, and the rights you can exercise over Dotmatics use of your personal information.
**Dotmatics is an equal opportunity employer. We are a welcoming place for everyone, and we do our best to make sure all people feel supported and connected at work.**</t>
        </is>
      </c>
    </row>
    <row r="14">
      <c r="A14" t="inlineStr">
        <is>
          <t>in-8d900608999b7964</t>
        </is>
      </c>
      <c r="B14" t="inlineStr">
        <is>
          <t>Sr Data Engineer</t>
        </is>
      </c>
      <c r="C14" t="inlineStr">
        <is>
          <t>Lennar</t>
        </is>
      </c>
      <c r="D14" t="inlineStr">
        <is>
          <t>indeed</t>
        </is>
      </c>
      <c r="E14" t="inlineStr"/>
      <c r="F14" t="inlineStr"/>
      <c r="G14" t="inlineStr">
        <is>
          <t>Irving, TX, US</t>
        </is>
      </c>
      <c r="H14" s="1" t="n">
        <v>46071</v>
      </c>
      <c r="I14" t="inlineStr">
        <is>
          <t>Sr. Data Engineer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Sr. Data Engineer is an experienced professional responsible for leading the development of complex data architectures. The role involves mentoring junior engineers, designing large\-scale data solutions, and ensuring the reliability of data infrastructure. This position requires expertise in data engineering practices and a proactive approach to problem\-solving.* A career with purpose.
* A career built on making dreams come true.
* A career built on building zero defect homes, cost management, and adherence to schedules.
Your Responsibilities on the Team* Lead the design and implementation of scalable, high\-performance data architectures that support diverse data sources, including structured, semi\-structured, and unstructured data.
* Architect and build data pipelines that can process and analyze large\-scale datasets in real\-time and batch modes.
* Mentor and guide junior data engineers in best practices, code quality, and technical skills, fostering a culture of continuous learning.
* Ensure the reliability, efficiency, and security of data pipelines by implementing monitoring, alerting, and automated recovery mechanisms.
* Collaborate with cross\-functional teams, including data scientists, analysts, and product managers, to align data solutions with business needs and goals.
* Lead the adoption of new technologies and tools that enhance the data engineering capabilities of the team.
* Oversee the development of data models, schemas, and data marts that enable efficient data analysis and reporting.
* Implement data governance frameworks, including data lineage, metadata management, and data quality standards.
Knowledge* Advanced SQL skills, including query optimization, indexing strategies, and data modeling techniques (e.g., star and snowflake schemas).
* Expertise in programming languages such as Python, Java, or Scala, with experience in developing complex data processing algorithms.
* In\-depth knowledge of cloud data services and big data technologies, such as Snowflake, AWS EMR, Azure HDInsight, or Google Dataflow.
* Experience with data streaming technologies, such as Apache Kafka, Apache Flink, or Amazon Kinesis, for real\-time data processing.
* Strong understanding of data lake architectures, data warehousing, and data integration techniques.
* Proficiency in data pipeline orchestration tools, such as Apache Airflow, Prefect, or Dagster, for managing complex workflows.
* Knowledge of data security frameworks and compliance standards (e.g., GDPR, HIPAA) and their application in data engineering.
* Experience with DevOps practices, including CI/CD pipelines, infrastructure as code (e.g., Terraform, CloudFormation), and containerization (e.g., Docker, Kubernetes).
Requirements* Bachelor's or Master's degree in Computer Science, Information Technology, or a related field.
* 5\-7 years of experience in data engineering or a related role, with a proven track record of delivering scalable data solutions.
* AWS, Snowflake, Azure
* AWS Glue, AWS Appflow, Prefect, dbt, S3, Qlik
* SQL, Python, Java
* Excellent ability to convey complex ideas to both technical and non\-technical audiences.
* Demonstrates advanced problem\-solving skills, tackling complex issues with innovative solutions.
* Models ethical behavior and decision\-making, fostering a culture of trust within the team.
* Thrives in high\-pressure situations, maintaining effectiveness and composure.
* Champions change initiatives and drives continuous improvement within the organization.
* Leads cross\-functional teams, ensuring alignment and cooperation across departments.
* Provides strategic leadership, influencing team direction and mentoring future leaders.
* Ensures accountability at all levels, holding team members responsible for their contributions.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row>
    <row r="15">
      <c r="A15" t="inlineStr">
        <is>
          <t>in-f64fbd8c70c1a36c</t>
        </is>
      </c>
      <c r="B15" t="inlineStr">
        <is>
          <t>BI Data Engineer</t>
        </is>
      </c>
      <c r="C15" t="inlineStr">
        <is>
          <t>Insight</t>
        </is>
      </c>
      <c r="D15" t="inlineStr">
        <is>
          <t>indeed</t>
        </is>
      </c>
      <c r="E15" t="inlineStr"/>
      <c r="F15" t="inlineStr"/>
      <c r="G15" t="inlineStr">
        <is>
          <t>Chandler, AZ, US</t>
        </is>
      </c>
      <c r="H15" s="1" t="n">
        <v>46070</v>
      </c>
      <c r="I15" t="inlineStr">
        <is>
          <t>**Requisition Number: 103916**
**Employer: Insight Direct USA, Inc.**
======================================
Position Location: Chandler, AZ
Position: BI Data Engineer
Job Duties:
* Design, develop, troubleshoot, evaluate, deploy, and document Insights data management and business intelligence systems, enabling stakeholders to manage the business and interpret data for business decision\-making.
* Contribute to all aspects of the Insights Enterprise Data Warehouse: ETL (extract, transform and load), metadata layer, presentation layer, security/administration, user and production support as well as automating processes using ETL and scripting best practices.
* Build secure, available, scalable, stable, and cost\-effective data solutions to handle large datasets using data storage technologies, distributed file systems, data processing, and business intelligence standards and methodologies.
* Work with Insight business customers to understand their business needs and implement solutions to support their analytical and reporting needs. This includes designing and building complex BI reports, scorecards and dashboards in Power BI according to the specific requirements provided.
* Create and deploy data models, reports and utilize analytical, statistical, and machine learning tools to uncover insights and actions.
* Collaborate with other BI team members to ensure successful delivery and a high business impact for Insights internal clients.
* Position reports out of Chandler, AZ HQ office but telecommuting is permitted on a case\-by\-case basis.
Job Requirements:  
Education Requirements:
* Bachelors Degree of Professional Studies in Data Analytics, Computer Science, or closely related. Employer will accept advance degree if in the same field.
Experience Requirements:
* 18 months of experience in job offered, Systems Engineer, or closely related.
Special skills requirements:
* Develop mappings in Informatica and SQL to extract, transform and load data from disparate sources into Data Warehouse.
* Design and build reports, dashboards in Excel and Tableau to evaluate key performance metrics of front\-end operations team.
* Write and optimize complex SQLs queries to process millions of rows of data, delivering business insights and reports within specified timeframes.
* Develop, tune, and deploy various applications for analyzing large volume of customer and sales data.
* Experience using the following technologies:
	+ Self\-Service BI Tools: Power BI, Business Objects
	+ Azure: Azure SQL Database, Azure Data Warehouse and Azure Data Factory
	+ Azure Big Data Technologies: Azure Data Lake and Azure Databricks
Salary**:** Available upon request
Work Schedule: 40 hours/week
Qualified applicants send cover letter and resumes to: Insight Direct USA, Inc., Susan Triggs, Corporate Paralegal, susan.triggs@insight.com, ref job\#GM01\. EOE. Standard Benefits. \#LI\-DNI \#FB\-DNI \#IN\-DNI \#TW\-DNI \#GD\-DNI
The position described above provides a summary of some the job duties required and what it would be like to work at Insight. For a comprehensive list of physical demands and work environment for this position, click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Posting Notes: Chandler \|\| Arizona (US\-AZ) \|\| United States (US) \|\| IT Infrastructure \&amp; Support \|\| None \|\| US \- Chandler,AZ \|\|</t>
        </is>
      </c>
    </row>
    <row r="16">
      <c r="A16" t="inlineStr">
        <is>
          <t>in-e1f997f9c8726922</t>
        </is>
      </c>
      <c r="B16" t="inlineStr">
        <is>
          <t>Senior Data Engineer (Bank Tech)</t>
        </is>
      </c>
      <c r="C16" t="inlineStr">
        <is>
          <t>Capital One</t>
        </is>
      </c>
      <c r="D16" t="inlineStr">
        <is>
          <t>indeed</t>
        </is>
      </c>
      <c r="E16" t="inlineStr"/>
      <c r="F16" t="inlineStr"/>
      <c r="G16" t="inlineStr">
        <is>
          <t>McLean, VA, US</t>
        </is>
      </c>
      <c r="H16" s="1" t="n">
        <v>46070</v>
      </c>
      <c r="I16" t="inlineStr">
        <is>
          <t>Senior Data Engineer (Bank Tech)**Do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
      <c r="A17" t="inlineStr">
        <is>
          <t>in-e27c73b82a327abb</t>
        </is>
      </c>
      <c r="B17" t="inlineStr">
        <is>
          <t>Senior Manager, Data Engineering</t>
        </is>
      </c>
      <c r="C17" t="inlineStr">
        <is>
          <t>Capital One</t>
        </is>
      </c>
      <c r="D17" t="inlineStr">
        <is>
          <t>indeed</t>
        </is>
      </c>
      <c r="E17" t="inlineStr"/>
      <c r="F17" t="inlineStr"/>
      <c r="G17" t="inlineStr">
        <is>
          <t>McLean, VA, US</t>
        </is>
      </c>
      <c r="H17" s="1" t="n">
        <v>46070</v>
      </c>
      <c r="I17" t="inlineStr">
        <is>
          <t>Senior Manager, Data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Richmond, VA: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
      <c r="A18" t="inlineStr">
        <is>
          <t>in-17f9b9564e8c8b3c</t>
        </is>
      </c>
      <c r="B18" t="inlineStr">
        <is>
          <t>Data Engineer, AMZL Orbit Data Engineering</t>
        </is>
      </c>
      <c r="C18" t="inlineStr">
        <is>
          <t>Amazon.com</t>
        </is>
      </c>
      <c r="D18" t="inlineStr">
        <is>
          <t>indeed</t>
        </is>
      </c>
      <c r="E18" t="inlineStr"/>
      <c r="F18" t="inlineStr"/>
      <c r="G18" t="inlineStr">
        <is>
          <t>Nashville, TN, US</t>
        </is>
      </c>
      <c r="H18" s="1" t="n">
        <v>46054</v>
      </c>
      <c r="I18"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9">
      <c r="A19" t="inlineStr">
        <is>
          <t>in-bdd81be0efc09644</t>
        </is>
      </c>
      <c r="B19" t="inlineStr">
        <is>
          <t>Data Engineer, AMZL Orbit Data Engineering</t>
        </is>
      </c>
      <c r="C19" t="inlineStr">
        <is>
          <t>Amazon.com</t>
        </is>
      </c>
      <c r="D19" t="inlineStr">
        <is>
          <t>indeed</t>
        </is>
      </c>
      <c r="E19" t="inlineStr"/>
      <c r="F19" t="inlineStr"/>
      <c r="G19" t="inlineStr">
        <is>
          <t>Bellevue, WA, US</t>
        </is>
      </c>
      <c r="H19" s="1" t="n">
        <v>46054</v>
      </c>
      <c r="I19"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0">
      <c r="A20" t="inlineStr">
        <is>
          <t>in-b7d723984b2112b0</t>
        </is>
      </c>
      <c r="B20" t="inlineStr">
        <is>
          <t>Data Engineer, AMZL Orbit Data Engineering</t>
        </is>
      </c>
      <c r="C20" t="inlineStr">
        <is>
          <t>Amazon.com</t>
        </is>
      </c>
      <c r="D20" t="inlineStr">
        <is>
          <t>indeed</t>
        </is>
      </c>
      <c r="E20" t="inlineStr"/>
      <c r="F20" t="inlineStr"/>
      <c r="G20" t="inlineStr">
        <is>
          <t>Austin, TX, US</t>
        </is>
      </c>
      <c r="H20" s="1" t="n">
        <v>46054</v>
      </c>
      <c r="I20"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1">
      <c r="A21" t="inlineStr">
        <is>
          <t>in-c8da35217639d077</t>
        </is>
      </c>
      <c r="B21" t="inlineStr">
        <is>
          <t>Data Engineer</t>
        </is>
      </c>
      <c r="C21" t="inlineStr">
        <is>
          <t>Amazon.com</t>
        </is>
      </c>
      <c r="D21" t="inlineStr">
        <is>
          <t>indeed</t>
        </is>
      </c>
      <c r="E21" t="inlineStr"/>
      <c r="F21" t="inlineStr"/>
      <c r="G21" t="inlineStr">
        <is>
          <t>San Francisco, CA, US</t>
        </is>
      </c>
      <c r="H21" s="1" t="n">
        <v>46001</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22">
      <c r="A22" t="inlineStr">
        <is>
          <t>in-f6de046e04d8311f</t>
        </is>
      </c>
      <c r="B22" t="inlineStr">
        <is>
          <t>Data Engineer</t>
        </is>
      </c>
      <c r="C22" t="inlineStr">
        <is>
          <t>Amazon.com</t>
        </is>
      </c>
      <c r="D22" t="inlineStr">
        <is>
          <t>indeed</t>
        </is>
      </c>
      <c r="E22" t="inlineStr"/>
      <c r="F22" t="inlineStr"/>
      <c r="G22" t="inlineStr">
        <is>
          <t>Seattle, WA, US</t>
        </is>
      </c>
      <c r="H22" s="1" t="n">
        <v>46001</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23">
      <c r="A23" t="inlineStr">
        <is>
          <t>in-bcb6e752639fe319</t>
        </is>
      </c>
      <c r="B23" t="inlineStr">
        <is>
          <t>Data Engineer (USC &amp; GC Only | NO H1, OPT, CPT....)</t>
        </is>
      </c>
      <c r="C23" t="inlineStr">
        <is>
          <t>ACR Technology Inc</t>
        </is>
      </c>
      <c r="D23" t="inlineStr">
        <is>
          <t>indeed</t>
        </is>
      </c>
      <c r="E23">
        <f>HYPERLINK("https://www.indeed.com/viewjob?jk=bcb6e752639fe319", "https://www.indeed.com/viewjob?jk=bcb6e752639fe319")</f>
        <v/>
      </c>
      <c r="F23">
        <f>HYPERLINK("http://www.indeed.com/job/data-engineer-usc-gc-only-no-h1-opt-cpt-bcb6e752639fe319", "http://www.indeed.com/job/data-engineer-usc-gc-only-no-h1-opt-cpt-bcb6e752639fe319")</f>
        <v/>
      </c>
      <c r="G23" t="inlineStr">
        <is>
          <t>California City, CA, US</t>
        </is>
      </c>
      <c r="H23" s="2" t="n">
        <v>46072</v>
      </c>
      <c r="I23" t="inlineStr">
        <is>
          <t>**Job Description: Data Engineer**
**Eligibility:** Only U.S. Citizen or Green Card
**Responsibilities**
* Design, build, and maintain scalable **ETL pipelines**, data workflows, and **data warehousing** solutions for analytics and reporting.
* Develop and optimize data **modeling** solutions, databases, and large\-scale datasets using platforms such as **Google BigQuery**, **Hive**, and cloud\-native technologies.
* Write and optimize complex **SQL** queries and implement **Python**, **Spark**, and **Scala**\-based data transformations.
* Build and maintain batch and streaming data pipelines using **Spark**, **PySpark**, **Scala**, and messaging systems such as Kafka.
* Orchestrate workflows and automate data processes using **Apache Airflow**.
* Integrate data from multiple sources, including third\-party systems via **REST APIs**, ensuring data quality, consistency, governance, and compliance.
* Collaborate with product, engineering, and business teams to translate requirements into scalable technical solutions.
* Test, deploy, monitor, and support data solutions across cloud environments (AWS, Azure, or GCP).
* Document processes, contribute to continuous improvement initiatives, and provide technical guidance to users and cross\-functional teams.
**Qualifications**
* 5\+ years of experience in data engineering, analytics, or related fields.
* Advanced proficiency in **SQL** and strong programming skills in **Python and/or Scala**.
* Hands\-on experience with **ETL processes**, **data modeling**, and **data warehousing** concepts.
* Experience working with cloud data platforms such as **Google BigQuery**, AWS, or Azure.
* Strong experience with **Spark (PySpark/Scala)** and big data technologies such as **Hive** and Kafka.
* Experience building and managing workflows using **Apache Airflow**.
* Experience integrating systems using **REST APIs**.
* Knowledge of data governance, data quality, and compliance best practices.
* Bachelor’s degree in Computer Science, Engineering, or equivalent experience.
Job Types: Full\-time, Contract, Permanent
Pay: $40\.00 \- $50\.00 per hour
Work Location: In person</t>
        </is>
      </c>
    </row>
    <row r="24">
      <c r="A24" t="inlineStr">
        <is>
          <t>in-5dc4ba20264ef1c6</t>
        </is>
      </c>
      <c r="B24" t="inlineStr">
        <is>
          <t>Director, Data Engineering</t>
        </is>
      </c>
      <c r="C24" t="inlineStr">
        <is>
          <t>Versant</t>
        </is>
      </c>
      <c r="D24" t="inlineStr">
        <is>
          <t>indeed</t>
        </is>
      </c>
      <c r="E24">
        <f>HYPERLINK("https://www.indeed.com/viewjob?jk=5dc4ba20264ef1c6", "https://www.indeed.com/viewjob?jk=5dc4ba20264ef1c6")</f>
        <v/>
      </c>
      <c r="F24">
        <f>HYPERLINK("https://jobs.smartrecruiters.com/Versant3/744000110201585-director-data-engineering", "https://jobs.smartrecruiters.com/Versant3/744000110201585-director-data-engineering")</f>
        <v/>
      </c>
      <c r="G24" t="inlineStr">
        <is>
          <t>New York, NY, US</t>
        </is>
      </c>
      <c r="H24" s="2" t="n">
        <v>46072</v>
      </c>
      <c r="I24"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As a Director of Data Engineering, you will be play a pivotal role in the design, development, and implementation of robust data architecture and pipelines that support critical business decisions, analytics, and product development. This role is crucial in creating a connected data ecosystem that unleashes the power of our first party, third party and zero party data to drive innovation and growth. This data ecosystem is at the core of making intelligent customer and business decisions.
This role is ideal for a hands\-on technical individual who thrives in a fast\-paced, media\-rich environment and is passionate about driving innovation through data.
*Responsibilities include, but are not limited to:*
* Lead high\-performing data engineering squads, setting clear objectives, fostering a collaborative environment, and driving team growth.
* Lead the design, development, and maintenance of scalable data pipelines and architectures across internal, third\-party, and cloud\-based sources.
* Ensure data accuracy, completeness, and consistency across various sources.
* Collaborate with data scientists and business teams to improve data models that feed business intelligence tools, increasing data accessibility and fostering data\-driven decision\-making across the organization.
* Implement best practices for data engineering, including performance tuning, monitoring, and documentation.
* Evaluate and adopt emerging technologies to improve data engineering capabilities.
* Foster the growth of your team members through coaching, mentorship, and opportunities for technical development.
* Contribute to strategic planning and execution of data initiatives aligned with business goals.
* Support the Sr. Director of Data Engineering in executing the broader data strategy and roadmap.
**Qualifications**  
* Proven experience (8\+ years) in data engineering
* Experience with media\-specific data platforms, including content management systems, ad tech, and digital media analytics tools.
* Proficiency in programming languages such as Python, Java, or Scala for data processing tasks.
* Experience with cloud platforms (e.g., AWS, Google Cloud, Azure) and cloud data warehouses (e.g., Redshift, Snowflake, Databricks.)
* Expertise in SQL/ NoSQL databases (e.g., PostgreSQL, MongoDB, BigQuery, or similar), and big data technologies (e.g., Hadoop, Spark, Kafka, etc.).
* Strong background in designing and building complex, high\-performance data systems, including data lakes, data warehouses, and real\-time data pipelines.
* Proven ability to manage and scale a growing team of data engineers, providing both technical guidance and career development.
* Excellent communication skills to collaborate with other teams and stakeholders.
* Familiarity with data visualization tools like Tableau or Looker.
* Ability to work collaboratively with cross\-functional teams in a matrixed organization.
* Experience with machine learning and data science workflows.
* Familiarity with media industry standards and analytics platforms (e.g., Nielsen, comScore, etc.).
* Strong decision\-making skills and adaptability to changing circumstances.
* Exposure to agile development practices and project management tools (e.g., Jira, Confluence)
Salary range: $165,000 \- $210,000 (bonus and long\-term incentive eligible)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25">
      <c r="A25" t="inlineStr">
        <is>
          <t>in-70a3e99806d813da</t>
        </is>
      </c>
      <c r="B25" t="inlineStr">
        <is>
          <t>Senior Data Engineer</t>
        </is>
      </c>
      <c r="C25" t="inlineStr">
        <is>
          <t>FlightSafety International</t>
        </is>
      </c>
      <c r="D25" t="inlineStr">
        <is>
          <t>indeed</t>
        </is>
      </c>
      <c r="E25">
        <f>HYPERLINK("https://www.indeed.com/viewjob?jk=70a3e99806d813da", "https://www.indeed.com/viewjob?jk=70a3e99806d813da")</f>
        <v/>
      </c>
      <c r="F25">
        <f>HYPERLINK("https://jobs.flightsafety.com/search/jobdetails/senior-data-engineer/d81ea2c4-6ff6-4891-bef8-5f10444c10da?utm_medium=organic_job_board&amp;utm_campaign=indeed_organic&amp;afid=295f0b46-7e08-4f9f-8462-80bcbaa00132", "https://jobs.flightsafety.com/search/jobdetails/senior-data-engineer/d81ea2c4-6ff6-4891-bef8-5f10444c10da?utm_medium=organic_job_board&amp;utm_campaign=indeed_organic&amp;afid=295f0b46-7e08-4f9f-8462-80bcbaa00132")</f>
        <v/>
      </c>
      <c r="G25" t="inlineStr">
        <is>
          <t>Columbus, OH, US</t>
        </is>
      </c>
      <c r="H25" s="2" t="n">
        <v>46071</v>
      </c>
      <c r="I25"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
The Senior Database Engineer is responsible for reviewing, analyzing, modifying, and developing applications for production Enterprise Resource Planning (ERP) and supporting applications.
**Tasks and Responsibilities**
------------------------------
* Client/server application development, customization, and end\-user support for all MRP/ERP, document management, and other miscellaneous database systems
* Interfacing with appropriate personnel to determine and maintain database, server, and application backup and disaster recovery schemes and procedures
* Maintenance of database and MRP/ERP software licensing and administration of program distribution, including the following items: software revision synchronization software licensing maintenance, renewal, and purchasing, and research for software upgrades, automation, and alternative/additional software solutions
* Authoring of process/procedural documentation, which may include the following: application\-specific tutorials, training documentation, step\-by\-step procedural outlines, FAQs, how\-to's, and best practices outlines
* Interfacing with appropriate governing groups to ascertain database application and customization needs
* Assists in the specification and maintenance of records for user access regarding access level and available data for each relevant database
* Reviews computer system capabilities, workflow, and scheduling limitations to determine if the requested program or program change is possible within the existing system
* Confers with personnel of organizational units to analyze current operational procedures, identify problems, and learn specific input and output requirements, such as forms of data input, how data is to be summarized, and formats for reports
* Plans and prepares technical reports, memoranda, and instructional manuals as documentation of process development; assists in preparing training materials for end\-user training classes
* Writes detailed description of user needs, program functions, and steps required to develop or modify computer programs
* Assists in studies of existing systems to evaluate effectiveness; develop proposals for new systems or modifications needed to existing systems to improve production or workflow as required
* Prepares workflow charts and diagrams to detail the operations to be performed by equipment, computer programs, and personnel in the system
* Prepares training materials and leads end\-user training classes for MRP/ERP system and supporting applications
* Accountable for the control and distribution of documents and equipment subject to export control restrictions and the security of FSI materials, projects, and business information regarding the methods and techniques used in the production and usage of FSI products
* Accountable and responsible for the accuracy and completeness of assigned work and results
* Prioritize and manage workload and communicate issues clearly
* Complete other tasks as required
* Travel when required
**Minimum Education**
---------------------
* Bachelor's degree from an accredited institution or equivalent industry experience
**Minimum Experience**
----------------------
* 5\+ years of experience administrating and customizing SQL Server databases with their associated toolsets in a production or support environment
**Knowledge, Skills, Abilities**
--------------------------------
* In\-depth experience developing client/server applications and GUIs utilizing programming languages and tools in a Windows environment. Specifically, Microsoft SQL Server T\-SQL programming language, Visual Basic .Net, SQL Server Reporting Services, Crystal Reports, VB Scripting, Microsoft C\#, SQL Server Integration Services, ODBC, and ADO.NET
* Strong working knowledge of Windows OS, Microsoft Office, and other Windows\-based programs
* Knowledge of UNIX is a plus
* Proficient Windows usage skills
* Required specific application experience customizing, administrating, and supporting the following programs: SQL Server and Syteline or Symix
* Uses experience and sound judgment to plan and accomplish goals. Performs various complicated tasks in a fast\-paced, production\-critical support environment. A certain degree of creativity and latitude is expected
* Strong written and verbal communications skills
* Excellent organizational skills, including the ability to multi\-task and prioritize workload
**Physical Demands and Work Environment**
-----------------------------------------
The physical demands and work environment described here are representative of those that must be met and/or encountered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finger, handle, or feel; reach with hands and arms; and communicate. The employee may be required to stand, walk, and sit. Specific vision abilities required by this job include the ability to view monitors, technical documents, and reference material. The noise level in the work environment is usually low to moderate.
FlightSafety is an Equal Opportunity Employer/Vet/Disabled. All qualified applicants will receive consideration for employment without regard to race, color, religion, sex, sexual orientation, gender identity, national origin, or disability.
*Any offer of employment is contingent upon successful completion of required compliance reviews, including verification that the candidate is not prohibited from employment under U.S. economic sanctions programs administered by the U.S. Department of the Treasury’s Office of Foreign Assets Control (OFAC).**This position may require access to export\-controlled technology or services subject to the International Traffic in Arms Regulations (ITAR) and/or the Export Administration Regulations (EAR). Employment consideration and any offer of employment are contingent upon the applicant’s ability to comply with these requirements, including qualifying as a “U.S. Person” under applicable regulations or otherwise eligible for export authorization within a timeframe consistent with business needs. A “U.S. Person” includes U.S. citizens, lawful permanent residents (holders of approved and unexpired green cards), and certain refugees or asylees with protected status under U.S. law.* *This position may also require eligibility to obtain and maintain a U.S. Government security clearance for the duration of employment.***Cybersecurity Notice:** All official recruiting communication from FlightSafety International will come from an **@flightsafety.com** email address. FlightSafety International will never ask for personal or financial information through social media or third\-party email providers.</t>
        </is>
      </c>
    </row>
    <row r="26">
      <c r="A26" t="inlineStr">
        <is>
          <t>in-b0ed6cc7fe500c30</t>
        </is>
      </c>
      <c r="B26" t="inlineStr">
        <is>
          <t>Sr Data Engineer</t>
        </is>
      </c>
      <c r="C26" t="inlineStr">
        <is>
          <t>Charter Schools USA</t>
        </is>
      </c>
      <c r="D26" t="inlineStr">
        <is>
          <t>indeed</t>
        </is>
      </c>
      <c r="E26">
        <f>HYPERLINK("https://www.indeed.com/viewjob?jk=b0ed6cc7fe500c30", "https://www.indeed.com/viewjob?jk=b0ed6cc7fe500c30")</f>
        <v/>
      </c>
      <c r="F26">
        <f>HYPERLINK("https://recruiting.adp.com/srccsh/public/RTI.home?r=5001179579306&amp;c=1166151&amp;d=CharterSchoolsUSA&amp;rb=INDEED&amp;idUnique=5001179579306", "https://recruiting.adp.com/srccsh/public/RTI.home?r=5001179579306&amp;c=1166151&amp;d=CharterSchoolsUSA&amp;rb=INDEED&amp;idUnique=5001179579306")</f>
        <v/>
      </c>
      <c r="G26" t="inlineStr">
        <is>
          <t>Fort Lauderdale, FL, US</t>
        </is>
      </c>
      <c r="H26" s="2" t="n">
        <v>46071</v>
      </c>
      <c r="I26" t="inlineStr">
        <is>
          <t>**Who We Are**
Charter Schools USA (CSUSA) is one of the largest and highest performing education management companies in the United States, proudly serving over 82,000 students in over 150 schools in four states. Founded by Jonathan Hage in 1997, CSUSA's mission is a Relentless Commitment to Student Greatness in School and in Life™. CSUSA provides an academically rigorous education to students equipping them with real world readiness, prepared for college or career after graduation. With an unwavering dedication to the success of students from every background, CSUSA is closing the gaps in achievement and opportunity, keeping our promise of Strong Minds, Good Hearts™.
**Job Purpose**
To join a team of people with the mission: Relentless Commitment to Student Greatness in School and in Life ™. If you love inspiring and motivating young learners and want to put students first in education, CSUSA is the right place for you. We deliver on our promise of Strong Minds, Good Hearts™ through an education model that gives every student the opportunity for success The Senior Data Engineer is a technical authority and hands\-on contributor responsible for designing, building, and maintaining scalable data infrastructure and pipelines that support the organization's data analytics, business intelligence, and operational reporting needs. In addition to enabling advanced analytics, the Senior Data Engineer plays a critical role in architecting and implementing integrations between disparate systems, including internal platforms, vendor solutions, and external services, to create seamless and efficient data flows across the organization's enterprise architecture ecosystem. The Senior Data Engineer serves as both an individual contributor and technical mentor, working closely with data analysts, data engineers, business intelligence teams, and business stakeholders to ensure reliable, high\-quality data delivery.
This position plays a critical role in translating business requirements into scalable data solutions, establishing best practices for data engineering, fosters effective and scalable solutions, and ensuring data quality, security, and compliance across multiple school locations and subsidiaries. The role requires deep expertise in modern data engineering technologies, data warehousing, ETL/ELT tools, programming languages, and cloud platform capabilities.
**How You Will Impact Education**
**Data Architecture and Engineering**
* Design, develop, and maintain efficient, effective, and scalable data pipelines and ETL/ELT processes to integrate data from multiple source systems.
* Architect and implement solutions within a data warehouse environment, including data modeling, optimization, and performance tuning
* Develop and maintain a cloud\-based data infrastructure
* Create and maintain data models (dimensional, relational) that support business intelligence and analytics requirements
* Build robust, reusable data pipelines that ensure data accuracy, consistency, and availability across the organization
**Data Integration and Quality**
* Design, develop, and maintain customized integrations to enable seamless data flows across all systems within the enterprise architecture.
* Develop source\-to\-target mappings and maintain comprehensive data lineage documentation
* Perform data profiling and analysis to validate business domains, ensure data quality, and identify data anomalies
* Implement data validation frameworks and quality checks to ensure accuracy and completeness
* Work with stakeholders to understand source system data models and translate technical data structures into business\-friendly formats
* Manage vendor data integrations and establish secure data access protocols, including external API connections and third\-party service integrations
**Collaboration and Requirements Analysis**
* Elicit, interpret, and document business requirements from stakeholders across multiple business units
* Act as liaison between business teams and technical teams to ensure requirements are accurately understood and implemented
* Partner with Data Analysts and Business Intelligence teams to support Power BI reporting and analytics initiatives
* Participate in data model reviews, architecture discussions, and solution design sessions to ensure high\-quality deliverables
* Provide technical guidance and subject matter expertise on data usage, metadata standards, and best practices
**DevOps and Platform Management**
* Implement and maintain CI/CD pipelines for data infrastructure using version control (GitHub) and orchestration tools
* Monitor data pipeline performance, troubleshoot issues, and implement solutions for optimization
* Establish and enforce data engineering standards, documentation practices, and code review processes
* Manage data security, access controls, and compliance requirements in alignment with organizational policies
* Provide day\-to\-day support, incident management, and resolution for data\-related issues
**Leadership and Innovation**
* Mentor junior data engineers and analysts on technical skills, best practices, and professional development
* Drive innovation by identifying and evaluating new technologies, tools, and methodologies to improve data capabilities
* Lead technical knowledge sharing sessions and contribute to internal documentation and training materials
* Partner with management to identify strategic opportunities for leveraging data to advance business objectives
**Required Qualifications and Skills**
**Education and Experience**
* Bachelor's degree in Computer Science, Information Systems, Data Science, Engineering, or related field, or equivalent combination of education and professional experience
* 7\+ years of professional experience in data engineering, data architecture, or related technical roles
* Demonstrated experience designing and implementing large\-scale data systems and cloud\-based data architectures
**Technical Skills**
* Programming Languages: Expert\-level proficiency in Python (7\+ years); strong SQL skills (7\+ years) with experience in complex query optimization
* Cloud Platforms: 5\+ years hands\-on experience with Azure (preferred) or AWS cloud services, including data lake, data warehouse, and serverless computing
* Data Warehousing: Strong experience with Snowflake (preferred) or similar modern cloud data warehouse platforms
* ETL/ELT Tools: Proficiency with modern data integration platforms and orchestration tools (e.g., Airflow, AWS Glue, Azure Data Factory, Azure Databricks)
* Data Modeling: 5\+ years experience with dimensional modeling, data vault, and relational database design concepts
* Version Control: Experience with Git/GitHub for collaborative development and CI/CD pipelines
* APIs and Integration: Experience working with RESTful APIs, JSON, and data integration patterns
* Business Intelligence: Experience supporting Power BI, Tableau, or similar BI platforms
**Core Competencies**
* Excellent analytical and problem\-solving skills with ability to troubleshoot complex technical issues
* Strong written and verbal communication skills with ability to explain technical concepts to non\-technical audiences
* Proven ability to manage multiple concurrent projects and priorities in a dynamic, fast\-paced environment
* Strong organizational skills and meticulous attention to detail in documentation and code quality
* Demonstrated facilitation and stakeholder management skills
* Ability to work both independently and collaboratively in a team\-oriented environment
* Customer service orientation with focus on delivering high\-quality outcomes
* Strong thought leadership with ability to drive innovation and continuous improvement
**PREFERRED QUALIFICATIONS**
* Experience in K\-12 education sector or familiarity with educational data systems (PowerSchool, SchoolMint, etc.)
* Experience with NetSuite ERP system and financial data integration
* Knowledge of Celigo or similar integration platforms
* Experience with containerization (Docker/Kubernetes) and infrastructure as code
* Familiarity with data governance frameworks and data quality tools
* Experience with NoSQL databases (e.g., CosmosDB, MongoDB)
* Working knowledge of project management principles and Agile methodologies
* Experience with advanced analytics or machine learning data pipeline development
* Relevant certifications (AWS Certified Data Analytics, Snowflake SnowPro, Azure Data Engineer Associate)
May perform other duties as assigned.
**Work Environment**
While performing the responsibilities of this position, the work environment characteristics listed below are representative of the environment the employee will encounter:
* Primarily remote/hybrid work environment with occasional travel to CSUSA locations as needed
* Standard business hours with flexibility for occasional after\-hours work for maintenance windows or critical deployments
* Must be available for on\-call support rotation as needed for production data systems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**FLSA Overtime Category**
Job is exempt from the minimum wage and overtime provisions of the Fair Labor Standards Act.</t>
        </is>
      </c>
    </row>
    <row r="27">
      <c r="A27" t="inlineStr">
        <is>
          <t>in-12908b9d37d18395</t>
        </is>
      </c>
      <c r="B27" t="inlineStr">
        <is>
          <t>Juniro Data Engineer</t>
        </is>
      </c>
      <c r="C27" t="inlineStr">
        <is>
          <t>Columbus Crew</t>
        </is>
      </c>
      <c r="D27" t="inlineStr">
        <is>
          <t>indeed</t>
        </is>
      </c>
      <c r="E27">
        <f>HYPERLINK("https://www.indeed.com/viewjob?jk=12908b9d37d18395", "https://www.indeed.com/viewjob?jk=12908b9d37d18395")</f>
        <v/>
      </c>
      <c r="F27">
        <f>HYPERLINK("https://columbuscrew.isolvedhire.com/jobs/1709458-489823.html", "https://columbuscrew.isolvedhire.com/jobs/1709458-489823.html")</f>
        <v/>
      </c>
      <c r="G27" t="inlineStr">
        <is>
          <t>Columbus, OH, US</t>
        </is>
      </c>
      <c r="H27" s="2" t="n">
        <v>46071</v>
      </c>
      <c r="I27" t="inlineStr">
        <is>
          <t>**Overview**
The Columbus Crew is seeking an early\-career Junior Data Engineer to join our Business Analytics team. This role is focused on building and maintaining data pipelines, improving data quality, and reengineering internal processes to support business operations across the organization.
This position is designed for candidates beginning their professional careers in data engineering and information systems. Strong technical fundamentals are required. Interest in sports is welcomed, but this is a data\-first role.
 **What You Will Do**
* Develop, maintain, and support ETL integrations and data pipelines
* Write and optimize SQL queries, views, functions, and stored procedures
* Monitor and validate data accuracy across multiple systems
* Identify data quality issues and implement corrective solutions
* Gather requirements from business stakeholders and translate them into technical solutions
* Analyze and reengineer existing workflows to improve efficiency and reliability
* Create and maintain flowcharts and process documentation
* Develop and publish reports and dashboards
* Support data processes during business\-critical periods, including games and events
* Perform other duties as assigned
**Required Qualifications**
* Bachelor's degree in Management Information Systems (MIS), Information Systems, Computer Science, Data Analytics, or a related technical discipline
* Approximately 0\-2 years of professional experience in data engineering, analytics engineering, business intelligence, or related technical work
* Demonstrated foundational knowledge of relational databases and SQL
**Technical Skills**
* SQL (Microsoft T\-SQL preferred)
* ETL tools (SSIS or comparable platforms preferred)
* Reporting tools (Tableau, SSRS, or similar)
* Basic object\-oriented programming experience (C\# or similar language preferred)
* Experience documenting processes and building workflow diagrams or flowcharts
**Candidate Profile**
The ideal candidate:
* Has strong technical and systems\-oriented thinking
* Enjoys building and improving data processes
* Is detail\-oriented and committed to data accuracy
* Is comfortable working cross\-functionally with non\-technical stakeholders
* Is seeking long\-term growth in data engineering or information systems
This is not a sports management role transitioning into analytics. Technical capability and data proficiency are essential.
**Work Environment**
* In\-person position located in Columbus, OH
* Standard business hours: Monday\-Friday, 8:30 AM\-5:30 PM
* Occasional evenings and weekends required to support games and events
This position requires extended computer\-based work and periodic attendance at organizational events.
**Work Authorization**
Candidates must be authorized to work in the United States at the time of hire. This position is not eligible for employment visa sponsorship now or in the future.
**Equal Opportunity Employer**
The Columbus Crew is an equal opportunity employer and does not discriminate on the basis of any protected characteristic under applicable law. Applicants requiring reasonable accommodation during the application or interview process should notify Human Resources.</t>
        </is>
      </c>
    </row>
    <row r="28">
      <c r="A28" t="inlineStr">
        <is>
          <t>in-19d0e294d7654ddd</t>
        </is>
      </c>
      <c r="B28" t="inlineStr">
        <is>
          <t>Data engineer</t>
        </is>
      </c>
      <c r="C28" t="inlineStr">
        <is>
          <t>Stacklogy</t>
        </is>
      </c>
      <c r="D28" t="inlineStr">
        <is>
          <t>indeed</t>
        </is>
      </c>
      <c r="E28">
        <f>HYPERLINK("https://www.indeed.com/viewjob?jk=19d0e294d7654ddd", "https://www.indeed.com/viewjob?jk=19d0e294d7654ddd")</f>
        <v/>
      </c>
      <c r="F28">
        <f>HYPERLINK("https://stacklogy.com/career/", "https://stacklogy.com/career/")</f>
        <v/>
      </c>
      <c r="G28" t="inlineStr">
        <is>
          <t>US</t>
        </is>
      </c>
      <c r="H28" s="2" t="n">
        <v>46071</v>
      </c>
      <c r="I28"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29">
      <c r="A29" t="inlineStr">
        <is>
          <t>in-191711931a1e4ffc</t>
        </is>
      </c>
      <c r="B29" t="inlineStr">
        <is>
          <t>Senior Data Engineer</t>
        </is>
      </c>
      <c r="C29" t="inlineStr">
        <is>
          <t>LTIMindtree</t>
        </is>
      </c>
      <c r="D29" t="inlineStr">
        <is>
          <t>indeed</t>
        </is>
      </c>
      <c r="E29">
        <f>HYPERLINK("https://www.indeed.com/viewjob?jk=191711931a1e4ffc", "https://www.indeed.com/viewjob?jk=191711931a1e4ffc")</f>
        <v/>
      </c>
      <c r="F29">
        <f>HYPERLINK("https://ltimindtree.ripplehire.com/candidate/?token=8XcZk36ydFFZEBK9xxuk&amp;lang=en&amp;source=INDEED&amp;ref=INDEED#detail/job/844571", "https://ltimindtree.ripplehire.com/candidate/?token=8XcZk36ydFFZEBK9xxuk&amp;lang=en&amp;source=INDEED&amp;ref=INDEED#detail/job/844571")</f>
        <v/>
      </c>
      <c r="G29" t="inlineStr">
        <is>
          <t>Irving, TX, US</t>
        </is>
      </c>
      <c r="H29" s="2" t="n">
        <v>46071</v>
      </c>
      <c r="I29" t="inlineStr">
        <is>
          <t>**Role description** **Job Title: Data Analyst**  
**Work Location : Irving, Texas**  
**Job Description:**
* Collect clean validate and analyze large datasets to support business decisionmaking
* Develop dashboards reports and visualizations to present insights to stakeholders
* Work closely with business teams to understand requirements and translate them into analytical solutions
* Identify trends patterns and anomalies in data and provide actionable recommendations
* Perform adhoc analysis to support ongoing business initiatives and management requests
* Ensure data accuracy consistency and integrity across reports and dashboards
* Document data definitions metrics and analysis methodologies
* Qualifications Required Skills
* 3 to 5 years of hands\-on experience in a Data Analyst or similar role
* Strong proficiency in SQL and experience working with relational databases
* Experience with data visualization tools such as Power BI Tableau or similar
* Solid understanding of Excel advanced formulas pivot tables data analysis
* Working knowledge of Python for data analysis is a plus
* Strong analytical thinking problem solving and attention to detail
* Ability to communicate insights clearly to technical and nontechnical stakeholders
* Experience working in Agile or fast paced business environments preferred
**Skills** **Mandatory Skills :** Microstrategy, MS Excel, PowerBI, Python, Python for DATA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$79,851\.00 to $107,720\.00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30">
      <c r="A30" t="inlineStr">
        <is>
          <t>in-705e3f6371ffff2e</t>
        </is>
      </c>
      <c r="B30" t="inlineStr">
        <is>
          <t>Sr. Data Engineer</t>
        </is>
      </c>
      <c r="C30" t="inlineStr">
        <is>
          <t>Beyond Finance</t>
        </is>
      </c>
      <c r="D30" t="inlineStr">
        <is>
          <t>indeed</t>
        </is>
      </c>
      <c r="E30">
        <f>HYPERLINK("https://www.indeed.com/viewjob?jk=705e3f6371ffff2e", "https://www.indeed.com/viewjob?jk=705e3f6371ffff2e")</f>
        <v/>
      </c>
      <c r="F30">
        <f>HYPERLINK("https://grnh.se/a5c26kxf1us", "https://grnh.se/a5c26kxf1us")</f>
        <v/>
      </c>
      <c r="G30" t="inlineStr">
        <is>
          <t>Chicago, IL, US</t>
        </is>
      </c>
      <c r="H30" s="2" t="n">
        <v>46071</v>
      </c>
      <c r="I30" t="inlineStr">
        <is>
          <t>At Beyond Finance, we've made it our mission to help everyday Americans escape the endless cycle of crippling debt and step into a brighter financial future. Through compassionate, individualized care,a culture focused on compliance and ethics, supportive user\-centric technology, and customized financial solutions, we've helped over 1 million clients on their path to a brighter future.
While we're proud of what we've already accomplished, we're searching for new collaborators to help us get to the next level! If you're looking to join a forward\-thinking, rapidly growing organization with helping people as its number one goal, we want to hear from you.
 **About The Role**
As a Senior Data Engineer you will work on developing a modern data pipeline integrating data from a variety of data sources in order to bring the data into the analytics platform using highly scalable and extensible pipeline technologies. You'll be owning small to medium sized projects which ultimately will help the business grow and make more informed decisions.
**What You'll Do**
* Research various data tools and gain consensus on a tool which will be used not only for a particular use case, but generically for other upcoming use cases.
* You'll not only build the data pipeline, but think hard about how data pipelines can be standardized and tools created with minimal amount of customization per pipeline.
* Self manage projects, plan ahead and think through second and third order consequences while creating project milestones.
* Understand the overall need, design a solution, and develop a data pipeline to integrate data from a source to a target.
* Develop automated test cases to validate data integrity and consistency.
* Willingness to be on\-call and troubleshoot issues to understand the root cause.
* Think about how to handle security issues surrounding access, PII, and business\-sensitive data.
* Design for scalability and robustness of availability ensuring the data pipelines work or provide a clear error when they can't proceed.
* Be a team player in contributing your thoughts and ideas to the overall goals of the team.
**What We Look For**
* Bachelor's degree in Computer Science or other technical field or equivalent work experience
* At least 5 years of working in development, data pipelines or devops; with at least two years of working in a cloud environment.
* 3\+ years of relevant experience working with data tools which might include Airflow, Lambda's, Kafka, Spark, Presto, MapReduce, AWS Glue, or similar platforms
* Experience using cloud analytics platforms which could include Google Big Query, AWS Redshift or Snowflake and standard relational databases such as Postgres, MySQL or other transactional databases
* Exposure in developing batch systems and real time streaming platforms and a sense of the benefits of each approach.
* Excellent SQL experience with working through complex queries.
* Solid Python or Java skills; with UNIX shell scripting being helpful
* Experience in setting up configuration\-as\-code tools such as Ansible, Terraform, or Chef.
* Experience with continuous integration, testing, and deployment using tools such as Git and Jenkins; nice to have some Docker experience as well.
* Expertise in the design, creation, management, and business use of large datasets.
* Excellent organizational, interpersonal, analytical, and problem\-solving skills
* Strong multitasking skills with the ability to balance competing priorities
* Ability to work in a fast\-paced environment where continuous innovation is desired, and ambiguity is the norm
* Experience with agile or other rapid application development methods
* Demonstrated experience in coaching and mentoring other team members as appropriate
* A willingness to being in an on\-call rotation
\#LI\-LB2
**Why Join Us?**
While you make a difference for others, we'll work to make a difference for you, providing an uplifting, collaborative work environment and benefits that reflect your value to us. For eligible full\-time employees, we offer:
* Considerable employer contributions for health, dental, and vision programs
* Generous PTO, paid holidays, and paid parental leave
* 401(k) matching program
* Merit advancement opportunities
* Career development \&amp; training
And finally, our team spirit and culture! We cultivate an environment of community, connection, and belonging across our entire organization.
*Beyond Finance does not accept unsolicited resumes from individual recruiters or third\-party recruiting agencies in response to job positions. No fee will be paid to their parties who submit unsolicited candidates directly to Beyond Finance employees or the Beyond Finance HR team. No placement fee will be paid to any third party unless such a request has been made by the Beyond HR team.*</t>
        </is>
      </c>
    </row>
    <row r="31">
      <c r="A31" t="inlineStr">
        <is>
          <t>in-99d939b138879f42</t>
        </is>
      </c>
      <c r="B31" t="inlineStr">
        <is>
          <t>Senior Data Engineer – R01560921</t>
        </is>
      </c>
      <c r="C31" t="inlineStr">
        <is>
          <t>Brillio LLC</t>
        </is>
      </c>
      <c r="D31" t="inlineStr">
        <is>
          <t>indeed</t>
        </is>
      </c>
      <c r="E31">
        <f>HYPERLINK("https://www.indeed.com/viewjob?jk=99d939b138879f42", "https://www.indeed.com/viewjob?jk=99d939b138879f42")</f>
        <v/>
      </c>
      <c r="F31">
        <f>HYPERLINK("https://careers.brillio.com/job-details?job-id=20906", "https://careers.brillio.com/job-details?job-id=20906")</f>
        <v/>
      </c>
      <c r="G31" t="inlineStr">
        <is>
          <t>Dallas, TX, US</t>
        </is>
      </c>
      <c r="H31" s="2" t="n">
        <v>46071</v>
      </c>
      <c r="I31" t="inlineStr">
        <is>
          <t>**Senior Data Engineer \- R01560921**
=====================================
**About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**Senior Data Engineer**###### **Primary Skills**
* Spark \- Pyspark, SQL, SQL (Basic \+ Advanced), Python, Hive, Data Modelling Fundamentals
###### **Specialization**
* Data Analysis: Data Engineer
###### **Job requirements**
* 3\+ years of hands\-on experience in production support for data engineering or analytics applications.
* Proficiency in PySpark for managing and troubleshooting data processing jobs.
* Solid experience with AWS cloud services, including EKS (Elastic Kubernetes Service) and EMR (Elastic MapReduce), S3, Glue, Step Function.
* Hands\-on experience with Control\-M for workflow orchestration and monitoring.
* Working knowledge of MongoDB and Snowflake for production data management.
* Experience with log monitoring and analysis using Elasticsearch Service (ESS).
* Good understanding of ETL processes, incident management, and production monitoring best practices.
* Strong problem\-solving, troubleshooting, and analytical skills.
* Excellent communication and collaboration abilities.
Responsibilities* Provide production support for data pipelines and workflows, ensuring high availability and timely resolution of incidents.
* Monitor, troubleshoot, and optimize PySpark\-based data processing jobs.
* Support and maintain data processing applications deployed on AWS services, including EKS and EMR.
* Manage and orchestrate workflows using Control\-M, including scheduling, monitoring, and error handling.
* Perform root cause analysis and implement permanent fixes for recurring production issues.
* Oversee data storage and management in MongoDB and Snowflake, ensuring data quality and consistency.
* Monitor and analyze application and system logs using Elasticsearch Service (ESS) to proactively identify and resolve issues.
* Collaborate with data engineering, analytics, and operations teams to deliver reliable data solutions.
* Maintain and update technical documentation related to production support processes and incident management.
* Participate in on\-call rotations and respond to critical production alerts as needed.
Know what it’s like to work and grow at Brillio: Click here  
**Salary: 55\-60 USD per\-month\-salary**</t>
        </is>
      </c>
    </row>
    <row r="32">
      <c r="A32" t="inlineStr">
        <is>
          <t>in-f1aa3cd212268ecd</t>
        </is>
      </c>
      <c r="B32" t="inlineStr">
        <is>
          <t>Data Engineer, AVS Digital Transformation (AI &amp; Analytics)</t>
        </is>
      </c>
      <c r="C32" t="inlineStr">
        <is>
          <t>GE HealthCare</t>
        </is>
      </c>
      <c r="D32" t="inlineStr">
        <is>
          <t>indeed</t>
        </is>
      </c>
      <c r="E32">
        <f>HYPERLINK("https://www.indeed.com/viewjob?jk=f1aa3cd212268ecd", "https://www.indeed.com/viewjob?jk=f1aa3cd212268ecd")</f>
        <v/>
      </c>
      <c r="F32">
        <f>HYPERLINK("https://careers.gehealthcare.com/global/en/job/GEVGHLGLOBALR4036375EXTERNALENGLOBAL/Data-Engineer-AVS-Digital-Transformation-AI-Analytics?utm_source=indeed&amp;utm_medium=phenom-feeds", "https://careers.gehealthcare.com/global/en/job/GEVGHLGLOBALR4036375EXTERNALENGLOBAL/Data-Engineer-AVS-Digital-Transformation-AI-Analytics?utm_source=indeed&amp;utm_medium=phenom-feeds")</f>
        <v/>
      </c>
      <c r="G32" t="inlineStr">
        <is>
          <t>Burlington, MA, US</t>
        </is>
      </c>
      <c r="H32" s="2" t="n">
        <v>46071</v>
      </c>
      <c r="I32" t="inlineStr">
        <is>
          <t>**Job Description Summary**
===========================
The GEHC Advanced Visualization Solutions (AVS) segment, a fast\-growing business in GE HealthCare, is the global leader in ultrasound medical devices and solutions. The portfolio spans the continuum of care to enable customers with ultrasound screening, diagnosis, treatment and monitoring of diseases. Our customers are seeking to improve efficiency in radiology and beyond and increase user confidence to provide better clinical outcomes continues to grow. Consequently, the need for AI, digital solutions, and automation, connecting devices and software in one seamless ecosystem continues to proliferate.
This person will design and build comprehensive data solutions that will power GE Healthcare’s AVS segment’s next generation of analytics and AI. In this hands\-on role, you will design and build curated semantic layers, scalable pipelines, and enterprise\-grade sematic models –whilst layering in AI\-powered capabilities using approved platforms as the foundation matures.  
\*\*No sponsorship or OPT for this role\*\***Job Description**
===================
As the Data Engineer of the AVS Digital Transformation team, you’ll bridge enterprise data strategy with segment\-specific innovation to deliver self\-service analytics, conversational AI, predictive insights and intelligent automation within AVS.
**1\. Build an AI\-Ready Data Foundation (40%)**
* Design and implement curated, semantic data layers (dimensional models, business definitions), ensuring accuracy, traceability, and AI/ML readiness for BI and generative AI use cases.
* Design scalable SQL\-based pipelines to transform raw and enterprise data into analytics\-ready assets
* Implement data quality frameworks, lineage, and governance, according to standards set by the central data office team.
**2\. Elevate Analytics \&amp; Self\-Service (35%)**
* Lead enterprise\-grade Power BI semantic model design (Dataflows, composite models, aggregations) to enable low\-latency, high\-performance reporting for executives and analysts.
* Integrate and extend enterprise semantic models with AVS\-specific business logic and conformed dimensions, aligning definitions across the segment.
* Define best practices for DAX, M, and workspace governance (deployment pipelines, refresh strategies) within team to advance BI maturity and self\-service
* Partner with visualization analysts and business leaders to translate requirements into trusted, performant models and reusable domain data products.
**3\. Drive AI \&amp; Advanced Analytics Adoption (25%)**
* Design AI\-ready semantic layers and metadata that enable natural\-language querying, conversational analytics, automated retrieval and intelligent workflows
* Build and deploy AI solutions using enterprise\-approved platforms. Implement operational forecasting, anomaly detection and segmentation.
* Engage central AI/ IT for evaluation, architecture guidance and enterprise deployment of AI use cases that exceed approved platform capabilities
**Required Qualifications**
* 8\+ years in data architecture/engineering delivering dimensional models, curated marts, and production pipelines in cloud environments (e.g., AWS Redshift/S3/Glue, Microsoft Fabric/Azure, ADF or equivalent).
* Mastery of SQL, DAX, and Power Query (M); strong performance tuning and model optimization at scale.
* Deep Power BI experience: semantic modeling, composite models, aggregations, dataflows, and Fabric integration.
* Hands‑on with Copilot Studio, Fabric Data Agents, or AWS Bedrock.
* Familiarity with Power Apps / Power Automate for end‑to‑end digital workflows.
**Preferred**
* Microsoft certifications: DP‑600 (Fabric Analytics Engineer), DP\-700 (Fabric Data Engineer), PL‑300 (Power BI Data Analyst), AZ\-900 (Azure AI), PL\-400 (Power Platform Developer Associate)
* AI/ML integration: Python for data prep/modeling; designing data/semantics for NLQ, agentic systems, and platforms such as AWS Bedrock or Fabric ML.
* Experience partnering with centralized AI and data teams to produce models and agentic solutions.
* ERP/CRM data integration (e.g., Oracle EBS, Salesforce) and familiarity with enterprise data governance.
We will not sponsor individuals for employment visas, now or in the future, for this job opening. For U.S. based positions only, the pay range for this position is $138,000\.00\-$207,000\.00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reimbursement.**Additional Information**
==========================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33">
      <c r="A33" t="inlineStr">
        <is>
          <t>in-0810483373172a57</t>
        </is>
      </c>
      <c r="B33" t="inlineStr">
        <is>
          <t>Analytics Engineering Lead</t>
        </is>
      </c>
      <c r="C33" t="inlineStr"/>
      <c r="D33" t="inlineStr">
        <is>
          <t>indeed</t>
        </is>
      </c>
      <c r="E33">
        <f>HYPERLINK("https://www.indeed.com/viewjob?jk=0810483373172a57", "https://www.indeed.com/viewjob?jk=0810483373172a57")</f>
        <v/>
      </c>
      <c r="F33">
        <f>HYPERLINK("https://jobs.ashbyhq.com/novellia/5e84374c-3f35-4431-8218-5e050387404b?utm_source=V87MR9P9pP", "https://jobs.ashbyhq.com/novellia/5e84374c-3f35-4431-8218-5e050387404b?utm_source=V87MR9P9pP")</f>
        <v/>
      </c>
      <c r="G33" t="inlineStr">
        <is>
          <t>US</t>
        </is>
      </c>
      <c r="H33" s="2" t="n">
        <v>46071</v>
      </c>
      <c r="I33" t="inlineStr">
        <is>
          <t>**About Novellia**
------------------
Novellia is the first and only company that lets anyone in the US gain access to nearly a decade of their health data in under 30 seconds, 100% free. All your health records, across doctors, in one place, always up to date.
We are the only patient\-powered real\-world data platform delivering comprehensive, patient\-authorized longitudinal health insights to accelerate biopharma innovation. Unlike traditional RWD providers who offer fragmented institutional data, we empower patients to access 15\+ years of their health records for free, then transform these complete health journeys into fit\-for\-purpose datasets for evidence generation, regulatory submissions, and market access.
We’re growing 5x YoY with top pharma partners. Our data have been published with leading scientific organizations such as ASCO and SABCS/AACR, and we are backed by tier\-1 investors including Spark Capital, Khosla Ventures, Bling Capital, and more.
**About the Role**
------------------
We are seeking an experienced Analytics Engineer to own and scale Novellia's analytics engineering function. Title — whether Senior, Lead, or Staff — will reflect the right candidate's experience and scope.
This role is deeply technical. You will architect, build, and maintain the data models, pipelines, and infrastructure that power our research, product, and commercial work. You will report directly to the CTO and have end\-to\-end ownership of analytics engineering. At the same time, this is not a siloed role. You will work closely with Engineering, Data Science, and our Commercial team (Sales, Client Solutions, Marketing) to ensure our data is clean, reliable, research\-ready, and aligned with customer needs. You should also be comfortable engaging directly with clients when needed \- whether that’s providing technical context alongside our Commercial team, or answering pointed questions from our biopharma partners. This role will also partner closely with the Senior Data Analytics Engineer, Commercial Team, who owns client\-facing analytics and insight delivery — ensuring that the data infrastructure you build directly powers the work our partners rely on.
We are a fast\-growing Series A company. That means ambiguity, changing priorities, and high standards. The right person thrives in that environment — bringing rigor, initiative, and a calm, collaborative approach to solving complex problems.
**What Success Looks Like (First 6–12 Months)**
-----------------------------------------------
* Develop a deep understanding of our data infrastructure and identify opportunities for improvement
* Ensure models and pipelines are well\-documented, reproducible, and built for scale
* Establish clear standards and processes that make it easy for others to build on your work
* Build strong working relationships with cross\-functional stakeholders and become a trusted technical partner
* Contribute to a culture of technical excellence and collaborative problem\-solving
**Responsibilities**
--------------------
* Design, implement, and manage scalable data pipelines and analytics platforms.
* Build and maintain dbt models to support customer projects and internal decision making.
* Work with internal stakeholders to ensure data products are research\-ready and aligned with customer needs
* Implement and manage data instrumentation and product analytics tooling (e.g. Mixpanel) to ensure accurate tracking and reporting
* Identify opportunities for optimizing data workflows and proactively address technical debt.
* Partner with Engineering, Data Science, and Commercial teams to translate business and client needs into reliable, scalable data solutions
**Requirements**
----------------
* 5\+ years of experience in data engineering or analytics roles in a startup or high growth environment.
* Proficiency in SQL and experience with dbt for data modeling and transformations.
* Strong experience with modern data warehouse platforms (Snowflake, BigQuery, Redshift)
* Strong understanding of data architecture, ETL processes, and pipeline management.
* Proven ability to manage and own data products end\-to\-end, ideally from scratch.
* Experience with cloud platforms (AWS, GCP, etc.) for data storage and processing.
* Familiarity with product analytics tooling (e.g. Mixpanel) and modern BI tools (e.g. Looker, Tableau, Metabase)
* Clear communicator who can translate complex technical concepts for non\-technical stakeholders
* Proven ability to operate effectively in ambiguous, fast\-moving environments
* Builds well\-documented, maintainable systems with a focus on long\-term scalability
* Leverages AI tooling to improve system design, accelerate documentation, and automate repetitive workflows
**Bonus Skills**
----------------
* Experience with natural language processing (NLP) techniques and tools for analyzing unstructured text data.
* Knowledge of distributed computing frameworks (e.g., Spark, Hadoop) and big data processing technologies.
* Familiarity with time\-series data analysis and forecasting techniques.
* Contributions to open\-source projects or active participation in the developer community.
* Familiarity with healthcare data formats like FHIR and CCDA.
**Who You Are**
---------------
* Deeply technical and proud of your craft
* High ownership: you don’t wait to be told what’s broken
* Creative under constraints
* Direct and low\-ego in collaboration
* Comfortable giving and receiving feedback
* Energized by building systems that scale beyond yourself
**Benefits \&amp; Perks**
---------------------
* Competitive equity package
* Medical, dental, and vision coverage
* 401(k)
* Flexible time off
* Wellness stipend
* Up to 12 weeks of parental leave
Don’t meet every requirement? Studies show women and people of color are less likely to apply unless they meet 100% of qualifications. At Novellia, we’re committed to building a diverse, inclusive workplace. If you’re excited about this role but don’t meet every requirement, we encourage you to apply.
U.S. Applicants Only.
Compensation Range: $150K \- $190K</t>
        </is>
      </c>
    </row>
    <row r="34">
      <c r="A34" t="inlineStr">
        <is>
          <t>in-023f87df7973209d</t>
        </is>
      </c>
      <c r="B34" t="inlineStr">
        <is>
          <t>Senior Data Engineer</t>
        </is>
      </c>
      <c r="C34" t="inlineStr">
        <is>
          <t>OnMed</t>
        </is>
      </c>
      <c r="D34" t="inlineStr">
        <is>
          <t>indeed</t>
        </is>
      </c>
      <c r="E34">
        <f>HYPERLINK("https://www.indeed.com/viewjob?jk=023f87df7973209d", "https://www.indeed.com/viewjob?jk=023f87df7973209d")</f>
        <v/>
      </c>
      <c r="F34">
        <f>HYPERLINK("https://apply.workable.com/j/1FD67E5830", "https://apply.workable.com/j/1FD67E5830")</f>
        <v/>
      </c>
      <c r="G34" t="inlineStr">
        <is>
          <t>White Plains, NY, US</t>
        </is>
      </c>
      <c r="H34" s="2" t="n">
        <v>46071</v>
      </c>
      <c r="I34" t="inlineStr">
        <is>
          <t>**Who We Are and Why Join Us**
At OnMed our purpose is simple but powerful...to improve the quality of life and sense of well\-being in our communities by bringing access to healthcare to everyone, everywhere. Our path to everywhere has already begun, with our innovative CareStation, a small but mighty, Clinic\-in\-a\-Box, bringing \#healthcareaccess anywhere with an outlet to plug it in. Poised to become a key component in America’s public health infrastructure, the OnMed CareStation is the only tech\-enabled, human\-led, hybrid care solution that combines the comprehensive experience, trust and outcomes of a clinic, with the rapid scalability of virtual care.
At OnMed, every role, every day, is directly impacting the communities we serve. You’ll join a high\-performing purpose\-driven team, innovating to break down the barriers that keep people from the care they need.
This is not just a job… it’s a movement to bring healthcare where and when people need it most. It’s healthcare that shows up.
 **Who You Are**
You are a senior\-level Data Engineer and integration architect experienced in designing and scaling enterprise data platforms in cloud\-first environments. You bring deep expertise in Databricks and Microsoft Azure and have led the architecture, optimization, and governance of modern data ecosystems.
You think beyond pipelines – you design resilient, scalable data platforms that power analytics, interoperability, and operational systems. You are comfortable operating at both the strategic architecture level and the hands\-on engineering level. You thrive in high\-growth environments and are motivated by leveraging data to expand access to quality healthcare.
 **Role Responsibilities**
**Enterprise Data Architecture \&amp; Platform Ownership**
* Architect, design, and scale enterprise\-grade data solutions using Databricks and Azure cloud services.
* Own and evolve the Databricks environment, including performance optimization, cost management, governance, and security controls.
* Define long\-term data architecture strategy aligned to business growth and healthcare compliance, and the evolution of OnMed’s CareStation and HomeStation platforms.
* Establish data modeling standards, metadata management practices, and scalable ETL/ELT frameworks.
 **Integration Architecture \&amp; Interoperability**
* Serve as lead integration architect across all system interfaces and API\-driven data exchanges.
* Design and optimize integration patterns using Azure Data Factory, Azure API Management, and event\-driven architectures.
* Ensure reliable, secure, and scalable interoperability between internal systems, third\-party platforms, and healthcare data sources – including HL7/FHIR\-based integrations with EHR and clinical systems.
* Oversee monitoring, observability, and fault tolerance across all integration touchpoints.
 **Data Engineering \&amp; Pipeline Development**
* Build and optimize high\-performance, scalable data pipelines in Databricks using Python and SQL.
* Design and implement advanced data transformations and complex query optimization.
* Implement automated testing, validation frameworks, and data quality controls to ensure pipeline reliability.
* Drive CI/CD practices and infrastructure\-as\-code principles for data platform management.
 **Governance, Security \&amp; Compliance**
* Establish and enforce data governance standards using Databricks Unity Catalog, including lineage tracking, auditing, and role\-based access controls.
* Ensure compliance with healthcare data privacy and security regulations including HIPAA, HITRUST, and SOC 2 requirements.
* Implement role\-based access, encryption standards, and secure API management, and access controls for PHI/PII data handling.
 **Cross\-Functional Leadership**
* Partner with BI, analytics, product, and engineering teams to translate business needs into scalable data solutions.
* Provide architectural guidance and mentorship to junior engineers and analysts.
* Influence data strategy at the leadership level through proactive recommendations and roadmap planning.
* Communicate technical concepts clearly to non\-technical stakeholders including clinical, operational, and executive audiences.
**Knowledge, Skills \&amp; Abilities**
* Experience operating in regulated industries; healthcare (HIPAA, HITRUST, SOC 2\) strongly preferred.
* Deep expertise in Databricks: Delta Lake, Unity Catalog, performance tuning, cost optimization, job orchestration.
* Advanced knowledge of Azure services including Azure Data Factory, Azure API Management, Azure Storage, and related cloud infrastructure.
* Strong proficiency in SQL (complex query optimization, performance tuning, indexing strategies) and Python; working knowledge of C\# a plus.
* Extensive experience designing scalable ETL/ELT frameworks and data warehousing solutions.
* Experience implementing event\-driven or API\-based integration architectures.
* Familiarity with healthcare interoperability standards (HL7, FHIR) is a strong advantage.
* Proven ability to balance architectural vision with hands\-on execution.
* Strong communication skills with the ability to influence technical and non\-technical stakeholders at all levels.
* Demonstrated ability to mentor engineers and drive engineering best practices across a team.
**Requirements**
**Education \&amp; Experience**
* Bachelor's degree in Computer Science, Information Technology, or a related field.
* 7\+ years of progressive experience in data engineering, data architecture, or enterprise integration.
**Benefits**
**Benefits**
OnMed provides a competitive salary and benefits package, including unlimited PTO and paid holidays. **The base salary range for this role is up to $170,000 commensurate with the candidate's experience, plus an annual discretionary performance bonus.**
OnMed is a proud equal opportunity employer. All qualified applicants will be considered without regard to race, color, creed, religion, gender, sexual orientation, national origin, genetic information, disability, age, marital status, veteran status, or any other category protected by law.</t>
        </is>
      </c>
    </row>
    <row r="35">
      <c r="A35" t="inlineStr">
        <is>
          <t>in-8d900608999b7964</t>
        </is>
      </c>
      <c r="B35" t="inlineStr">
        <is>
          <t>Sr Data Engineer</t>
        </is>
      </c>
      <c r="C35" t="inlineStr">
        <is>
          <t>Lennar</t>
        </is>
      </c>
      <c r="D35" t="inlineStr">
        <is>
          <t>indeed</t>
        </is>
      </c>
      <c r="E35">
        <f>HYPERLINK("https://www.indeed.com/viewjob?jk=8d900608999b7964", "https://www.indeed.com/viewjob?jk=8d900608999b7964")</f>
        <v/>
      </c>
      <c r="F35">
        <f>HYPERLINK("https://lennar.wd1.myworkdayjobs.com/en-US/Lennar_Jobs/job/Irving-TX-Job-Posting-Location/Sr-Data-Engineer_R26_0000000576", "https://lennar.wd1.myworkdayjobs.com/en-US/Lennar_Jobs/job/Irving-TX-Job-Posting-Location/Sr-Data-Engineer_R26_0000000576")</f>
        <v/>
      </c>
      <c r="G35" t="inlineStr">
        <is>
          <t>Irving, TX, US</t>
        </is>
      </c>
      <c r="H35" s="2" t="n">
        <v>46071</v>
      </c>
      <c r="I35" t="inlineStr">
        <is>
          <t>Sr. Data Engineer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Sr. Data Engineer is an experienced professional responsible for leading the development of complex data architectures. The role involves mentoring junior engineers, designing large\-scale data solutions, and ensuring the reliability of data infrastructure. This position requires expertise in data engineering practices and a proactive approach to problem\-solving.* A career with purpose.
* A career built on making dreams come true.
* A career built on building zero defect homes, cost management, and adherence to schedules.
Your Responsibilities on the Team* Lead the design and implementation of scalable, high\-performance data architectures that support diverse data sources, including structured, semi\-structured, and unstructured data.
* Architect and build data pipelines that can process and analyze large\-scale datasets in real\-time and batch modes.
* Mentor and guide junior data engineers in best practices, code quality, and technical skills, fostering a culture of continuous learning.
* Ensure the reliability, efficiency, and security of data pipelines by implementing monitoring, alerting, and automated recovery mechanisms.
* Collaborate with cross\-functional teams, including data scientists, analysts, and product managers, to align data solutions with business needs and goals.
* Lead the adoption of new technologies and tools that enhance the data engineering capabilities of the team.
* Oversee the development of data models, schemas, and data marts that enable efficient data analysis and reporting.
* Implement data governance frameworks, including data lineage, metadata management, and data quality standards.
Knowledge* Advanced SQL skills, including query optimization, indexing strategies, and data modeling techniques (e.g., star and snowflake schemas).
* Expertise in programming languages such as Python, Java, or Scala, with experience in developing complex data processing algorithms.
* In\-depth knowledge of cloud data services and big data technologies, such as Snowflake, AWS EMR, Azure HDInsight, or Google Dataflow.
* Experience with data streaming technologies, such as Apache Kafka, Apache Flink, or Amazon Kinesis, for real\-time data processing.
* Strong understanding of data lake architectures, data warehousing, and data integration techniques.
* Proficiency in data pipeline orchestration tools, such as Apache Airflow, Prefect, or Dagster, for managing complex workflows.
* Knowledge of data security frameworks and compliance standards (e.g., GDPR, HIPAA) and their application in data engineering.
* Experience with DevOps practices, including CI/CD pipelines, infrastructure as code (e.g., Terraform, CloudFormation), and containerization (e.g., Docker, Kubernetes).
Requirements* Bachelor's or Master's degree in Computer Science, Information Technology, or a related field.
* 5\-7 years of experience in data engineering or a related role, with a proven track record of delivering scalable data solutions.
* AWS, Snowflake, Azure
* AWS Glue, AWS Appflow, Prefect, dbt, S3, Qlik
* SQL, Python, Java
* Excellent ability to convey complex ideas to both technical and non\-technical audiences.
* Demonstrates advanced problem\-solving skills, tackling complex issues with innovative solutions.
* Models ethical behavior and decision\-making, fostering a culture of trust within the team.
* Thrives in high\-pressure situations, maintaining effectiveness and composure.
* Champions change initiatives and drives continuous improvement within the organization.
* Leads cross\-functional teams, ensuring alignment and cooperation across departments.
* Provides strategic leadership, influencing team direction and mentoring future leaders.
* Ensures accountability at all levels, holding team members responsible for their contributions.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row>
    <row r="36">
      <c r="A36" t="inlineStr">
        <is>
          <t>in-f64fbd8c70c1a36c</t>
        </is>
      </c>
      <c r="B36" t="inlineStr">
        <is>
          <t>BI Data Engineer</t>
        </is>
      </c>
      <c r="C36" t="inlineStr">
        <is>
          <t>Insight</t>
        </is>
      </c>
      <c r="D36" t="inlineStr">
        <is>
          <t>indeed</t>
        </is>
      </c>
      <c r="E36">
        <f>HYPERLINK("https://www.indeed.com/viewjob?jk=f64fbd8c70c1a36c", "https://www.indeed.com/viewjob?jk=f64fbd8c70c1a36c")</f>
        <v/>
      </c>
      <c r="F36">
        <f>HYPERLINK("https://insight.eightfold.ai/careers/job/171839037863?utm_source=indeed&amp;domain=insight.com", "https://insight.eightfold.ai/careers/job/171839037863?utm_source=indeed&amp;domain=insight.com")</f>
        <v/>
      </c>
      <c r="G36" t="inlineStr">
        <is>
          <t>Chandler, AZ, US</t>
        </is>
      </c>
      <c r="H36" s="2" t="n">
        <v>46070</v>
      </c>
      <c r="I36" t="inlineStr">
        <is>
          <t>**Requisition Number: 103916**
**Employer: Insight Direct USA, Inc.**
======================================
Position Location: Chandler, AZ
Position: BI Data Engineer
Job Duties:
* Design, develop, troubleshoot, evaluate, deploy, and document Insights data management and business intelligence systems, enabling stakeholders to manage the business and interpret data for business decision\-making.
* Contribute to all aspects of the Insights Enterprise Data Warehouse: ETL (extract, transform and load), metadata layer, presentation layer, security/administration, user and production support as well as automating processes using ETL and scripting best practices.
* Build secure, available, scalable, stable, and cost\-effective data solutions to handle large datasets using data storage technologies, distributed file systems, data processing, and business intelligence standards and methodologies.
* Work with Insight business customers to understand their business needs and implement solutions to support their analytical and reporting needs. This includes designing and building complex BI reports, scorecards and dashboards in Power BI according to the specific requirements provided.
* Create and deploy data models, reports and utilize analytical, statistical, and machine learning tools to uncover insights and actions.
* Collaborate with other BI team members to ensure successful delivery and a high business impact for Insights internal clients.
* Position reports out of Chandler, AZ HQ office but telecommuting is permitted on a case\-by\-case basis.
Job Requirements:  
Education Requirements:
* Bachelors Degree of Professional Studies in Data Analytics, Computer Science, or closely related. Employer will accept advance degree if in the same field.
Experience Requirements:
* 18 months of experience in job offered, Systems Engineer, or closely related.
Special skills requirements:
* Develop mappings in Informatica and SQL to extract, transform and load data from disparate sources into Data Warehouse.
* Design and build reports, dashboards in Excel and Tableau to evaluate key performance metrics of front\-end operations team.
* Write and optimize complex SQLs queries to process millions of rows of data, delivering business insights and reports within specified timeframes.
* Develop, tune, and deploy various applications for analyzing large volume of customer and sales data.
* Experience using the following technologies:
	+ Self\-Service BI Tools: Power BI, Business Objects
	+ Azure: Azure SQL Database, Azure Data Warehouse and Azure Data Factory
	+ Azure Big Data Technologies: Azure Data Lake and Azure Databricks
Salary**:** Available upon request
Work Schedule: 40 hours/week
Qualified applicants send cover letter and resumes to: Insight Direct USA, Inc., Susan Triggs, Corporate Paralegal, susan.triggs@insight.com, ref job\#GM01\. EOE. Standard Benefits. \#LI\-DNI \#FB\-DNI \#IN\-DNI \#TW\-DNI \#GD\-DNI
The position described above provides a summary of some the job duties required and what it would be like to work at Insight. For a comprehensive list of physical demands and work environment for this position, click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Posting Notes: Chandler \|\| Arizona (US\-AZ) \|\| United States (US) \|\| IT Infrastructure \&amp; Support \|\| None \|\| US \- Chandler,AZ \|\|</t>
        </is>
      </c>
    </row>
    <row r="37">
      <c r="A37" t="inlineStr">
        <is>
          <t>in-17f9b9564e8c8b3c</t>
        </is>
      </c>
      <c r="B37" t="inlineStr">
        <is>
          <t>Data Engineer, AMZL Orbit Data Engineering</t>
        </is>
      </c>
      <c r="C37" t="inlineStr">
        <is>
          <t>Amazon.com</t>
        </is>
      </c>
      <c r="D37" t="inlineStr">
        <is>
          <t>indeed</t>
        </is>
      </c>
      <c r="E37">
        <f>HYPERLINK("https://www.indeed.com/viewjob?jk=17f9b9564e8c8b3c", "https://www.indeed.com/viewjob?jk=17f9b9564e8c8b3c")</f>
        <v/>
      </c>
      <c r="F37">
        <f>HYPERLINK("https://www.amazon.jobs/jobs/3184381/data-engineer-amzl-orbit-data-engineering?cmpid=DA_INAD200785B", "https://www.amazon.jobs/jobs/3184381/data-engineer-amzl-orbit-data-engineering?cmpid=DA_INAD200785B")</f>
        <v/>
      </c>
      <c r="G37" t="inlineStr">
        <is>
          <t>Nashville, TN, US</t>
        </is>
      </c>
      <c r="H37" s="2" t="n">
        <v>46054</v>
      </c>
      <c r="I37"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38">
      <c r="A38" t="inlineStr">
        <is>
          <t>in-bdd81be0efc09644</t>
        </is>
      </c>
      <c r="B38" t="inlineStr">
        <is>
          <t>Data Engineer, AMZL Orbit Data Engineering</t>
        </is>
      </c>
      <c r="C38" t="inlineStr">
        <is>
          <t>Amazon.com</t>
        </is>
      </c>
      <c r="D38" t="inlineStr">
        <is>
          <t>indeed</t>
        </is>
      </c>
      <c r="E38">
        <f>HYPERLINK("https://www.indeed.com/viewjob?jk=bdd81be0efc09644", "https://www.indeed.com/viewjob?jk=bdd81be0efc09644")</f>
        <v/>
      </c>
      <c r="F38">
        <f>HYPERLINK("https://www.amazon.jobs/jobs/3184381/data-engineer-amzl-orbit-data-engineering?cmpid=DA_INAD200785B", "https://www.amazon.jobs/jobs/3184381/data-engineer-amzl-orbit-data-engineering?cmpid=DA_INAD200785B")</f>
        <v/>
      </c>
      <c r="G38" t="inlineStr">
        <is>
          <t>Bellevue, WA, US</t>
        </is>
      </c>
      <c r="H38" s="2" t="n">
        <v>46054</v>
      </c>
      <c r="I38"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39">
      <c r="A39" t="inlineStr">
        <is>
          <t>in-b7d723984b2112b0</t>
        </is>
      </c>
      <c r="B39" t="inlineStr">
        <is>
          <t>Data Engineer, AMZL Orbit Data Engineering</t>
        </is>
      </c>
      <c r="C39" t="inlineStr">
        <is>
          <t>Amazon.com</t>
        </is>
      </c>
      <c r="D39" t="inlineStr">
        <is>
          <t>indeed</t>
        </is>
      </c>
      <c r="E39">
        <f>HYPERLINK("https://www.indeed.com/viewjob?jk=b7d723984b2112b0", "https://www.indeed.com/viewjob?jk=b7d723984b2112b0")</f>
        <v/>
      </c>
      <c r="F39">
        <f>HYPERLINK("https://www.amazon.jobs/jobs/3184381/data-engineer-amzl-orbit-data-engineering?cmpid=DA_INAD200785B", "https://www.amazon.jobs/jobs/3184381/data-engineer-amzl-orbit-data-engineering?cmpid=DA_INAD200785B")</f>
        <v/>
      </c>
      <c r="G39" t="inlineStr">
        <is>
          <t>Austin, TX, US</t>
        </is>
      </c>
      <c r="H39" s="2" t="n">
        <v>46054</v>
      </c>
      <c r="I39"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40">
      <c r="A40" t="inlineStr">
        <is>
          <t>in-c8da35217639d077</t>
        </is>
      </c>
      <c r="B40" t="inlineStr">
        <is>
          <t>Data Engineer</t>
        </is>
      </c>
      <c r="C40" t="inlineStr">
        <is>
          <t>Amazon.com</t>
        </is>
      </c>
      <c r="D40" t="inlineStr">
        <is>
          <t>indeed</t>
        </is>
      </c>
      <c r="E40">
        <f>HYPERLINK("https://www.indeed.com/viewjob?jk=c8da35217639d077", "https://www.indeed.com/viewjob?jk=c8da35217639d077")</f>
        <v/>
      </c>
      <c r="F40">
        <f>HYPERLINK("https://www.amazon.jobs/jobs/3141339/data-engineer?cmpid=DA_INAD200785B", "https://www.amazon.jobs/jobs/3141339/data-engineer?cmpid=DA_INAD200785B")</f>
        <v/>
      </c>
      <c r="G40" t="inlineStr">
        <is>
          <t>San Francisco, CA, US</t>
        </is>
      </c>
      <c r="H40" s="2" t="n">
        <v>46001</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41">
      <c r="A41" t="inlineStr">
        <is>
          <t>in-f6de046e04d8311f</t>
        </is>
      </c>
      <c r="B41" t="inlineStr">
        <is>
          <t>Data Engineer</t>
        </is>
      </c>
      <c r="C41" t="inlineStr">
        <is>
          <t>Amazon.com</t>
        </is>
      </c>
      <c r="D41" t="inlineStr">
        <is>
          <t>indeed</t>
        </is>
      </c>
      <c r="E41">
        <f>HYPERLINK("https://www.indeed.com/viewjob?jk=f6de046e04d8311f", "https://www.indeed.com/viewjob?jk=f6de046e04d8311f")</f>
        <v/>
      </c>
      <c r="F41">
        <f>HYPERLINK("https://www.amazon.jobs/jobs/3141339/data-engineer?cmpid=DA_INAD200785B", "https://www.amazon.jobs/jobs/3141339/data-engineer?cmpid=DA_INAD200785B")</f>
        <v/>
      </c>
      <c r="G41" t="inlineStr">
        <is>
          <t>Seattle, WA, US</t>
        </is>
      </c>
      <c r="H41" s="2" t="n">
        <v>46001</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li-4371046967</t>
        </is>
      </c>
      <c r="B2" t="inlineStr">
        <is>
          <t>Data Engineer</t>
        </is>
      </c>
      <c r="C2" t="inlineStr">
        <is>
          <t>Keller Postman LLC</t>
        </is>
      </c>
      <c r="D2" t="inlineStr">
        <is>
          <t>linkedin</t>
        </is>
      </c>
      <c r="E2" t="inlineStr"/>
      <c r="F2" t="inlineStr"/>
      <c r="G2" t="inlineStr">
        <is>
          <t>Chicago, IL</t>
        </is>
      </c>
      <c r="H2" t="inlineStr"/>
      <c r="I2" t="inlineStr">
        <is>
          <t>Keller Postman represents a broad array of clients in class and mass actions, individual arbitrations, and multidistrict litigation matters at the trial and appellate levels in federal and state courts. Serving hundreds of thousands of clients in litigation and arbitration, we have prosecuted high\-profile mass tort, antitrust, privacy, product liability, employment, and consumer\-rights cases. Our firm also acts as plaintiffs' counsel in high\-stakes public\-enforcement actions. Our mission is to achieve exceptional results for our clients, drive innovation in the practice of law, and pursue unparalleled excellence in everything we do.
**Purpose:** 
 The Data Engineer will play a critical role in our organization, focusing on the design, construction, installation, testing, and maintenance of highly scalable data management systems. This role requires hands\-on expertise using
 **Snowflake** 
 ,
 **Azure Cloud services** 
 , and
 **Sigma** 
 to design, develop, and maintain scalable data pipelines and analytics solutions. The ideal candidate will have strong experience in cloud\-based data architectures, modern ETL/ELT practices and technical expertise to support and improve current data systems and processes, as well as the ability to work collaboratively with cross\-functional teams.
 This is a remote position, but the ideal candidate will be on Central Standard Time or willing to work regular Central Standard Business hours; being located in the Chicago area is a plus. The compensation for this position is $130,000 to $150,000 per year, depending on experience, plus a year\-end discretionary bonus and benefits.
**Essential Functions:**
* Develop, construct, test, and maintain data architectures, including databases and large\-scale processing systems.
* Design, build, and optimize data pipelines and ETL/ELT processes leveraging Snowflake and Azure Services.
* Develop and maintain Snowflake data warehouses, ensuring efficient data modeling, partitioning, and performance tuning.
* Implement data flow processes that automate and streamline data collection, processing, and analysis.
* Ensure data governance, quality, and security best practices across all data platforms.
* Collaborate with analytics and business teams to improve data models that feed business intelligence tools, increasing data accessibility and fostering data\-driven decisionmaking across the organization.
* Identify, design, and implement internal process improvements: automating manual processes, optimizing data delivery, re\-designing infrastructure for greater scalability, etc.
* Provide operational support for existing data infrastructure and develop new solutions as needed.
* Monitor, troubleshoot, and optimize system performance in Azure and Snowflake environments.
* Support CI/CD pipelines and automation for data workflows and deployments.
* Keep current with industry trends and innovations in data engineering and propose changes to the existing landscape.
**Knowledge, Skills, Abilities:**
* Proficient in Snowflake, Databricks, or similar tools and experience in data warehousing.
* Skilled in SQL, ETL design, and data modeling.
* Proficiency in SQL (complex queries, stored procedures, optimization) and familiarity with Python for data engineering tasks.
* Experience with Salesforce data integration is a plus.
* Strong analytical skills with the ability to collect, organize, analyze, and disseminate significant amounts of information with attention to detail and accuracy.
* Strong knowledge of ETL/ELT patterns, orchestration, and workflow automation.
* Familiarity with Sigma Computing for reporting, data visualization, and business user self\-service analytics.
* Understanding of data governance, security, and compliance frameworks (e.g., GDPR, HIPAA).
* Experience with streaming data technologies (Kafka, Event Hubs, or similar).
* Exposure to DevOps practices and Infrastructure as Code (e.g., Terraform, ARM templates).
* Adept at queries, report writing, and presenting findings.
* Excellent problem\-solving and troubleshooting skills.
* Ability to work in a fast\-paced environment and manage multiple projects simultaneously.
* Strong communication skills, capable of conveying complex data issues to non\-technical team members.
**Education/Experience:**
* Bachelor's degree in Computer Science, Engineering, Information Technology, or a related field.
* A minimum of 5 years of experience in a data engineering role.
* Experience working with Azure cloud services and data warehousing technologies.
* Relevant certifications in Azure or other cloud technologies are beneficial.
**Language Ability:**
* Must be able to read, write, and speak fluent English
 Keller Postman is an Equal Opportunity Employer. For California Applicants, please find our CRPA information here.</t>
        </is>
      </c>
    </row>
    <row r="3">
      <c r="A3" t="inlineStr">
        <is>
          <t>li-4375172728</t>
        </is>
      </c>
      <c r="B3" t="inlineStr">
        <is>
          <t>Senior Data Engineer</t>
        </is>
      </c>
      <c r="C3" t="inlineStr">
        <is>
          <t>Deep Sync</t>
        </is>
      </c>
      <c r="D3" t="inlineStr">
        <is>
          <t>linkedin</t>
        </is>
      </c>
      <c r="E3" t="inlineStr"/>
      <c r="F3" t="inlineStr"/>
      <c r="G3" t="inlineStr">
        <is>
          <t>Redmond, WA</t>
        </is>
      </c>
      <c r="H3" t="inlineStr"/>
      <c r="I3" t="inlineStr">
        <is>
          <t>**Description**
 Deep Sync is the industry leader in deterministic identity and AI\-powered data solutions. Leveraging our 35\-year foundation of compiling direct mail\-grade datasets, Deep Sync develops data\-first technologies that power marketing, measurement, AI, and business intelligence for agencies and brands with our fully deterministic identity graph, privacy\-first audiences, comprehensive data solutions, and integrations with leading platforms and cloud providers.
**Position Overview**
 We are seeking a Senior Data Engineer with deep expertise in data engineering, data architecture, and large\-scale data platform design. This role will be responsible for leading the design, development, optimization, and governance of our data infrastructure. The ideal candidate will not only build and maintain complex data pipelines, but also provide technical leadership, mentor team members, and drive best practices in scalability, reliability, and data quality across the organization.
**Key Responsibilities**
 Data Architecture \&amp; Platform Leadership
* Design and evolve scalable, secure, and high\-performance data architectures supporting large\-volume, high\-velocity data.
* Establish data engineering standards, design patterns, and best practices.
* Evaluate and recommend tools, frameworks, and technologies for data processing and storage.
* Partner with engineering leadership to align data strategy with business objectives.
 Data Pipeline Development
* Lead the design, implementation, and maintenance of robust, scalable data pipelines.
* Ensure data quality, validation, lineage, and observability throughout the pipeline lifecycle.
* Implement fault\-tolerant and highly available data processing systems.
* Drive automation and CI/CD practices for data workflows.
 Data Integration \&amp; ETL/ELT
* Architect and oversee ETL/ELT frameworks transforming raw data into analytical and operational datasets.
* Integrate data from diverse sources including relational databases, APIs, third\-party providers, and streaming platforms.
* Collaborate with analytics, product, and engineering teams to deliver reliable data products.
 Performance Tuning \&amp; Optimization
* Monitor, troubleshoot, and optimize pipeline and warehouse performance.
* Identify bottlenecks and implement indexing, partitioning, denormalization, and query optimization strategies.
* Improve cost efficiency and resource utilization of data systems.
 Leadership \&amp; Collaboration
* Mentor junior and mid\-level data engineers through code reviews, design sessions, and technical guidance.
* Collaborate cross\-functionally with product managers, analysts, ML engineers, and software teams.
* Participate in architectural reviews and technical planning initiatives.
**Requirements**
* 5–8\+ years of experience in data engineering or related fields.
* 5\+ years of advanced SQL query design, performance tuning, and optimization.
* 5\+ years of experience in data warehouse architecture, implementation, and support.
* 5\+ years of hands\-on experience with ETL/ELT design, development, testing, and troubleshooting.
* Proven experience working with large\-scale or “big data” environments.
**Knowledge \&amp; Skills**
* Expert\-level proficiency in SQL design and implementation.
* Strong experience with Relational Data Warehouse Systems and Data Warehouse Management Systems.
* Deep understanding of indexing, partitioning, denormalization, and query optimization techniques.
* Experience building and optimizing large\-scale data pipelines and distributed architectures.
* Proficiency in one or more programming languages such as Python, Java, or C\#.
* Experience with cloud data platforms and modern data tooling (e.g., AWS, Azure, GCP, Spark, Airflow, Snowflake, Databricks, etc.) is highly desirable.
* Strong analytical, troubleshooting, and problem\-solving skills.
* Excellent communication and documentation abilities.
* Experience mentoring engineers and leading technical initiatives.
**Preferred Qualifications**
* Experience with streaming technologies (Kafka, Kinesis, Pub/Sub, etc.).
* Familiarity with data governance, privacy, and compliance frameworks.
* Exposure to machine learning data pipelines or feature engineering workflows.
* Prior experience in marketing data, identity resolution, or large\-scale consumer datasets.
**Location**
* Kirkland, WA (First 6 months in\-office; hybrid schedule available thereafter—typically remote on Mondays and Fridays, with Tuesday–Thursday in\-office, subject to manager’s discretion).
* Registered to do business and willing to consider fully remote candidates in the following states; California, Colorado, Florida, Georgia, Missouri, New York, Oregon, South Carolina, Tennessee, Texas, and Washington.
**Work Authorization:** 
*Applicants must be authorized to work for ANY employer in the U.S. We are unable to sponsor or take over sponsorship of an employment Visa at this time.*
**Equal Opportunity Employer:** 
*Deep Sync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**Please Contact:** 
 Recruiting \| recruiting@deepsync.com</t>
        </is>
      </c>
    </row>
    <row r="4">
      <c r="A4" t="inlineStr">
        <is>
          <t>li-4374029629</t>
        </is>
      </c>
      <c r="B4" t="inlineStr">
        <is>
          <t>Data Engineer</t>
        </is>
      </c>
      <c r="C4" t="inlineStr">
        <is>
          <t>AARATECH</t>
        </is>
      </c>
      <c r="D4" t="inlineStr">
        <is>
          <t>linkedin</t>
        </is>
      </c>
      <c r="E4" t="inlineStr"/>
      <c r="F4" t="inlineStr"/>
      <c r="G4" t="inlineStr"/>
      <c r="H4" t="inlineStr"/>
      <c r="I4"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5">
      <c r="A5" t="inlineStr">
        <is>
          <t>li-4375408205</t>
        </is>
      </c>
      <c r="B5" t="inlineStr">
        <is>
          <t>Senior Data Engineer</t>
        </is>
      </c>
      <c r="C5" t="inlineStr">
        <is>
          <t>Gradient AI</t>
        </is>
      </c>
      <c r="D5" t="inlineStr">
        <is>
          <t>linkedin</t>
        </is>
      </c>
      <c r="E5" t="inlineStr"/>
      <c r="F5" t="inlineStr"/>
      <c r="G5" t="inlineStr">
        <is>
          <t>Boston, MA</t>
        </is>
      </c>
      <c r="H5" t="inlineStr"/>
      <c r="I5" t="inlineStr">
        <is>
          <t>***This is a fully remote opportunity.***
**Gradient AI:**
 Gradient AI is revolutionizing Group Health and P\&amp;C insurance with AI\-powered solutions that help insurers predict risk more accurately, improve profitability, and automate underwriting and claims. Our SaaS platform taps into one of the industry's largest data lakes—tens of millions of policies and claims—to deliver deep, actionable insights. Trusted by leading carriers, MGAs, TPAs, and self\-insured employers, Gradient AI has grown rapidly since our founding in 2018\. Backed by $56M in Series C funding, we're scaling fast—and it's an exciting time to join the team.
**About the Role:**
 We are seeking a Senior Data Engineer to lead the improvement and refinement of scalable data infrastructure, data platforms, and data architecture that power our predictive analytics solutions. This role focuses on building reliable, high\-performance data pipelines and orchestration frameworks that enable efficient data movement across systems. The ideal candidate brings deep expertise in modern data platforms, an understanding of big data tools, and distributed systems, paired with experience working with complex healthcare datasets (e.g., claims or clinical data). You'll play a key role in shaping our data foundation, ensuring robustness, scalability, and operational excellence across the platform.
**How you will make an impact:**
* Design, build, and implement data systems to support ML and AI models for our health insurance clients, ensuring strict compliance with healthcare data privacy and security regulations (e.g., HIPAA).
* Develop tools for extracting, processing, and profiling diverse healthcare data sources, including EHRs, medical claims, pharmacy data, and genomic data.
* Collaborate with data scientists to transform large volumes of health\-related and bioinformatics data into modeling\-ready formats, prioritizing data quality, integrity, and reliability in healthcare applications.
* Build and maintain infrastructure for the extraction, transformation, and loading (ETL) of data from a variety of sources using SQL, AWS, and healthcare\-specific big data technologies and analytics platforms.
* Ensure data pipelines meet the unique requirements of health, medical, and bioinformatics data processing, including translating complex medical and biological concepts into actionable data requirements.
**Skills needed to succeed:**
* BS in Computer Science, Bioinformatics, or another quantitative discipline with 4\+ years of relevant working experience.
* Deep expertise in health, medical, and bioinformatics data, including real\-world healthcare datasets, with a strong understanding of the complexities and challenges of processing medical and biological information.
* Proficiency in Python and SQL within a professional environment.
* Hands\-on knowledge of big data tools like Apache Spark (PySpark), Databricks, Snowflake, or similar platforms
* Experience with data orchestration frameworks such as Airflow, Dagster, or Prefect.
* Experience with modern DevOps practices, including CI/CD, IaC (Terraform), containerization (Docker/Kubernetes), and cloud environments (AWS preferred).
* Knowledge of data transformation tools, such as dbt, is a plus
**What We Offer:**
* A fun, team\-oriented startup culture.
* Generous stock options \- we all get to own a piece of what we're building.
* Unlimited vacation days.
* Flexible schedule that supports working from home.
* Full benefits package includes medical, dental, vision, 401k, paid paternal leave, and more.
* Ample opportunities to learn and take on new responsibilities.
 We are an equal opportunity employer.
**Salary Range:** 
 $130,000\-165,000 base salary annually.
 This role is also eligible for an annual performance bonus, equity grant, and a comprehensive benefits package. In accordance with the Massachusetts Pay Transparency Law, we are providing a good\-faith salary range for this position at the time of posting. The actual salary offered will depend on the level at which the candidate is hired, as well as their experience, skills, qualifications, and location. Compensation may grow over time through merit\-based increases, promotions, and company\-wide adjustments. If your salary expectations fall outside this range, we still encourage you to apply so we can have a conversation.</t>
        </is>
      </c>
    </row>
    <row r="6">
      <c r="A6" t="inlineStr">
        <is>
          <t>li-4375178973</t>
        </is>
      </c>
      <c r="B6" t="inlineStr">
        <is>
          <t>Senior Data Engineer</t>
        </is>
      </c>
      <c r="C6" t="inlineStr">
        <is>
          <t>OnMed</t>
        </is>
      </c>
      <c r="D6" t="inlineStr">
        <is>
          <t>linkedin</t>
        </is>
      </c>
      <c r="E6" t="inlineStr"/>
      <c r="F6" t="inlineStr"/>
      <c r="G6" t="inlineStr">
        <is>
          <t>White Plains, NY</t>
        </is>
      </c>
      <c r="H6" t="inlineStr"/>
      <c r="I6" t="inlineStr">
        <is>
          <t>**Who We Are and Why Join Us** 
 At OnMed our purpose is simple but powerful...to improve the quality of life and sense of well\-being in our communities by bringing access to healthcare to everyone, everywhere. Our path to everywhere has already begun, with our innovative CareStation, a small but mighty, Clinic\-in\-a\-Box, bringing \#healthcareaccess anywhere with an outlet to plug it in. Poised to become a key component in America's public health infrastructure, the OnMed CareStation is the only tech\-enabled, human\-led, hybrid care solution that combines the comprehensive experience, trust and outcomes of a clinic, with the rapid scalability of virtual care. 
 At OnMed, every role, every day, is directly impacting the communities we serve. You'll join a high\-performing purpose\-driven team, innovating to break down the barriers that keep people from the care they need. 
 This is not just a job... it's a movement to bring healthcare where and when people need it most. It's healthcare that shows up. 
**Who You Are** 
 You are a senior\-level Data Engineer and integration architect experienced in designing and scaling enterprise data platforms in cloud\-first environments. You bring deep expertise in Databricks and Microsoft Azure and have led the architecture, optimization, and governance of modern data ecosystems.
 You think beyond pipelines \- you design resilient, scalable data platforms that power analytics, interoperability, and operational systems. You are comfortable operating at both the strategic architecture level and the hands\-on engineering level. You thrive in high\-growth environments and are motivated by leveraging data to expand access to quality healthcare.
**Role Responsibilities** 
**Enterprise Data Architecture \&amp; Platform Ownership** 
* Architect, design, and scale enterprise\-grade data solutions using Databricks and Azure cloud services.
* Own and evolve the Databricks environment, including performance optimization, cost management, governance, and security controls.
* Define long\-term data architecture strategy aligned to business growth and healthcare compliance, and the evolution of OnMed's CareStation and HomeStation platforms.
* Establish data modeling standards, metadata management practices, and scalable ETL/ELT frameworks.
**Integration Architecture \&amp; Interoperability** 
* Serve as lead integration architect across all system interfaces and API\-driven data exchanges.
* Design and optimize integration patterns using Azure Data Factory, Azure API Management, and event\-driven architectures.
* Ensure reliable, secure, and scalable interoperability between internal systems, third\-party platforms, and healthcare data sources \- including HL7/FHIR\-based integrations with EHR and clinical systems.
* Oversee monitoring, observability, and fault tolerance across all integration touchpoints.
**Data Engineering \&amp; Pipeline Development** 
* Build and optimize high\-performance, scalable data pipelines in Databricks using Python and SQL.
* Design and implement advanced data transformations and complex query optimization.
* Implement automated testing, validation frameworks, and data quality controls to ensure pipeline reliability.
* Drive CI/CD practices and infrastructure\-as\-code principles for data platform management.
**Governance, Security \&amp; Compliance** 
* Establish and enforce data governance standards using Databricks Unity Catalog, including lineage tracking, auditing, and role\-based access controls.
* Ensure compliance with healthcare data privacy and security regulations including HIPAA, HITRUST, and SOC 2 requirements.
* Implement role\-based access, encryption standards, and secure API management, and access controls for PHI/PII data handling.
**Cross\-Functional Leadership** 
* Partner with BI, analytics, product, and engineering teams to translate business needs into scalable data solutions.
* Provide architectural guidance and mentorship to junior engineers and analysts.
* Influence data strategy at the leadership level through proactive recommendations and roadmap planning.
* Communicate technical concepts clearly to non\-technical stakeholders including clinical, operational, and executive audiences.
**Knowledge, Skills \&amp; Abilities** 
* Experience operating in regulated industries; healthcare (HIPAA, HITRUST, SOC 2\) strongly preferred.
* Deep expertise in Databricks: Delta Lake, Unity Catalog, performance tuning, cost optimization, job orchestration.
* Advanced knowledge of Azure services including Azure Data Factory, Azure API Management, Azure Storage, and related cloud infrastructure.
* Strong proficiency in SQL (complex query optimization, performance tuning, indexing strategies) and Python; working knowledge of C\# a plus.
* Extensive experience designing scalable ETL/ELT frameworks and data warehousing solutions.
* Experience implementing event\-driven or API\-based integration architectures.
* Familiarity with healthcare interoperability standards (HL7, FHIR) is a strong advantage.
* Proven ability to balance architectural vision with hands\-on execution.
* Strong communication skills with the ability to influence technical and non\-technical stakeholders at all levels.
* Demonstrated ability to mentor engineers and drive engineering best practices across a team.
**Requirements**
**Education \&amp; Experience** 
* Bachelor's degree in Computer Science, Information Technology, or a related field.
* 7\+ years of progressive experience in data engineering, data architecture, or enterprise integration.
**Benefits**
**Benefits** 
 OnMed provides a competitive salary and benefits package, including unlimited PTO and paid holidays. 
 **The base salary range for this role is up to $170,000 commensurate with the candidate's experience, plus an annual discretionary performance bonus.** 
 OnMed is a proud equal opportunity employer. All qualified applicants will be considered without regard to race, color, creed, religion, gender, sexual orientation, national origin, genetic information, disability, age, marital status, veteran status, or any other category protected by law.</t>
        </is>
      </c>
    </row>
    <row r="7">
      <c r="A7" t="inlineStr">
        <is>
          <t>li-4373123873</t>
        </is>
      </c>
      <c r="B7" t="inlineStr">
        <is>
          <t>Sr. Data Engineer I (6290)</t>
        </is>
      </c>
      <c r="C7" t="inlineStr">
        <is>
          <t>MetroStar</t>
        </is>
      </c>
      <c r="D7" t="inlineStr">
        <is>
          <t>linkedin</t>
        </is>
      </c>
      <c r="E7" t="inlineStr"/>
      <c r="F7" t="inlineStr"/>
      <c r="G7" t="inlineStr">
        <is>
          <t>Aurora, CO</t>
        </is>
      </c>
      <c r="H7" t="inlineStr"/>
      <c r="I7"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required with CI poly preferred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8">
      <c r="A8" t="inlineStr">
        <is>
          <t>li-4374041462</t>
        </is>
      </c>
      <c r="B8" t="inlineStr">
        <is>
          <t>Data Engineer</t>
        </is>
      </c>
      <c r="C8" t="inlineStr">
        <is>
          <t>AARATECH</t>
        </is>
      </c>
      <c r="D8" t="inlineStr">
        <is>
          <t>linkedin</t>
        </is>
      </c>
      <c r="E8" t="inlineStr"/>
      <c r="F8" t="inlineStr"/>
      <c r="G8" t="inlineStr"/>
      <c r="H8" t="inlineStr"/>
      <c r="I8"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9">
      <c r="A9" t="inlineStr">
        <is>
          <t>li-4374037500</t>
        </is>
      </c>
      <c r="B9" t="inlineStr">
        <is>
          <t>Data Engineer</t>
        </is>
      </c>
      <c r="C9" t="inlineStr">
        <is>
          <t>AARATECH</t>
        </is>
      </c>
      <c r="D9" t="inlineStr">
        <is>
          <t>linkedin</t>
        </is>
      </c>
      <c r="E9" t="inlineStr"/>
      <c r="F9" t="inlineStr"/>
      <c r="G9" t="inlineStr"/>
      <c r="H9" t="inlineStr"/>
      <c r="I9"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0">
      <c r="A10" t="inlineStr">
        <is>
          <t>li-4373133149</t>
        </is>
      </c>
      <c r="B10" t="inlineStr">
        <is>
          <t>Data Engineer - VC Backed Healthcare Firm - NYC, Chicago, Austin or San Francisco</t>
        </is>
      </c>
      <c r="C10" t="inlineStr">
        <is>
          <t>Saragossa</t>
        </is>
      </c>
      <c r="D10" t="inlineStr">
        <is>
          <t>linkedin</t>
        </is>
      </c>
      <c r="E10" t="inlineStr"/>
      <c r="F10" t="inlineStr"/>
      <c r="G10" t="inlineStr">
        <is>
          <t>New York, NY</t>
        </is>
      </c>
      <c r="H10" t="inlineStr"/>
      <c r="I10" t="inlineStr">
        <is>
          <t>**Are you a data engineer who loves building systems that power real impact in the world?** 
 A fast growing healthcare technology organization is expanding its innovation team and is looking for a Data Engineer II to help build the next generation of its data platform. This team sits at the center of a major transformation effort, partnering closely with engineering, analytics, and product to design the foundation that supports advanced automation, AI, intelligent workflows, and high scale data operations that drive measurable outcomes for hospitals, health systems, and medical groups.
 In this role, you will design, develop, and maintain software applications that process large volumes of data every day. You will collaborate with cross functional teams to understand data requirements, build and optimize data models, and create systems that ensure accuracy, reliability, and performance. You will write code that extracts, transforms, and loads data from a variety of sources into modern data warehouses and data lakes, while implementing best in class data quality and governance practices. You will work hands on with big data technologies such as Hadoop, Spark, and Kafka, and you will play a critical role in troubleshooting, performance tuning, and ensuring the scalability of complex data applications.
 To thrive here, you should bring strong problem solving ability, analytical thinking, and excellent communication skills. This is an opportunity to join an expanding innovation group within a leading healthcare platform that is investing heavily in data, AI, and the future of intelligent revenue operations. If you want to build systems that make a real difference and work with teams that care deeply about improving patient experiences and provider performance, this is a chance to do highly meaningful engineering at scale.</t>
        </is>
      </c>
    </row>
    <row r="11">
      <c r="A11" t="inlineStr">
        <is>
          <t>li-4374030571</t>
        </is>
      </c>
      <c r="B11" t="inlineStr">
        <is>
          <t>Data Engineer</t>
        </is>
      </c>
      <c r="C11" t="inlineStr">
        <is>
          <t>AARATECH</t>
        </is>
      </c>
      <c r="D11" t="inlineStr">
        <is>
          <t>linkedin</t>
        </is>
      </c>
      <c r="E11" t="inlineStr"/>
      <c r="F11" t="inlineStr"/>
      <c r="G11" t="inlineStr"/>
      <c r="H11" t="inlineStr"/>
      <c r="I11"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2">
      <c r="A12" t="inlineStr">
        <is>
          <t>li-4375400027</t>
        </is>
      </c>
      <c r="B12" t="inlineStr">
        <is>
          <t>Data Engineer</t>
        </is>
      </c>
      <c r="C12" t="inlineStr">
        <is>
          <t>FUSTIS LLC</t>
        </is>
      </c>
      <c r="D12" t="inlineStr">
        <is>
          <t>linkedin</t>
        </is>
      </c>
      <c r="E12" t="inlineStr"/>
      <c r="F12" t="inlineStr"/>
      <c r="G12" t="inlineStr"/>
      <c r="H12" t="inlineStr"/>
      <c r="I12" t="inlineStr">
        <is>
          <t>**Job Title: Data Engineer** 
**Location: Washington, DC** 
**Eligibility: US Citizen** 
**Salary: $160\-170k** 
**Clearance Required:** 
 Current Top Secret/SCI. Ability to obtain DHS EOD SCI.
**Position Overview** 
 We are seeking a skilled Data Engineer to design, build, and maintain robust data pipelines that enable scalable, secure, and intelligent data processing across cloud environments. The ideal candidate will have hands\-on experience in data acquisition from diverse sources, deep familiarity with modern data storage paradigms, and a passion for building pipelines that support advanced analytics and AI/ML use cases.
**Key Responsibilities** 
* **Data Ingestion \&amp; Acquisition:** 
 Collect and integrate data from a wide variety of structured and unstructured sources, including APIs, RDBMS, file systems, third\-party services, and real\-time streams.
* **Pipeline Development:** 
 Design and implement scalable ETL/ELT pipelines to clean, enrich, normalize, and semantically align data (ontology\-driven transformations).
* **Cloud Deployment:** 
 Build and deploy data pipelines and associated infrastructure on AWS or Azure, using managed services like Lambda, Glue, Step Functions, Azure Data Factory, etc.
* **Database Architecture:** 
 Understand and optimize for different storage engines—relational (PostgreSQL, MySQL), columnar (Redshift, BigQuery), indexing engines (ElasticSearch), key\-value stores (DynamoDB, Redis), Object stores (S3 or similar) and caching layers.
* **Streaming Data Processing:** 
 Work with Apache Kafka (or similar platforms) to handle high\-volume, low\-latency data streams.
* **Workflow Orchestration:** 
 Utilize Apache Airflow (or equivalent) to schedule and monitor complex data workflows.
* **AI/ML Integration:** 
 Collaborate with data scientists to integrate LLMs and ML models into pipelines for inference, tagging, enrichment, or intelligent routing of data.
**Required Qualifications** 
* Bachelor's or master’s degree in computer science, Engineering, or related field.
* 10\+ years of experience in data engineering or software development roles.
* Strong proficiency in Python, including experience with libraries like pandas, PySpark, FastAPI, or similar.
* Solid experience with cloud services (AWS or Azure) and Cloud native data engineering tools.
* Proven experience in building and maintaining data pipelines using Kafka, Airflow, and other open\-source frameworks.
* Strong grasp of database internals and trade\-offs between different storage technologies.
* Familiarity with data governance, lineage, and metadata management concepts.
* Experience or strong interest in integrating LLMs and AI/ML models into production\-grade data systems.
**Preferred Qualifications** 
* Knowledge of data cataloging tools and semantic layer design.
* Experience with containerization (Docker) and orchestration (Kubernetes).
* Familiarity with MLOps tools or platforms (e.g., SageMaker, MLflow).
* Prior experience working in regulated or secure environments.</t>
        </is>
      </c>
    </row>
    <row r="13">
      <c r="A13" t="inlineStr">
        <is>
          <t>li-4373136506</t>
        </is>
      </c>
      <c r="B13" t="inlineStr">
        <is>
          <t>Sr. Data Engineer I (6290)</t>
        </is>
      </c>
      <c r="C13" t="inlineStr">
        <is>
          <t>MetroStar</t>
        </is>
      </c>
      <c r="D13" t="inlineStr">
        <is>
          <t>linkedin</t>
        </is>
      </c>
      <c r="E13" t="inlineStr"/>
      <c r="F13" t="inlineStr"/>
      <c r="G13" t="inlineStr">
        <is>
          <t>Tysons Corner, VA</t>
        </is>
      </c>
      <c r="H13" t="inlineStr"/>
      <c r="I13"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required with CI poly preferred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4">
      <c r="A14" t="inlineStr">
        <is>
          <t>li-4374039462</t>
        </is>
      </c>
      <c r="B14" t="inlineStr">
        <is>
          <t>Data Engineer</t>
        </is>
      </c>
      <c r="C14" t="inlineStr">
        <is>
          <t>AARATECH</t>
        </is>
      </c>
      <c r="D14" t="inlineStr">
        <is>
          <t>linkedin</t>
        </is>
      </c>
      <c r="E14" t="inlineStr"/>
      <c r="F14" t="inlineStr"/>
      <c r="G14" t="inlineStr"/>
      <c r="H14" t="inlineStr"/>
      <c r="I14"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5">
      <c r="A15" t="inlineStr">
        <is>
          <t>li-4368315193</t>
        </is>
      </c>
      <c r="B15" t="inlineStr">
        <is>
          <t>Data Engineer</t>
        </is>
      </c>
      <c r="C15" t="inlineStr">
        <is>
          <t>NeerInfo Solutions</t>
        </is>
      </c>
      <c r="D15" t="inlineStr">
        <is>
          <t>linkedin</t>
        </is>
      </c>
      <c r="E15" t="inlineStr"/>
      <c r="F15" t="inlineStr"/>
      <c r="G15" t="inlineStr">
        <is>
          <t>Richardson, TX</t>
        </is>
      </c>
      <c r="H15" t="inlineStr"/>
      <c r="I15" t="inlineStr">
        <is>
          <t>**Job Title: GCP data engineer** 
**Location: Richardson, TX / Jersey City, NJ (Onsite)** 
**Job type: full\-time** 
**Job Description** 
**We are seeking GCP data engineer** 
 .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At least 4 years of Information Technology experience.
* Experience working with technologies like – GCP with data engineering – data flow / air flow, pub sub/ kafta, data proc/Hadoop, Big Query.
* ETL development experience with strong SQL background such as Python/R, Scala, Java, Hive, Spark, Kafka
* Strong knowledge on Python Program development to build reusable frameworks, enhance existing frameworks.
* Application build experience with core GCP Services like Dataproc, GKE, Composer,
**Preferred Qualifications:** 
* Good knowledge on Google Big Query, using advance SQL programing techniques to build Big Query Data sets in Ingestion and Transformation layer.
* Experience in Relational Modeling, Dimensional Modeling and Modeling of Unstructured Data
* Knowledge on Airflow Dag creation, execution, and monitoring.
* experience in Tera data
* Good understanding of Agile software development frameworks
* Ability to work in teams in a diverse, multi\-stakeholder environment comprising of Business and Technology teams.
* Experience and desire to work in a global delivery environment.</t>
        </is>
      </c>
    </row>
    <row r="16">
      <c r="A16" t="inlineStr">
        <is>
          <t>li-4373126827</t>
        </is>
      </c>
      <c r="B16" t="inlineStr">
        <is>
          <t>Sr. Data Engineer I (6290)</t>
        </is>
      </c>
      <c r="C16" t="inlineStr">
        <is>
          <t>MetroStar</t>
        </is>
      </c>
      <c r="D16" t="inlineStr">
        <is>
          <t>linkedin</t>
        </is>
      </c>
      <c r="E16" t="inlineStr"/>
      <c r="F16" t="inlineStr"/>
      <c r="G16" t="inlineStr">
        <is>
          <t>St Louis, MO</t>
        </is>
      </c>
      <c r="H16" t="inlineStr"/>
      <c r="I16"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required with CI poly preferred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7">
      <c r="A17" t="inlineStr">
        <is>
          <t>li-4375191785</t>
        </is>
      </c>
      <c r="B17" t="inlineStr">
        <is>
          <t>Data Engineer II</t>
        </is>
      </c>
      <c r="C17" t="inlineStr">
        <is>
          <t>Wiraa</t>
        </is>
      </c>
      <c r="D17" t="inlineStr">
        <is>
          <t>linkedin</t>
        </is>
      </c>
      <c r="E17" t="inlineStr"/>
      <c r="F17" t="inlineStr"/>
      <c r="G17" t="inlineStr"/>
      <c r="H17" t="inlineStr"/>
      <c r="I17" t="inlineStr">
        <is>
          <t>**About The Company**
 Centene Corporation is a diversified, national organization dedicated to transforming the health of our communities by providing high\-quality healthcare solutions. Serving over 28 million members across the United States, Centene leverages innovative technology and comprehensive healthcare services to improve health outcomes and access to care. Our commitment to diversity, equity, and inclusion is reflected in our workplace culture, fostering an environment where all employees can thrive. We offer competitive benefits, flexible work arrangements, and opportunities for professional growth, making us an employer of choice in the healthcare industry.
**About The Role**
 We are seeking a skilled Data Engineer to join our dynamic team. In this role, you will be responsible for developing and operationalizing data pipelines that facilitate the availability of data for reporting and advanced analytics. Your expertise will ensure the seamless ingestion, transformation, validation, and optimization of large\-scale data structures essential for business intelligence. You will collaborate closely with DevSecOps engineers during continuous integration and deployment processes, designing standardized data management procedures to support our analytics infrastructure. The ideal candidate will have a strong background in data pipeline development, data architecture, and automation, contributing to the ongoing improvement of data reliability, efficiency, and quality across Centene's environments.
**Qualifications**
* Bachelor’s degree in statistics, mathematics, engineering, computer science, or a related quantitative or business field
* 2\-4 years of relevant experience in data engineering or related roles
* Proficiency in SQL and/or PL\-SQL
* Experience with Teradata or Snowflake, including developing data pipelines in Snowflake
* Hands\-on experience with Python or similar programming languages
* Familiarity with data visualization tools such as Power BI
* Knowledge of CI/CD processes and automated deployment tools (e.g., Gitlab)
* Experience with system diagnosis, data validation, and quality assurance testing
* Understanding of engineering best practices and documentation in project management tools like JIRA
**Responsibilities**
* Develop and operationalize data pipelines for reports and analytics, including data ingestion, transformation, validation, and optimization
* Design and implement standardized data management procedures for staging, ingestion, preparation, provisioning, and destruction of data
* Create, test, document, and operate large\-scale, high\-performance data structures to support business intelligence initiatives
* Maintain scheduled processes to ensure automated daily, weekly, and monthly data refreshes
* Ensure data quality and integrity as data moves across various environments
* Provide insights into evolving data environments, including processing, storage, and utilization needs, and recommend solutions
* Develop and maintain data architectures using appropriate programming languages and tools
* Identify opportunities to improve data reliability, efficiency, and automation
* Collaborate with cross\-functional teams to troubleshoot system issues and validate data quality
* Document processes, procedures, and system configurations in accordance with engineering standards
* Perform other duties as assigned to support team objectives and project deliverables
* Comply with all organizational policies, standards, and security protocols
**Benefits**
* Competitive salary range of $63,600 to $114,600 annually
* Comprehensive health insurance plans
* Retirement savings options including 401K and stock purchase plans
* Tuition reimbursement programs
* Paid time off along with holidays
* Flexible work arrangements, including remote, hybrid, field, or office schedules
* Opportunities for professional development and career advancement
 Equal Opportunity
 Centene is an equal opportunity employer committed to fostering a diverse and inclusive workplace. We value the unique contributions of each individual and do not discriminate based on race, color, religion, sex, sexual orientation, gender identity, national origin, disability, veteran status, or any other characteristic protected by law. All qualified applicants will be considered for employment without regard to these factors. We also consider qualified applicants with arrest or conviction records in accordance with applicable laws, including the LA County Ordinance and the California Fair Chance Act.</t>
        </is>
      </c>
    </row>
    <row r="18">
      <c r="A18" t="inlineStr">
        <is>
          <t>li-4374033694</t>
        </is>
      </c>
      <c r="B18" t="inlineStr">
        <is>
          <t>Lead Data Engineer</t>
        </is>
      </c>
      <c r="C18" t="inlineStr">
        <is>
          <t>Sonata Software</t>
        </is>
      </c>
      <c r="D18" t="inlineStr">
        <is>
          <t>linkedin</t>
        </is>
      </c>
      <c r="E18" t="inlineStr"/>
      <c r="F18" t="inlineStr"/>
      <c r="G18" t="inlineStr">
        <is>
          <t>Denver, CO</t>
        </is>
      </c>
      <c r="H18" t="inlineStr"/>
      <c r="I18" t="inlineStr">
        <is>
          <t>**Sonata Software Overview** 
 In today's market, there is a unique duality in technology adoption. On one side, extreme focus on cost containment by clients, and on the other, deep motivation to modernize their Digital storefronts to attract more consumers and B2B customers.
 As a leading Modernization Engineering company, we aim to deliver modernization\-driven hypergrowth for our clients based on the deep differentiation we have created in Modernization Engineering, powered by our Lightening suite and 16\-step Platformation™ playbook. In addition, we bring agility and systems thinking to accelerate time to market for our clients.
 Headquartered in Bengaluru, India, Sonata has a strong global presence, including key regions in the US, UK, Europe, APAC, and ANZ. We are a trusted partner of world\-leading companies in BFSI (Banking, Financial Services, and Insurance), HLS (Healthcare and Lifesciences), TMT (Telecom, Media, and Technology), Retail \&amp; CPG, and Manufacturing space. Our bouquet of Modernization Engineering Services cuts across Cloud, Data, Dynamics, Contact Centres, and around newer technologies like Generative AI, MS Fabric, and other modernization platforms.
**Job Title\- Lead Data Engineer** 
**Location\- Denver CO** 
**Type of Hire – Fulltime** 
 We are seeking a \*\*Data Catalog \&amp; Governance Specialist\*\* to support our \*\*Send Money / Payments platform\*\*, ensuring robust metadata management, data lineage visibility, and regulatory\-grade governance across transactional and customer data domains.
 This role is critical in establishing transparency and trust across payment flows, customer onboarding data, compliance datasets (KYC/AML), and reporting pipelines.
 Key Responsibilities
* Configure and administer enterprise \*\*data catalog platforms\*\* to support payment and transaction data domains
* Define and manage \*\*business and technical metadata\*\* for:
* Transaction data
* Customer/KYC data
* Beneficiary and wallet data
* Payment status and settlement data
* Establish and maintain \*\*end\-to\-end data lineage\*\* across:
* Send Money application
* Middleware/API layers
* Data warehouse and reporting systems
* Partner with data engineering teams to monitor and document \*\*ETL/ELT pipelines\*\* supporting payment processing
* Perform and document \*\*data quality assessments\*\* for critical financial datasets
* Define and enforce \*\*data governance policies\*\*, including:
* Data classification (PII, financial data, sensitive fields)
* Access control and role\-based permissions
* Retention and audit requirements
* Support regulatory and compliance needs (AML, audit trails, transaction monitoring)
* Drive enterprise\-wide adoption of the data catalog across business, risk, compliance, and engineering teams
* Lead metadata onboarding workshops and training sessions
**Required Skills \&amp; Experience** 
* Hands\-on experience with \*\*data catalog and metadata management tools\*\* (e.g., Collibra, Alation, Informatica EDC, Microsoft Purview, Atlan, etc.)
* Strong understanding of:
* Data modeling (transactional and analytical models)
* Data lineage and impact analysis
* Data quality frameworks and monitoring
* ETL/ELT processes in financial systems
* Experience working with \*\*transaction\-heavy systems or payment platforms\*\*
* Proficiency in \*\*SQL\*\* and familiarity with \*\*Python scripting\*\*
* Understanding of data privacy and financial regulatory controls
 \* Experience supporting audit and compliance reporting
 Preferred (Highly Desirable)
* Experience in \*\*FinTech, Digital Banking, or Payments domain\*\*
* Exposure to Send Money / Remittance / Wallet\-based applications
* Familiarity with KYC, AML, fraud detection, and transaction monitoring data flows
* Experience working with cloud data platforms (Snowflake, Azure, AWS, etc.)
 Soft Skills
* Strong stakeholder communication across product, risk, compliance, and engineering
* Ability to translate technical metadata into business\-understandable definitions
* Strong organizational and documentation discipline
* Experience driving data governance adoption initiatives
* Ability to operate in a regulated, high\-availability environment
**Why join Sonata Software?** 
 At Sonata, you?ll have an outstanding opportunity. The chance to use your skills and imagination to push the boundaries of what?s possible. To build never seen before solutions to some of the world’s toughest problems. You?ll be challenged, but you will not be alone. You?ll be joining a team of diverse innovators, all driven to go beyond the status quo to craft what comes next.
* *Sonata Software is an Equal Opportunity Employer encouraging diversity in the workplace. All qualified applicants will receive consideration for employment without regard to race, national origin, gender identity, age, religion, disability, sexual orientation, veteran status, marital status, or any other characteristics protected by law.*</t>
        </is>
      </c>
    </row>
    <row r="19">
      <c r="A19" t="inlineStr">
        <is>
          <t>li-4375417785</t>
        </is>
      </c>
      <c r="B19" t="inlineStr">
        <is>
          <t>Data Engineer</t>
        </is>
      </c>
      <c r="C19" t="inlineStr">
        <is>
          <t>Hirenza</t>
        </is>
      </c>
      <c r="D19" t="inlineStr">
        <is>
          <t>linkedin</t>
        </is>
      </c>
      <c r="E19" t="inlineStr"/>
      <c r="F19" t="inlineStr"/>
      <c r="G19" t="inlineStr"/>
      <c r="H19" t="inlineStr"/>
      <c r="I19" t="inlineStr">
        <is>
          <t>**About The Company**
 MassMutual is a leading financial services organization dedicated to helping individuals and businesses achieve their financial goals. With a rich history of stability, innovation, and customer\-centric solutions, MassMutual offers a comprehensive range of insurance, retirement, and investment products. Our commitment to excellence and integrity has established us as a trusted partner in the financial industry. We foster a culture of continuous improvement, diversity, and inclusion, empowering our employees to make a meaningful impact on the lives of our clients and communities worldwide.
**About The Role**
 Join our dynamic team as a Data Engineer within our Corporate Technology Data Engineering \&amp; Analytics division. In this pivotal role, you will spearhead the development and execution of our data and technology strategies, playing a vital part in driving digital transformation and enhancing operational efficiency across our Investment Management division. Your responsibilities will include designing, building, and maintaining robust data pipelines, including streaming and batch processing solutions, data marts, and data warehouses. You will establish and uphold data collection and processing standards to meet the evolving needs of our business stakeholders. This role offers an exciting opportunity to work at the forefront of data innovation, collaborating with cross\-functional teams to deliver high\-quality, scalable data solutions that support strategic decision\-making and regulatory compliance.
**Qualifications**
 The ideal candidate will possess a strong technical background with extensive experience in data analytics, modeling, and database design. A bachelor's degree in Computer Science, Engineering, Information Systems, or a related field is required. Candidates should have at least 8 years of experience in data analytics and 5 years in ELT methodologies and tools, with a proven track record of designing, developing, and optimizing SQL\-based systems. Experience in scripting languages such as Python, Java, or Scala, along with familiarity with Spark framework, is essential. A minimum of 5 years of hands\-on experience with data warehousing and distributed database technologies is expected. Strong communication skills and the ability to translate complex business requirements into technical specifications are critical for success in this role.
**Responsibilities**
* Design, develop, and maintain complex ELT jobs to process diverse data sources, ensuring high data integrity, quality, and reliability.
* Establish and enforce data modeling policies, procedures, and standards to support scalable and efficient data architectures.
* Capture and document system workflows, data flows, and technical specifications to facilitate ongoing maintenance and enhancements.
* Create and implement comprehensive data quality standards, utilizing tools and techniques to monitor and improve data accuracy.
* Collaborate with various departments within Investment Management to understand new data patterns, requirements, and challenges.
* Partner with Data Analysts, Data Architects, and Business Intelligence developers to design scalable data solutions aligned with strategic business goals.
* Translate high\-level business needs into detailed technical requirements, ensuring solutions are robust, scalable, and compliant with regulatory standards.
* Participate in code reviews, troubleshooting, and performance tuning to optimize data pipelines and database systems.
* Stay current with emerging data technologies and industry best practices to continuously improve data infrastructure and processes.
**Benefits**
 MassMutual offers a comprehensive benefits package designed to support our employees' health, well\-being, and professional growth. Employees enjoy competitive salary packages, health insurance plans, retirement savings options, and paid time off. We also provide opportunities for ongoing learning and development, including training programs, certifications, and career advancement pathways. Our commitment to work\-life balance is reflected in flexible work arrangements and wellness initiatives. Additionally, employees have access to employee assistance programs, financial counseling, and various employee resource groups that foster an inclusive and supportive workplace environment.
 Equal Opportunity
 MassMutual is an equal employment opportunity employer. We celebrate diversity and are committed to creating an inclusive environment for all employees. We do not discriminate based on race, color, religion, gender, sexual orientation, gender identity or expression, age, disability, or any other protected characteristic. We encourage all qualified individuals to apply and join our team. If you require any accommodations during the application process, please contact us and specify your needs. We are dedicated to ensuring equal access and opportunity for everyone.</t>
        </is>
      </c>
    </row>
    <row r="20">
      <c r="A20" t="inlineStr">
        <is>
          <t>li-4366972369</t>
        </is>
      </c>
      <c r="B20" t="inlineStr">
        <is>
          <t>Sr. Data Engineer</t>
        </is>
      </c>
      <c r="C20" t="inlineStr">
        <is>
          <t>Advance Auto Parts</t>
        </is>
      </c>
      <c r="D20" t="inlineStr">
        <is>
          <t>linkedin</t>
        </is>
      </c>
      <c r="E20" t="inlineStr"/>
      <c r="F20" t="inlineStr"/>
      <c r="G20" t="inlineStr">
        <is>
          <t>Raleigh, NC</t>
        </is>
      </c>
      <c r="H20" t="inlineStr"/>
      <c r="I20" t="inlineStr">
        <is>
          <t>**Job Description**
**About the Role**
 We are seeking a Senior Data Engineer with strong hands\-on experience in building scalable data pipelines, microservices, and modern cloud\-native data solutions. Beyond traditional data engineering, this role requires someone with high learning agility, a willingness to adopt new platforms, and strong curiosity for enterprise systems that support data operations.
 This individual will serve as a key onsite engineering partner for Product, Business, and cross\-functional teams. The engineer will build data workflows, integrate with enterprise platforms, and support end\-to\-end data lifecycle needs across the organization.
**This position is 4 days in office, 1 day remote per week, based at our corporate headquarters in Raleigh, North Carolina (North Hills)**
**Key Responsibilities**
**Data Engineering \&amp; Architecture**
* Design and build scalable batch and streaming pipelines for ingestion, transformation, and consumption.
* Develop and optimize ETL/ELT workflows using modern orchestration or transformation tools.
* Build microservices and data services using Python or Java Spring Boot, leveraging event\-driven architecture such as Kafka.
* Apply strong SQL skills to develop analytical datasets, transformations, and modeling patterns.
* Build reusable, modular engineering components that support long\-term maintainability.
**Cloud \&amp; Platform Engineering**
* Design and build cloud\-native solutions using any major cloud platform (AWS, Azure, GCP) and be comfortable adopting new cloud services as organizational needs evolve.
* Work with cloud data warehouses (e.g., Snowflake, BigQuery, Redshift, Synapse) for modeling, performance tuning, and data operations.
* Implement scalable, secure, and observable cloud data workflows using a cloud\-neutral architectural mindset.
* Develop and maintain CI/CD pipelines across cloud environments using Git\-based workflows.
**Enterprise Platform Integration**
* Learn and support enterprise data systems and integration platforms used across the organization.
* Serve as the primary onsite engineering resource, partnering closely with Product, Business, and Data teams.
* Support integration, workflow implementations, troubleshooting, and platform enhancements across multiple systems.
**Observability, Quality \&amp; Reliability**
* Implement strong observability across pipelines and services, including logging, metrics, dashboards, tracing, and alerting.
* Build robust data quality checks, validation rules, error handling, and resiliency patterns.
* Ensure data pipelines and microservices meet reliability, recoverability, and performance standards.
**Collaboration \&amp; Delivery**
* Work directly with product and business teams to gather requirements, build prototypes, and deliver production\-grade solutions.
* Provide accurate LOEs and contribute to architectural decisions.
* Communicate effectively with global and cross\-functional teams.
* Drive engineering standards, documentation quality, and reusable frameworks across the team.
**Innovation \&amp; Emerging Technologies**
* Prototype solutions using AI/LLM tooling, automation frameworks, and next\-generation data technologies.
* Stay current with modern data engineering and cloud\-native patterns.
* Bring forward\-looking ideas that align with the future direction of the data platform ecosystem.
**Required Qualifications**
* 7\+ years of hands\-on experience in data engineering.
* Strong experience with Python and/or Java Spring Boot.
* Deep experience with Kafka or similar streaming platforms.
* Strong SQL expertise and experience with at least one cloud data warehouse (Snowflake preferred).
* Hands\-on experience with at least one major cloud (AWS, Azure, or GCP) with a willingness to learn additional clouds as needed.
* Experience building microservices, APIs, and cloud\-native data workflows.
* Proficiency with Git, CI/CD, and modern DevOps practices.
* Strong technical curiosity and proven ability to learn new platforms, tools, and architecture quickly.
* Excellent communication, problem\-solving, and cross\-functional collaboration skills.
* A self\-driven mindset with strong ownership and accountability.
**California Residents Click Below For Privacy Notice**
 https://jobs.advanceautoparts.com/us/en/disclosures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row>
    <row r="21">
      <c r="A21" t="inlineStr">
        <is>
          <t>li-4374040501</t>
        </is>
      </c>
      <c r="B21" t="inlineStr">
        <is>
          <t>Data Engineer | Remote (Indonesia)</t>
        </is>
      </c>
      <c r="C21" t="inlineStr">
        <is>
          <t>Springer Capital</t>
        </is>
      </c>
      <c r="D21" t="inlineStr">
        <is>
          <t>linkedin</t>
        </is>
      </c>
      <c r="E21" t="inlineStr"/>
      <c r="F21" t="inlineStr"/>
      <c r="G21" t="inlineStr">
        <is>
          <t>Idaho, United States</t>
        </is>
      </c>
      <c r="H21" t="inlineStr"/>
      <c r="I21" t="inlineStr">
        <is>
          <t>**Position Overview**
 We are seeking a skilled
 **Data Engineer** 
 with 35 years of experience to design, build, and maintain robust data pipelines and platforms. The ideal candidate will work closely with data analysts, data scientists, and business stakeholders to ensure reliable, scalable, and high\-quality data solutions that support analytics, reporting, and business decision\-making.
**Key Responsibilities \&amp; Deliverables**
**Data Pipeline Development**
* Design, build, and maintain ETL/ELT pipelines to ingest, transform, and process structured and unstructured data from multiple sources.
* Ensure data pipelines are scalable, reliable, and optimized for performance.
* Build and optimize batch processing workflows for AI/ML model training, inference, and feature engineering
* Collaborate with cross\-functional teams to understand data requirements and implement solutions that meet business needs.
**Data Modeling \&amp; Management**
* Develop and maintain data models, schemas, and storage solutions for analytical and operational purposes.
* Implement best practices for data warehousing, database design, and metadata management.
* Ensure data quality, consistency, and accuracy across pipelines and storage systems.
**Collaboration \&amp; Support**
* Partner with data analysts, data scientists, and BI teams to provide clean, well\-structured data for analysis and reporting.
* Troubleshoot, debug, and optimize data processes and pipeline performance.
* Document data architecture, pipelines, and processes for internal reference and compliance.
**Core Qualifications And Competencies**
* Bachelors degree in Computer Science, Information Technology, or a related field.
* 35 years of experience in data engineering, ETL development, or data warehousing.
* Strong programming skills in SQL and Python/Scala/Java.
* Understanding of Role\-Based Access Control (RBAC) principles and implementation across data platforms
* Hands\-on experience with relational and NoSQL databases (e.g., MySQL, PostgreSQL, MongoDB).
* Experience with cloud platforms and tools (AWS, Azure, GCP, Redshift, Snowflake, BigQuery).
* Knowledge of data modeling, schema design, and data pipeline best practices.
* Understanding of data governance, security, and compliance standards.
**Nice\-to\-Have Skills**
* Familiarity with streaming concepts and message queues (Kafka, etc.) for understanding upstream data sources
* Hands\-on experience with workflow orchestration tools (Airflow, Luigi, Prefect)
* Exposure to BI tools (Power BI, Tableau, Looker) and analytics pipelines.
* Knowledge of DevOps practices for CI/CD and infrastructure as code.
* Why This Opportunity
* 100% remote work work from anywhere
* Global exposure, working with distributed teams across geographies
* Competitive salary aligned with experience and market standards</t>
        </is>
      </c>
    </row>
    <row r="22">
      <c r="A22" t="inlineStr">
        <is>
          <t>li-4364944518</t>
        </is>
      </c>
      <c r="B22" t="inlineStr">
        <is>
          <t>Data Engineer</t>
        </is>
      </c>
      <c r="C22" t="inlineStr">
        <is>
          <t>Trivelta</t>
        </is>
      </c>
      <c r="D22" t="inlineStr">
        <is>
          <t>linkedin</t>
        </is>
      </c>
      <c r="E22" t="inlineStr"/>
      <c r="F22" t="inlineStr"/>
      <c r="G22" t="inlineStr">
        <is>
          <t>Boston, MA</t>
        </is>
      </c>
      <c r="H22" t="inlineStr"/>
      <c r="I22" t="inlineStr">
        <is>
          <t>Trivelta builds the technology that powers modern, social\-first gaming experiences. Through our proprietary sportsbook and casino engine, we enable partners to launch their own fully branded, legally compliant gaming products. We have a number of international partners already demonstrating the power of the Trivelta platform—combining real social interactions, predictive gameplay, and casino entertainment in one unified experience.
 Headquartered in Boston with operations in Monterrey, Barcelona, and Atlanta, we’re scaling rapidly and building a team passionate about redefining how people play, game, and connect online.
 As a
 **Data Engineer II** 
 , you will be instrumental in designing, developing, and maintaining the core data infrastructure of our platform. You will take ownership of high\-performance data pipelines, drive technical excellence in our data lake and warehouse architecture, and collaborate with cross\-functional teams to deliver scalable, secure, and reliable data solutions that support our growth and compliance needs.
**Responsibilities:** 
* Design \&amp; Develop Data Systems — Build scalable, resilient data pipelines and downstream architectures supporting analytics, mobile, and third\-party B2B integrations.
* Optimize Performance, Security \&amp; Compliance — Enhance system performance, implement security best practices, and ensure adherence to AML, KYC, data privacy, and gaming regulations.
* Data Infrastructure \&amp; Analytics — Develop and maintain data pipelines for analytics, fraud detection, and regulatory reporting downstream of production data sources.
* Building data ingestions into a data lake
* Technical Ownership \&amp; Collaboration — Collaborate with stakeholders, analysts, product managers, software engineers, and DevOps teams to translate requirements into effective technical solutions.
* Operational Excellence — Participate in incident response, monitoring, and root cause analysis to ensure system stability and security.
* Mentorship \&amp; Innovation — Share knowledge with team members, promote best practices, and explore emerging technologies relevant to gaming analytics.
**Qualifications:** 
* 2\-4 years data engineering experience
* Proven experience in designing, building, and scaling high\-performance data systems.
* Strong expertise in Python for backend development, automation, and data processing.
* Experience with Athena and SQL
* Experience with Snowflake, Redshift and BigQuery
* Experience with Apache Airflow/Data Orchestration Tools
* Experience with AWS Kinesis
* Proficiency in CI/CD processes and infrastructure automation within cloud environments.
* Experience in data pipeline architecture, analytics, and data warehouse/lake management.
* Ability to work independently on complex refactors and contribute to architectural decisions.
* Familiarity with cloud tooling (e.g., AWS), compliance (AML, KYC, data privacy), and system performance tuning.
* Excellent collaboration skills across cross\-functional teams.
 This is a
 **Hybrid** 
 position with
 **Monday through Thursday** 
 in our
 **Boston office** 
 near South Station and the option of working remotely on Fridays.</t>
        </is>
      </c>
    </row>
    <row r="23">
      <c r="A23" t="inlineStr">
        <is>
          <t>li-4374061422</t>
        </is>
      </c>
      <c r="B23" t="inlineStr">
        <is>
          <t>Data Engineer</t>
        </is>
      </c>
      <c r="C23" t="inlineStr">
        <is>
          <t>Insight Global</t>
        </is>
      </c>
      <c r="D23" t="inlineStr">
        <is>
          <t>linkedin</t>
        </is>
      </c>
      <c r="E23" t="inlineStr"/>
      <c r="F23" t="inlineStr"/>
      <c r="G23" t="inlineStr">
        <is>
          <t>Austin, Texas Metropolitan Area</t>
        </is>
      </c>
      <c r="H23" t="inlineStr"/>
      <c r="I23" t="inlineStr">
        <is>
          <t>Insight Global is seeking a team of
 **experienced and highly motivated Data Engineers** 
 to join an established
 **health technology company** 
 based in
 **Austin, TX** 
 .
 In this role, you will play a critical part in building and scaling advanced AI/ML capabilities, enabling the development and deployment of large‑scale models that drive meaningful impact in healthcare.
 Required Skills \&amp; Experience
* Bachelor’s degree in
 **Computer Science, Statistics, Mathematics** 
 , or a related field;
 **advanced degrees preferred**
* **5\+ years of experience** 
 designing, building, and maintaining
 **AI/ML platforms** 
 using technologies such as
 **Kubernetes, MLflow, Kubeflow, Ray, and Spark**
* Strong understanding of
 **machine learning frameworks, libraries, data structures, data modeling, and software architecture**
* Solid grasp of
 **machine learning algorithms, workflows, tools, and platforms**
* Hands‑on experience with
 **cloud platforms** 
 including
 **AWS, GCP, or Azure** 
 ; cloud‑agnostic deployment experience is highly encouraged
* Excellent
 **problem‑solving skills** 
 and the ability to collaborate effectively in a team‑based environment
 Nice‑to‑Have Skills \&amp; Experience
* Experience working in
 **startup or fast‑paced agile environments**
* Strong
 **communication skills** 
 , with the ability to explain complex technical concepts to non‑technical stakeholders
* Familiarity with
 **data streaming technologies** 
 such as
 **Apache Kafka**
* Experience with
 **data visualization tools** 
 like
 **Tableau** 
 or
 **Power BI**
* Relevant
 **certifications** 
 in data engineering, cloud platforms, or AI/ML technologies
 Key Responsibilities
* Design, develop, and maintain a
 **scalable AI/ML platform** 
 to support the creation of
 **LLMs, BERT, and other advanced models**
* Build and optimize
 **machine learning training and inference pipelines** 
 using
 **MLflow, Kubeflow, Ray, and Spark**
* Ensure the
 **performance, reliability, and quality** 
 of deployed models
* Collaborate closely with
 **cross‑functional teams** 
 to define requirements, design solutions, and deliver new features
* Continuously evaluate and implement
 **new tools and technologies** 
 to improve development efficiency and platform capabilities</t>
        </is>
      </c>
    </row>
    <row r="24">
      <c r="A24" t="inlineStr">
        <is>
          <t>li-4374023592</t>
        </is>
      </c>
      <c r="B24" t="inlineStr">
        <is>
          <t>Senior Data Engineer</t>
        </is>
      </c>
      <c r="C24" t="inlineStr">
        <is>
          <t>Forbes Technical Consulting</t>
        </is>
      </c>
      <c r="D24" t="inlineStr">
        <is>
          <t>linkedin</t>
        </is>
      </c>
      <c r="E24" t="inlineStr"/>
      <c r="F24" t="inlineStr"/>
      <c r="G24" t="inlineStr">
        <is>
          <t>Park Ridge, IL</t>
        </is>
      </c>
      <c r="H24" t="inlineStr"/>
      <c r="I24" t="inlineStr">
        <is>
          <t>**Senior Data Engineer** 
**Park Ridge, IL (hybrid)** 
**Full time, direct hire** 
**Contact Mary at
 mnugent@forbestc.com**
 This senior\-level role will lead the design, development, testing, and implementation of best\-in\-class data processing solutions across the full data lifecycle. You’ll be responsible for building and optimizing complex data systems, including data modeling, transformation, integration, governance, performance, and security. The ideal candidate brings both deep technical expertise and strong business acumen, along with the ability to mentor junior team members and contribute strategically across initiatives.
**Responsibilities:** 
 • Design, develop, and continuously improve scalable data platforms and pipelines
 • Build and manage data transformation processes, metadata frameworks, workload orchestration, and dependency management
 • Design high\-performance systems that support interactive querying across large, multi\-modal datasets
 • Develop and support ETL/ELT pipelines (daily/monthly) to ensure data availability and business continuity
 • Implement and validate data governance standards including lineage, quality controls, and classification
 • Support and enhance existing Data Warehouse (DW), Master Data Management (MDM), and middleware solutions
 • Plan and execute unit testing to ensure high\-quality, defect\-free code
**Required Skills:** 
 • Bachelor’s degree with 7\+ years of experience or Master’s degree with 5\+ years in Computer Science, Engineering, Mathematics, or related quantitative field
 • 5\+ years of hands\-on Data Engineering experience (data persistence, processing, integration, MDM solutions)
 • Strong experience designing and building end\-to\-end data pipelines across ODS, staging, data warehouses, data marts, MDM, and middleware integrations
 • Deep understanding of DW concepts (3NF and dimensional modeling), MDM frameworks, API management, and ESB\-based integration architectures
 • Experience building CI/CD pipelines for data workflows (Azure DevOps experience is a plus)</t>
        </is>
      </c>
    </row>
    <row r="25">
      <c r="A25" t="inlineStr">
        <is>
          <t>li-4375402332</t>
        </is>
      </c>
      <c r="B25" t="inlineStr">
        <is>
          <t>Associate Azure Data Engineer</t>
        </is>
      </c>
      <c r="C25" t="inlineStr">
        <is>
          <t>Jet Aviation</t>
        </is>
      </c>
      <c r="D25" t="inlineStr">
        <is>
          <t>linkedin</t>
        </is>
      </c>
      <c r="E25" t="inlineStr"/>
      <c r="F25" t="inlineStr"/>
      <c r="G25" t="inlineStr">
        <is>
          <t>West Palm Beach, FL</t>
        </is>
      </c>
      <c r="H25" t="inlineStr"/>
      <c r="I25" t="inlineStr">
        <is>
          <t>Location:
 West Palm Beach, FL, US, 33409
 Flexible Work Arrangement: Hybrid
 Job Category: IT
 Career Level: Professional
 Requisition Id: 5202
 Since 1967, Jet Aviation has been crafting flight in its smoothest form. From one hangar in Basel, Switzerland, to over 4,500 employees, and some 50 locations worldwide. Aircraft Management, Aircraft Sales, Charter, Completions, Government Services, FBO, Fixed and Rotary Wing Maintenance, and Staffing. Behind every seamless Jet Aviation experience, is a team of dedicated professionals perfecting the art of flight. The artisans of aviation. The craft that brings our customers’ journey to life. In the hangar, on the ground, and behind the scenes. Enabling global flight, with passion.
 Position Summary
 The Junior Azure Data Engineer is responsible for designing, implementing, and maintaining Azure\-based database solutions, ensuring optimal performance, security, and scalability.
 This role is ideal for someone starting their career in data, with a strong interest in building data pipelines, working with SQL and Python, and supporting data analysis initiatives. The candidate should be enthusiastic about learning Azure data services and developing their technical skills. Strong communication and teamwork skills are essential.
**Minimum Requirements**
* Bachelor’s degree in Computer Science, Information Systems, Engineering, or related field.
* 3\-4 years of experience working with Azure data services (e.g., Azure SQL, Synapse, Data Factory).
* Basic understanding of Microsoft Fabric and its role in modern data architecture.
* Proficiency in SQL and Python for data manipulation and automation.
* Familiarity with data modeling concepts and ETL processes.
* Exposure to version control systems (e.g., Git) and CI/CD practices.
* Strong problem\-solving skills and attention to detail.
* Good communication skills and ability to work in a collaborative environment.
* Relevant certifications in Azure are a plus. MS DP\-700 is a strong plus.
* Strong customer focus.
* Flexible schedule to be able to collaborate within a Global team and stakeholders.
 Main Responsibilities
* Assist in the design, implementation, and maintenance of Azure SQL Databases, Synapse Analytics, and other Azure data services.
* Support data ingestion, transformation, and integration pipelines using tools such as Azure Data Factory, Azure Data Lake, and Microsoft Fabric.
* Write and optimize SQL queries for data extraction and reporting.
* Develop scripts and automation tools using Python to streamline data operations.
* Monitor and troubleshoot database performance and data pipeline issues.
* Contribute to documentation and knowledge sharing across the team. Stay updated on industry trends and best practices in Azure Synapse to continuously enhance the organization's data capabilities.
* Collaborate with the Data Analytics, Governance and Automation teams to support all data and reporting related efforts.
* Work closely with all lines of business (LOB) and Functional Groups (FG) to gather requirements and provide robust, scalable and reliable solutions.
* Provide application and systems Support. Evaluate and resolve database contention and performance issues.
* Participate and support database activities that encompass designing, sourcing, and overseeing development projects.
* Represent Jet Aviation as one company internally and externally with industry groups, regulatory bodies, and the General Dynamics network.
* 1 year cloud enterprise experience.
 Desired Characteristics
* Understanding of data governance and security best practices.
* Certification in Azure Data Engineer Associate DP – 203 / DP –700 is a strong plus.
* Basic understanding of data visualization tools (Power BI, Tableau) is a plus.
* Strong personal values corresponding with Jet Aviation values (Trust, Honesty, Alignment, Transparency)
**Compensation**
 The baseline range for this position will be as follows: $90,000 \- $100,000 annually. The final offer within this range will be determined based on the candidate’s relevant experience, qualifications, and overall fit for the position. In addition to base salary, Jet Aviation offers a comprehensive benefits package and opportunities for professional development.
 Additional Details
 At Jet Aviation we believe in selecting the best candidates through a comprehensive and thoughtful process. If you are selected to move forward, you can expect a multistage interview process, including connections with team members and leaders. As a part of our commitment to safety and security, our selected candidate must successfully pass pre\-employment requirements before finalizing employment.
 At Jet Aviation eligible employees can enjoy a comprehensive package that fuels your passions both inside and outside of work. Your health and well\-being matter to us. That’s why we offer a competitive benefit package that includes health, dental \&amp; vision insurance, matching 401(k), health savings and flexible spending accounts, short\-term and long\-term disability, life insurance, employee assistance programs, health and wellness awards, generous paid time off, tuition reimbursement, employee discounts and more.
 Equal Opportunity Employer / Individuals with Disabilities / Protected Veterans
**Nearest Major Market:** 
 Palm Beach
**Nearest Secondary Market:** 
 Miami</t>
        </is>
      </c>
    </row>
    <row r="26">
      <c r="A26" t="inlineStr">
        <is>
          <t>li-4374049674</t>
        </is>
      </c>
      <c r="B26" t="inlineStr">
        <is>
          <t>Data Engineer</t>
        </is>
      </c>
      <c r="C26" t="inlineStr">
        <is>
          <t>Insight Global</t>
        </is>
      </c>
      <c r="D26" t="inlineStr">
        <is>
          <t>linkedin</t>
        </is>
      </c>
      <c r="E26" t="inlineStr"/>
      <c r="F26" t="inlineStr"/>
      <c r="G26" t="inlineStr">
        <is>
          <t>Austin, TX</t>
        </is>
      </c>
      <c r="H26" t="inlineStr"/>
      <c r="I26" t="inlineStr">
        <is>
          <t>**JOB DESCRIPTION** 
 Insight Global is seeking a team of experienced, driven Data Engineers to join an established health technology company sitting in Austin, TX.
 · Design, develop, and maintain an AI/ML platform to enable the AI to build LLM, Bert, and other models.
 · Build robust ML training and inference pipelines using ML Flow, Kubeflow, Ray, and Spark.
 · Ensure the performance, quality, and responsiveness of the models.
 · Collaborate with cross\-functional teams to define, design, and ship new features.
 · Continuously discover, evaluate, and implement new technologies to maximize development efficiency.
**REQUIRED SKILLS AND EXPERIENCE** 
 · Bachelor's degree in computer science, Statistics, Mathematics, or a related field. Advanced degrees are preferred.
 · Minimum of 5 years of experience in building and maintaining AI/ML platforms using Kubernetes, ML Flow, Kubeflow, Ray, and Spark.
 · Strong knowledge of machine learning frameworks, libraries, data structures, data modeling, and software architecture.
 · Good understanding of machine learning algorithms, processes, tools, and platforms.
 · Experience with cloud services (GCP, AWS, Azure). Cloud\-agnostic deployment experience is highly encouraged.
 · Excellent problem\-solving skills and ability to work in a team environment
**NICE TO HAVE SKILLS AND EXPERIENCE** 
 · Experience with startup environments and agile development methodologies.
 · Strong communication skills with the ability to explain technical concepts to non\-technical audiences.
 · Knowledge of data streaming technologies (e.g., Apache Kafka).
 · Experience with data visualization tools (e.g., Tableau, Power BI).
 · Certification in relevant data engineering technologies.</t>
        </is>
      </c>
    </row>
    <row r="27">
      <c r="A27" t="inlineStr">
        <is>
          <t>li-4373128665</t>
        </is>
      </c>
      <c r="B27" t="inlineStr">
        <is>
          <t>Databricks Engineer - Data Engineer III</t>
        </is>
      </c>
      <c r="C27" t="inlineStr">
        <is>
          <t>Cencora</t>
        </is>
      </c>
      <c r="D27" t="inlineStr">
        <is>
          <t>linkedin</t>
        </is>
      </c>
      <c r="E27" t="inlineStr"/>
      <c r="F27" t="inlineStr"/>
      <c r="G27" t="inlineStr">
        <is>
          <t>California, United States</t>
        </is>
      </c>
      <c r="H27" t="inlineStr"/>
      <c r="I27"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We are seeking a Senior Data and AI engineer with expertise in cloud data engineering. You will work with large datasets, leverage AI technologies, and utilize Databricks for data processing and analytics to support business objectives.
 Key Responsibilities
 You will play a key role in transforming enterprise business data into insights. You will collaborate with other data and AI engineers and business stakeholders to create scalable data and AI solutions that align with business needs.
* Collaborate with business stakeholders to understand their data needs and provide tailored solutions that meet their business objectives
* Analyzing business requirements and translating them into technical specifications
* Design, develop and implement data engineering solutions using Azure Databricks Lakehouse platform.
* Build Data and AI solutions that leverage Databricks Genie, AgentBricks, Mosaic AI, MLFlow, Unity Catalog and other Databricks components
* Conduct detailed data analysis to identify existing data tables and if required designing new tables, views and other objects using Databricks platform.
* Apply AI and machine learning techniques to structured and unstructured data processing and analysis.
* Ensure data quality, integrity, and security throughout the data lifecycle.
* Collaborate with data scientists and analysts to meet data requirements.
* Communicate effectively with stakeholders, including technical and non\-technical audiences, to convey complex data concepts
* Stay updated with the latest trends and technologies in data engineering, AI, LLMs and Agentic AI
**Required Skills \&amp; Qualifications**
* Bachelor’s degree in computer science, engineering, or related field
* 5\-7 years proven experience as a Data Engineer with cloud\-based data platforms like Databricks, Snowflake, BigQuery
* Expertise with Databricks SQL, Compute Warehouses, AI/BI Genie, AgentBricks, Unity Catalog and Vector indexes
* Experience with data modeling, Medallion architecture, ETL processes and data warehousing concepts.
* Strong programming skills in languages such as Python, SQL or Scala
* Experience with DevOps and DataOps process to deploy data objects and pipelines across environments using scripts and agile process
* Experience with AI/ML concepts and their application in data engineering.
* Excellent problem\-solving skills and ability to work independently and as part of a team
 Familiarity with cloud platforms (e.g., AWS, Azure, GCP).
**Experience And Educational Requirements**
* Bachelor’s degree in Programming/Systems or Computer Science or other related field. Or equivalent work experience.
**Minimum Skills, Knowledge And Ability Requirements**
* 5\-10 years of experience in technologies relevant to data/information management, such as SQL, Azure Databricks inculding Databricks Genie, AgentBricks, Mosaic AI, MLFlow, Unity Catalog and other Databricks components
* Has a broad level of understanding surrounding AI use cases supporting business needs.
* Experience in leading small project teams and streams.
* Demonstrated ability to analyze and interpret complex problems or processes that span multiple business areas, identify and understand requirements, and develop alternate solutions.
* Experience designing, developing and testing applications using proven or emerging technologies in a variety of technologies and environments.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28">
      <c r="A28" t="inlineStr">
        <is>
          <t>li-4374038831</t>
        </is>
      </c>
      <c r="B28" t="inlineStr">
        <is>
          <t>Data Engineer</t>
        </is>
      </c>
      <c r="C28" t="inlineStr">
        <is>
          <t>Smart IT Frame LLC</t>
        </is>
      </c>
      <c r="D28" t="inlineStr">
        <is>
          <t>linkedin</t>
        </is>
      </c>
      <c r="E28" t="inlineStr"/>
      <c r="F28" t="inlineStr"/>
      <c r="G28" t="inlineStr">
        <is>
          <t>Las Vegas, NV</t>
        </is>
      </c>
      <c r="H28" t="inlineStr"/>
      <c r="I28" t="inlineStr">
        <is>
          <t>**Job Description:**
**Mandatory** 
* Minimum 7\-10 years of Industry experience as a Data engineering
* Good Communication \- build relationships with Business \+ Product \+ Technology teams, work with multiple stakeholders
* Positive Attitude
* Hands on knowledge in Python who can write python scripts from scratch
* Strong SQL Knowledge
* Banking Domain knowledge preferably in Fraud, Risk and Payment Systems
* Prior experience of leading a team of minimum 2\-3 Data Engineers
* flexible to work outside of prescribed working hours \- UAT/Production support experience
* This position is based in Client Office in Vegas, and it is completely WFO (5 days a week)
* Strong Debugging and error handling skills
* Quick learner and have skill to understand existing code base to apply new business logic
**Nice to Have** 
* Someone who knows both Python and SAS will have an advantage
* Worked in live UAT/Prod support environments</t>
        </is>
      </c>
    </row>
    <row r="29">
      <c r="A29" t="inlineStr">
        <is>
          <t>li-4373138213</t>
        </is>
      </c>
      <c r="B29" t="inlineStr">
        <is>
          <t>Databricks Engineer - Data Engineer III</t>
        </is>
      </c>
      <c r="C29" t="inlineStr">
        <is>
          <t>Cencora</t>
        </is>
      </c>
      <c r="D29" t="inlineStr">
        <is>
          <t>linkedin</t>
        </is>
      </c>
      <c r="E29" t="inlineStr"/>
      <c r="F29" t="inlineStr"/>
      <c r="G29" t="inlineStr">
        <is>
          <t>Texas, United States</t>
        </is>
      </c>
      <c r="H29" t="inlineStr"/>
      <c r="I29"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We are seeking a Senior Data and AI engineer with expertise in cloud data engineering. You will work with large datasets, leverage AI technologies, and utilize Databricks for data processing and analytics to support business objectives.
 Key Responsibilities
 You will play a key role in transforming enterprise business data into insights. You will collaborate with other data and AI engineers and business stakeholders to create scalable data and AI solutions that align with business needs.
* Collaborate with business stakeholders to understand their data needs and provide tailored solutions that meet their business objectives
* Analyzing business requirements and translating them into technical specifications
* Design, develop and implement data engineering solutions using Azure Databricks Lakehouse platform.
* Build Data and AI solutions that leverage Databricks Genie, AgentBricks, Mosaic AI, MLFlow, Unity Catalog and other Databricks components
* Conduct detailed data analysis to identify existing data tables and if required designing new tables, views and other objects using Databricks platform.
* Apply AI and machine learning techniques to structured and unstructured data processing and analysis.
* Ensure data quality, integrity, and security throughout the data lifecycle.
* Collaborate with data scientists and analysts to meet data requirements.
* Communicate effectively with stakeholders, including technical and non\-technical audiences, to convey complex data concepts
* Stay updated with the latest trends and technologies in data engineering, AI, LLMs and Agentic AI
**Required Skills \&amp; Qualifications**
* Bachelor’s degree in computer science, engineering, or related field
* 5\-7 years proven experience as a Data Engineer with cloud\-based data platforms like Databricks, Snowflake, BigQuery
* Expertise with Databricks SQL, Compute Warehouses, AI/BI Genie, AgentBricks, Unity Catalog and Vector indexes
* Experience with data modeling, Medallion architecture, ETL processes and data warehousing concepts.
* Strong programming skills in languages such as Python, SQL or Scala
* Experience with DevOps and DataOps process to deploy data objects and pipelines across environments using scripts and agile process
* Experience with AI/ML concepts and their application in data engineering.
* Excellent problem\-solving skills and ability to work independently and as part of a team
 Familiarity with cloud platforms (e.g., AWS, Azure, GCP).
**Experience And Educational Requirements**
* Bachelor’s degree in Programming/Systems or Computer Science or other related field. Or equivalent work experience.
**Minimum Skills, Knowledge And Ability Requirements**
* 5\-10 years of experience in technologies relevant to data/information management, such as SQL, Azure Databricks inculding Databricks Genie, AgentBricks, Mosaic AI, MLFlow, Unity Catalog and other Databricks components
* Has a broad level of understanding surrounding AI use cases supporting business needs.
* Experience in leading small project teams and streams.
* Demonstrated ability to analyze and interpret complex problems or processes that span multiple business areas, identify and understand requirements, and develop alternate solutions.
* Experience designing, developing and testing applications using proven or emerging technologies in a variety of technologies and environments.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30">
      <c r="A30" t="inlineStr">
        <is>
          <t>li-4373113559</t>
        </is>
      </c>
      <c r="B30" t="inlineStr">
        <is>
          <t>Data Platform Engineer</t>
        </is>
      </c>
      <c r="C30" t="inlineStr">
        <is>
          <t>Akkodis</t>
        </is>
      </c>
      <c r="D30" t="inlineStr">
        <is>
          <t>linkedin</t>
        </is>
      </c>
      <c r="E30" t="inlineStr"/>
      <c r="F30" t="inlineStr"/>
      <c r="G30" t="inlineStr">
        <is>
          <t>Omaha, NE</t>
        </is>
      </c>
      <c r="H30" t="inlineStr"/>
      <c r="I30" t="inlineStr">
        <is>
          <t>**Data Platform Engineer job with Akkodis!!** 
 Akkodis is seeking a
 **Platform Engineer** 
 to support and enhance their modern data ecosystem centered around
 **Databricks** 
 and
 **Palantir Foundry** 
 . In this role, you will design, automate, and operate scalable and reliable data platforms in their Azure environment. You will apply DevOps and SRE principles to strengthen automation, CI/CD, Infrastructure‑as‑Code, observability, and Disaster Recovery—ensuring high‑quality data engineering and data product delivery.
**Pay/Salary Range:** 
 $50\.00/hr to $75\.00/HR The salary may be negotiable based on experience, education, geographic location, and other factors.
 Responsibilities:
* 5\+ years in platform engineering, data platform operations, SRE, DevOps, or similar roles.
* 3\+ years of production support experience with
 **Databricks** 
 and/or
 **Palantir Foundry** 
 .
* Strong troubleshooting skills across distributed systems, data pipelines, and integrations.
* Proficiency with scripting languages (Python, Bash, etc.).
* Solid understanding of cloud (Azure/GCP), networking fundamentals, and identity/access management.
* Demonstrated experience with CI/CD pipelines, IaC, and automation for data platforms.
* Experience with monitoring, alerting, incident management, and root‑cause analysis.
* Strong communication skills and ability to work closely with engineering and business teams.
 If you are interested in this position, then please click APPLY NOW. For other opportunities available at Akkodis go to www.akkodis.com.
*Equal Opportunity Employer/Veterans/Disabled* 
 Benefit offerings available for our associates include medical, dental, vision, life insurance, short\-term disability, additional voluntary benefits, an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*Disclaimer: These benefit offerings do not apply to client\-recruited jobs and jobs that are direct hires to a client.*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31">
      <c r="A31" t="inlineStr">
        <is>
          <t>li-4375152172</t>
        </is>
      </c>
      <c r="B31" t="inlineStr">
        <is>
          <t>Data Engineer/Reporting Analyst</t>
        </is>
      </c>
      <c r="C31" t="inlineStr">
        <is>
          <t>Wiraa</t>
        </is>
      </c>
      <c r="D31" t="inlineStr">
        <is>
          <t>linkedin</t>
        </is>
      </c>
      <c r="E31" t="inlineStr"/>
      <c r="F31" t="inlineStr"/>
      <c r="G31" t="inlineStr"/>
      <c r="H31" t="inlineStr"/>
      <c r="I31" t="inlineStr">
        <is>
          <t>**About The Company**
 Accenture Federal Services is a leading provider of innovative technology solutions dedicated to supporting the US federal government. With a team of over 13,000 professionals, the company focuses on enhancing national security, defense, public safety, civilian agencies, and military health organizations. Recognized as a Glassdoor Top 100 Best Place to Work, Accenture Federal Services fosters a collaborative, inclusive, and growth\-oriented environment. The organization is committed to leveraging the power of technology and ingenuity to make the nation stronger and safer, while improving the lives of its citizens. As part of the global Accenture family, the company offers extensive opportunities for professional development, certifications, industry training, and hands\-on experience, empowering employees to thrive and innovate in their roles.
**About The Role**
 The Data Engineer role at Accenture Federal Services is a vital position within the Data Engineering and Analytics team. The successful candidate will work under the guidance of senior data engineers to develop, deploy, and maintain complex data solutions tailored to meet the expanding needs of government clients. This role requires a motivated individual with strong technical expertise, logical thinking, and excellent interpersonal skills. The candidate will be responsible for creating and optimizing back\-end solutions within a Microsoft SQL Server environment, integrating data between SQL Server and Microsoft Dynamics 365, and utilizing cloud\-based tools such as Azure Data Factory and SSIS. The position offers a fully remote work environment within the contiguous United States, providing flexibility and the opportunity to contribute to impactful government missions through innovative data solutions.
**Qualifications**
* Bachelor's Degree in Computer Science, Information Technology, or a related field, or relevant experience in lieu of degree
* Minimum of 5 years of relevant experience in data engineering or related roles
* Experience analyzing data and presenting insights to stakeholders
* Proficiency in programming, SQL, and BI platforms
* Must be a US Person with the ability to obtain and maintain a Public Trust clearance (preferred)
* Experience with Azure cloud services, including Azure Data Factory
* Strong knowledge of ETL/ELT processes
* Advanced SQL skills, including functions, triggers, and stored procedures
* Experience with Microsoft SQL Server programming, SSIS, APIs, and stored procedures
* Familiarity with version control tools such as GitHub and Azure DevOps
* Knowledge of relational and dimensional data modeling
* Excellent verbal and written communication skills
* Ability to work independently and collaboratively in a fast\-paced environment
**Responsibilities**
* Develop back\-end code within a Microsoft SQL Server environment to support data integration and processing
* Create solutions to transfer data between SQL Server and Microsoft Dynamics 365 systems
* Design and implement data workflows using Azure Data Factory, SSIS, and APIs
* Gather requirements, conduct research, and analyze data to generate actionable insights and solutions
* Document existing processes and develop comprehensive documentation for new solutions and knowledge sharing
* Ensure data accuracy, performance, usability, and functionality of the ETL platform
* Participate in the full software development lifecycle, including design, development, testing, and deployment
* Conduct code reviews, manage source control, and implement best practices for software quality
* Prioritize tasks to meet critical deadlines while maintaining attention to detail and accountability
* Collaborate with cross\-functional teams including developers, operational staff, project managers, test engineers, and cloud engineers
* Adapt work schedules as needed to support project deliverables, including occasional night or weekend work for critical deployments
**Benefits**
* Competitive salary range of $93,400 to $176,200 USD, depending on experience and location
* Remote work flexibility within the contiguous United States
* Comprehensive health, dental, and vision insurance plans
* Paid time off and holidays
* Professional development opportunities, including certifications and industry training
* Retirement savings plans and other financial benefits
* Inclusive and diverse work environment that promotes growth and innovation
 Equal Opportunity
 Accenture Federal Services is an equal employment opportunity employer. We are committed to creating a workplace free from discrimination and harassment, where all individuals are treated with respect and dignity. We do not discriminate based on age, race, creed, color, religion, sex, national origin, ancestry, disability status, veteran status, sexual orientation, gender identity or expression, genetic information, marital status, citizenship status, or any other protected characteristic under applicable law. We believe that diversity and inclusion foster innovation, enhance our ability to serve clients, and strengthen our community. We welcome applicants from all backgrounds and are dedicated to providing equal employment opportunities to all qualified individuals.</t>
        </is>
      </c>
    </row>
    <row r="32">
      <c r="A32" t="inlineStr">
        <is>
          <t>li-4375415341</t>
        </is>
      </c>
      <c r="B32" t="inlineStr">
        <is>
          <t>Senior Data Engineer</t>
        </is>
      </c>
      <c r="C32" t="inlineStr">
        <is>
          <t>Themesoft Inc.</t>
        </is>
      </c>
      <c r="D32" t="inlineStr">
        <is>
          <t>linkedin</t>
        </is>
      </c>
      <c r="E32">
        <f>HYPERLINK("https://www.linkedin.com/jobs/view/4375415341", "https://www.linkedin.com/jobs/view/4375415341")</f>
        <v/>
      </c>
      <c r="F32" t="inlineStr"/>
      <c r="G32" t="inlineStr">
        <is>
          <t>California, United States</t>
        </is>
      </c>
      <c r="H32" t="inlineStr"/>
      <c r="I32" t="inlineStr">
        <is>
          <t>Our client is looking for a Senior Data Engineer. The client is a well\-funded Series B healthcare company based in Los Angeles, CA. This is a full time role with competitive salary, equity, benefits and unlimited PTO.
**What you will do:** 
 ●Design, build, and own data pipelines using DBT, Airflow, and Snowflake
 ●Lead architectural design sessions for the modern data stack, focusing on solutions that seamlessly integrate with our technology stack, which encompasses Snowflake, Airflow, DBT, and AWS data services
 ●Work with our data science and product management teams to design, rapidly prototype, and productize new data product ideas and capabilities
 ●Collaborate cross\-functionally with product, data science, and engineering leadership
 ●Participate in code reviews to ensure code quality and distribute knowledge
 ●Mentor teammates and contribute to a culture of continuous learning
**What you bring:** 
 ●Minimum 5 years of professional software engineering experience; bachelor’s degree in computer science or a related field (or equivalent practical experience)
 ●4\+ years of experience in a data engineering role with deep exposure to modern data stacks including Snowflake, Airflow, DBT, and AWS data services.
 ●Expertise in applying Python and SQL to execute complex data operations, customize ETL/ELT processes, and perform advanced data transformations across the platform
 ●Expertise in establishing data quality assurance frameworks
 ●Experience partnering with analytics and business stakeholders to translate requirements into scalable data solutions
 ●Hands\-on experience with AWS infrastructure and data services
 ●Strong experience with version control systems (GitHub, GitLab)
 ●Hands\-on experience integrating external and internal systems via REST APIs, including ingesting and transforming JSON\-based payloads at scale
 ●Demonstrated ability to effectively leverage AI coding agents (such as Cursor or Copilot) while maintaining high standards for code quality, security, and correctness
 ●Nice to have experience: Kafka, Sigma
 ●Top notch communication skills
 ●A mission\-oriented mindset and a strong desire to continuously learn and improve</t>
        </is>
      </c>
    </row>
    <row r="33">
      <c r="A33" t="inlineStr">
        <is>
          <t>li-4375449430</t>
        </is>
      </c>
      <c r="B33" t="inlineStr">
        <is>
          <t>Sr Data Engineer</t>
        </is>
      </c>
      <c r="C33" t="inlineStr">
        <is>
          <t>Lennar</t>
        </is>
      </c>
      <c r="D33" t="inlineStr">
        <is>
          <t>linkedin</t>
        </is>
      </c>
      <c r="E33">
        <f>HYPERLINK("https://www.linkedin.com/jobs/view/4375449430", "https://www.linkedin.com/jobs/view/4375449430")</f>
        <v/>
      </c>
      <c r="F33">
        <f>HYPERLINK("https://careers.lennar.com/en-US/job/sr-data-engineer/J3Q0N367828LFP99VTL?source=LinkedIn&amp;urlHash=-hgi", "https://careers.lennar.com/en-US/job/sr-data-engineer/J3Q0N367828LFP99VTL?source=LinkedIn&amp;urlHash=-hgi")</f>
        <v/>
      </c>
      <c r="G33" t="inlineStr">
        <is>
          <t>Irving, TX</t>
        </is>
      </c>
      <c r="H33" t="inlineStr"/>
      <c r="I33" t="inlineStr">
        <is>
          <t>**Job Description**
****Sr. Data Engineer****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Sr. Data Engineer is an experienced professional responsible for leading the development of complex data architectures. The role involves mentoring junior engineers, designing large\-scale data solutions, and ensuring the reliability of data infrastructure. This position requires expertise in data engineering practices and a proactive approach to problem\-solving.
* A career with purpose.
* A career built on making dreams come true.
* A career built on building zero defect homes, cost management, and adherence to schedules.
**Your Responsibilities On The Team**
* Lead the design and implementation of scalable, high\-performance data architectures that support diverse data sources, including structured, semi\-structured, and unstructured data.
* Architect and build data pipelines that can process and analyze large\-scale datasets in real\-time and batch modes.
* Mentor and guide junior data engineers in best practices, code quality, and technical skills, fostering a culture of continuous learning.
* Ensure the reliability, efficiency, and security of data pipelines by implementing monitoring, alerting, and automated recovery mechanisms.
* Collaborate with cross\-functional teams, including data scientists, analysts, and product managers, to align data solutions with business needs and goals.
* Lead the adoption of new technologies and tools that enhance the data engineering capabilities of the team.
* Oversee the development of data models, schemas, and data marts that enable efficient data analysis and reporting.
* Implement data governance frameworks, including data lineage, metadata management, and data quality standards.
**Knowledge**
* Advanced SQL skills, including query optimization, indexing strategies, and data modeling techniques (e.g., star and snowflake schemas).
* Expertise in programming languages such as Python, Java, or Scala, with experience in developing complex data processing algorithms.
* In\-depth knowledge of cloud data services and big data technologies, such as Snowflake, AWS EMR, Azure HDInsight, or Google Dataflow.
* Experience with data streaming technologies, such as Apache Kafka, Apache Flink, or Amazon Kinesis, for real\-time data processing.
* Strong understanding of data lake architectures, data warehousing, and data integration techniques.
* Proficiency in data pipeline orchestration tools, such as Apache Airflow, Prefect, or Dagster, for managing complex workflows.
* Knowledge of data security frameworks and compliance standards (e.g., GDPR, HIPAA) and their application in data engineering.
* Experience with DevOps practices, including CI/CD pipelines, infrastructure as code (e.g., Terraform, CloudFormation), and containerization (e.g., Docker, Kubernetes).
**Requirements**
* Bachelor's or Master's degree in Computer Science, Information Technology, or a related field.
* 5\-7 years of experience in data engineering or a related role, with a proven track record of delivering scalable data solutions.
* AWS, Snowflake, Azure
* AWS Glue, AWS Appflow, Prefect, dbt, S3, Qlik
* SQL, Python, Java
* Excellent ability to convey complex ideas to both technical and non\-technical audiences.
* Demonstrates advanced problem\-solving skills, tackling complex issues with innovative solutions.
* Models ethical behavior and decision\-making, fostering a culture of trust within the team.
* Thrives in high\-pressure situations, maintaining effectiveness and composure.
* Champions change initiatives and drives continuous improvement within the organization.
* Leads cross\-functional teams, ensuring alignment and cooperation across departments.
* Provides strategic leadership, influencing team direction and mentoring future leaders.
* Ensures accountability at all levels, holding team members responsible for their contributions.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34">
      <c r="A34" t="inlineStr">
        <is>
          <t>li-4375402332</t>
        </is>
      </c>
      <c r="B34" t="inlineStr">
        <is>
          <t>Associate Azure Data Engineer</t>
        </is>
      </c>
      <c r="C34" t="inlineStr">
        <is>
          <t>Jet Aviation</t>
        </is>
      </c>
      <c r="D34" t="inlineStr">
        <is>
          <t>linkedin</t>
        </is>
      </c>
      <c r="E34">
        <f>HYPERLINK("https://www.linkedin.com/jobs/view/4375402332", "https://www.linkedin.com/jobs/view/4375402332")</f>
        <v/>
      </c>
      <c r="F34">
        <f>HYPERLINK("https://jobs.jetaviation.com/job/West-Palm-Beach-Associate-Azure-Data-Engineer-FL-33409/1349081857/&amp;urlHash=CoXB", "https://jobs.jetaviation.com/job/West-Palm-Beach-Associate-Azure-Data-Engineer-FL-33409/1349081857/&amp;urlHash=CoXB")</f>
        <v/>
      </c>
      <c r="G34" t="inlineStr">
        <is>
          <t>West Palm Beach, FL</t>
        </is>
      </c>
      <c r="H34" t="inlineStr"/>
      <c r="I34" t="inlineStr">
        <is>
          <t>Location:
 West Palm Beach, FL, US, 33409
 Flexible Work Arrangement: Hybrid
 Job Category: IT
 Career Level: Professional
 Requisition Id: 5202
 Since 1967, Jet Aviation has been crafting flight in its smoothest form. From one hangar in Basel, Switzerland, to over 4,500 employees, and some 50 locations worldwide. Aircraft Management, Aircraft Sales, Charter, Completions, Government Services, FBO, Fixed and Rotary Wing Maintenance, and Staffing. Behind every seamless Jet Aviation experience, is a team of dedicated professionals perfecting the art of flight. The artisans of aviation. The craft that brings our customers’ journey to life. In the hangar, on the ground, and behind the scenes. Enabling global flight, with passion.
 Position Summary
 The Junior Azure Data Engineer is responsible for designing, implementing, and maintaining Azure\-based database solutions, ensuring optimal performance, security, and scalability.
 This role is ideal for someone starting their career in data, with a strong interest in building data pipelines, working with SQL and Python, and supporting data analysis initiatives. The candidate should be enthusiastic about learning Azure data services and developing their technical skills. Strong communication and teamwork skills are essential.
**Minimum Requirements**
* Bachelor’s degree in Computer Science, Information Systems, Engineering, or related field.
* 3\-4 years of experience working with Azure data services (e.g., Azure SQL, Synapse, Data Factory).
* Basic understanding of Microsoft Fabric and its role in modern data architecture.
* Proficiency in SQL and Python for data manipulation and automation.
* Familiarity with data modeling concepts and ETL processes.
* Exposure to version control systems (e.g., Git) and CI/CD practices.
* Strong problem\-solving skills and attention to detail.
* Good communication skills and ability to work in a collaborative environment.
* Relevant certifications in Azure are a plus. MS DP\-700 is a strong plus.
* Strong customer focus.
* Flexible schedule to be able to collaborate within a Global team and stakeholders.
 Main Responsibilities
* Assist in the design, implementation, and maintenance of Azure SQL Databases, Synapse Analytics, and other Azure data services.
* Support data ingestion, transformation, and integration pipelines using tools such as Azure Data Factory, Azure Data Lake, and Microsoft Fabric.
* Write and optimize SQL queries for data extraction and reporting.
* Develop scripts and automation tools using Python to streamline data operations.
* Monitor and troubleshoot database performance and data pipeline issues.
* Contribute to documentation and knowledge sharing across the team. Stay updated on industry trends and best practices in Azure Synapse to continuously enhance the organization's data capabilities.
* Collaborate with the Data Analytics, Governance and Automation teams to support all data and reporting related efforts.
* Work closely with all lines of business (LOB) and Functional Groups (FG) to gather requirements and provide robust, scalable and reliable solutions.
* Provide application and systems Support. Evaluate and resolve database contention and performance issues.
* Participate and support database activities that encompass designing, sourcing, and overseeing development projects.
* Represent Jet Aviation as one company internally and externally with industry groups, regulatory bodies, and the General Dynamics network.
* 1 year cloud enterprise experience.
 Desired Characteristics
* Understanding of data governance and security best practices.
* Certification in Azure Data Engineer Associate DP – 203 / DP –700 is a strong plus.
* Basic understanding of data visualization tools (Power BI, Tableau) is a plus.
* Strong personal values corresponding with Jet Aviation values (Trust, Honesty, Alignment, Transparency)
**Compensation**
 The baseline range for this position will be as follows: $90,000 \- $100,000 annually. The final offer within this range will be determined based on the candidate’s relevant experience, qualifications, and overall fit for the position. In addition to base salary, Jet Aviation offers a comprehensive benefits package and opportunities for professional development.
 Additional Details
 At Jet Aviation we believe in selecting the best candidates through a comprehensive and thoughtful process. If you are selected to move forward, you can expect a multistage interview process, including connections with team members and leaders. As a part of our commitment to safety and security, our selected candidate must successfully pass pre\-employment requirements before finalizing employment.
 At Jet Aviation eligible employees can enjoy a comprehensive package that fuels your passions both inside and outside of work. Your health and well\-being matter to us. That’s why we offer a competitive benefit package that includes health, dental \&amp; vision insurance, matching 401(k), health savings and flexible spending accounts, short\-term and long\-term disability, life insurance, employee assistance programs, health and wellness awards, generous paid time off, tuition reimbursement, employee discounts and more.
 Equal Opportunity Employer / Individuals with Disabilities / Protected Veterans
**Nearest Major Market:** 
 Palm Beach
**Nearest Secondary Market:** 
 Miami</t>
        </is>
      </c>
    </row>
    <row r="35">
      <c r="A35" t="inlineStr">
        <is>
          <t>li-4370138485</t>
        </is>
      </c>
      <c r="B35" t="inlineStr">
        <is>
          <t>Senior Data Engineer</t>
        </is>
      </c>
      <c r="C35" t="inlineStr">
        <is>
          <t>TalentDome Staffing</t>
        </is>
      </c>
      <c r="D35" t="inlineStr">
        <is>
          <t>linkedin</t>
        </is>
      </c>
      <c r="E35">
        <f>HYPERLINK("https://www.linkedin.com/jobs/view/4370138485", "https://www.linkedin.com/jobs/view/4370138485")</f>
        <v/>
      </c>
      <c r="F35" t="inlineStr"/>
      <c r="G35" t="inlineStr"/>
      <c r="H35" t="inlineStr"/>
      <c r="I35" t="inlineStr">
        <is>
          <t>**Sr. Data Engineer (Remote \- US)** 
 We are looking for a
 **Senior Data Engineer** 
 to join a leading technology platform powering the future of specialty real estate and storage operations. This company integrates management software with marketplaces, websites, and insurance to help operators win every day. You will play a pivotal role in shaping data operations, ensuring that infrastructure is scalable, secure, and highly accessible across the organization.
**The Role at a Glance** 
* **Compensation:** 
 $150K base salary \+ 5% bonus
* **Location:** 
 100% Remote (Must reside in: AL, AZ, CA, CO, CT, FL, GA, ID, IL, IN, IA, KS, LA, MD, MA, MI, MN, MO, MS, NC, NE, NJ, NV, NY, OH, OK, OR, PA, SC, TN, TX, UT, VA, WA, WI, WY).
* **Tech Stack:** 
 AWS (S3, Lambda, Redshift, Glue, Athena), Python, Apache Airflow, Apache Iceberg, Trino/Presto, Apache Spark.
**Key Responsibilities** 
* **Pipeline Architecture:** 
 Design, implement, and maintain scalable data pipelines to process and manage large\-scale datasets.
* **ETL Mastery:** 
 Build and optimize ETL pipelines for ingesting and transforming data from diverse sources.
* **Orchestration \&amp; Frameworks:** 
 Manage complex workflows using
 **Apache Airflow** 
 and leverage
 **Trino (Presto)** 
 and
 **Spark** 
 for distributed processing.
* **Infrastructure Optimization:** 
 Utilize modern tools like
 **Apache Iceberg** 
 and AWS services to ensure a reliable and scalable data environment.
* **Governance \&amp; Quality:** 
 Implement data governance frameworks to ensure accuracy, consistency, and compliance across the organization.
* **Cross\-Functional Collaboration:** 
 Partner with engineering, product, and business units to make data actionable for informed decision\-making.
**What You Bring** 
* **6\+ Years of Experience:** 
 Proven track record in data management, infrastructure, and optimizing pipelines at scale.
* **Technical Deep Dive:** 
 5\+ years of hands\-on experience with
 **AWS** 
 (S3, Lambda, Redshift, Glue, Athena),
 **Apache Airflow** 
 , and
 **Apache Iceberg** 
 .
* **Distributed Systems:** 
 5\+ years of experience with
 **Trino/Presto** 
 and
 **Apache Spark** 
 for data processing.
* **Coding \&amp; Modeling:** 
 High proficiency in
 **Python** 
 for data processing and a solid understanding of warehousing concepts/schema design.
* **Leadership:** 
 Ability to mentor teams and influence stakeholders to drive data initiatives.
* **Authorization:** 
 Must be currently authorized to work in the U.S. on a full\-time basis (No sponsorship available).
**Why Join?** 
 This is a "Win More" culture that prioritizes professional growth and mental well\-being. The benefits package is top\-tier, featuring:
* **Unlimited/Flexible Vacation** 
 (Take what you need).
* **Comprehensive Health Coverage:** 
 Fully paid short/long\-term disability \+ 401(k) match.
* **Family Support:** 
 12 weeks primary caregiver leave and even "Pawternity" leave for your pets.
* **Wellness:** 
 Monthly home data stipends, mental health resources, and student loan payment programs.</t>
        </is>
      </c>
    </row>
    <row r="36">
      <c r="A36" t="inlineStr">
        <is>
          <t>li-4375446050</t>
        </is>
      </c>
      <c r="B36" t="inlineStr">
        <is>
          <t>Data Engineer, AVS Digital Transformation (AI &amp; Analytics)</t>
        </is>
      </c>
      <c r="C36" t="inlineStr">
        <is>
          <t>GE HealthCare</t>
        </is>
      </c>
      <c r="D36" t="inlineStr">
        <is>
          <t>linkedin</t>
        </is>
      </c>
      <c r="E36">
        <f>HYPERLINK("https://www.linkedin.com/jobs/view/4375446050", "https://www.linkedin.com/jobs/view/4375446050")</f>
        <v/>
      </c>
      <c r="F36">
        <f>HYPERLINK("https://careers.gehealthcare.com/global/en/job/GEVGHLGLOBALR4036375EXTERNALENGLOBAL/Data-Engineer-AVS-Digital-Transformation-AI-Analytics?utm_source=linkedin&amp;utm_medium=phenom-feeds&amp;urlHash=M0C2", "https://careers.gehealthcare.com/global/en/job/GEVGHLGLOBALR4036375EXTERNALENGLOBAL/Data-Engineer-AVS-Digital-Transformation-AI-Analytics?utm_source=linkedin&amp;utm_medium=phenom-feeds&amp;urlHash=M0C2")</f>
        <v/>
      </c>
      <c r="G36" t="inlineStr">
        <is>
          <t>Burlington, MA</t>
        </is>
      </c>
      <c r="H36" t="inlineStr"/>
      <c r="I36" t="inlineStr">
        <is>
          <t>**Job Description Summary**
 The GEHC Advanced Visualization Solutions (AVS) segment, a fast\-growing business in GE HealthCare, is the global leader in ultrasound medical devices and solutions. The portfolio spans the continuum of care to enable customers with ultrasound screening, diagnosis, treatment and monitoring of diseases. Our customers are seeking to improve efficiency in radiology and beyond and increase user confidence to provide better clinical outcomes continues to grow. Consequently, the need for AI, digital solutions, and automation, connecting devices and software in one seamless ecosystem continues to proliferate.
 This person will design and build comprehensive data solutions that will power GE Healthcare’s AVS segment’s next generation of analytics and AI. In this hands\-on role, you will design and build curated semantic layers, scalable pipelines, and enterprise\-grade sematic models –whilst layering in AI\-powered capabilities using approved platforms as the foundation matures.
 \*\*No sponsorship or OPT for this role\*\*
**Job Description**
 As the Data Engineer of the AVS Digital Transformation team, you’ll bridge enterprise data strategy with segment\-specific innovation to deliver self\-service analytics, conversational AI, predictive insights and intelligent automation within AVS.
* Build an AI\-Ready Data Foundation (40%)
* Design and implement curated, semantic data layers (dimensional models, business definitions), ensuring accuracy, traceability, and AI/ML readiness for BI and generative AI use cases.
* Design scalable SQL\-based pipelines to transform raw and enterprise data into analytics\-ready assets
* Implement data quality frameworks, lineage, and governance, according to standards set by the central data office team.
* Elevate Analytics \&amp; Self\-Service (35%)
* Lead enterprise\-grade Power BI semantic model design (Dataflows, composite models, aggregations) to enable low\-latency, high\-performance reporting for executives and analysts.
* Integrate and extend enterprise semantic models with AVS\-specific business logic and conformed dimensions, aligning definitions across the segment.
* Define best practices for DAX, M, and workspace governance (deployment pipelines, refresh strategies) within team to advance BI maturity and self\-service
* Partner with visualization analysts and business leaders to translate requirements into trusted, performant models and reusable domain data products.
* Drive AI \&amp; Advanced Analytics Adoption (25%)
* Design AI\-ready semantic layers and metadata that enable natural\-language querying, conversational analytics, automated retrieval and intelligent workflows
* Build and deploy AI solutions using enterprise\-approved platforms. Implement operational forecasting, anomaly detection and segmentation.
* Engage central AI/ IT for evaluation, architecture guidance and enterprise deployment of AI use cases that exceed approved platform capabilities
**Required Qualifications**
* 8\+ years in data architecture/engineering delivering dimensional models, curated marts, and production pipelines in cloud environments (e.g., AWS Redshift/S3/Glue, Microsoft Fabric/Azure, ADF or equivalent).
* Mastery of SQL, DAX, and Power Query (M); strong performance tuning and model optimization at scale.
* Deep Power BI experience: semantic modeling, composite models, aggregations, dataflows, and Fabric integration.
* Hands‑on with Copilot Studio, Fabric Data Agents, or AWS Bedrock.
* Familiarity with Power Apps / Power Automate for end‑to‑end digital workflows.
**Preferred**
* Microsoft certifications: DP‑600 (Fabric Analytics Engineer), DP\-700 (Fabric Data Engineer), PL‑300 (Power BI Data Analyst), AZ\-900 (Azure AI), PL\-400 (Power Platform Developer Associate)
* AI/ML integration: Python for data prep/modeling; designing data/semantics for NLQ, agentic systems, and platforms such as AWS Bedrock or Fabric ML.
* Experience partnering with centralized AI and data teams to produce models and agentic solutions.
* ERP/CRM data integration (e.g., Oracle EBS, Salesforce) and familiarity with enterprise data governance.
 We will not sponsor individuals for employment visas, now or in the future, for this job opening. For U.S. based positions only, the pay range for this position is $138,000\.00\-$207,000\.00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37">
      <c r="A37" t="inlineStr">
        <is>
          <t>li-4373136370</t>
        </is>
      </c>
      <c r="B37" t="inlineStr">
        <is>
          <t>Databricks Engineer - Data Engineer III</t>
        </is>
      </c>
      <c r="C37" t="inlineStr">
        <is>
          <t>Cencora</t>
        </is>
      </c>
      <c r="D37" t="inlineStr">
        <is>
          <t>linkedin</t>
        </is>
      </c>
      <c r="E37">
        <f>HYPERLINK("https://www.linkedin.com/jobs/view/4373136370", "https://www.linkedin.com/jobs/view/4373136370")</f>
        <v/>
      </c>
      <c r="F37" t="inlineStr"/>
      <c r="G37" t="inlineStr">
        <is>
          <t>United, PA</t>
        </is>
      </c>
      <c r="H37" t="inlineStr"/>
      <c r="I37"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We are seeking a Senior Data and AI engineer with expertise in cloud data engineering. You will work with large datasets, leverage AI technologies, and utilize Databricks for data processing and analytics to support business objectives.
 Key Responsibilities
 You will play a key role in transforming enterprise business data into insights. You will collaborate with other data and AI engineers and business stakeholders to create scalable data and AI solutions that align with business needs.
* Collaborate with business stakeholders to understand their data needs and provide tailored solutions that meet their business objectives
* Analyzing business requirements and translating them into technical specifications
* Design, develop and implement data engineering solutions using Azure Databricks Lakehouse platform.
* Build Data and AI solutions that leverage Databricks Genie, AgentBricks, Mosaic AI, MLFlow, Unity Catalog and other Databricks components
* Conduct detailed data analysis to identify existing data tables and if required designing new tables, views and other objects using Databricks platform.
* Apply AI and machine learning techniques to structured and unstructured data processing and analysis.
* Ensure data quality, integrity, and security throughout the data lifecycle.
* Collaborate with data scientists and analysts to meet data requirements.
* Communicate effectively with stakeholders, including technical and non\-technical audiences, to convey complex data concepts
* Stay updated with the latest trends and technologies in data engineering, AI, LLMs and Agentic AI
**Required Skills \&amp; Qualifications**
* Bachelor’s degree in computer science, engineering, or related field
* 5\-7 years proven experience as a Data Engineer with cloud\-based data platforms like Databricks, Snowflake, BigQuery
* Expertise with Databricks SQL, Compute Warehouses, AI/BI Genie, AgentBricks, Unity Catalog and Vector indexes
* Experience with data modeling, Medallion architecture, ETL processes and data warehousing concepts.
* Strong programming skills in languages such as Python, SQL or Scala
* Experience with DevOps and DataOps process to deploy data objects and pipelines across environments using scripts and agile process
* Experience with AI/ML concepts and their application in data engineering.
* Excellent problem\-solving skills and ability to work independently and as part of a team
 Familiarity with cloud platforms (e.g., AWS, Azure, GCP).
**Experience And Educational Requirements**
* Bachelor’s degree in Programming/Systems or Computer Science or other related field. Or equivalent work experience.
**Minimum Skills, Knowledge And Ability Requirements**
* 5\-10 years of experience in technologies relevant to data/information management, such as SQL, Azure Databricks inculding Databricks Genie, AgentBricks, Mosaic AI, MLFlow, Unity Catalog and other Databricks components
* Has a broad level of understanding surrounding AI use cases supporting business needs.
* Experience in leading small project teams and streams.
* Demonstrated ability to analyze and interpret complex problems or processes that span multiple business areas, identify and understand requirements, and develop alternate solutions.
* Experience designing, developing and testing applications using proven or emerging technologies in a variety of technologies and environments.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38">
      <c r="A38" t="inlineStr">
        <is>
          <t>li-4373126480</t>
        </is>
      </c>
      <c r="B38" t="inlineStr">
        <is>
          <t>Snowflake Data Engineer</t>
        </is>
      </c>
      <c r="C38" t="inlineStr">
        <is>
          <t>TELOMERE</t>
        </is>
      </c>
      <c r="D38" t="inlineStr">
        <is>
          <t>linkedin</t>
        </is>
      </c>
      <c r="E38">
        <f>HYPERLINK("https://www.linkedin.com/jobs/view/4373126480", "https://www.linkedin.com/jobs/view/4373126480")</f>
        <v/>
      </c>
      <c r="F38" t="inlineStr"/>
      <c r="G38" t="inlineStr">
        <is>
          <t>New York, United States</t>
        </is>
      </c>
      <c r="H38" t="inlineStr"/>
      <c r="I38" t="inlineStr">
        <is>
          <t>We are seeking a Data Engineer with strong expertise in Snowflake (AWS), Python, and ETL/ELT pipeline development to build scalable, high\-performance data solutions supporting enterprise analytics. This role requires experience with Kimball dimensional modelling, query optimization, and cost\-efficient data warehouse design, along with the ability to leverage AI tools daily to improve productivity, quality, and delivery speed.
**Roles \&amp; Responsibilities:** 
 Design and manage data pipelines using dbt, Airflow, and CI/CD frameworks
 Implement Snowpipe for continuous ingestion; use Streams \&amp; Tasks for real\-time processing
 Enable AI/ML integration: support predictive analytics and generative AI use cases
 Leverage Snowflake Cortex and Copilot for LLM\-based applications
 Ensure data governance, RBAC, and security compliance across Snowflake environments
 Optimize performance and implement Time Travel, Zero Copy Cloning, and Secure Data Sharing
 Build production\-ready AI applications and LLM\-powered features
 Collaborate with AI and Data teams to develop agentic AI workflows
 Experiment with open\-source models and translate prototypes into production systems
 Implement RAG pipelines, fine\-tuning, and observability for AI models
 Design and deploy secure, scalable, and highly available architectures on AWS
 Select appropriate AWS services for application design and deployment
 Implement cost\-control strategies and disaster recovery plans
 Collaborate with teams to integrate systems and ensure compliance
 Develop Infrastructure as Code (IaC) using Terraform or CloudFormation
 Design, build, and maintain data pipelines using dbt for analytics and operational use cases
 Implement standards for data quality, consistency, and reliability
 Optimize query performance and manage compute costs
 Collaborate with analysts and stakeholders to understand data requirements
 Build automation into workflows and ensure compliance with governance policies
**Must Have Technical/Functional Skills** 
 Snowflake expertise: Warehouses, databases, roles, RBAC, SCIM, MFA
 Data Engineering: ELT/ETL tools (dbt, Talend), orchestration (Airflow)
 Cloud Platforms: AWS, Azure, or GCP with Snowflake integration
 Programming: SQL, Python; familiarity with ML frameworks
 Security \&amp; Compliance: Data masking, encryption, audit processes
 Strong experience with LLMs (OpenAI, Anthropic, Hugging Face, LangChain)
 Proficiency in Python and modern AI frameworks
 Familiarity with vector databases, prompt engineering, and AI best practices
 5\+ years of product\-focused engineering experience
 Knowledge of cloud deployment and scaling AI systems
 Strong SQL and Python skills
 Hands\-on experience with dbt and Snowflake
 Familiarity with cloud platforms (AWS)
 Knowledge of CI/CD, DevOps practices, and data orchestration tools (Airflow, Prefect)
 Ability to create lineage graphs, documentation, and validation frameworks
**Must Have Skills:** 
 Snowflake, Cortex AI, AWS, DBT</t>
        </is>
      </c>
    </row>
    <row r="39">
      <c r="A39" t="inlineStr">
        <is>
          <t>li-4375407057</t>
        </is>
      </c>
      <c r="B39" t="inlineStr">
        <is>
          <t>Staff Data Engineer - Technical Strategic Programs</t>
        </is>
      </c>
      <c r="C39" t="inlineStr">
        <is>
          <t>Intuit</t>
        </is>
      </c>
      <c r="D39" t="inlineStr">
        <is>
          <t>linkedin</t>
        </is>
      </c>
      <c r="E39">
        <f>HYPERLINK("https://www.linkedin.com/jobs/view/4375407057", "https://www.linkedin.com/jobs/view/4375407057")</f>
        <v/>
      </c>
      <c r="F39" t="inlineStr"/>
      <c r="G39" t="inlineStr">
        <is>
          <t>San Diego, CA</t>
        </is>
      </c>
      <c r="H39" t="inlineStr"/>
      <c r="I39" t="inlineStr">
        <is>
          <t>**Overview**
 The Tech Strategic Programs organization delivers for Intuit and Tech Strategy by transforming and driving how our Technology ecosystem operates to accelerate outcomes for our customers. This small, yet mighty team works with senior leaders and partners across the company. We focus on strategic planning, the operating rhythm, executive narratives, workforce programs and delivering intelligent insights that accelerate execution across the tech portfolio and highest priority business growth areas.
 We are looking for a strategic and organized leader with a passion for innovation and data\-driven optimization. As a Data Engineer, you will work alongside senior leaders to deliver the foundational data architecture that allows Intuit to measure execution velocity and accelerate critical business outcomes.
**Responsibilities**
 In this role, you will:
* Build and Maintain Data Marts: Design, develop, and manage the tables and data marts that serve as the foundation for our team’s daily reporting. You will partner with data scientists, technical program managers, AI engineers, and other stakeholders to ensure our data is structured for speed and reusability.
* Own Data Quality \&amp; Reliability: Proactively monitor data pipelines, troubleshoot discrepancies, and debug issues quickly to ensure data integrity.
* Track Key Success Metrics: Implement and track leading indicators and success metrics, helping the organization understand whether initiatives are delivering the desired outcomes.
* Develop Execution Dashboards: Design and build intuitive, self\-service dashboards (using Tableau/Qlik) that allow stakeholders to monitor program health and execution velocity.
* Communicate Insights: Translate complex datasets into clear, concise summaries for business partners and leadership, highlighting trends, risks, and opportunities.
* Collaborate Cross\-Functionally: Partner with other analysts and data engineers across Intuit to share best practices, align on metric definitions, and drive cross\-team analytics projects.
**What You’ll Bring**
* Speed as a habit: Drive velocity in the organization by accelerating customer, business, and technology outcomes by identifying and driving key opportunities across the company
* Emerging technology mastery: Continuously explore emerging trends, tools, and techniques in Generative AI. Follow trends and research topics of leveraging AI/GenAI to improve workforce efficiency.
* Understands customer behaviors: Partner with cross\-functional partners to influence and drive end\-to\-end solutions for customer problems. Execute with a boundaryless mindset and contribute to solutions outside of your primary area of ownership
* Durable data solutions: Design and implement durable data solutions that will solve critical customer problems in a fast\-paced environment. Create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Be prepared to get hands\-on and debug complex issues or create fully working POCs which teams can take forward.
* Communicate effectively: Explain complex designs to both technical and non\-technical stakeholders and drive consensus.
**Qualifications**
* 7\+ years of experience in Data Analytics, Business Intelligence, Engineering or related technical field
* Bachelor's in Statistics, Mathematics, Computer Science, or related field.
* Proficient with unstructured data and turning raw data into a usable, high\-quality dataset ready for effective use
* Strong proficiency in visualization tools with hands\-on experience building complex dashboards in Tableau, Qlik, or PowerBI.
* Proven track records of developing and managing complex analytics data mart and data pipelines is a must\-have.
* Demonstrated experience with big data tools and frameworks such as Apache Spark, Hadoop or Databricks.
* Experience with data modeling, data warehousing, and building ETL pipelines.
* Experience in applying advanced analytics techniques such as python, ML models, LLM, etc., is a plus.
* Ability to create analytical framework for solving complex business problems with proven track record.
* Ability to manage multiple projects simultaneously to meet objectives.
* Outstanding communications skills with both technical and non\-technical. Be able to communicate effectively with senior executives.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40">
      <c r="A40" t="inlineStr">
        <is>
          <t>li-4375194768</t>
        </is>
      </c>
      <c r="B40" t="inlineStr">
        <is>
          <t>AWS Snowflake and DBT Data Engineer</t>
        </is>
      </c>
      <c r="C40" t="inlineStr">
        <is>
          <t>NeerInfo Solutions</t>
        </is>
      </c>
      <c r="D40" t="inlineStr">
        <is>
          <t>linkedin</t>
        </is>
      </c>
      <c r="E40">
        <f>HYPERLINK("https://www.linkedin.com/jobs/view/4375194768", "https://www.linkedin.com/jobs/view/4375194768")</f>
        <v/>
      </c>
      <c r="F40" t="inlineStr"/>
      <c r="G40" t="inlineStr">
        <is>
          <t>Broomfield, CO</t>
        </is>
      </c>
      <c r="H40" t="inlineStr"/>
      <c r="I40" t="inlineStr">
        <is>
          <t>Role:
 **AWS Snowflake and DBT Data Engineer** 
**Fulltime role** 
 Onsite at
 **Broomfield, CO** 
 Work authorization needed : US Citizen and Green Card only
 seeking an
 **AWS Snowflake and DBT Data Engineer** 
 .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 Candidate must be located within commuting distance of
 **Broomfield, CO or be willing to relocate to the area.** 
 This position may require travel in the US
* Bachelor’s degree or foreign equivalent required from an accredited institution. Will also consider three years of progressive experience in the specialty in lieu of every year of education
* At least 4 years of Information Technology experience
* At least 2 years of DBT experience
* At least 2 years of Snowflake experience
* Hands on experience with developing complex transformations using Data Build tool (
 **DBT** 
 )
* Strong knowledge and hands\-on experience in SQL, Unix shell scripting, and Python
**Preferred Qualifications:** 
* Experience in end\-to\-end implementation using technologies such as AWS and Snowflake
* Experience in Services and Utilities domain
* Strong knowledge Data structures, Data Engineering concepts, Algorithms, Collections, Multi\-threading and memory management and concurrency
* Experience in large scale cloud data migrations using Snowflake, Python, Spark, SQL
* Sound knowledge of software engineering design patterns and practices
* Good understanding of Agile software development frameworks
* Strong communication and Analytical skills
* Ability to work in teams in a diverse, multi\-stakeholder environment comprising of Business and Technology teams</t>
        </is>
      </c>
    </row>
    <row r="41">
      <c r="A41" t="inlineStr">
        <is>
          <t>li-4373138162</t>
        </is>
      </c>
      <c r="B41" t="inlineStr">
        <is>
          <t>Sr. Consultant, Data Engineering</t>
        </is>
      </c>
      <c r="C41" t="inlineStr">
        <is>
          <t>Hakkōda, an IBM Company</t>
        </is>
      </c>
      <c r="D41" t="inlineStr">
        <is>
          <t>linkedin</t>
        </is>
      </c>
      <c r="E41">
        <f>HYPERLINK("https://www.linkedin.com/jobs/view/4373138162", "https://www.linkedin.com/jobs/view/4373138162")</f>
        <v/>
      </c>
      <c r="F41">
        <f>HYPERLINK("https://ibmglobal.avature.net/en_US/careers/JobDetail?jobId=95188&amp;src=LinkedIn&amp;urlHash=faWL", "https://ibmglobal.avature.net/en_US/careers/JobDetail?jobId=95188&amp;src=LinkedIn&amp;urlHash=faWL")</f>
        <v/>
      </c>
      <c r="G41" t="inlineStr">
        <is>
          <t>Lisle, IL</t>
        </is>
      </c>
      <c r="H41" t="inlineStr"/>
      <c r="I41"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We are looking for a Sr. Consultant, Data Engineer to join our growing team of experts. This position will work in the design and development of Snowflake Data Cloud solutions. The work includes data ingestion pipelines, data architecture, data governance and security. The ideal candidate is an experienced data pipeline builder and migrations who enjoys optimizing data systems and building them from the ground up.
 The Sr. Consultant, Data Engineer will develop database architectures, data warehouses and will ensure optimal data delivery architecture is consistent throughout ongoing customer projects. On this role you will be leading technical teams. The right candidate will be excited by the prospect of working for a start\-up company to support our customers' next generation of data initiatives.
 As of April 2025, Hakkoda has been acquired by IBM and will be integrated in the IBM organization. Your recruitment process will be managed by IBM. IBM will be the hiring entity
 This role can be performed from anywhere in the US.
**Preferred Education**
 Master's Degree
**Required Technical And Professional Expertise**
* Bachelor’s degree in engineering, computer science or equivalent area.
* Expertise in evaluating, selecting, and integrating ingestion technologies to solve complex data challenges.
* Leadership in architectural decisions for high\-throughput data ingestion frameworks, including real\-time data processing and analytics.
* Mentorship of junior engineers in best practices for data ingestion, performance tuning, and troubleshooting.
* 5\+yrs in related technical roles, data management, database development, ETL,Data \- \- Warehouses and pipelines.
* Experience designing and developing data warehouses (Teradata, Oracle Exadata, Netezza, SQL Server, Spark)
* Experience building ETL / ELT ingestion pipelines with tools like DataStage, Informatica, Matillion
* SQL scripting
* Cloud experience on AWS (Azure, GCP are nice to have as well)
* Python Scripting, Scala is required.
* Ability to prepare reports and present to internal and customer stakeholders
* Track record of sound problem solving skills and action oriented mindset
* Strong interpersonal skills including assertiveness and ability to build strong client relationships
* Ability to work in Agile teams
* Experience hiring, developing and managing a technical team
**Preferred Technical And Professional Experience**
* Advanced Snowflake Platform Knowledge: Experience with advanced Snowflake features, including data sharing, data pipelines, and data security. Ability to design and implement complex data and AI usecases on Snowflake platforms.
* Cloud Architecture Expertise: Experience with designing and implementing scalable and secure cloud architectures for data and AI applications. Knowledge of cloud migration, deployment, and management best practices.
* Data Engineering Best Practices: Experience with implementing data engineering best practices, including data modeling, data warehousing, and data governance. Ability to optimize data and AI solutions for performance and scalability.</t>
        </is>
      </c>
    </row>
    <row r="42">
      <c r="A42" t="inlineStr">
        <is>
          <t>li-4375400027</t>
        </is>
      </c>
      <c r="B42" t="inlineStr">
        <is>
          <t>Data Engineer</t>
        </is>
      </c>
      <c r="C42" t="inlineStr">
        <is>
          <t>FUSTIS LLC</t>
        </is>
      </c>
      <c r="D42" t="inlineStr">
        <is>
          <t>linkedin</t>
        </is>
      </c>
      <c r="E42">
        <f>HYPERLINK("https://www.linkedin.com/jobs/view/4375400027", "https://www.linkedin.com/jobs/view/4375400027")</f>
        <v/>
      </c>
      <c r="F42" t="inlineStr"/>
      <c r="G42" t="inlineStr"/>
      <c r="H42" t="inlineStr"/>
      <c r="I42" t="inlineStr">
        <is>
          <t>**Job Title: Data Engineer** 
**Location: Washington, DC** 
**Eligibility: US Citizen** 
**Salary: $160\-170k** 
**Clearance Required:** 
 Current Top Secret/SCI. Ability to obtain DHS EOD SCI.
**Position Overview** 
 We are seeking a skilled Data Engineer to design, build, and maintain robust data pipelines that enable scalable, secure, and intelligent data processing across cloud environments. The ideal candidate will have hands\-on experience in data acquisition from diverse sources, deep familiarity with modern data storage paradigms, and a passion for building pipelines that support advanced analytics and AI/ML use cases.
**Key Responsibilities** 
* **Data Ingestion \&amp; Acquisition:** 
 Collect and integrate data from a wide variety of structured and unstructured sources, including APIs, RDBMS, file systems, third\-party services, and real\-time streams.
* **Pipeline Development:** 
 Design and implement scalable ETL/ELT pipelines to clean, enrich, normalize, and semantically align data (ontology\-driven transformations).
* **Cloud Deployment:** 
 Build and deploy data pipelines and associated infrastructure on AWS or Azure, using managed services like Lambda, Glue, Step Functions, Azure Data Factory, etc.
* **Database Architecture:** 
 Understand and optimize for different storage engines—relational (PostgreSQL, MySQL), columnar (Redshift, BigQuery), indexing engines (ElasticSearch), key\-value stores (DynamoDB, Redis), Object stores (S3 or similar) and caching layers.
* **Streaming Data Processing:** 
 Work with Apache Kafka (or similar platforms) to handle high\-volume, low\-latency data streams.
* **Workflow Orchestration:** 
 Utilize Apache Airflow (or equivalent) to schedule and monitor complex data workflows.
* **AI/ML Integration:** 
 Collaborate with data scientists to integrate LLMs and ML models into pipelines for inference, tagging, enrichment, or intelligent routing of data.
**Required Qualifications** 
* Bachelor's or master’s degree in computer science, Engineering, or related field.
* 10\+ years of experience in data engineering or software development roles.
* Strong proficiency in Python, including experience with libraries like pandas, PySpark, FastAPI, or similar.
* Solid experience with cloud services (AWS or Azure) and Cloud native data engineering tools.
* Proven experience in building and maintaining data pipelines using Kafka, Airflow, and other open\-source frameworks.
* Strong grasp of database internals and trade\-offs between different storage technologies.
* Familiarity with data governance, lineage, and metadata management concepts.
* Experience or strong interest in integrating LLMs and AI/ML models into production\-grade data systems.
**Preferred Qualifications** 
* Knowledge of data cataloging tools and semantic layer design.
* Experience with containerization (Docker) and orchestration (Kubernetes).
* Familiarity with MLOps tools or platforms (e.g., SageMaker, MLflow).
* Prior experience working in regulated or secure environments.</t>
        </is>
      </c>
    </row>
    <row r="43">
      <c r="A43" t="inlineStr">
        <is>
          <t>li-4373136506</t>
        </is>
      </c>
      <c r="B43" t="inlineStr">
        <is>
          <t>Sr. Data Engineer I (6290)</t>
        </is>
      </c>
      <c r="C43" t="inlineStr">
        <is>
          <t>MetroStar</t>
        </is>
      </c>
      <c r="D43" t="inlineStr">
        <is>
          <t>linkedin</t>
        </is>
      </c>
      <c r="E43">
        <f>HYPERLINK("https://www.linkedin.com/jobs/view/4373136506", "https://www.linkedin.com/jobs/view/4373136506")</f>
        <v/>
      </c>
      <c r="F43" t="inlineStr"/>
      <c r="G43" t="inlineStr">
        <is>
          <t>Tysons Corner, VA</t>
        </is>
      </c>
      <c r="H43" t="inlineStr"/>
      <c r="I43"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required with CI poly preferred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44">
      <c r="A44" t="inlineStr">
        <is>
          <t>li-4374039462</t>
        </is>
      </c>
      <c r="B44" t="inlineStr">
        <is>
          <t>Data Engineer</t>
        </is>
      </c>
      <c r="C44" t="inlineStr">
        <is>
          <t>AARATECH</t>
        </is>
      </c>
      <c r="D44" t="inlineStr">
        <is>
          <t>linkedin</t>
        </is>
      </c>
      <c r="E44">
        <f>HYPERLINK("https://www.linkedin.com/jobs/view/4374039462", "https://www.linkedin.com/jobs/view/4374039462")</f>
        <v/>
      </c>
      <c r="F44" t="inlineStr"/>
      <c r="G44" t="inlineStr"/>
      <c r="H44" t="inlineStr"/>
      <c r="I44"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45">
      <c r="A45" t="inlineStr">
        <is>
          <t>li-4368315193</t>
        </is>
      </c>
      <c r="B45" t="inlineStr">
        <is>
          <t>Data Engineer</t>
        </is>
      </c>
      <c r="C45" t="inlineStr">
        <is>
          <t>NeerInfo Solutions</t>
        </is>
      </c>
      <c r="D45" t="inlineStr">
        <is>
          <t>linkedin</t>
        </is>
      </c>
      <c r="E45">
        <f>HYPERLINK("https://www.linkedin.com/jobs/view/4368315193", "https://www.linkedin.com/jobs/view/4368315193")</f>
        <v/>
      </c>
      <c r="F45" t="inlineStr"/>
      <c r="G45" t="inlineStr">
        <is>
          <t>Richardson, TX</t>
        </is>
      </c>
      <c r="H45" t="inlineStr"/>
      <c r="I45" t="inlineStr">
        <is>
          <t>**Job Title: GCP data engineer** 
**Location: Richardson, TX / Jersey City, NJ (Onsite)** 
**Job type: full\-time** 
**Job Description** 
**We are seeking GCP data engineer** 
 .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At least 4 years of Information Technology experience.
* Experience working with technologies like – GCP with data engineering – data flow / air flow, pub sub/ kafta, data proc/Hadoop, Big Query.
* ETL development experience with strong SQL background such as Python/R, Scala, Java, Hive, Spark, Kafka
* Strong knowledge on Python Program development to build reusable frameworks, enhance existing frameworks.
* Application build experience with core GCP Services like Dataproc, GKE, Composer,
**Preferred Qualifications:** 
* Good knowledge on Google Big Query, using advance SQL programing techniques to build Big Query Data sets in Ingestion and Transformation layer.
* Experience in Relational Modeling, Dimensional Modeling and Modeling of Unstructured Data
* Knowledge on Airflow Dag creation, execution, and monitoring.
* experience in Tera data
* Good understanding of Agile software development frameworks
* Ability to work in teams in a diverse, multi\-stakeholder environment comprising of Business and Technology teams.
* Experience and desire to work in a global delivery environment.</t>
        </is>
      </c>
    </row>
    <row r="46">
      <c r="A46" t="inlineStr">
        <is>
          <t>li-4375417785</t>
        </is>
      </c>
      <c r="B46" t="inlineStr">
        <is>
          <t>Data Engineer</t>
        </is>
      </c>
      <c r="C46" t="inlineStr">
        <is>
          <t>Hirenza</t>
        </is>
      </c>
      <c r="D46" t="inlineStr">
        <is>
          <t>linkedin</t>
        </is>
      </c>
      <c r="E46">
        <f>HYPERLINK("https://www.linkedin.com/jobs/view/4375417785", "https://www.linkedin.com/jobs/view/4375417785")</f>
        <v/>
      </c>
      <c r="F46">
        <f>HYPERLINK("https://www.bestjobtool.com/job-description/3072893703?source=LinkedIn&amp;urlHash=FoU9", "https://www.bestjobtool.com/job-description/3072893703?source=LinkedIn&amp;urlHash=FoU9")</f>
        <v/>
      </c>
      <c r="G46" t="inlineStr"/>
      <c r="H46" t="inlineStr"/>
      <c r="I46" t="inlineStr">
        <is>
          <t>**About The Company**
 MassMutual is a leading financial services organization dedicated to helping individuals and businesses achieve their financial goals. With a rich history of stability, innovation, and customer\-centric solutions, MassMutual offers a comprehensive range of insurance, retirement, and investment products. Our commitment to excellence and integrity has established us as a trusted partner in the financial industry. We foster a culture of continuous improvement, diversity, and inclusion, empowering our employees to make a meaningful impact on the lives of our clients and communities worldwide.
**About The Role**
 Join our dynamic team as a Data Engineer within our Corporate Technology Data Engineering \&amp; Analytics division. In this pivotal role, you will spearhead the development and execution of our data and technology strategies, playing a vital part in driving digital transformation and enhancing operational efficiency across our Investment Management division. Your responsibilities will include designing, building, and maintaining robust data pipelines, including streaming and batch processing solutions, data marts, and data warehouses. You will establish and uphold data collection and processing standards to meet the evolving needs of our business stakeholders. This role offers an exciting opportunity to work at the forefront of data innovation, collaborating with cross\-functional teams to deliver high\-quality, scalable data solutions that support strategic decision\-making and regulatory compliance.
**Qualifications**
 The ideal candidate will possess a strong technical background with extensive experience in data analytics, modeling, and database design. A bachelor's degree in Computer Science, Engineering, Information Systems, or a related field is required. Candidates should have at least 8 years of experience in data analytics and 5 years in ELT methodologies and tools, with a proven track record of designing, developing, and optimizing SQL\-based systems. Experience in scripting languages such as Python, Java, or Scala, along with familiarity with Spark framework, is essential. A minimum of 5 years of hands\-on experience with data warehousing and distributed database technologies is expected. Strong communication skills and the ability to translate complex business requirements into technical specifications are critical for success in this role.
**Responsibilities**
* Design, develop, and maintain complex ELT jobs to process diverse data sources, ensuring high data integrity, quality, and reliability.
* Establish and enforce data modeling policies, procedures, and standards to support scalable and efficient data architectures.
* Capture and document system workflows, data flows, and technical specifications to facilitate ongoing maintenance and enhancements.
* Create and implement comprehensive data quality standards, utilizing tools and techniques to monitor and improve data accuracy.
* Collaborate with various departments within Investment Management to understand new data patterns, requirements, and challenges.
* Partner with Data Analysts, Data Architects, and Business Intelligence developers to design scalable data solutions aligned with strategic business goals.
* Translate high\-level business needs into detailed technical requirements, ensuring solutions are robust, scalable, and compliant with regulatory standards.
* Participate in code reviews, troubleshooting, and performance tuning to optimize data pipelines and database systems.
* Stay current with emerging data technologies and industry best practices to continuously improve data infrastructure and processes.
**Benefits**
 MassMutual offers a comprehensive benefits package designed to support our employees' health, well\-being, and professional growth. Employees enjoy competitive salary packages, health insurance plans, retirement savings options, and paid time off. We also provide opportunities for ongoing learning and development, including training programs, certifications, and career advancement pathways. Our commitment to work\-life balance is reflected in flexible work arrangements and wellness initiatives. Additionally, employees have access to employee assistance programs, financial counseling, and various employee resource groups that foster an inclusive and supportive workplace environment.
 Equal Opportunity
 MassMutual is an equal employment opportunity employer. We celebrate diversity and are committed to creating an inclusive environment for all employees. We do not discriminate based on race, color, religion, gender, sexual orientation, gender identity or expression, age, disability, or any other protected characteristic. We encourage all qualified individuals to apply and join our team. If you require any accommodations during the application process, please contact us and specify your needs. We are dedicated to ensuring equal access and opportunity for everyone.</t>
        </is>
      </c>
    </row>
    <row r="47">
      <c r="A47" t="inlineStr">
        <is>
          <t>li-4375191785</t>
        </is>
      </c>
      <c r="B47" t="inlineStr">
        <is>
          <t>Data Engineer II</t>
        </is>
      </c>
      <c r="C47" t="inlineStr">
        <is>
          <t>Wiraa</t>
        </is>
      </c>
      <c r="D47" t="inlineStr">
        <is>
          <t>linkedin</t>
        </is>
      </c>
      <c r="E47">
        <f>HYPERLINK("https://www.linkedin.com/jobs/view/4375191785", "https://www.linkedin.com/jobs/view/4375191785")</f>
        <v/>
      </c>
      <c r="F47" t="inlineStr"/>
      <c r="G47" t="inlineStr"/>
      <c r="H47" t="inlineStr"/>
      <c r="I47" t="inlineStr">
        <is>
          <t>**About The Company**
 Centene Corporation is a diversified, national organization dedicated to transforming the health of our communities by providing high\-quality healthcare solutions. Serving over 28 million members across the United States, Centene leverages innovative technology and comprehensive healthcare services to improve health outcomes and access to care. Our commitment to diversity, equity, and inclusion is reflected in our workplace culture, fostering an environment where all employees can thrive. We offer competitive benefits, flexible work arrangements, and opportunities for professional growth, making us an employer of choice in the healthcare industry.
**About The Role**
 We are seeking a skilled Data Engineer to join our dynamic team. In this role, you will be responsible for developing and operationalizing data pipelines that facilitate the availability of data for reporting and advanced analytics. Your expertise will ensure the seamless ingestion, transformation, validation, and optimization of large\-scale data structures essential for business intelligence. You will collaborate closely with DevSecOps engineers during continuous integration and deployment processes, designing standardized data management procedures to support our analytics infrastructure. The ideal candidate will have a strong background in data pipeline development, data architecture, and automation, contributing to the ongoing improvement of data reliability, efficiency, and quality across Centene's environments.
**Qualifications**
* Bachelor’s degree in statistics, mathematics, engineering, computer science, or a related quantitative or business field
* 2\-4 years of relevant experience in data engineering or related roles
* Proficiency in SQL and/or PL\-SQL
* Experience with Teradata or Snowflake, including developing data pipelines in Snowflake
* Hands\-on experience with Python or similar programming languages
* Familiarity with data visualization tools such as Power BI
* Knowledge of CI/CD processes and automated deployment tools (e.g., Gitlab)
* Experience with system diagnosis, data validation, and quality assurance testing
* Understanding of engineering best practices and documentation in project management tools like JIRA
**Responsibilities**
* Develop and operationalize data pipelines for reports and analytics, including data ingestion, transformation, validation, and optimization
* Design and implement standardized data management procedures for staging, ingestion, preparation, provisioning, and destruction of data
* Create, test, document, and operate large\-scale, high\-performance data structures to support business intelligence initiatives
* Maintain scheduled processes to ensure automated daily, weekly, and monthly data refreshes
* Ensure data quality and integrity as data moves across various environments
* Provide insights into evolving data environments, including processing, storage, and utilization needs, and recommend solutions
* Develop and maintain data architectures using appropriate programming languages and tools
* Identify opportunities to improve data reliability, efficiency, and automation
* Collaborate with cross\-functional teams to troubleshoot system issues and validate data quality
* Document processes, procedures, and system configurations in accordance with engineering standards
* Perform other duties as assigned to support team objectives and project deliverables
* Comply with all organizational policies, standards, and security protocols
**Benefits**
* Competitive salary range of $63,600 to $114,600 annually
* Comprehensive health insurance plans
* Retirement savings options including 401K and stock purchase plans
* Tuition reimbursement programs
* Paid time off along with holidays
* Flexible work arrangements, including remote, hybrid, field, or office schedules
* Opportunities for professional development and career advancement
 Equal Opportunity
 Centene is an equal opportunity employer committed to fostering a diverse and inclusive workplace. We value the unique contributions of each individual and do not discriminate based on race, color, religion, sex, sexual orientation, gender identity, national origin, disability, veteran status, or any other characteristic protected by law. All qualified applicants will be considered for employment without regard to these factors. We also consider qualified applicants with arrest or conviction records in accordance with applicable laws, including the LA County Ordinance and the California Fair Chance Act.</t>
        </is>
      </c>
    </row>
    <row r="48">
      <c r="A48" t="inlineStr">
        <is>
          <t>li-4373126827</t>
        </is>
      </c>
      <c r="B48" t="inlineStr">
        <is>
          <t>Sr. Data Engineer I (6290)</t>
        </is>
      </c>
      <c r="C48" t="inlineStr">
        <is>
          <t>MetroStar</t>
        </is>
      </c>
      <c r="D48" t="inlineStr">
        <is>
          <t>linkedin</t>
        </is>
      </c>
      <c r="E48">
        <f>HYPERLINK("https://www.linkedin.com/jobs/view/4373126827", "https://www.linkedin.com/jobs/view/4373126827")</f>
        <v/>
      </c>
      <c r="F48" t="inlineStr"/>
      <c r="G48" t="inlineStr">
        <is>
          <t>St Louis, MO</t>
        </is>
      </c>
      <c r="H48" t="inlineStr"/>
      <c r="I48" t="inlineStr">
        <is>
          <t>As a
 **Sr. Data Engineer I** 
 , you’ll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required with CI poly preferred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SALARY RANGE: $125,000 \- $167,000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49">
      <c r="A49" t="inlineStr">
        <is>
          <t>li-4369167484</t>
        </is>
      </c>
      <c r="B49" t="inlineStr">
        <is>
          <t>Analytics Engineer</t>
        </is>
      </c>
      <c r="C49" t="inlineStr">
        <is>
          <t>Compri Consulting</t>
        </is>
      </c>
      <c r="D49" t="inlineStr">
        <is>
          <t>linkedin</t>
        </is>
      </c>
      <c r="E49">
        <f>HYPERLINK("https://www.linkedin.com/jobs/view/4369167484", "https://www.linkedin.com/jobs/view/4369167484")</f>
        <v/>
      </c>
      <c r="F49" t="inlineStr"/>
      <c r="G49" t="inlineStr">
        <is>
          <t>Denver, CO</t>
        </is>
      </c>
      <c r="H49" t="inlineStr"/>
      <c r="I49" t="inlineStr">
        <is>
          <t>Client located in Denver, Colorado is seeking an Analytics Engineer for a direct hire position. This person will be responsible for DBT development, data modeling, pipeline monitoring, and utilizing Tableau for report development.
 Required
 :
 \-3\+ years data expertise.
 \-DBT development experience.
 \-Tableau expertise.
 \-Ability to write complex SQL queries.
 Desired
 :
 \-Python skills.
 \-Familiarity with AWS data services.
 \-Apache Airflow experience.
 \-Exposure to Data lakehouse architectures.
 \-Experience working with healthcare data.</t>
        </is>
      </c>
    </row>
    <row r="50">
      <c r="A50" t="inlineStr">
        <is>
          <t>li-4374033694</t>
        </is>
      </c>
      <c r="B50" t="inlineStr">
        <is>
          <t>Lead Data Engineer</t>
        </is>
      </c>
      <c r="C50" t="inlineStr">
        <is>
          <t>Sonata Software</t>
        </is>
      </c>
      <c r="D50" t="inlineStr">
        <is>
          <t>linkedin</t>
        </is>
      </c>
      <c r="E50">
        <f>HYPERLINK("https://www.linkedin.com/jobs/view/4374033694", "https://www.linkedin.com/jobs/view/4374033694")</f>
        <v/>
      </c>
      <c r="F50" t="inlineStr"/>
      <c r="G50" t="inlineStr">
        <is>
          <t>Denver, CO</t>
        </is>
      </c>
      <c r="H50" t="inlineStr"/>
      <c r="I50" t="inlineStr">
        <is>
          <t>**Sonata Software Overview** 
 In today's market, there is a unique duality in technology adoption. On one side, extreme focus on cost containment by clients, and on the other, deep motivation to modernize their Digital storefronts to attract more consumers and B2B customers.
 As a leading Modernization Engineering company, we aim to deliver modernization\-driven hypergrowth for our clients based on the deep differentiation we have created in Modernization Engineering, powered by our Lightening suite and 16\-step Platformation™ playbook. In addition, we bring agility and systems thinking to accelerate time to market for our clients.
 Headquartered in Bengaluru, India, Sonata has a strong global presence, including key regions in the US, UK, Europe, APAC, and ANZ. We are a trusted partner of world\-leading companies in BFSI (Banking, Financial Services, and Insurance), HLS (Healthcare and Lifesciences), TMT (Telecom, Media, and Technology), Retail \&amp; CPG, and Manufacturing space. Our bouquet of Modernization Engineering Services cuts across Cloud, Data, Dynamics, Contact Centres, and around newer technologies like Generative AI, MS Fabric, and other modernization platforms.
**Job Title\- Lead Data Engineer** 
**Location\- Denver CO** 
**Type of Hire – Fulltime** 
 We are seeking a \*\*Data Catalog \&amp; Governance Specialist\*\* to support our \*\*Send Money / Payments platform\*\*, ensuring robust metadata management, data lineage visibility, and regulatory\-grade governance across transactional and customer data domains.
 This role is critical in establishing transparency and trust across payment flows, customer onboarding data, compliance datasets (KYC/AML), and reporting pipelines.
 Key Responsibilities
* Configure and administer enterprise \*\*data catalog platforms\*\* to support payment and transaction data domains
* Define and manage \*\*business and technical metadata\*\* for:
* Transaction data
* Customer/KYC data
* Beneficiary and wallet data
* Payment status and settlement data
* Establish and maintain \*\*end\-to\-end data lineage\*\* across:
* Send Money application
* Middleware/API layers
* Data warehouse and reporting systems
* Partner with data engineering teams to monitor and document \*\*ETL/ELT pipelines\*\* supporting payment processing
* Perform and document \*\*data quality assessments\*\* for critical financial datasets
* Define and enforce \*\*data governance policies\*\*, including:
* Data classification (PII, financial data, sensitive fields)
* Access control and role\-based permissions
* Retention and audit requirements
* Support regulatory and compliance needs (AML, audit trails, transaction monitoring)
* Drive enterprise\-wide adoption of the data catalog across business, risk, compliance, and engineering teams
* Lead metadata onboarding workshops and training sessions
**Required Skills \&amp; Experience** 
* Hands\-on experience with \*\*data catalog and metadata management tools\*\* (e.g., Collibra, Alation, Informatica EDC, Microsoft Purview, Atlan, etc.)
* Strong understanding of:
* Data modeling (transactional and analytical models)
* Data lineage and impact analysis
* Data quality frameworks and monitoring
* ETL/ELT processes in financial systems
* Experience working with \*\*transaction\-heavy systems or payment platforms\*\*
* Proficiency in \*\*SQL\*\* and familiarity with \*\*Python scripting\*\*
* Understanding of data privacy and financial regulatory controls
 \* Experience supporting audit and compliance reporting
 Preferred (Highly Desirable)
* Experience in \*\*FinTech, Digital Banking, or Payments domain\*\*
* Exposure to Send Money / Remittance / Wallet\-based applications
* Familiarity with KYC, AML, fraud detection, and transaction monitoring data flows
* Experience working with cloud data platforms (Snowflake, Azure, AWS, etc.)
 Soft Skills
* Strong stakeholder communication across product, risk, compliance, and engineering
* Ability to translate technical metadata into business\-understandable definitions
* Strong organizational and documentation discipline
* Experience driving data governance adoption initiatives
* Ability to operate in a regulated, high\-availability environment
**Why join Sonata Software?** 
 At Sonata, you?ll have an outstanding opportunity. The chance to use your skills and imagination to push the boundaries of what?s possible. To build never seen before solutions to some of the world’s toughest problems. You?ll be challenged, but you will not be alone. You?ll be joining a team of diverse innovators, all driven to go beyond the status quo to craft what comes next.
* *Sonata Software is an Equal Opportunity Employer encouraging diversity in the workplace. All qualified applicants will receive consideration for employment without regard to race, national origin, gender identity, age, religion, disability, sexual orientation, veteran status, marital status, or any other characteristics protected by law.*</t>
        </is>
      </c>
    </row>
    <row r="51">
      <c r="A51" t="inlineStr">
        <is>
          <t>li-4374040501</t>
        </is>
      </c>
      <c r="B51" t="inlineStr">
        <is>
          <t>Data Engineer | Remote (Indonesia)</t>
        </is>
      </c>
      <c r="C51" t="inlineStr">
        <is>
          <t>Springer Capital</t>
        </is>
      </c>
      <c r="D51" t="inlineStr">
        <is>
          <t>linkedin</t>
        </is>
      </c>
      <c r="E51">
        <f>HYPERLINK("https://www.linkedin.com/jobs/view/4374040501", "https://www.linkedin.com/jobs/view/4374040501")</f>
        <v/>
      </c>
      <c r="F51" t="inlineStr"/>
      <c r="G51" t="inlineStr">
        <is>
          <t>Idaho, United States</t>
        </is>
      </c>
      <c r="H51" t="inlineStr"/>
      <c r="I51" t="inlineStr">
        <is>
          <t>**Position Overview**
 We are seeking a skilled
 **Data Engineer** 
 with 35 years of experience to design, build, and maintain robust data pipelines and platforms. The ideal candidate will work closely with data analysts, data scientists, and business stakeholders to ensure reliable, scalable, and high\-quality data solutions that support analytics, reporting, and business decision\-making.
**Key Responsibilities \&amp; Deliverables**
**Data Pipeline Development**
* Design, build, and maintain ETL/ELT pipelines to ingest, transform, and process structured and unstructured data from multiple sources.
* Ensure data pipelines are scalable, reliable, and optimized for performance.
* Build and optimize batch processing workflows for AI/ML model training, inference, and feature engineering
* Collaborate with cross\-functional teams to understand data requirements and implement solutions that meet business needs.
**Data Modeling \&amp; Management**
* Develop and maintain data models, schemas, and storage solutions for analytical and operational purposes.
* Implement best practices for data warehousing, database design, and metadata management.
* Ensure data quality, consistency, and accuracy across pipelines and storage systems.
**Collaboration \&amp; Support**
* Partner with data analysts, data scientists, and BI teams to provide clean, well\-structured data for analysis and reporting.
* Troubleshoot, debug, and optimize data processes and pipeline performance.
* Document data architecture, pipelines, and processes for internal reference and compliance.
**Core Qualifications And Competencies**
* Bachelors degree in Computer Science, Information Technology, or a related field.
* 35 years of experience in data engineering, ETL development, or data warehousing.
* Strong programming skills in SQL and Python/Scala/Java.
* Understanding of Role\-Based Access Control (RBAC) principles and implementation across data platforms
* Hands\-on experience with relational and NoSQL databases (e.g., MySQL, PostgreSQL, MongoDB).
* Experience with cloud platforms and tools (AWS, Azure, GCP, Redshift, Snowflake, BigQuery).
* Knowledge of data modeling, schema design, and data pipeline best practices.
* Understanding of data governance, security, and compliance standards.
**Nice\-to\-Have Skills**
* Familiarity with streaming concepts and message queues (Kafka, etc.) for understanding upstream data sources
* Hands\-on experience with workflow orchestration tools (Airflow, Luigi, Prefect)
* Exposure to BI tools (Power BI, Tableau, Looker) and analytics pipelines.
* Knowledge of DevOps practices for CI/CD and infrastructure as code.
* Why This Opportunity
* 100% remote work work from anywhere
* Global exposure, working with distributed teams across geographies
* Competitive salary aligned with experience and market standards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2026-02-19T20:34:59Z</dcterms:created>
  <dcterms:modified xsi:type="dcterms:W3CDTF">2026-02-19T20:34:59Z</dcterms:modified>
</cp:coreProperties>
</file>