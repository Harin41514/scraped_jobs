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in-809c20d411e747a1</t>
        </is>
      </c>
      <c r="B2" t="inlineStr">
        <is>
          <t>Applied Scientist II, Prime Video - Personalization and Discovery Science, Personalization and Discovery Science</t>
        </is>
      </c>
      <c r="C2" t="inlineStr">
        <is>
          <t>Amazon.com</t>
        </is>
      </c>
      <c r="D2" t="inlineStr">
        <is>
          <t>indeed</t>
        </is>
      </c>
      <c r="E2" t="inlineStr"/>
      <c r="F2" t="inlineStr"/>
      <c r="G2" t="inlineStr">
        <is>
          <t>New York, NY, US</t>
        </is>
      </c>
      <c r="H2" s="2" t="n">
        <v>45930</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in-4cc16340d29f4123</t>
        </is>
      </c>
      <c r="B3" t="inlineStr">
        <is>
          <t>Applied Scientist II, Prime Video - Personalization and Discovery Science, Personalization and Discovery Science</t>
        </is>
      </c>
      <c r="C3" t="inlineStr">
        <is>
          <t>Amazon.com</t>
        </is>
      </c>
      <c r="D3" t="inlineStr">
        <is>
          <t>indeed</t>
        </is>
      </c>
      <c r="E3" t="inlineStr"/>
      <c r="F3" t="inlineStr"/>
      <c r="G3" t="inlineStr">
        <is>
          <t>Seattle, WA, US</t>
        </is>
      </c>
      <c r="H3" s="2" t="n">
        <v>45930</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in-db849254a1b1e28b</t>
        </is>
      </c>
      <c r="B4" t="inlineStr">
        <is>
          <t>Applied Scientist II, Prime Video - Personalization and Discovery Science, Personalization and Discovery Science</t>
        </is>
      </c>
      <c r="C4" t="inlineStr">
        <is>
          <t>Amazon.com</t>
        </is>
      </c>
      <c r="D4" t="inlineStr">
        <is>
          <t>indeed</t>
        </is>
      </c>
      <c r="E4" t="inlineStr"/>
      <c r="F4" t="inlineStr"/>
      <c r="G4" t="inlineStr">
        <is>
          <t>Sunnyvale, CA, US</t>
        </is>
      </c>
      <c r="H4" s="2"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in-2f58154f81875cd6</t>
        </is>
      </c>
      <c r="B5" t="inlineStr">
        <is>
          <t>Applied Scientist II, Prime Video - Personalization and Discovery Science</t>
        </is>
      </c>
      <c r="C5" t="inlineStr">
        <is>
          <t>Amazon.com</t>
        </is>
      </c>
      <c r="D5" t="inlineStr">
        <is>
          <t>indeed</t>
        </is>
      </c>
      <c r="E5" t="inlineStr"/>
      <c r="F5" t="inlineStr"/>
      <c r="G5" t="inlineStr">
        <is>
          <t>Sunnyvale, CA, US</t>
        </is>
      </c>
      <c r="H5" s="2" t="n">
        <v>45915</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in-c65db71113423289</t>
        </is>
      </c>
      <c r="B6" t="inlineStr">
        <is>
          <t>Applied Scientist II, Prime Video - Personalization and Discovery Science</t>
        </is>
      </c>
      <c r="C6" t="inlineStr">
        <is>
          <t>Amazon.com</t>
        </is>
      </c>
      <c r="D6" t="inlineStr">
        <is>
          <t>indeed</t>
        </is>
      </c>
      <c r="E6" t="inlineStr"/>
      <c r="F6" t="inlineStr"/>
      <c r="G6" t="inlineStr">
        <is>
          <t>New York, NY, US</t>
        </is>
      </c>
      <c r="H6" s="2" t="n">
        <v>45915</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in-1c70d93683efd769</t>
        </is>
      </c>
      <c r="B7" t="inlineStr">
        <is>
          <t>Applied Scientist II, Prime Video - Personalization and Discovery Science</t>
        </is>
      </c>
      <c r="C7" t="inlineStr">
        <is>
          <t>Amazon.com</t>
        </is>
      </c>
      <c r="D7" t="inlineStr">
        <is>
          <t>indeed</t>
        </is>
      </c>
      <c r="E7" t="inlineStr"/>
      <c r="F7" t="inlineStr"/>
      <c r="G7" t="inlineStr">
        <is>
          <t>Seattle, WA, US</t>
        </is>
      </c>
      <c r="H7" s="2" t="n">
        <v>45915</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in-be1009ed7d481d72</t>
        </is>
      </c>
      <c r="B8" t="inlineStr">
        <is>
          <t>Sr. Applied Scientist, Prime Video - Personalization and Discovery Science</t>
        </is>
      </c>
      <c r="C8" t="inlineStr">
        <is>
          <t>Amazon.com</t>
        </is>
      </c>
      <c r="D8" t="inlineStr">
        <is>
          <t>indeed</t>
        </is>
      </c>
      <c r="E8" t="inlineStr"/>
      <c r="F8" t="inlineStr"/>
      <c r="G8" t="inlineStr">
        <is>
          <t>New York, NY, US</t>
        </is>
      </c>
      <c r="H8" s="2" t="n">
        <v>45914</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in-2f3a4d48009fe57d</t>
        </is>
      </c>
      <c r="B9" t="inlineStr">
        <is>
          <t>Sr. Applied Scientist, Prime Video - Personalization and Discovery Science</t>
        </is>
      </c>
      <c r="C9" t="inlineStr">
        <is>
          <t>Amazon.com</t>
        </is>
      </c>
      <c r="D9" t="inlineStr">
        <is>
          <t>indeed</t>
        </is>
      </c>
      <c r="E9" t="inlineStr"/>
      <c r="F9" t="inlineStr"/>
      <c r="G9" t="inlineStr">
        <is>
          <t>Seattle, WA, US</t>
        </is>
      </c>
      <c r="H9" s="2" t="n">
        <v>45914</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in-12f91a9bebc0e425</t>
        </is>
      </c>
      <c r="B10" t="inlineStr">
        <is>
          <t>Sr. Applied Scientist, Prime Video - Personalization and Discovery Science</t>
        </is>
      </c>
      <c r="C10" t="inlineStr">
        <is>
          <t>Amazon.com</t>
        </is>
      </c>
      <c r="D10" t="inlineStr">
        <is>
          <t>indeed</t>
        </is>
      </c>
      <c r="E10" t="inlineStr"/>
      <c r="F10" t="inlineStr"/>
      <c r="G10" t="inlineStr">
        <is>
          <t>Sunnyvale, CA, US</t>
        </is>
      </c>
      <c r="H10" s="2" t="n">
        <v>45914</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in-dbb74a47f058626d</t>
        </is>
      </c>
      <c r="B11" t="inlineStr">
        <is>
          <t>Sr. Applied Scientist, Prime Video - Personalization and Discovery Science</t>
        </is>
      </c>
      <c r="C11" t="inlineStr">
        <is>
          <t>Amazon.com</t>
        </is>
      </c>
      <c r="D11" t="inlineStr">
        <is>
          <t>indeed</t>
        </is>
      </c>
      <c r="E11" t="inlineStr"/>
      <c r="F11" t="inlineStr"/>
      <c r="G11" t="inlineStr">
        <is>
          <t>New York, NY, US</t>
        </is>
      </c>
      <c r="H11" s="2" t="n">
        <v>45881</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in-c5d6c3a21e00015e</t>
        </is>
      </c>
      <c r="B12" t="inlineStr">
        <is>
          <t>Sr. Applied Scientist, Prime Video - Personalization and Discovery Science</t>
        </is>
      </c>
      <c r="C12" t="inlineStr">
        <is>
          <t>Amazon.com</t>
        </is>
      </c>
      <c r="D12" t="inlineStr">
        <is>
          <t>indeed</t>
        </is>
      </c>
      <c r="E12" t="inlineStr"/>
      <c r="F12" t="inlineStr"/>
      <c r="G12" t="inlineStr">
        <is>
          <t>Sunnyvale, CA, US</t>
        </is>
      </c>
      <c r="H12" s="2" t="n">
        <v>45881</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in-bd9fad0858ea0635</t>
        </is>
      </c>
      <c r="B13" t="inlineStr">
        <is>
          <t>Applied Scientist II, Prime Video - Personalization and Discovery Science</t>
        </is>
      </c>
      <c r="C13" t="inlineStr">
        <is>
          <t>Amazon.com</t>
        </is>
      </c>
      <c r="D13" t="inlineStr">
        <is>
          <t>indeed</t>
        </is>
      </c>
      <c r="E13" t="inlineStr"/>
      <c r="F13" t="inlineStr"/>
      <c r="G13" t="inlineStr">
        <is>
          <t>New York, NY, US</t>
        </is>
      </c>
      <c r="H13" s="2" t="n">
        <v>45881</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in-d72785267607ff12</t>
        </is>
      </c>
      <c r="B14" t="inlineStr">
        <is>
          <t>Sr. Applied Scientist, Prime Video - Personalization and Discovery Science</t>
        </is>
      </c>
      <c r="C14" t="inlineStr">
        <is>
          <t>Amazon.com</t>
        </is>
      </c>
      <c r="D14" t="inlineStr">
        <is>
          <t>indeed</t>
        </is>
      </c>
      <c r="E14" t="inlineStr"/>
      <c r="F14" t="inlineStr"/>
      <c r="G14" t="inlineStr">
        <is>
          <t>Seattle, WA,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in-f8eaa483e1902fb1</t>
        </is>
      </c>
      <c r="B15" t="inlineStr">
        <is>
          <t>Applied Scientist II, Prime Video - Personalization and Discovery Science</t>
        </is>
      </c>
      <c r="C15" t="inlineStr">
        <is>
          <t>Amazon.com</t>
        </is>
      </c>
      <c r="D15" t="inlineStr">
        <is>
          <t>indeed</t>
        </is>
      </c>
      <c r="E15" t="inlineStr"/>
      <c r="F15" t="inlineStr"/>
      <c r="G15" t="inlineStr">
        <is>
          <t>Seattle, WA,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in-e082b08e89f39314</t>
        </is>
      </c>
      <c r="B16" t="inlineStr">
        <is>
          <t>Applied Scientist II, Prime Video - Personalization and Discovery Science</t>
        </is>
      </c>
      <c r="C16" t="inlineStr">
        <is>
          <t>Amazon.com</t>
        </is>
      </c>
      <c r="D16" t="inlineStr">
        <is>
          <t>indeed</t>
        </is>
      </c>
      <c r="E16" t="inlineStr"/>
      <c r="F16" t="inlineStr"/>
      <c r="G16" t="inlineStr">
        <is>
          <t>Sunnyvale, CA,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in-466721d229e1a334</t>
        </is>
      </c>
      <c r="B17" t="inlineStr">
        <is>
          <t>AI &amp; GenAI Data Scientist – Senior Manager</t>
        </is>
      </c>
      <c r="C17" t="inlineStr">
        <is>
          <t>PwC</t>
        </is>
      </c>
      <c r="D17" t="inlineStr">
        <is>
          <t>indeed</t>
        </is>
      </c>
      <c r="E17" t="inlineStr"/>
      <c r="F17" t="inlineStr"/>
      <c r="G17" t="inlineStr">
        <is>
          <t>Dallas, TX, US</t>
        </is>
      </c>
      <c r="H17" s="2" t="n">
        <v>46041</v>
      </c>
      <c r="I1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
      <c r="A18" t="inlineStr">
        <is>
          <t>in-43736c2d7430505d</t>
        </is>
      </c>
      <c r="B18" t="inlineStr">
        <is>
          <t>AI &amp; GenAI Data Scientist – Senior Manager</t>
        </is>
      </c>
      <c r="C18" t="inlineStr">
        <is>
          <t>PwC</t>
        </is>
      </c>
      <c r="D18" t="inlineStr">
        <is>
          <t>indeed</t>
        </is>
      </c>
      <c r="E18" t="inlineStr"/>
      <c r="F18" t="inlineStr"/>
      <c r="G18" t="inlineStr">
        <is>
          <t>Boston, MA, US</t>
        </is>
      </c>
      <c r="H18" s="2" t="n">
        <v>46041</v>
      </c>
      <c r="I18"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
      <c r="A19" t="inlineStr">
        <is>
          <t>in-bee9b40992552884</t>
        </is>
      </c>
      <c r="B19" t="inlineStr">
        <is>
          <t>AI &amp; GenAI Data Scientist – Senior Manager</t>
        </is>
      </c>
      <c r="C19" t="inlineStr">
        <is>
          <t>PwC</t>
        </is>
      </c>
      <c r="D19" t="inlineStr">
        <is>
          <t>indeed</t>
        </is>
      </c>
      <c r="E19" t="inlineStr"/>
      <c r="F19" t="inlineStr"/>
      <c r="G19" t="inlineStr">
        <is>
          <t>San Diego, CA, US</t>
        </is>
      </c>
      <c r="H19" s="2" t="n">
        <v>46041</v>
      </c>
      <c r="I19"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0">
      <c r="A20" t="inlineStr">
        <is>
          <t>in-86b9bd72944f827e</t>
        </is>
      </c>
      <c r="B20" t="inlineStr">
        <is>
          <t>AI &amp; GenAI Data Scientist – Senior Manager</t>
        </is>
      </c>
      <c r="C20" t="inlineStr">
        <is>
          <t>PwC</t>
        </is>
      </c>
      <c r="D20" t="inlineStr">
        <is>
          <t>indeed</t>
        </is>
      </c>
      <c r="E20" t="inlineStr"/>
      <c r="F20" t="inlineStr"/>
      <c r="G20" t="inlineStr">
        <is>
          <t>Atlanta, GA, US</t>
        </is>
      </c>
      <c r="H20" s="2" t="n">
        <v>46041</v>
      </c>
      <c r="I20"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1">
      <c r="A21" t="inlineStr">
        <is>
          <t>in-6f1e3c1da9032bf8</t>
        </is>
      </c>
      <c r="B21" t="inlineStr">
        <is>
          <t>AI &amp; GenAI Data Scientist – Senior Manager</t>
        </is>
      </c>
      <c r="C21" t="inlineStr">
        <is>
          <t>PwC</t>
        </is>
      </c>
      <c r="D21" t="inlineStr">
        <is>
          <t>indeed</t>
        </is>
      </c>
      <c r="E21" t="inlineStr"/>
      <c r="F21" t="inlineStr"/>
      <c r="G21" t="inlineStr">
        <is>
          <t>Philadelphia, PA, US</t>
        </is>
      </c>
      <c r="H21" s="2" t="n">
        <v>46041</v>
      </c>
      <c r="I21"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2">
      <c r="A22" t="inlineStr">
        <is>
          <t>in-fa652ae81b83a564</t>
        </is>
      </c>
      <c r="B22" t="inlineStr">
        <is>
          <t>AI &amp; GenAI Data Scientist – Senior Manager</t>
        </is>
      </c>
      <c r="C22" t="inlineStr">
        <is>
          <t>PwC</t>
        </is>
      </c>
      <c r="D22" t="inlineStr">
        <is>
          <t>indeed</t>
        </is>
      </c>
      <c r="E22" t="inlineStr"/>
      <c r="F22" t="inlineStr"/>
      <c r="G22" t="inlineStr">
        <is>
          <t>Chicago, IL, US</t>
        </is>
      </c>
      <c r="H22" s="2" t="n">
        <v>46041</v>
      </c>
      <c r="I22"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3">
      <c r="A23" t="inlineStr">
        <is>
          <t>in-33a794d56b248a43</t>
        </is>
      </c>
      <c r="B23" t="inlineStr">
        <is>
          <t>AI &amp; GenAI Data Scientist – Senior Manager</t>
        </is>
      </c>
      <c r="C23" t="inlineStr">
        <is>
          <t>PwC</t>
        </is>
      </c>
      <c r="D23" t="inlineStr">
        <is>
          <t>indeed</t>
        </is>
      </c>
      <c r="E23" t="inlineStr"/>
      <c r="F23" t="inlineStr"/>
      <c r="G23" t="inlineStr">
        <is>
          <t>San Francisco, CA, US</t>
        </is>
      </c>
      <c r="H23" s="2" t="n">
        <v>46041</v>
      </c>
      <c r="I23"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
      <c r="A24" t="inlineStr">
        <is>
          <t>in-0c35fc6564a567bb</t>
        </is>
      </c>
      <c r="B24" t="inlineStr">
        <is>
          <t>AI &amp; GenAI Data Scientist – Senior Manager</t>
        </is>
      </c>
      <c r="C24" t="inlineStr">
        <is>
          <t>PwC</t>
        </is>
      </c>
      <c r="D24" t="inlineStr">
        <is>
          <t>indeed</t>
        </is>
      </c>
      <c r="E24" t="inlineStr"/>
      <c r="F24" t="inlineStr"/>
      <c r="G24" t="inlineStr">
        <is>
          <t>Los Angeles, CA, US</t>
        </is>
      </c>
      <c r="H24" s="2" t="n">
        <v>46041</v>
      </c>
      <c r="I24"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
      <c r="A25" t="inlineStr">
        <is>
          <t>in-3c81c8aac0ec19fc</t>
        </is>
      </c>
      <c r="B25" t="inlineStr">
        <is>
          <t>AI &amp; GenAI Data Scientist – Senior Manager</t>
        </is>
      </c>
      <c r="C25" t="inlineStr">
        <is>
          <t>PwC</t>
        </is>
      </c>
      <c r="D25" t="inlineStr">
        <is>
          <t>indeed</t>
        </is>
      </c>
      <c r="E25" t="inlineStr"/>
      <c r="F25" t="inlineStr"/>
      <c r="G25" t="inlineStr">
        <is>
          <t>Florham Park, NJ, US</t>
        </is>
      </c>
      <c r="H25" s="2" t="n">
        <v>46041</v>
      </c>
      <c r="I25"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6">
      <c r="A26" t="inlineStr">
        <is>
          <t>in-cd3d12df649379df</t>
        </is>
      </c>
      <c r="B26" t="inlineStr">
        <is>
          <t>AI &amp; GenAI Data Scientist – Senior Manager</t>
        </is>
      </c>
      <c r="C26" t="inlineStr">
        <is>
          <t>PwC</t>
        </is>
      </c>
      <c r="D26" t="inlineStr">
        <is>
          <t>indeed</t>
        </is>
      </c>
      <c r="E26" t="inlineStr"/>
      <c r="F26" t="inlineStr"/>
      <c r="G26" t="inlineStr">
        <is>
          <t>Houston, TX, US</t>
        </is>
      </c>
      <c r="H26" s="2" t="n">
        <v>46041</v>
      </c>
      <c r="I26"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
      <c r="A27" t="inlineStr">
        <is>
          <t>in-fef733756ebc4b42</t>
        </is>
      </c>
      <c r="B27" t="inlineStr">
        <is>
          <t>AI &amp; GenAI Data Scientist – Senior Manager</t>
        </is>
      </c>
      <c r="C27" t="inlineStr">
        <is>
          <t>PwC</t>
        </is>
      </c>
      <c r="D27" t="inlineStr">
        <is>
          <t>indeed</t>
        </is>
      </c>
      <c r="E27" t="inlineStr"/>
      <c r="F27" t="inlineStr"/>
      <c r="G27" t="inlineStr">
        <is>
          <t>Seattle, WA, US</t>
        </is>
      </c>
      <c r="H27" s="2" t="n">
        <v>46041</v>
      </c>
      <c r="I27"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
      <c r="A28" t="inlineStr">
        <is>
          <t>in-423f36fe7e00fd71</t>
        </is>
      </c>
      <c r="B28" t="inlineStr">
        <is>
          <t>AI &amp; GenAI Data Scientist – Senior Manager</t>
        </is>
      </c>
      <c r="C28" t="inlineStr">
        <is>
          <t>PwC</t>
        </is>
      </c>
      <c r="D28" t="inlineStr">
        <is>
          <t>indeed</t>
        </is>
      </c>
      <c r="E28" t="inlineStr"/>
      <c r="F28" t="inlineStr"/>
      <c r="G28" t="inlineStr">
        <is>
          <t>Denver, CO, US</t>
        </is>
      </c>
      <c r="H28" s="2" t="n">
        <v>46041</v>
      </c>
      <c r="I28"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
      <c r="A29" t="inlineStr">
        <is>
          <t>in-df9f7f4d5c2712a2</t>
        </is>
      </c>
      <c r="B29" t="inlineStr">
        <is>
          <t>AI &amp; GenAI Data Scientist – Senior Manager</t>
        </is>
      </c>
      <c r="C29" t="inlineStr">
        <is>
          <t>PwC</t>
        </is>
      </c>
      <c r="D29" t="inlineStr">
        <is>
          <t>indeed</t>
        </is>
      </c>
      <c r="E29" t="inlineStr"/>
      <c r="F29" t="inlineStr"/>
      <c r="G29" t="inlineStr">
        <is>
          <t>Tampa, FL, US</t>
        </is>
      </c>
      <c r="H29" s="2" t="n">
        <v>46041</v>
      </c>
      <c r="I29"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0">
      <c r="A30" t="inlineStr">
        <is>
          <t>in-1d95446ec0ccbcaf</t>
        </is>
      </c>
      <c r="B30" t="inlineStr">
        <is>
          <t>AI &amp; GenAI Data Scientist – Senior Manager</t>
        </is>
      </c>
      <c r="C30" t="inlineStr">
        <is>
          <t>PwC</t>
        </is>
      </c>
      <c r="D30" t="inlineStr">
        <is>
          <t>indeed</t>
        </is>
      </c>
      <c r="E30" t="inlineStr"/>
      <c r="F30" t="inlineStr"/>
      <c r="G30" t="inlineStr">
        <is>
          <t>New York, NY, US</t>
        </is>
      </c>
      <c r="H30" s="2" t="n">
        <v>46041</v>
      </c>
      <c r="I30" t="inlineStr">
        <is>
          <t>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
      <c r="A31" t="inlineStr">
        <is>
          <t>in-44ae287c3772617b</t>
        </is>
      </c>
      <c r="B31" t="inlineStr">
        <is>
          <t>Data Scientist II</t>
        </is>
      </c>
      <c r="C31" t="inlineStr">
        <is>
          <t>Sorenson Communications</t>
        </is>
      </c>
      <c r="D31" t="inlineStr">
        <is>
          <t>indeed</t>
        </is>
      </c>
      <c r="E31" t="inlineStr"/>
      <c r="F31" t="inlineStr"/>
      <c r="G31" t="inlineStr">
        <is>
          <t>Salt Lake City, UT, US</t>
        </is>
      </c>
      <c r="H31" s="2" t="n">
        <v>46043</v>
      </c>
      <c r="I31" t="inlineStr">
        <is>
          <t>Come be a part of our mission and make a meaningful and positive impact with the industry leading provider of language services for the Deaf and hard\-of\-hearing!
**Full time Benefits**
* Paid Vacation Time and Paid Sick Time and Paid Holidays
* 401k 6% match with immediate vesting
* Nationwide Medical Insurance plans and coverage (Medical, Dental/Orthodontia, Vision)
* + TeleDoc
	+ HSA company match
	+ 3 Medical plan options including a Low Deductible PPO Medical Plan Offering
* Employee Assistance Program
* Engaged Employee Resource Groups
* Outstanding Learning and Career Development Opportunities
**Pay Range:** Actual pay may vary up or down depending on job\-related factors which may include knowledge, skills, experience, and location. In addition, this position may be eligible for incentive compensation.
**\* Applicants must be legally eligible to work in the United States to be considered. Visa sponsorship is not available for this role \***
**Job Summary**
Data analysis, modeling, and forecasting is at the heart of our business and service. This position requires a strong applied statistics and mathematics background. Knowledge and experience in math, statistics, neural networks, and machine learning are needed to analyze company metrics and develop high\-quality models. This position works as a member of our data science team to turn data into critical information \&amp; knowledge that can be used to make sound business service decisions.
**Essential Duties and Responsibilities**
* Member of a small team focused on creating strategies, discovery, innovation, and development of long\-term company data science plans.
* Use programming languages such as Python, R, SQL, to produce algorithms used for analysis, forecasting, and reporting.
* Employ visualization tools such as Power BI or Tableau to build mission\-critical reports for multiple departments utilizing advanced analytics while ensuring the end product can be understood and digested by non\-technical audiences.
* Assist with designs, development and maintaining business intelligence applications and solutions.
* Utilize data mining and modeling techniques to prototype novel reports.
* Build critical report logic for daily, weekly, monthly, and quarterly reports.
* Collaborate with IT and software development teams to design business intelligence solutions to facilitate data gathering, storage and retrieval.
* Interpret data to identify trends, conduct root cause analysis, and suggest areas for process improvement.
* Perform statistical analysis on business data based on requests from senior leadership or project teams.
* Assist with design and development of machine learning applications that provide actionable data with the aim of implementation in the production environment.
* Diligently test your own work to ensure accuracy, functionality, integrity, and relevance.
* Work with and assist software engineers to integrate forecasting services into production applications.
* Stay current and informed on the latest data science trends and techniques.
* Other assignments as required.
**Supervisory Responsibility**
This position has no supervisory responsibilities.
**Travel Requirements**
Travel Requirements: Less than 25%
**Education**
Minimum of a 4 Year / Bachelors Degree in math, statistics, or related fields with advanced degree a plus.
**Experience**
3 years experience Including experience with large data sets.
**Knowledge, Skills, and Abilities**
* Intermediate knowledge in data science, math, and statistics.
* Ability to read, interpret, apply, and implement advanced topics in data science (such as probability and statistics, signal processing, queueing theory, Bayesian data analysis, artificial neural networks, time series analysis, etc.).
* Experience working with Databricks.
* Fluent in the use data visualization tools such as Power BI or Tableau.
* Intermediate understanding of full ETL process in SQL Server.
* Expertise in R, Python, or another data analysis language.
* History of use of the processes required to analyze very large data sets.
* Knowledge of parallel (CPU \&amp; GPU), cluster, and cloud computing processing a strong plus.
* Detail\-oriented and able to manage own schedule and time.
* Performs work under direct supervision.
* Ability to meet strict deadlines and handle complex algorithms and business problems.
**Company Summary**
*Our Mission*…Harnessing the power of language, we connect diverse people and enrich the human experience.
*Our Vision*…To provide global language services that expand opportunities, nurture belonging, and empower the world to connect beyond words.
As one of the world’s leading language services providers, Sorenson combines patented technology with human\-centric solutions. We strive to increase accessibility and inclusion through communication solutions for all: call captioning and video relay services, over\-video and in\-person sign language and spoken language interpreting, translation, real\-time captioning, and post\-production language services. Sorenson’s impact vision and plan extends to enhancing generational wealth and inclusive workplaces for our employees and the communities we serve.
We achieve great things together working “The Sorenson Way” with our employee values: Customer First, Can\-Do Attitude, Collective Action, Growth Mindset, Ownership, and Connect Direct.
**Equal Employment Opportunity:**  
Sorenson Communications is an Equal Opportunity, Affirmative Action Employer.</t>
        </is>
      </c>
    </row>
    <row r="32">
      <c r="A32" t="inlineStr">
        <is>
          <t>in-bfb3f9094aee3db8</t>
        </is>
      </c>
      <c r="B32" t="inlineStr">
        <is>
          <t>Data Scientist</t>
        </is>
      </c>
      <c r="C32" t="inlineStr">
        <is>
          <t>American Bureau of Shipping (ABS)</t>
        </is>
      </c>
      <c r="D32" t="inlineStr">
        <is>
          <t>indeed</t>
        </is>
      </c>
      <c r="E32" t="inlineStr"/>
      <c r="F32" t="inlineStr"/>
      <c r="G32" t="inlineStr">
        <is>
          <t>Houston, TX, US</t>
        </is>
      </c>
      <c r="H32" s="2" t="n">
        <v>46042</v>
      </c>
      <c r="I32" t="inlineStr">
        <is>
          <t>The Data Scientist analyzes the complex and unstructured data using state\-of\-the\-art data science methods for data\-driven decision\-making. This role uses knowledge of data science methods and applies analytics to solve real\-world problems. The Data Scientist will work with customers to collect and understand data, perform wrangling, develop applications, and collaborate actively across the organization and with senior management to accomplish various objectives.
**What You Will Do:**
* Work with internal departments (Digital, Survey, Engineering, etc.) and external stakeholders to leverage data to drive organizational decision\-making in areas like maintenance, service, improvements, event predictions, etc.
* Utilize knowledge of modern data\-driven methods and domain understanding to support the creation of new products, services, and insights.
* Be able to write independent source code, validate and test for model quality assessment and improvement
* Knowledge of data architectures and database design
* Knowledge in applying system identification methods like Kalman filters, particle filters, etc. to real\-world problems
* Knowledge of machine learning and artificial intelligence methods
* Develop data collection efforts for data quality improvement, in both existing and new data streams to support overall business goals
* Be able to think independently and work as part of a cross\-functional team to achieve common goals
* Comfortable working independently on data engineering, pre\-processing, and data preparation tasks to prepare data for further analysis
* Generate Intellectual Property for the company
* Evaluate and partner with external customers, vendors, university relations, and other teams
* Stay current in the field of advanced analytics and take initiative to apply new technologies
**What You Will Need:**
Education and Experience
* Bachelor’s degree in data science, Statistics, Computer Science, Engineering, or another relevant field degree required
* Master’s degree in Data Science, Statistics, Computer Science, Engineering, or another relevant field preferred
* Minimum 0\-4 years of relevant experience in data/analytics.
Knowledge, Skills, and Abilities
* Ability to develop a working knowledge of ABS Rules, Guides, statutory regulations, and related instructions, as well as the ABS Employee Safety Policy.
* Strong written and verbal communications skills
* Experience in working as part of multi\-faceted teams
* Experience in System Identification, Machine Learning, and other data science technologies such as Artificial Intelligence, Risk Analysis, and Statistical methods
* Specialties in utilizing data in developing physics\-based and time\-series models
* Experience with applications such as Python, MATLAB, R, or similar
* Familiarity with database architectures such as SQL, NoSQL, or similar
* Familiarity with distributed storage and processing for Big Data (e.g., Hadoop or similar)
* Ability to quickly adapt and learn new domain
* Display an entrepreneurial mindset and think practical, ‘out of box’ solutions
* Obtain a working knowledge of the ABS Health, Safety, Quality, and Environmental Management Systems.
**Reporting Relationships:**
Reports directly to the Chief Data Scientist or a Manager, Director, or Executive role.
**Notice:**
This position requires access to information that is subject to control by the Export Administration Regulations and/or the International Traffic in Arms Regulations. Any offer of employment shall be contingent upon the Company’s verification that the candidate is a “U.S. Person” or upon the receipt of all necessary export licenses or authorizations that may be required by U.S. export control laws. “U.S. Persons” are defined as U.S. citizens, U.S. lawful permanent residents (i.e., “green card” holders), or any individual granted protected status under the Immigration and Nationality Act (8 U.S.C. § 1324b(a)(3\)), including asylees and refugees. In the event a candidate refuses or cannot otherwise provide the necessary information for the Company to determine whether such licenses may be required, or for the Company to obtain any required licenses, the Company shall maintain the exclusive right to discontinue the application process and/or withdraw any contingent offer that has been made.</t>
        </is>
      </c>
    </row>
    <row r="33">
      <c r="A33" t="inlineStr">
        <is>
          <t>in-fe1f4b21eab58492</t>
        </is>
      </c>
      <c r="B33" t="inlineStr">
        <is>
          <t>senior data scientist - Digital Data Science (Seattle, WA)</t>
        </is>
      </c>
      <c r="C33" t="inlineStr">
        <is>
          <t>Starbucks</t>
        </is>
      </c>
      <c r="D33" t="inlineStr">
        <is>
          <t>indeed</t>
        </is>
      </c>
      <c r="E33" t="inlineStr"/>
      <c r="F33" t="inlineStr"/>
      <c r="G33" t="inlineStr">
        <is>
          <t>Seattle, WA, US</t>
        </is>
      </c>
      <c r="H33" s="2" t="n">
        <v>46042</v>
      </c>
      <c r="I33" t="inlineStr">
        <is>
          <t>**Senior** **Data Scientist – Seattle, WA – U.S.**
**Now Brewing – Senior Data Scientist, Data \&amp; Analytics!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Are you driven to uncover meaningful insights and build data\-powered solutions that shape the future of the world’s leading coffeehouse brand?
As a **Senior Data Scientist** within Starbucks’ Data \&amp; Analytics (D\&amp;A) organization, you will be part of the centralized data science and engineering team that drives strategic decision\-making and ML/AI capabilities across the business. The D\&amp;A organization spans four key pillars: Customer, Retail Operations, Supply Chain, and Enterprise. Each domain is focused on solving unique and complex challenges through data science. Whether personalizing marketing campaigns, optimizing store operations, improving inventory flow, or unlocking enterprise\-wide initiatives, our data scientists apply advanced analytics, experimentation, and modeling to elevate the Starbucks experience. This centralized recruiting approach allows us to match candidates with the most relevant opportunities based on their skills and interests, ensuring alignment with business needs and personal growth. Join a team where data meets purpose to shape what’s next for Starbucks.
***As a senior data scientist, you will…***
* Lead the design and development of scalable data science solutions from the start to the finish by utilizing machine learning, and statistical analysis. Build scalable processes for cleaning, aggregating, and loading data.
* Understanding business initiatives, challenges, questions, concerns, or ideas, transforming them into successful data science solutions, and monitor data science metrics and KPIs
* Mentor data analysts \&amp; data scientists on best practices, processes, frameworks, and KPIs
* Contribute to project planning, and assist the team with estimations, timelines, and prioritization. Assists in developing the analytical roadmap, data, and technology strategy.
* Own the end\-to\-end lifecycle of AI/ML solutions, from ideation and prototyping to production deployment, ensuring robust offline evaluation and real\-time performance monitoring.
 ***We’d love to hear from people with:***
* Education: BS\+ with a concentration in a quantitative discipline \- Stats, Math, Comp Sci, Engineering, Econ, Quantitative Social Science or similar discipline. Masters preferred
* Minimum of 5\+ years of industry experience in data and analytics work
* Strong problem\-solving skills with the ability to influence leadership teams at different levels
* Significant experience working with predictive and statistical modeling, machine learning, and strong expertise in all phases of the modeling pipeline
* Strong SQL, databases, and ETL / ELT skills required including cleaning and managing data.
* Advanced competency and expertise in Python, R, or some combination
* Demonstrated track record of delivering AI/ML models into production with measurable business impact, including expertise in evaluation techniques (A/B testing, lift analysis) and model governance.
* Experience working with distributed data processing frameworks such as Spark and Databricks, and languages such as Java, PySpark, or Scala
* Strong collaboration instincts – desire \&amp; ability to work with partners to achieve the best outcome for the business.
* Excellent communication, presentation, and storytelling skills. The role requires effective communication with colleagues, stakeholders, and leaders from diverse backgrounds.
* Proven ability to manage multiple, time\-sensitive projects and competing priorities simultaneously to drive projects to completion with minimal guidance and high attention to details.
***Preferred skills:***
* Experience building personalization and recommendation systems (e.g., collaborative filtering, content\-based, or hybrid approaches) for digital platforms or mobile apps.
* Familiarity with ranking algorithms, reinforcement learning, and contextual bandits for optimizing customer experiences.
* Hands\-on experience with model deployment in production environments, including monitoring, retraining, and performance optimization at scale.
* Strong understanding of offline and online evaluation techniques for recommendation systems (e.g., precision/recall, NDCG, A/B testing).
* Knowledge of feature engineering for behavioral and transactional data, and experience leveraging real\-time data streams for model updates.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t>
        </is>
      </c>
    </row>
    <row r="34">
      <c r="A34" t="inlineStr">
        <is>
          <t>in-c33c05bdd5fdffd8</t>
        </is>
      </c>
      <c r="B34" t="inlineStr">
        <is>
          <t>Data Scientist II - Teams Commercial Data Science</t>
        </is>
      </c>
      <c r="C34" t="inlineStr">
        <is>
          <t>Microsoft</t>
        </is>
      </c>
      <c r="D34" t="inlineStr">
        <is>
          <t>indeed</t>
        </is>
      </c>
      <c r="E34" t="inlineStr"/>
      <c r="F34" t="inlineStr"/>
      <c r="G34" t="inlineStr">
        <is>
          <t>Redmond, WA, US</t>
        </is>
      </c>
      <c r="H34" s="2" t="n">
        <v>46037</v>
      </c>
      <c r="I34" t="inlineStr">
        <is>
          <t>**Overview**  
The **Microsoft Teams Data Science team**'s charter is to foster a data\-driven culture to encourage and enable the entire organization to make more informed decisions through data. Our data and analytics team works closely with engineering, marketing, finance, and business leaders to identify opportunities for improving the customer experience and accelerate our business's growth in support of this mission. This is a unique opportunity to bring your knowledge of enterprise software offerings, as well as your understanding of data science methods and best practices, to help Microsoft deliver the best experience possible for our customers and partners.  
We are a modern product and services organization, one of the largest business \&amp; consumer services on the planet, with over 300 million monthly active users. Data scientists on this team will be part of the broader data science team, and collaborate with product teams focused on tangible and measurable business impact.  
Teams is strategic for the company and brings many exciting opportunities to improve the user experience and drive efficiency. This requires partnering with other data scientists within and outside Teams, business analysis, PMs, Applied Science, Engineers, and User Research. This role requires technical depth and experience leveraging statistics, data analysis, and visualization to drive business insights that lead to action and deliver business outcomes.
As a Data Scientist you will own and execute end‑to‑end data analysis for Teams Commercial scenarios, translating product questions into clearly defined metrics, insights, and recommendations that inform product and engineering decisions. You will build and strengthen foundation in product analytics, experimentation, and storytelling while partnering closely with DS and PM leaders to grow scope, influence, and technical depth.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other teams across Microsoft to develop key metrics to achieve business outcomes.
* Work cross functionally to translate business problems into ones that can be solved and informed by data.
* Communicate vision and strategy, enabling global teams to operate independently to deliver success
* Demonstrate curiosity and apply analytical skills to dive deep into data to find key insights that impact the business.
* Develop models of usage, user interaction and business patterns to make recommendations and influence the product roadmap.
* Serve as a contributor and advocate for AB testing. Design, execute and analyze experiments to evaluate product change attribution.
* Utilize tools like SQL, R, Python to execute analyses.
* Develop and manage relationships with product and business leaders across the organization to understand objectives and identify opportunities.
* Collaborate closely with other Microsoft Data Science and Data Engineering teams to deliver data\-informed solutions to address the business's priority needs.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3\+ years leveraging experience and understanding the need to deliver measurable business impact by working with stakeholders to turn business problems into data analysis questions and unearthing actionable insights from data.
* Experience as a data scientist for an online service, app, or Web site with millions of users. Experience working on an online collaboration, video conference, or messaging product is a plus.
* Have a track record of innovative thinking and problem\-solving skills using Big Data.
* Have the ability to deliver on ambiguous projects with incomplete data.
* 3\+ years leveraging the practical uses of statistics (i.e. experimentation, statistical modeling).
* Professional experience with large\-scale computing systems like Hadoop, MapReduce, and/or similar systems.
* 3\+ years of professional experience in SQL, R, Python, or related tools for large\-scale analysis.
* Ability to clearly explain ideas and communicate complex analysis \&amp; insights to a non\-technical audience.
* Experience working as part of geographically dispersed, diverse, and virtual teams.
\#W\+DJOBS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5">
      <c r="A35" t="inlineStr">
        <is>
          <t>in-a76bd12924a91c90</t>
        </is>
      </c>
      <c r="B35" t="inlineStr">
        <is>
          <t>Data Scientist – Finance &amp; Accounting Automation</t>
        </is>
      </c>
      <c r="C35" t="inlineStr">
        <is>
          <t>Qualcomm</t>
        </is>
      </c>
      <c r="D35" t="inlineStr">
        <is>
          <t>indeed</t>
        </is>
      </c>
      <c r="E35" t="inlineStr"/>
      <c r="F35" t="inlineStr"/>
      <c r="G35" t="inlineStr">
        <is>
          <t>San Diego, CA, US</t>
        </is>
      </c>
      <c r="H35" s="2" t="n">
        <v>46030</v>
      </c>
      <c r="I35" t="inlineStr">
        <is>
          <t>**Company:**
------------
Qualcomm Technologies, Inc.**Job Area:**
-------------
Information Technology Group, Information Technology Group \&gt; Data Science**General Summary:**
We care deeply about transforming lives with Qualcomm technology to enrich our industry, our communities, and the world. Our mission is to build great products that accelerate next\-generation computing experiences — the building blocks for the data center, artificial intelligence, PCs, gaming, and embedded systems. Underpinning our mission is the Qualcomm culture. We push the limits of innovation to solve the world’s most important challenges. We strive for execution excellence while being direct, humble, collaborative, and inclusive of diverse perspectives.
At Qualcomm: Together, we advance.
**About the Role:**
We are looking for a visionary data scientist to lead the transformation of finance and accounting operations through intelligent automation. This role combines deep technical expertise with strong business acumen to simplify processes, reduce manual effort, and accelerate AI adoption across the organization. You will design and deploy AI systems—including AI agents, and Model Context Protocols (MCP)—that automate complex workflows and empower teams through self\-service tools, training and extensive change management.
**Key Responsibilities:**
**Business Process Simplification**
* Partner with finance and accounting teams to deeply understand workflows and pain points.
* Translate business needs into technical solutions that simplify and streamline operations.
* Ensure all solutions align with compliance standards and audit requirements.
 **AI \&amp; Automation Development**
* Build and deploy AI/ML business solutions (LLMs, agents) and workflows using N8N or similar tools for various finance and accounting tasks such as journal entry automation, reconciliation, forecasting, and anomaly detection.
* Integrate the solution workflow into existing enterprise systems such as Oracle ERP, SAP, Price Management, TM1, and Salesforce
* Develop robust data pipelines to extract, clean, and prepare data from enterprise platforms (Databricks, AWS Redshift, Oracle etc) for AI, and reporting use cases.
**Adoption \&amp; Enablement**
* Drive AI and automation adoption by creating training programs and documentation for finance stakeholders.
* Promote the use of self\-service AI and automation tools to empower non\-technical users.
* Collaborate with IT and operations to leverage and integrate enterprise AI tools into existing systems and processes.
**Data \&amp; Reporting**
* Build and maintain data pipelines that support real\-time and batch AI applications.
* Leverage Tableau, Power BI, and other self\-service reporting tools to visualize insights and track automation impact.
**Strategic Leadership**
* Define KPIs and success metrics for AI initiatives in finance.
* Stay current with advancements in generative AI, agent\-based modeling, and enterprise AI governance.
* Present findings and proposals to executive stakeholders and steering committees.
**Qualifications:**
* Bachelor’s or Master’s degree (MS preferred) in Finance, Accounting, Economics, Computer Science, AI/ML, Applied Mathematics, or related fields.
* 3\+ years of experience building and deploying enterprise level business process improvements and automations, including AI/ML models, workflows, and dashboards.
* Proficiency in SQL
* AI automation and workflow development using N8N or similar tools.
* Understanding of LLMs, AI agents, and context\-aware orchestration (e.g., MCP).
* Strong business acumen in finance and accounting, with the ability to map technical solutions to operational goals.
* Experience with ERP systems (e.g., Oracle, SAP) and financial data structures.
* Proficiency in Tableau, Power BI, or similar tools for self\-service reporting and visualization.
* Experience with Python and Rust a plus.
* Excellent communication and stakeholder management skills.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$46\.30 \- $69\.46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6">
      <c r="A36" t="inlineStr">
        <is>
          <t>in-50f437d7f55e7c15</t>
        </is>
      </c>
      <c r="B36" t="inlineStr">
        <is>
          <t>Principal Applied Scientist</t>
        </is>
      </c>
      <c r="C36" t="inlineStr">
        <is>
          <t>Microsoft</t>
        </is>
      </c>
      <c r="D36" t="inlineStr">
        <is>
          <t>indeed</t>
        </is>
      </c>
      <c r="E36" t="inlineStr"/>
      <c r="F36" t="inlineStr"/>
      <c r="G36" t="inlineStr">
        <is>
          <t>Redmond, WA, US</t>
        </is>
      </c>
      <c r="H36" s="2" t="n">
        <v>46006</v>
      </c>
      <c r="I36" t="inlineStr">
        <is>
          <t>**Overview**  
Join the Signals Modeling team, part of Microsoft AI Ads Engineering, to shape the future of advanced AI at web scale.
In this role, the **Principal Applied Scientist** will design and implement state\-of\-the\-art machine learning models and algorithms that power key systems within Microsoft Ads, Copilot, and beyond. The work will directly impact millions of users and advertisers by delivering scalable solutions that enhance ad relevance and optimize user and advertiser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deploy cutting\-edge machine learning models, including transformers, generative AI, and reinforcement learning, to optimize user interactions and ad relevance across Microsoft Ads and Copilot.
* Design scalable algorithms for online and offline systems, delivering innovative solutions for ads selection, ad generation and ad relevance.
* Drive experimentation through A/B testing and offline validation to evaluate model performance and refine user behavior predictions.
* Build robust data pipelines and frameworks for handling large\-scale, high\-dimensional datasets to support advanced AI applications.
* Stay at the forefront of AI research, incorporating the latest advancements to drive innovation and impact across Microsoft platforms.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Proven experience in programming and data analysis skills.
* Proven expertise in the areas of Generative AI, deep learning, Reinforcement learning, transformers or LLM.
* 6\+ years of experience in developing and deploying large\-scale machine learning models.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
      <c r="A37" t="inlineStr">
        <is>
          <t>in-107c42e602264e66</t>
        </is>
      </c>
      <c r="B37" t="inlineStr">
        <is>
          <t>Applied Scientist, AGI</t>
        </is>
      </c>
      <c r="C37" t="inlineStr">
        <is>
          <t>Amazon.com</t>
        </is>
      </c>
      <c r="D37" t="inlineStr">
        <is>
          <t>indeed</t>
        </is>
      </c>
      <c r="E37" t="inlineStr"/>
      <c r="F37" t="inlineStr"/>
      <c r="G37" t="inlineStr">
        <is>
          <t>Bellevue, WA, US</t>
        </is>
      </c>
      <c r="H37" s="2" t="n">
        <v>45998</v>
      </c>
      <c r="I3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in-1d7572a0d8635d1f</t>
        </is>
      </c>
      <c r="B38" t="inlineStr">
        <is>
          <t>Applied Scientist, AGI</t>
        </is>
      </c>
      <c r="C38" t="inlineStr">
        <is>
          <t>Amazon.com</t>
        </is>
      </c>
      <c r="D38" t="inlineStr">
        <is>
          <t>indeed</t>
        </is>
      </c>
      <c r="E38" t="inlineStr"/>
      <c r="F38" t="inlineStr"/>
      <c r="G38" t="inlineStr">
        <is>
          <t>Cambridge, MA, US</t>
        </is>
      </c>
      <c r="H38" s="2" t="n">
        <v>45998</v>
      </c>
      <c r="I3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in-ba0f0c5896e2dbf5</t>
        </is>
      </c>
      <c r="B39" t="inlineStr">
        <is>
          <t>Applied Scientist, AGI</t>
        </is>
      </c>
      <c r="C39" t="inlineStr">
        <is>
          <t>Amazon.com</t>
        </is>
      </c>
      <c r="D39" t="inlineStr">
        <is>
          <t>indeed</t>
        </is>
      </c>
      <c r="E39" t="inlineStr"/>
      <c r="F39" t="inlineStr"/>
      <c r="G39" t="inlineStr">
        <is>
          <t>Sunnyvale, CA, US</t>
        </is>
      </c>
      <c r="H39" s="2" t="n">
        <v>45998</v>
      </c>
      <c r="I3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in-b0e43abf6a3b187d</t>
        </is>
      </c>
      <c r="B40" t="inlineStr">
        <is>
          <t>Applied Scientist, AGI</t>
        </is>
      </c>
      <c r="C40" t="inlineStr">
        <is>
          <t>Amazon.com</t>
        </is>
      </c>
      <c r="D40" t="inlineStr">
        <is>
          <t>indeed</t>
        </is>
      </c>
      <c r="E40" t="inlineStr"/>
      <c r="F40" t="inlineStr"/>
      <c r="G40" t="inlineStr">
        <is>
          <t>New York, NY, US</t>
        </is>
      </c>
      <c r="H40" s="2" t="n">
        <v>45998</v>
      </c>
      <c r="I4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in-b76d7f59985cb164</t>
        </is>
      </c>
      <c r="B41" t="inlineStr">
        <is>
          <t>Sr. Applied Scientist, Amazon Ads</t>
        </is>
      </c>
      <c r="C41" t="inlineStr">
        <is>
          <t>Amazon.com</t>
        </is>
      </c>
      <c r="D41" t="inlineStr">
        <is>
          <t>indeed</t>
        </is>
      </c>
      <c r="E41" t="inlineStr"/>
      <c r="F41" t="inlineStr"/>
      <c r="G41" t="inlineStr">
        <is>
          <t>Brooklyn, NY,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in-adfac2403e2de174</t>
        </is>
      </c>
      <c r="B42" t="inlineStr">
        <is>
          <t>Sr. Applied Scientist, Amazon Ads</t>
        </is>
      </c>
      <c r="C42" t="inlineStr">
        <is>
          <t>Amazon.com</t>
        </is>
      </c>
      <c r="D42" t="inlineStr">
        <is>
          <t>indeed</t>
        </is>
      </c>
      <c r="E42" t="inlineStr"/>
      <c r="F42" t="inlineStr"/>
      <c r="G42" t="inlineStr">
        <is>
          <t>Sunnyvale, CA,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in-bd8901712685d708</t>
        </is>
      </c>
      <c r="B43" t="inlineStr">
        <is>
          <t>Sr. Applied Scientist, Amazon Ads</t>
        </is>
      </c>
      <c r="C43" t="inlineStr">
        <is>
          <t>Amazon.com</t>
        </is>
      </c>
      <c r="D43" t="inlineStr">
        <is>
          <t>indeed</t>
        </is>
      </c>
      <c r="E43" t="inlineStr"/>
      <c r="F43" t="inlineStr"/>
      <c r="G43" t="inlineStr">
        <is>
          <t>Boston, MA, US</t>
        </is>
      </c>
      <c r="H43" s="2"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in-eb8188ebcd8e23cf</t>
        </is>
      </c>
      <c r="B44" t="inlineStr">
        <is>
          <t>Sr. Applied Scientist, Amazon Ads</t>
        </is>
      </c>
      <c r="C44" t="inlineStr">
        <is>
          <t>Amazon.com</t>
        </is>
      </c>
      <c r="D44" t="inlineStr">
        <is>
          <t>indeed</t>
        </is>
      </c>
      <c r="E44" t="inlineStr"/>
      <c r="F44" t="inlineStr"/>
      <c r="G44" t="inlineStr">
        <is>
          <t>Boulder, CO, US</t>
        </is>
      </c>
      <c r="H44" s="2"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in-5b0fac5c06c5ce61</t>
        </is>
      </c>
      <c r="B45" t="inlineStr">
        <is>
          <t>Sr. Applied Scientist, Amazon Ads</t>
        </is>
      </c>
      <c r="C45" t="inlineStr">
        <is>
          <t>Amazon.com</t>
        </is>
      </c>
      <c r="D45" t="inlineStr">
        <is>
          <t>indeed</t>
        </is>
      </c>
      <c r="E45" t="inlineStr"/>
      <c r="F45" t="inlineStr"/>
      <c r="G45" t="inlineStr">
        <is>
          <t>Palo Alto, CA, US</t>
        </is>
      </c>
      <c r="H45" s="2"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in-57426af1ae488e5c</t>
        </is>
      </c>
      <c r="B46" t="inlineStr">
        <is>
          <t>Sr. Applied Scientist, Amazon Ads</t>
        </is>
      </c>
      <c r="C46" t="inlineStr">
        <is>
          <t>Amazon.com</t>
        </is>
      </c>
      <c r="D46" t="inlineStr">
        <is>
          <t>indeed</t>
        </is>
      </c>
      <c r="E46" t="inlineStr"/>
      <c r="F46" t="inlineStr"/>
      <c r="G46" t="inlineStr">
        <is>
          <t>Tukwila, WA, US</t>
        </is>
      </c>
      <c r="H46" s="2"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in-a609fc9324f9c36c</t>
        </is>
      </c>
      <c r="B47" t="inlineStr">
        <is>
          <t>Sr. Applied Scientist, Amazon Ads</t>
        </is>
      </c>
      <c r="C47" t="inlineStr">
        <is>
          <t>Amazon.com</t>
        </is>
      </c>
      <c r="D47" t="inlineStr">
        <is>
          <t>indeed</t>
        </is>
      </c>
      <c r="E47" t="inlineStr"/>
      <c r="F47" t="inlineStr"/>
      <c r="G47" t="inlineStr">
        <is>
          <t>Seattle, WA, US</t>
        </is>
      </c>
      <c r="H47" s="2"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in-6a7c29942f939577</t>
        </is>
      </c>
      <c r="B48" t="inlineStr">
        <is>
          <t>Sr. Applied Scientist, Amazon Ads</t>
        </is>
      </c>
      <c r="C48" t="inlineStr">
        <is>
          <t>Amazon.com</t>
        </is>
      </c>
      <c r="D48" t="inlineStr">
        <is>
          <t>indeed</t>
        </is>
      </c>
      <c r="E48" t="inlineStr"/>
      <c r="F48" t="inlineStr"/>
      <c r="G48" t="inlineStr">
        <is>
          <t>Santa Monica, CA, US</t>
        </is>
      </c>
      <c r="H48" s="2"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in-53f1249832280f29</t>
        </is>
      </c>
      <c r="B49" t="inlineStr">
        <is>
          <t>Sr. Applied Scientist, Amazon Ads</t>
        </is>
      </c>
      <c r="C49" t="inlineStr">
        <is>
          <t>Amazon.com</t>
        </is>
      </c>
      <c r="D49" t="inlineStr">
        <is>
          <t>indeed</t>
        </is>
      </c>
      <c r="E49" t="inlineStr"/>
      <c r="F49" t="inlineStr"/>
      <c r="G49" t="inlineStr">
        <is>
          <t>Corvallis, OR, US</t>
        </is>
      </c>
      <c r="H49" s="2" t="n">
        <v>45998</v>
      </c>
      <c r="I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0">
      <c r="A50" t="inlineStr">
        <is>
          <t>in-93e3087af5dc546c</t>
        </is>
      </c>
      <c r="B50" t="inlineStr">
        <is>
          <t>Sr. Applied Scientist, Amazon Ads</t>
        </is>
      </c>
      <c r="C50" t="inlineStr">
        <is>
          <t>Amazon.com</t>
        </is>
      </c>
      <c r="D50" t="inlineStr">
        <is>
          <t>indeed</t>
        </is>
      </c>
      <c r="E50" t="inlineStr"/>
      <c r="F50" t="inlineStr"/>
      <c r="G50" t="inlineStr">
        <is>
          <t>New York, NY, US</t>
        </is>
      </c>
      <c r="H50" s="2"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in-cbca35c0c7687aa6</t>
        </is>
      </c>
      <c r="B51" t="inlineStr">
        <is>
          <t>Applied Scientist, ML Compiler</t>
        </is>
      </c>
      <c r="C51" t="inlineStr">
        <is>
          <t>Amazon Web Services</t>
        </is>
      </c>
      <c r="D51" t="inlineStr">
        <is>
          <t>indeed</t>
        </is>
      </c>
      <c r="E51" t="inlineStr"/>
      <c r="F51" t="inlineStr"/>
      <c r="G51" t="inlineStr">
        <is>
          <t>Cupertino, CA, US</t>
        </is>
      </c>
      <c r="H51" s="2" t="n">
        <v>45993</v>
      </c>
      <c r="I5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in-5526e651899c3cdc</t>
        </is>
      </c>
      <c r="B52" t="inlineStr">
        <is>
          <t>Applied Scientist, ML Compiler</t>
        </is>
      </c>
      <c r="C52" t="inlineStr">
        <is>
          <t>Amazon Web Services</t>
        </is>
      </c>
      <c r="D52" t="inlineStr">
        <is>
          <t>indeed</t>
        </is>
      </c>
      <c r="E52" t="inlineStr"/>
      <c r="F52" t="inlineStr"/>
      <c r="G52" t="inlineStr">
        <is>
          <t>Seattle, WA, US</t>
        </is>
      </c>
      <c r="H52" s="2" t="n">
        <v>45993</v>
      </c>
      <c r="I5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in-5f1e278c37c57951</t>
        </is>
      </c>
      <c r="B53" t="inlineStr">
        <is>
          <t>Applied Scientist, Model Customization, Generative AI Innovation Center, Model Customization</t>
        </is>
      </c>
      <c r="C53" t="inlineStr">
        <is>
          <t>Amazon Web Services</t>
        </is>
      </c>
      <c r="D53" t="inlineStr">
        <is>
          <t>indeed</t>
        </is>
      </c>
      <c r="E53" t="inlineStr"/>
      <c r="F53" t="inlineStr"/>
      <c r="G53" t="inlineStr">
        <is>
          <t>New York, NY, US</t>
        </is>
      </c>
      <c r="H53" s="2" t="n">
        <v>45993</v>
      </c>
      <c r="I5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in-a7d268918888c63f</t>
        </is>
      </c>
      <c r="B54" t="inlineStr">
        <is>
          <t>Applied Scientist, Model Customization, Generative AI Innovation Center, Model Customization</t>
        </is>
      </c>
      <c r="C54" t="inlineStr">
        <is>
          <t>Amazon Web Services</t>
        </is>
      </c>
      <c r="D54" t="inlineStr">
        <is>
          <t>indeed</t>
        </is>
      </c>
      <c r="E54" t="inlineStr"/>
      <c r="F54" t="inlineStr"/>
      <c r="G54" t="inlineStr">
        <is>
          <t>Bellevue, WA, US</t>
        </is>
      </c>
      <c r="H54" s="2" t="n">
        <v>45993</v>
      </c>
      <c r="I5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in-2602a7ff0763eb8c</t>
        </is>
      </c>
      <c r="B55" t="inlineStr">
        <is>
          <t>Applied Scientist, Model Customization, Generative AI Innovation Center, Model Customization</t>
        </is>
      </c>
      <c r="C55" t="inlineStr">
        <is>
          <t>Amazon Web Services</t>
        </is>
      </c>
      <c r="D55" t="inlineStr">
        <is>
          <t>indeed</t>
        </is>
      </c>
      <c r="E55" t="inlineStr"/>
      <c r="F55" t="inlineStr"/>
      <c r="G55" t="inlineStr">
        <is>
          <t>Arlington, VA, US</t>
        </is>
      </c>
      <c r="H55" s="2" t="n">
        <v>45993</v>
      </c>
      <c r="I5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in-b852e9a3047ef826</t>
        </is>
      </c>
      <c r="B56" t="inlineStr">
        <is>
          <t>Sr. Applied Scientist, Sponsored Products and Brands Off-Search</t>
        </is>
      </c>
      <c r="C56" t="inlineStr">
        <is>
          <t>Amazon.com</t>
        </is>
      </c>
      <c r="D56" t="inlineStr">
        <is>
          <t>indeed</t>
        </is>
      </c>
      <c r="E56" t="inlineStr"/>
      <c r="F56" t="inlineStr"/>
      <c r="G56" t="inlineStr">
        <is>
          <t>Seattle, WA, US</t>
        </is>
      </c>
      <c r="H56" s="2" t="n">
        <v>45993</v>
      </c>
      <c r="I5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in-d1e144506a9ed06d</t>
        </is>
      </c>
      <c r="B57" t="inlineStr">
        <is>
          <t>Principal Applied Scientist, Amazon Special Projects</t>
        </is>
      </c>
      <c r="C57" t="inlineStr">
        <is>
          <t>Amazon.com</t>
        </is>
      </c>
      <c r="D57" t="inlineStr">
        <is>
          <t>indeed</t>
        </is>
      </c>
      <c r="E57" t="inlineStr"/>
      <c r="F57" t="inlineStr"/>
      <c r="G57" t="inlineStr">
        <is>
          <t>Seattle, WA, US</t>
        </is>
      </c>
      <c r="H57" s="2" t="n">
        <v>45982</v>
      </c>
      <c r="I5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in-324f273757e4063a</t>
        </is>
      </c>
      <c r="B58" t="inlineStr">
        <is>
          <t>Principal Applied Scientist, Amazon Special Projects</t>
        </is>
      </c>
      <c r="C58" t="inlineStr">
        <is>
          <t>Amazon.com</t>
        </is>
      </c>
      <c r="D58" t="inlineStr">
        <is>
          <t>indeed</t>
        </is>
      </c>
      <c r="E58" t="inlineStr"/>
      <c r="F58" t="inlineStr"/>
      <c r="G58" t="inlineStr">
        <is>
          <t>Boston, MA, US</t>
        </is>
      </c>
      <c r="H58" s="2" t="n">
        <v>45982</v>
      </c>
      <c r="I5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in-5db2676ae619b008</t>
        </is>
      </c>
      <c r="B59" t="inlineStr">
        <is>
          <t>Senior Applied Scientist, Generative AI Innovation Center</t>
        </is>
      </c>
      <c r="C59" t="inlineStr">
        <is>
          <t>Amazon Web Services</t>
        </is>
      </c>
      <c r="D59" t="inlineStr">
        <is>
          <t>indeed</t>
        </is>
      </c>
      <c r="E59" t="inlineStr"/>
      <c r="F59" t="inlineStr"/>
      <c r="G59" t="inlineStr">
        <is>
          <t>New York, NY, US</t>
        </is>
      </c>
      <c r="H59" s="2" t="n">
        <v>45981</v>
      </c>
      <c r="I5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in-0bf8c8349bad2706</t>
        </is>
      </c>
      <c r="B60" t="inlineStr">
        <is>
          <t>Senior Applied Scientist, Generative AI Innovation Center</t>
        </is>
      </c>
      <c r="C60" t="inlineStr">
        <is>
          <t>Amazon Web Services</t>
        </is>
      </c>
      <c r="D60" t="inlineStr">
        <is>
          <t>indeed</t>
        </is>
      </c>
      <c r="E60" t="inlineStr"/>
      <c r="F60" t="inlineStr"/>
      <c r="G60" t="inlineStr">
        <is>
          <t>Seattle, WA, US</t>
        </is>
      </c>
      <c r="H60" s="2" t="n">
        <v>45981</v>
      </c>
      <c r="I60"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in-57675858388a2861</t>
        </is>
      </c>
      <c r="B61" t="inlineStr">
        <is>
          <t>Senior Applied Scientist, Generative AI Innovation Center</t>
        </is>
      </c>
      <c r="C61" t="inlineStr">
        <is>
          <t>Amazon Web Services</t>
        </is>
      </c>
      <c r="D61" t="inlineStr">
        <is>
          <t>indeed</t>
        </is>
      </c>
      <c r="E61" t="inlineStr"/>
      <c r="F61" t="inlineStr"/>
      <c r="G61" t="inlineStr">
        <is>
          <t>Austin, TX, US</t>
        </is>
      </c>
      <c r="H61" s="2" t="n">
        <v>45981</v>
      </c>
      <c r="I61"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in-95567593d6ae1c63</t>
        </is>
      </c>
      <c r="B62" t="inlineStr">
        <is>
          <t>Senior Applied Scientist, Generative AI Innovation Center</t>
        </is>
      </c>
      <c r="C62" t="inlineStr">
        <is>
          <t>Amazon Web Services</t>
        </is>
      </c>
      <c r="D62" t="inlineStr">
        <is>
          <t>indeed</t>
        </is>
      </c>
      <c r="E62" t="inlineStr"/>
      <c r="F62" t="inlineStr"/>
      <c r="G62" t="inlineStr">
        <is>
          <t>Boston, MA, US</t>
        </is>
      </c>
      <c r="H62" s="2" t="n">
        <v>45981</v>
      </c>
      <c r="I62"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in-171f1867055cfd30</t>
        </is>
      </c>
      <c r="B63" t="inlineStr">
        <is>
          <t>Senior Applied Scientist, Generative AI Innovation Center</t>
        </is>
      </c>
      <c r="C63" t="inlineStr">
        <is>
          <t>Amazon Web Services</t>
        </is>
      </c>
      <c r="D63" t="inlineStr">
        <is>
          <t>indeed</t>
        </is>
      </c>
      <c r="E63" t="inlineStr"/>
      <c r="F63" t="inlineStr"/>
      <c r="G63" t="inlineStr">
        <is>
          <t>Houston, TX, US</t>
        </is>
      </c>
      <c r="H63" s="2" t="n">
        <v>45981</v>
      </c>
      <c r="I63"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in-73dd206e6322301f</t>
        </is>
      </c>
      <c r="B64" t="inlineStr">
        <is>
          <t>Senior Applied Scientist, Generative AI Innovation Center</t>
        </is>
      </c>
      <c r="C64" t="inlineStr">
        <is>
          <t>Amazon Web Services</t>
        </is>
      </c>
      <c r="D64" t="inlineStr">
        <is>
          <t>indeed</t>
        </is>
      </c>
      <c r="E64" t="inlineStr"/>
      <c r="F64" t="inlineStr"/>
      <c r="G64" t="inlineStr">
        <is>
          <t>Bellevue, WA, US</t>
        </is>
      </c>
      <c r="H64" s="2" t="n">
        <v>45981</v>
      </c>
      <c r="I64"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in-e3d90c1b58748474</t>
        </is>
      </c>
      <c r="B65" t="inlineStr">
        <is>
          <t>Sr. Applied Scientist, SPB Advertiser Guidance</t>
        </is>
      </c>
      <c r="C65" t="inlineStr">
        <is>
          <t>Amazon.com</t>
        </is>
      </c>
      <c r="D65" t="inlineStr">
        <is>
          <t>indeed</t>
        </is>
      </c>
      <c r="E65" t="inlineStr"/>
      <c r="F65" t="inlineStr"/>
      <c r="G65" t="inlineStr">
        <is>
          <t>Palo Alto, CA, US</t>
        </is>
      </c>
      <c r="H65" s="2" t="n">
        <v>45981</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in-336df5168f733207</t>
        </is>
      </c>
      <c r="B66" t="inlineStr">
        <is>
          <t>Sr. Applied Scientist, SPB Advertiser Guidance</t>
        </is>
      </c>
      <c r="C66" t="inlineStr">
        <is>
          <t>Amazon.com</t>
        </is>
      </c>
      <c r="D66" t="inlineStr">
        <is>
          <t>indeed</t>
        </is>
      </c>
      <c r="E66" t="inlineStr"/>
      <c r="F66" t="inlineStr"/>
      <c r="G66" t="inlineStr">
        <is>
          <t>Seattle, WA, US</t>
        </is>
      </c>
      <c r="H66" s="2" t="n">
        <v>45981</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in-f06ca2daf3b9292e</t>
        </is>
      </c>
      <c r="B67" t="inlineStr">
        <is>
          <t>Sr. Applied Scientist, SPB Advertiser Guidance</t>
        </is>
      </c>
      <c r="C67" t="inlineStr">
        <is>
          <t>Amazon.com</t>
        </is>
      </c>
      <c r="D67" t="inlineStr">
        <is>
          <t>indeed</t>
        </is>
      </c>
      <c r="E67" t="inlineStr"/>
      <c r="F67" t="inlineStr"/>
      <c r="G67" t="inlineStr">
        <is>
          <t>New York, NY, US</t>
        </is>
      </c>
      <c r="H67" s="2" t="n">
        <v>45981</v>
      </c>
      <c r="I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in-8e746e910512fc46</t>
        </is>
      </c>
      <c r="B68" t="inlineStr">
        <is>
          <t>Senior Applied Scientist, Artificial General Intelligence</t>
        </is>
      </c>
      <c r="C68" t="inlineStr">
        <is>
          <t>Amazon.com</t>
        </is>
      </c>
      <c r="D68" t="inlineStr">
        <is>
          <t>indeed</t>
        </is>
      </c>
      <c r="E68" t="inlineStr"/>
      <c r="F68" t="inlineStr"/>
      <c r="G68" t="inlineStr">
        <is>
          <t>Sunnyvale, CA, US</t>
        </is>
      </c>
      <c r="H68" s="2" t="n">
        <v>45980</v>
      </c>
      <c r="I6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in-27fd2abffd38e0ac</t>
        </is>
      </c>
      <c r="B69" t="inlineStr">
        <is>
          <t>Senior Applied Scientist, Artificial General Intelligence</t>
        </is>
      </c>
      <c r="C69" t="inlineStr">
        <is>
          <t>Amazon.com</t>
        </is>
      </c>
      <c r="D69" t="inlineStr">
        <is>
          <t>indeed</t>
        </is>
      </c>
      <c r="E69" t="inlineStr"/>
      <c r="F69" t="inlineStr"/>
      <c r="G69" t="inlineStr">
        <is>
          <t>Boston, MA, US</t>
        </is>
      </c>
      <c r="H69" s="2" t="n">
        <v>45980</v>
      </c>
      <c r="I6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in-50ec2cff26873060</t>
        </is>
      </c>
      <c r="B70" t="inlineStr">
        <is>
          <t>Senior Applied Scientist, Artificial General Intelligence</t>
        </is>
      </c>
      <c r="C70" t="inlineStr">
        <is>
          <t>Amazon.com</t>
        </is>
      </c>
      <c r="D70" t="inlineStr">
        <is>
          <t>indeed</t>
        </is>
      </c>
      <c r="E70" t="inlineStr"/>
      <c r="F70" t="inlineStr"/>
      <c r="G70" t="inlineStr">
        <is>
          <t>Seattle, WA, US</t>
        </is>
      </c>
      <c r="H70" s="2" t="n">
        <v>45980</v>
      </c>
      <c r="I7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in-6b2f6873b3c74e74</t>
        </is>
      </c>
      <c r="B71" t="inlineStr">
        <is>
          <t>Senior Applied Scientist, Artificial General Intelligence</t>
        </is>
      </c>
      <c r="C71" t="inlineStr">
        <is>
          <t>Amazon.com</t>
        </is>
      </c>
      <c r="D71" t="inlineStr">
        <is>
          <t>indeed</t>
        </is>
      </c>
      <c r="E71" t="inlineStr"/>
      <c r="F71" t="inlineStr"/>
      <c r="G71" t="inlineStr">
        <is>
          <t>New York, NY, US</t>
        </is>
      </c>
      <c r="H71" s="2" t="n">
        <v>45980</v>
      </c>
      <c r="I7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in-2d0802a674a1887f</t>
        </is>
      </c>
      <c r="B72" t="inlineStr">
        <is>
          <t>Applied Scientist II, SPB Advertiser Guidance</t>
        </is>
      </c>
      <c r="C72" t="inlineStr">
        <is>
          <t>Amazon.com</t>
        </is>
      </c>
      <c r="D72" t="inlineStr">
        <is>
          <t>indeed</t>
        </is>
      </c>
      <c r="E72" t="inlineStr"/>
      <c r="F72" t="inlineStr"/>
      <c r="G72" t="inlineStr">
        <is>
          <t>Palo Alto, CA, US</t>
        </is>
      </c>
      <c r="H72" s="2" t="n">
        <v>45980</v>
      </c>
      <c r="I7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in-2bcd0a93252a674d</t>
        </is>
      </c>
      <c r="B73" t="inlineStr">
        <is>
          <t>Applied Scientist II, SPB Advertiser Guidance</t>
        </is>
      </c>
      <c r="C73" t="inlineStr">
        <is>
          <t>Amazon.com</t>
        </is>
      </c>
      <c r="D73" t="inlineStr">
        <is>
          <t>indeed</t>
        </is>
      </c>
      <c r="E73" t="inlineStr"/>
      <c r="F73" t="inlineStr"/>
      <c r="G73" t="inlineStr">
        <is>
          <t>New York, NY, US</t>
        </is>
      </c>
      <c r="H73" s="2" t="n">
        <v>45980</v>
      </c>
      <c r="I7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in-ffc514da0b24f81b</t>
        </is>
      </c>
      <c r="B74" t="inlineStr">
        <is>
          <t>Applied Scientist II, SPB Advertiser Guidance</t>
        </is>
      </c>
      <c r="C74" t="inlineStr">
        <is>
          <t>Amazon.com</t>
        </is>
      </c>
      <c r="D74" t="inlineStr">
        <is>
          <t>indeed</t>
        </is>
      </c>
      <c r="E74" t="inlineStr"/>
      <c r="F74" t="inlineStr"/>
      <c r="G74" t="inlineStr">
        <is>
          <t>Seattle, WA, US</t>
        </is>
      </c>
      <c r="H74" s="2" t="n">
        <v>45980</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in-34fa06bb51efbc21</t>
        </is>
      </c>
      <c r="B75" t="inlineStr">
        <is>
          <t>Principal Applied Scientist, Sponsored Products and Brands</t>
        </is>
      </c>
      <c r="C75" t="inlineStr">
        <is>
          <t>Amazon.com</t>
        </is>
      </c>
      <c r="D75" t="inlineStr">
        <is>
          <t>indeed</t>
        </is>
      </c>
      <c r="E75" t="inlineStr"/>
      <c r="F75" t="inlineStr"/>
      <c r="G75" t="inlineStr">
        <is>
          <t>New York, NY, US</t>
        </is>
      </c>
      <c r="H75" s="2" t="n">
        <v>45979</v>
      </c>
      <c r="I7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in-c4ee082bd863da29</t>
        </is>
      </c>
      <c r="B76" t="inlineStr">
        <is>
          <t>Principal Applied Scientist, Sponsored Products and Brands</t>
        </is>
      </c>
      <c r="C76" t="inlineStr">
        <is>
          <t>Amazon.com</t>
        </is>
      </c>
      <c r="D76" t="inlineStr">
        <is>
          <t>indeed</t>
        </is>
      </c>
      <c r="E76" t="inlineStr"/>
      <c r="F76" t="inlineStr"/>
      <c r="G76" t="inlineStr">
        <is>
          <t>Seattle, WA, US</t>
        </is>
      </c>
      <c r="H76" s="2" t="n">
        <v>45979</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in-dd0bf8215c2eeff8</t>
        </is>
      </c>
      <c r="B77" t="inlineStr">
        <is>
          <t>Sr. Applied Scientist, AGI Foundations</t>
        </is>
      </c>
      <c r="C77" t="inlineStr">
        <is>
          <t>Amazon.com</t>
        </is>
      </c>
      <c r="D77" t="inlineStr">
        <is>
          <t>indeed</t>
        </is>
      </c>
      <c r="E77" t="inlineStr"/>
      <c r="F77" t="inlineStr"/>
      <c r="G77" t="inlineStr">
        <is>
          <t>New York, NY, US</t>
        </is>
      </c>
      <c r="H77" s="2" t="n">
        <v>45978</v>
      </c>
      <c r="I7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in-2a503e5101f55a0b</t>
        </is>
      </c>
      <c r="B78" t="inlineStr">
        <is>
          <t>Sr. Applied Scientist, AGI Foundations</t>
        </is>
      </c>
      <c r="C78" t="inlineStr">
        <is>
          <t>Amazon.com</t>
        </is>
      </c>
      <c r="D78" t="inlineStr">
        <is>
          <t>indeed</t>
        </is>
      </c>
      <c r="E78" t="inlineStr"/>
      <c r="F78" t="inlineStr"/>
      <c r="G78" t="inlineStr">
        <is>
          <t>Boston, MA, US</t>
        </is>
      </c>
      <c r="H78" s="2" t="n">
        <v>45978</v>
      </c>
      <c r="I7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in-b649a6601616e32c</t>
        </is>
      </c>
      <c r="B79" t="inlineStr">
        <is>
          <t>Sr. Applied Scientist, AGI Foundations</t>
        </is>
      </c>
      <c r="C79" t="inlineStr">
        <is>
          <t>Amazon.com</t>
        </is>
      </c>
      <c r="D79" t="inlineStr">
        <is>
          <t>indeed</t>
        </is>
      </c>
      <c r="E79" t="inlineStr"/>
      <c r="F79" t="inlineStr"/>
      <c r="G79" t="inlineStr">
        <is>
          <t>Bellevue, WA, US</t>
        </is>
      </c>
      <c r="H79" s="2" t="n">
        <v>45978</v>
      </c>
      <c r="I7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in-1c0be8d76edb6676</t>
        </is>
      </c>
      <c r="B80" t="inlineStr">
        <is>
          <t>Sr. Applied Scientist, AGI Foundations</t>
        </is>
      </c>
      <c r="C80" t="inlineStr">
        <is>
          <t>Amazon.com</t>
        </is>
      </c>
      <c r="D80" t="inlineStr">
        <is>
          <t>indeed</t>
        </is>
      </c>
      <c r="E80" t="inlineStr"/>
      <c r="F80" t="inlineStr"/>
      <c r="G80" t="inlineStr">
        <is>
          <t>Sunnyvale, CA, US</t>
        </is>
      </c>
      <c r="H80" s="2" t="n">
        <v>45978</v>
      </c>
      <c r="I8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in-6ccddd987ba8f773</t>
        </is>
      </c>
      <c r="B81" t="inlineStr">
        <is>
          <t>Principal Applied Scientist, Amazon AGI</t>
        </is>
      </c>
      <c r="C81" t="inlineStr">
        <is>
          <t>Amazon.com</t>
        </is>
      </c>
      <c r="D81" t="inlineStr">
        <is>
          <t>indeed</t>
        </is>
      </c>
      <c r="E81" t="inlineStr"/>
      <c r="F81" t="inlineStr"/>
      <c r="G81" t="inlineStr">
        <is>
          <t>Boston, MA, US</t>
        </is>
      </c>
      <c r="H81" s="2" t="n">
        <v>45964</v>
      </c>
      <c r="I8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in-1b1858c712f41abe</t>
        </is>
      </c>
      <c r="B82" t="inlineStr">
        <is>
          <t>Principal Applied Scientist, Amazon AGI</t>
        </is>
      </c>
      <c r="C82" t="inlineStr">
        <is>
          <t>Amazon.com</t>
        </is>
      </c>
      <c r="D82" t="inlineStr">
        <is>
          <t>indeed</t>
        </is>
      </c>
      <c r="E82" t="inlineStr"/>
      <c r="F82" t="inlineStr"/>
      <c r="G82" t="inlineStr">
        <is>
          <t>San Francisco, CA, US</t>
        </is>
      </c>
      <c r="H82" s="2" t="n">
        <v>45964</v>
      </c>
      <c r="I8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in-7c512f04fb426b61</t>
        </is>
      </c>
      <c r="B83" t="inlineStr">
        <is>
          <t>Sr. Applied Scientist, AGI Foundations</t>
        </is>
      </c>
      <c r="C83" t="inlineStr">
        <is>
          <t>Amazon.com</t>
        </is>
      </c>
      <c r="D83" t="inlineStr">
        <is>
          <t>indeed</t>
        </is>
      </c>
      <c r="E83" t="inlineStr"/>
      <c r="F83" t="inlineStr"/>
      <c r="G83" t="inlineStr">
        <is>
          <t>New York, NY, US</t>
        </is>
      </c>
      <c r="H83" s="2" t="n">
        <v>45963</v>
      </c>
      <c r="I8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in-8eeec3674407bf6c</t>
        </is>
      </c>
      <c r="B84" t="inlineStr">
        <is>
          <t>Sr. Applied Scientist, AGI Foundations</t>
        </is>
      </c>
      <c r="C84" t="inlineStr">
        <is>
          <t>Amazon.com</t>
        </is>
      </c>
      <c r="D84" t="inlineStr">
        <is>
          <t>indeed</t>
        </is>
      </c>
      <c r="E84" t="inlineStr"/>
      <c r="F84" t="inlineStr"/>
      <c r="G84" t="inlineStr">
        <is>
          <t>Bellevue, WA, US</t>
        </is>
      </c>
      <c r="H84" s="2" t="n">
        <v>45963</v>
      </c>
      <c r="I8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in-71765b7d338bf28f</t>
        </is>
      </c>
      <c r="B85" t="inlineStr">
        <is>
          <t>Sr. Applied Scientist, AGI Foundations</t>
        </is>
      </c>
      <c r="C85" t="inlineStr">
        <is>
          <t>Amazon.com</t>
        </is>
      </c>
      <c r="D85" t="inlineStr">
        <is>
          <t>indeed</t>
        </is>
      </c>
      <c r="E85" t="inlineStr"/>
      <c r="F85" t="inlineStr"/>
      <c r="G85" t="inlineStr">
        <is>
          <t>Boston, MA, US</t>
        </is>
      </c>
      <c r="H85" s="2" t="n">
        <v>45963</v>
      </c>
      <c r="I8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in-569c66a23dd28348</t>
        </is>
      </c>
      <c r="B86" t="inlineStr">
        <is>
          <t>Principal Applied Scientist, AWS Agentic AI Science</t>
        </is>
      </c>
      <c r="C86" t="inlineStr">
        <is>
          <t>Amazon Web Services</t>
        </is>
      </c>
      <c r="D86" t="inlineStr">
        <is>
          <t>indeed</t>
        </is>
      </c>
      <c r="E86" t="inlineStr"/>
      <c r="F86" t="inlineStr"/>
      <c r="G86" t="inlineStr">
        <is>
          <t>New York, NY, US</t>
        </is>
      </c>
      <c r="H86" s="2" t="n">
        <v>45963</v>
      </c>
      <c r="I8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in-555513642301d20e</t>
        </is>
      </c>
      <c r="B87" t="inlineStr">
        <is>
          <t>Principal Applied Scientist, AWS Agentic AI Science</t>
        </is>
      </c>
      <c r="C87" t="inlineStr">
        <is>
          <t>Amazon Web Services</t>
        </is>
      </c>
      <c r="D87" t="inlineStr">
        <is>
          <t>indeed</t>
        </is>
      </c>
      <c r="E87" t="inlineStr"/>
      <c r="F87" t="inlineStr"/>
      <c r="G87" t="inlineStr">
        <is>
          <t>Santa Clara, CA, US</t>
        </is>
      </c>
      <c r="H87" s="2" t="n">
        <v>45963</v>
      </c>
      <c r="I87"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in-5da6a1a5f44df45d</t>
        </is>
      </c>
      <c r="B88" t="inlineStr">
        <is>
          <t>Applied Scientist, AWS Agentic AI</t>
        </is>
      </c>
      <c r="C88" t="inlineStr">
        <is>
          <t>Amazon Web Services</t>
        </is>
      </c>
      <c r="D88" t="inlineStr">
        <is>
          <t>indeed</t>
        </is>
      </c>
      <c r="E88" t="inlineStr"/>
      <c r="F88" t="inlineStr"/>
      <c r="G88" t="inlineStr">
        <is>
          <t>Seattle, WA, US</t>
        </is>
      </c>
      <c r="H88" s="2" t="n">
        <v>45962</v>
      </c>
      <c r="I8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in-0697f61abc47001a</t>
        </is>
      </c>
      <c r="B89" t="inlineStr">
        <is>
          <t>Applied Scientist, AWS Agentic AI</t>
        </is>
      </c>
      <c r="C89" t="inlineStr">
        <is>
          <t>Amazon Web Services</t>
        </is>
      </c>
      <c r="D89" t="inlineStr">
        <is>
          <t>indeed</t>
        </is>
      </c>
      <c r="E89" t="inlineStr"/>
      <c r="F89" t="inlineStr"/>
      <c r="G89" t="inlineStr">
        <is>
          <t>Santa Clara, CA, US</t>
        </is>
      </c>
      <c r="H89" s="2" t="n">
        <v>45962</v>
      </c>
      <c r="I8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in-14a2dad4be19c424</t>
        </is>
      </c>
      <c r="B90" t="inlineStr">
        <is>
          <t>Applied Scientist, AWS Agentic AI</t>
        </is>
      </c>
      <c r="C90" t="inlineStr">
        <is>
          <t>Amazon Web Services</t>
        </is>
      </c>
      <c r="D90" t="inlineStr">
        <is>
          <t>indeed</t>
        </is>
      </c>
      <c r="E90" t="inlineStr"/>
      <c r="F90" t="inlineStr"/>
      <c r="G90" t="inlineStr">
        <is>
          <t>New York, NY, US</t>
        </is>
      </c>
      <c r="H90" s="2" t="n">
        <v>45962</v>
      </c>
      <c r="I9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in-0c29c6a32fc8aed5</t>
        </is>
      </c>
      <c r="B91" t="inlineStr">
        <is>
          <t>Principal Applied Scientist, Advertiser Growth, Amazon Sponsored Products &amp; Brands</t>
        </is>
      </c>
      <c r="C91" t="inlineStr">
        <is>
          <t>Amazon.com</t>
        </is>
      </c>
      <c r="D91" t="inlineStr">
        <is>
          <t>indeed</t>
        </is>
      </c>
      <c r="E91" t="inlineStr"/>
      <c r="F91" t="inlineStr"/>
      <c r="G91" t="inlineStr">
        <is>
          <t>New York, NY, US</t>
        </is>
      </c>
      <c r="H91" s="2" t="n">
        <v>45942</v>
      </c>
      <c r="I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in-09d80871214563a6</t>
        </is>
      </c>
      <c r="B92" t="inlineStr">
        <is>
          <t>Principal Applied Scientist, Advertiser Growth, Amazon Sponsored Products &amp; Brands</t>
        </is>
      </c>
      <c r="C92" t="inlineStr">
        <is>
          <t>Amazon.com</t>
        </is>
      </c>
      <c r="D92" t="inlineStr">
        <is>
          <t>indeed</t>
        </is>
      </c>
      <c r="E92" t="inlineStr"/>
      <c r="F92" t="inlineStr"/>
      <c r="G92" t="inlineStr">
        <is>
          <t>Palo Alto, CA, US</t>
        </is>
      </c>
      <c r="H92" s="2" t="n">
        <v>45942</v>
      </c>
      <c r="I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in-358213a56ec210c3</t>
        </is>
      </c>
      <c r="B93" t="inlineStr">
        <is>
          <t>Principal Applied Scientist, Advertiser Growth, Amazon Sponsored Products &amp; Brands</t>
        </is>
      </c>
      <c r="C93" t="inlineStr">
        <is>
          <t>Amazon.com</t>
        </is>
      </c>
      <c r="D93" t="inlineStr">
        <is>
          <t>indeed</t>
        </is>
      </c>
      <c r="E93" t="inlineStr"/>
      <c r="F93" t="inlineStr"/>
      <c r="G93" t="inlineStr">
        <is>
          <t>Seattle, WA, US</t>
        </is>
      </c>
      <c r="H93" s="2"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in-834bdc02481c31bc</t>
        </is>
      </c>
      <c r="B94" t="inlineStr">
        <is>
          <t>Sr. Applied Scientist, SPB Advertiser Guidance</t>
        </is>
      </c>
      <c r="C94" t="inlineStr">
        <is>
          <t>Amazon.com</t>
        </is>
      </c>
      <c r="D94" t="inlineStr">
        <is>
          <t>indeed</t>
        </is>
      </c>
      <c r="E94" t="inlineStr"/>
      <c r="F94" t="inlineStr"/>
      <c r="G94" t="inlineStr">
        <is>
          <t>Seattle, WA, US</t>
        </is>
      </c>
      <c r="H94" s="2" t="n">
        <v>45939</v>
      </c>
      <c r="I9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in-16bac04e4d2b6168</t>
        </is>
      </c>
      <c r="B95" t="inlineStr">
        <is>
          <t>Applied Scientist</t>
        </is>
      </c>
      <c r="C95" t="inlineStr">
        <is>
          <t>Amazon.com</t>
        </is>
      </c>
      <c r="D95" t="inlineStr">
        <is>
          <t>indeed</t>
        </is>
      </c>
      <c r="E95" t="inlineStr"/>
      <c r="F95" t="inlineStr"/>
      <c r="G95" t="inlineStr">
        <is>
          <t>New York, NY, US</t>
        </is>
      </c>
      <c r="H95" s="2" t="n">
        <v>45939</v>
      </c>
      <c r="I9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in-8f4651bb1aba8faf</t>
        </is>
      </c>
      <c r="B96" t="inlineStr">
        <is>
          <t>Applied Scientist</t>
        </is>
      </c>
      <c r="C96" t="inlineStr">
        <is>
          <t>Amazon.com</t>
        </is>
      </c>
      <c r="D96" t="inlineStr">
        <is>
          <t>indeed</t>
        </is>
      </c>
      <c r="E96" t="inlineStr"/>
      <c r="F96" t="inlineStr"/>
      <c r="G96" t="inlineStr">
        <is>
          <t>Palo Alto, CA, US</t>
        </is>
      </c>
      <c r="H96" s="2" t="n">
        <v>45939</v>
      </c>
      <c r="I9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in-27bb1760110dbe7f</t>
        </is>
      </c>
      <c r="B97" t="inlineStr">
        <is>
          <t>Sr. Applied Scientist, SPB Advertiser Guidance</t>
        </is>
      </c>
      <c r="C97" t="inlineStr">
        <is>
          <t>Amazon.com</t>
        </is>
      </c>
      <c r="D97" t="inlineStr">
        <is>
          <t>indeed</t>
        </is>
      </c>
      <c r="E97" t="inlineStr"/>
      <c r="F97" t="inlineStr"/>
      <c r="G97" t="inlineStr">
        <is>
          <t>Palo Alto, CA, US</t>
        </is>
      </c>
      <c r="H97" s="2" t="n">
        <v>45939</v>
      </c>
      <c r="I9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in-e05b33d54e2c7984</t>
        </is>
      </c>
      <c r="B98" t="inlineStr">
        <is>
          <t>Sr. Applied Scientist, SPB Advertiser Guidance</t>
        </is>
      </c>
      <c r="C98" t="inlineStr">
        <is>
          <t>Amazon.com</t>
        </is>
      </c>
      <c r="D98" t="inlineStr">
        <is>
          <t>indeed</t>
        </is>
      </c>
      <c r="E98" t="inlineStr"/>
      <c r="F98" t="inlineStr"/>
      <c r="G98" t="inlineStr">
        <is>
          <t>New York, NY, US</t>
        </is>
      </c>
      <c r="H98" s="2" t="n">
        <v>45939</v>
      </c>
      <c r="I9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in-6f2d2ed05cf37d28</t>
        </is>
      </c>
      <c r="B99" t="inlineStr">
        <is>
          <t>Applied Scientist</t>
        </is>
      </c>
      <c r="C99" t="inlineStr">
        <is>
          <t>Amazon.com</t>
        </is>
      </c>
      <c r="D99" t="inlineStr">
        <is>
          <t>indeed</t>
        </is>
      </c>
      <c r="E99" t="inlineStr"/>
      <c r="F99" t="inlineStr"/>
      <c r="G99" t="inlineStr">
        <is>
          <t>Seattle, WA, US</t>
        </is>
      </c>
      <c r="H99" s="2" t="n">
        <v>45939</v>
      </c>
      <c r="I9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in-98ffcda002235128</t>
        </is>
      </c>
      <c r="B100" t="inlineStr">
        <is>
          <t>Principal Applied Scientist, Amazon - Sponsored Products</t>
        </is>
      </c>
      <c r="C100" t="inlineStr">
        <is>
          <t>Amazon.com</t>
        </is>
      </c>
      <c r="D100" t="inlineStr">
        <is>
          <t>indeed</t>
        </is>
      </c>
      <c r="E100" t="inlineStr"/>
      <c r="F100" t="inlineStr"/>
      <c r="G100" t="inlineStr">
        <is>
          <t>New York, NY, US</t>
        </is>
      </c>
      <c r="H100" s="2" t="n">
        <v>45924</v>
      </c>
      <c r="I100"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in-93018635d5df2886</t>
        </is>
      </c>
      <c r="B101" t="inlineStr">
        <is>
          <t>Principal Applied Scientist, Amazon - Sponsored Products</t>
        </is>
      </c>
      <c r="C101" t="inlineStr">
        <is>
          <t>Amazon.com</t>
        </is>
      </c>
      <c r="D101" t="inlineStr">
        <is>
          <t>indeed</t>
        </is>
      </c>
      <c r="E101" t="inlineStr"/>
      <c r="F101" t="inlineStr"/>
      <c r="G101" t="inlineStr">
        <is>
          <t>Palo Alto, CA, US</t>
        </is>
      </c>
      <c r="H101" s="2" t="n">
        <v>45924</v>
      </c>
      <c r="I101"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in-7c29201edf7c896a</t>
        </is>
      </c>
      <c r="B102" t="inlineStr">
        <is>
          <t>Principal Applied Scientist, Amazon - Sponsored Products</t>
        </is>
      </c>
      <c r="C102" t="inlineStr">
        <is>
          <t>Amazon.com</t>
        </is>
      </c>
      <c r="D102" t="inlineStr">
        <is>
          <t>indeed</t>
        </is>
      </c>
      <c r="E102" t="inlineStr"/>
      <c r="F102" t="inlineStr"/>
      <c r="G102" t="inlineStr">
        <is>
          <t>Seattle, WA, US</t>
        </is>
      </c>
      <c r="H102" s="2" t="n">
        <v>45924</v>
      </c>
      <c r="I102"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in-575b76e74ae0fb26</t>
        </is>
      </c>
      <c r="B103" t="inlineStr">
        <is>
          <t>Applied Scientist II, Creative X - RAPID</t>
        </is>
      </c>
      <c r="C103" t="inlineStr">
        <is>
          <t>Amazon.com</t>
        </is>
      </c>
      <c r="D103" t="inlineStr">
        <is>
          <t>indeed</t>
        </is>
      </c>
      <c r="E103" t="inlineStr"/>
      <c r="F103" t="inlineStr"/>
      <c r="G103" t="inlineStr">
        <is>
          <t>New York, NY, US</t>
        </is>
      </c>
      <c r="H103" s="2" t="n">
        <v>45908</v>
      </c>
      <c r="I103"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in-a8e0560cfd353de4</t>
        </is>
      </c>
      <c r="B104" t="inlineStr">
        <is>
          <t>Applied Scientist II, Creative X - RAPID</t>
        </is>
      </c>
      <c r="C104" t="inlineStr">
        <is>
          <t>Amazon.com</t>
        </is>
      </c>
      <c r="D104" t="inlineStr">
        <is>
          <t>indeed</t>
        </is>
      </c>
      <c r="E104" t="inlineStr"/>
      <c r="F104" t="inlineStr"/>
      <c r="G104" t="inlineStr">
        <is>
          <t>Seattle, WA, US</t>
        </is>
      </c>
      <c r="H104" s="2" t="n">
        <v>45908</v>
      </c>
      <c r="I104"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in-2ff804799e2b0a36</t>
        </is>
      </c>
      <c r="B105" t="inlineStr">
        <is>
          <t>Senior Applied Scientist, Agentic AI for Data Analytics and Science, Speed Analytics and Science</t>
        </is>
      </c>
      <c r="C105" t="inlineStr">
        <is>
          <t>Amazon.com</t>
        </is>
      </c>
      <c r="D105" t="inlineStr">
        <is>
          <t>indeed</t>
        </is>
      </c>
      <c r="E105" t="inlineStr"/>
      <c r="F105" t="inlineStr"/>
      <c r="G105" t="inlineStr">
        <is>
          <t>Tempe, AZ, US</t>
        </is>
      </c>
      <c r="H105" s="2" t="n">
        <v>45880</v>
      </c>
      <c r="I105"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in-714421708b4192f2</t>
        </is>
      </c>
      <c r="B106" t="inlineStr">
        <is>
          <t>Sr. Applied Scientist, Amazon Advertising</t>
        </is>
      </c>
      <c r="C106" t="inlineStr">
        <is>
          <t>Amazon.com</t>
        </is>
      </c>
      <c r="D106" t="inlineStr">
        <is>
          <t>indeed</t>
        </is>
      </c>
      <c r="E106" t="inlineStr"/>
      <c r="F106" t="inlineStr"/>
      <c r="G106" t="inlineStr">
        <is>
          <t>Simi Valley, CA,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in-982f51f1cb31b9ef</t>
        </is>
      </c>
      <c r="B107" t="inlineStr">
        <is>
          <t>Sr. Applied Scientist, Amazon Advertising</t>
        </is>
      </c>
      <c r="C107" t="inlineStr">
        <is>
          <t>Amazon.com</t>
        </is>
      </c>
      <c r="D107" t="inlineStr">
        <is>
          <t>indeed</t>
        </is>
      </c>
      <c r="E107" t="inlineStr"/>
      <c r="F107" t="inlineStr"/>
      <c r="G107" t="inlineStr">
        <is>
          <t>West Hollywood, CA,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in-ad76e2e619cd739d</t>
        </is>
      </c>
      <c r="B108" t="inlineStr">
        <is>
          <t>Sr. Applied Scientist, Amazon Advertising</t>
        </is>
      </c>
      <c r="C108" t="inlineStr">
        <is>
          <t>Amazon.com</t>
        </is>
      </c>
      <c r="D108" t="inlineStr">
        <is>
          <t>indeed</t>
        </is>
      </c>
      <c r="E108" t="inlineStr"/>
      <c r="F108" t="inlineStr"/>
      <c r="G108" t="inlineStr">
        <is>
          <t>Arlington, VA,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in-3682a86be6068547</t>
        </is>
      </c>
      <c r="B109" t="inlineStr">
        <is>
          <t>Sr. Applied Scientist, Amazon Advertising</t>
        </is>
      </c>
      <c r="C109" t="inlineStr">
        <is>
          <t>Amazon.com</t>
        </is>
      </c>
      <c r="D109" t="inlineStr">
        <is>
          <t>indeed</t>
        </is>
      </c>
      <c r="E109" t="inlineStr"/>
      <c r="F109" t="inlineStr"/>
      <c r="G109" t="inlineStr">
        <is>
          <t>Los Angeles,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in-33fed23dc788d717</t>
        </is>
      </c>
      <c r="B110" t="inlineStr">
        <is>
          <t>Sr. Applied Scientist, Amazon Advertising</t>
        </is>
      </c>
      <c r="C110" t="inlineStr">
        <is>
          <t>Amazon.com</t>
        </is>
      </c>
      <c r="D110" t="inlineStr">
        <is>
          <t>indeed</t>
        </is>
      </c>
      <c r="E110" t="inlineStr"/>
      <c r="F110" t="inlineStr"/>
      <c r="G110" t="inlineStr">
        <is>
          <t>Palo Alto, CA,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in-a78a61932b771e93</t>
        </is>
      </c>
      <c r="B111" t="inlineStr">
        <is>
          <t>Sr. Applied Scientist, Amazon Advertising</t>
        </is>
      </c>
      <c r="C111" t="inlineStr">
        <is>
          <t>Amazon.com</t>
        </is>
      </c>
      <c r="D111" t="inlineStr">
        <is>
          <t>indeed</t>
        </is>
      </c>
      <c r="E111" t="inlineStr"/>
      <c r="F111" t="inlineStr"/>
      <c r="G111" t="inlineStr">
        <is>
          <t>New York, NY,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in-4862bc92077972e8</t>
        </is>
      </c>
      <c r="B112" t="inlineStr">
        <is>
          <t>Sr. Applied Scientist, Amazon Advertising</t>
        </is>
      </c>
      <c r="C112" t="inlineStr">
        <is>
          <t>Amazon.com</t>
        </is>
      </c>
      <c r="D112" t="inlineStr">
        <is>
          <t>indeed</t>
        </is>
      </c>
      <c r="E112" t="inlineStr"/>
      <c r="F112" t="inlineStr"/>
      <c r="G112" t="inlineStr">
        <is>
          <t>Austin, TX,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in-052f84af22dc03c0</t>
        </is>
      </c>
      <c r="B113" t="inlineStr">
        <is>
          <t>Sr. Applied Scientist, Amazon Advertising</t>
        </is>
      </c>
      <c r="C113" t="inlineStr">
        <is>
          <t>Amazon.com</t>
        </is>
      </c>
      <c r="D113" t="inlineStr">
        <is>
          <t>indeed</t>
        </is>
      </c>
      <c r="E113" t="inlineStr"/>
      <c r="F113" t="inlineStr"/>
      <c r="G113" t="inlineStr">
        <is>
          <t>Seattle, WA,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in-cc304ecc0e525626</t>
        </is>
      </c>
      <c r="B114" t="inlineStr">
        <is>
          <t>Applied Scientist, Prime Video - Personalization and Discovery Science</t>
        </is>
      </c>
      <c r="C114" t="inlineStr">
        <is>
          <t>Amazon.com</t>
        </is>
      </c>
      <c r="D114" t="inlineStr">
        <is>
          <t>indeed</t>
        </is>
      </c>
      <c r="E114" t="inlineStr"/>
      <c r="F114" t="inlineStr"/>
      <c r="G114" t="inlineStr">
        <is>
          <t>New York, NY, US</t>
        </is>
      </c>
      <c r="H114" s="2" t="n">
        <v>45845</v>
      </c>
      <c r="I1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in-16f7abe81056bf74</t>
        </is>
      </c>
      <c r="B115" t="inlineStr">
        <is>
          <t>Applied Scientist, Prime Video - Personalization and Discovery Science</t>
        </is>
      </c>
      <c r="C115" t="inlineStr">
        <is>
          <t>Amazon.com</t>
        </is>
      </c>
      <c r="D115" t="inlineStr">
        <is>
          <t>indeed</t>
        </is>
      </c>
      <c r="E115" t="inlineStr"/>
      <c r="F115" t="inlineStr"/>
      <c r="G115" t="inlineStr">
        <is>
          <t>Sunnyvale, CA, US</t>
        </is>
      </c>
      <c r="H115" s="2" t="n">
        <v>45845</v>
      </c>
      <c r="I1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in-34c8578f492b2f64</t>
        </is>
      </c>
      <c r="B116" t="inlineStr">
        <is>
          <t>Applied Scientist, Prime Video - Personalization and Discovery Science</t>
        </is>
      </c>
      <c r="C116" t="inlineStr">
        <is>
          <t>Amazon.com</t>
        </is>
      </c>
      <c r="D116" t="inlineStr">
        <is>
          <t>indeed</t>
        </is>
      </c>
      <c r="E116" t="inlineStr"/>
      <c r="F116" t="inlineStr"/>
      <c r="G116" t="inlineStr">
        <is>
          <t>Seattle, WA, US</t>
        </is>
      </c>
      <c r="H116" s="2" t="n">
        <v>45845</v>
      </c>
      <c r="I1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in-7a9ab93f3701fc45</t>
        </is>
      </c>
      <c r="B117" t="inlineStr">
        <is>
          <t>Senior Applied Scientist, Artificial General Intelligence</t>
        </is>
      </c>
      <c r="C117" t="inlineStr">
        <is>
          <t>Amazon.com</t>
        </is>
      </c>
      <c r="D117" t="inlineStr">
        <is>
          <t>indeed</t>
        </is>
      </c>
      <c r="E117" t="inlineStr"/>
      <c r="F117" t="inlineStr"/>
      <c r="G117" t="inlineStr">
        <is>
          <t>Boston, MA, US</t>
        </is>
      </c>
      <c r="H117" s="2" t="n">
        <v>45838</v>
      </c>
      <c r="I11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in-866d3b8463191c0c</t>
        </is>
      </c>
      <c r="B118" t="inlineStr">
        <is>
          <t>Senior Applied Scientist, Artificial General Intelligence</t>
        </is>
      </c>
      <c r="C118" t="inlineStr">
        <is>
          <t>Amazon.com</t>
        </is>
      </c>
      <c r="D118" t="inlineStr">
        <is>
          <t>indeed</t>
        </is>
      </c>
      <c r="E118" t="inlineStr"/>
      <c r="F118" t="inlineStr"/>
      <c r="G118" t="inlineStr">
        <is>
          <t>New York, NY, US</t>
        </is>
      </c>
      <c r="H118" s="2" t="n">
        <v>45838</v>
      </c>
      <c r="I11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in-e1a2caeaa976bfa2</t>
        </is>
      </c>
      <c r="B119" t="inlineStr">
        <is>
          <t>Senior Applied Scientist, Artificial General Intelligence</t>
        </is>
      </c>
      <c r="C119" t="inlineStr">
        <is>
          <t>Amazon.com</t>
        </is>
      </c>
      <c r="D119" t="inlineStr">
        <is>
          <t>indeed</t>
        </is>
      </c>
      <c r="E119" t="inlineStr"/>
      <c r="F119" t="inlineStr"/>
      <c r="G119" t="inlineStr">
        <is>
          <t>Sunnyvale, CA, US</t>
        </is>
      </c>
      <c r="H119" s="2" t="n">
        <v>45838</v>
      </c>
      <c r="I11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in-bedebc06df383d11</t>
        </is>
      </c>
      <c r="B120" t="inlineStr">
        <is>
          <t>Sr. Data Scientist, Amazon Leo Global Planning, Amazon Leo</t>
        </is>
      </c>
      <c r="C120" t="inlineStr">
        <is>
          <t>Amazon.com</t>
        </is>
      </c>
      <c r="D120" t="inlineStr">
        <is>
          <t>indeed</t>
        </is>
      </c>
      <c r="E120" t="inlineStr"/>
      <c r="F120" t="inlineStr"/>
      <c r="G120" t="inlineStr">
        <is>
          <t>Redmond, WA, US</t>
        </is>
      </c>
      <c r="H120" s="2" t="n">
        <v>45830</v>
      </c>
      <c r="I12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in-2c9c2846139c78bb</t>
        </is>
      </c>
      <c r="B121" t="inlineStr">
        <is>
          <t>Sr. Data Scientist, Amazon Leo Global Planning, Amazon Leo</t>
        </is>
      </c>
      <c r="C121" t="inlineStr">
        <is>
          <t>Amazon.com</t>
        </is>
      </c>
      <c r="D121" t="inlineStr">
        <is>
          <t>indeed</t>
        </is>
      </c>
      <c r="E121" t="inlineStr"/>
      <c r="F121" t="inlineStr"/>
      <c r="G121" t="inlineStr">
        <is>
          <t>Bellevue, WA, US</t>
        </is>
      </c>
      <c r="H121" s="2" t="n">
        <v>45830</v>
      </c>
      <c r="I12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in-a4f25196cec2d971</t>
        </is>
      </c>
      <c r="B122" t="inlineStr">
        <is>
          <t>Sr. Applied Scientist, Sales AI</t>
        </is>
      </c>
      <c r="C122" t="inlineStr">
        <is>
          <t>Amazon.com</t>
        </is>
      </c>
      <c r="D122" t="inlineStr">
        <is>
          <t>indeed</t>
        </is>
      </c>
      <c r="E122" t="inlineStr"/>
      <c r="F122" t="inlineStr"/>
      <c r="G122" t="inlineStr">
        <is>
          <t>Seattle, WA, US</t>
        </is>
      </c>
      <c r="H122" s="2" t="n">
        <v>45830</v>
      </c>
      <c r="I1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in-a0906a3e4eed97e4</t>
        </is>
      </c>
      <c r="B123" t="inlineStr">
        <is>
          <t>Sr. Applied Scientist, Sales AI</t>
        </is>
      </c>
      <c r="C123" t="inlineStr">
        <is>
          <t>Amazon.com</t>
        </is>
      </c>
      <c r="D123" t="inlineStr">
        <is>
          <t>indeed</t>
        </is>
      </c>
      <c r="E123" t="inlineStr"/>
      <c r="F123" t="inlineStr"/>
      <c r="G123" t="inlineStr">
        <is>
          <t>New York, NY, US</t>
        </is>
      </c>
      <c r="H123" s="2" t="n">
        <v>45830</v>
      </c>
      <c r="I12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in-0d422324d20ab2c0</t>
        </is>
      </c>
      <c r="B124" t="inlineStr">
        <is>
          <t>Sr. Applied Scientist, Sales AI</t>
        </is>
      </c>
      <c r="C124" t="inlineStr">
        <is>
          <t>Amazon.com</t>
        </is>
      </c>
      <c r="D124" t="inlineStr">
        <is>
          <t>indeed</t>
        </is>
      </c>
      <c r="E124" t="inlineStr"/>
      <c r="F124" t="inlineStr"/>
      <c r="G124" t="inlineStr">
        <is>
          <t>Sunnyvale, CA, US</t>
        </is>
      </c>
      <c r="H124" s="2" t="n">
        <v>45830</v>
      </c>
      <c r="I12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in-d8ff55217aa151dc</t>
        </is>
      </c>
      <c r="B125" t="inlineStr">
        <is>
          <t>Sr. Applied Scientist, AGI Info</t>
        </is>
      </c>
      <c r="C125" t="inlineStr">
        <is>
          <t>Amazon.com</t>
        </is>
      </c>
      <c r="D125" t="inlineStr">
        <is>
          <t>indeed</t>
        </is>
      </c>
      <c r="E125" t="inlineStr"/>
      <c r="F125" t="inlineStr"/>
      <c r="G125" t="inlineStr">
        <is>
          <t>Bellevue, WA, US</t>
        </is>
      </c>
      <c r="H125" s="2" t="n">
        <v>45811</v>
      </c>
      <c r="I12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in-6ab5ae9b6fa954a5</t>
        </is>
      </c>
      <c r="B126" t="inlineStr">
        <is>
          <t>Sr. Applied Scientist, AGI Info</t>
        </is>
      </c>
      <c r="C126" t="inlineStr">
        <is>
          <t>Amazon.com</t>
        </is>
      </c>
      <c r="D126" t="inlineStr">
        <is>
          <t>indeed</t>
        </is>
      </c>
      <c r="E126" t="inlineStr"/>
      <c r="F126" t="inlineStr"/>
      <c r="G126" t="inlineStr">
        <is>
          <t>Sunnyvale, CA, US</t>
        </is>
      </c>
      <c r="H126" s="2" t="n">
        <v>45811</v>
      </c>
      <c r="I12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in-2fa57e5926ce3a81</t>
        </is>
      </c>
      <c r="B127" t="inlineStr">
        <is>
          <t>Principal Applied Scientist, Delivery Foundation Model</t>
        </is>
      </c>
      <c r="C127" t="inlineStr">
        <is>
          <t>Amazon.com</t>
        </is>
      </c>
      <c r="D127" t="inlineStr">
        <is>
          <t>indeed</t>
        </is>
      </c>
      <c r="E127" t="inlineStr"/>
      <c r="F127" t="inlineStr"/>
      <c r="G127" t="inlineStr">
        <is>
          <t>Bellevue, WA, US</t>
        </is>
      </c>
      <c r="H127" s="2" t="n">
        <v>45810</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in-458021f44bc17e58</t>
        </is>
      </c>
      <c r="B128" t="inlineStr">
        <is>
          <t>Principal Applied Scientist, Delivery Foundation Model</t>
        </is>
      </c>
      <c r="C128" t="inlineStr">
        <is>
          <t>Amazon.com</t>
        </is>
      </c>
      <c r="D128" t="inlineStr">
        <is>
          <t>indeed</t>
        </is>
      </c>
      <c r="E128" t="inlineStr"/>
      <c r="F128" t="inlineStr"/>
      <c r="G128" t="inlineStr">
        <is>
          <t>New York, NY, US</t>
        </is>
      </c>
      <c r="H128" s="2" t="n">
        <v>45810</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in-5970e68546f2ce68</t>
        </is>
      </c>
      <c r="B129" t="inlineStr">
        <is>
          <t>Principal Applied Scientist, Delivery Foundation Model</t>
        </is>
      </c>
      <c r="C129" t="inlineStr">
        <is>
          <t>Amazon.com</t>
        </is>
      </c>
      <c r="D129" t="inlineStr">
        <is>
          <t>indeed</t>
        </is>
      </c>
      <c r="E129" t="inlineStr"/>
      <c r="F129" t="inlineStr"/>
      <c r="G129" t="inlineStr">
        <is>
          <t>Santa Clara, CA, US</t>
        </is>
      </c>
      <c r="H129" s="2" t="n">
        <v>45810</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in-980c826ca0c6c7ac</t>
        </is>
      </c>
      <c r="B130" t="inlineStr">
        <is>
          <t>Principal Applied Scientist, Delivery Foundation Model</t>
        </is>
      </c>
      <c r="C130" t="inlineStr">
        <is>
          <t>Amazon.com</t>
        </is>
      </c>
      <c r="D130" t="inlineStr">
        <is>
          <t>indeed</t>
        </is>
      </c>
      <c r="E130" t="inlineStr"/>
      <c r="F130" t="inlineStr"/>
      <c r="G130" t="inlineStr">
        <is>
          <t>Austin, TX, US</t>
        </is>
      </c>
      <c r="H130" s="2" t="n">
        <v>45810</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in-d6db61f10c949181</t>
        </is>
      </c>
      <c r="B131" t="inlineStr">
        <is>
          <t>Principal Applied Scientist, Delivery Foundation Model</t>
        </is>
      </c>
      <c r="C131" t="inlineStr">
        <is>
          <t>Amazon.com</t>
        </is>
      </c>
      <c r="D131" t="inlineStr">
        <is>
          <t>indeed</t>
        </is>
      </c>
      <c r="E131" t="inlineStr"/>
      <c r="F131" t="inlineStr"/>
      <c r="G131" t="inlineStr">
        <is>
          <t>Bellevue, WA, US</t>
        </is>
      </c>
      <c r="H131" s="2" t="n">
        <v>45757</v>
      </c>
      <c r="I1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in-aa71abb5b30db155</t>
        </is>
      </c>
      <c r="B132" t="inlineStr">
        <is>
          <t>Principal Applied Scientist, Delivery Foundation Model</t>
        </is>
      </c>
      <c r="C132" t="inlineStr">
        <is>
          <t>Amazon.com</t>
        </is>
      </c>
      <c r="D132" t="inlineStr">
        <is>
          <t>indeed</t>
        </is>
      </c>
      <c r="E132" t="inlineStr"/>
      <c r="F132" t="inlineStr"/>
      <c r="G132" t="inlineStr">
        <is>
          <t>New York, NY, US</t>
        </is>
      </c>
      <c r="H132" s="2" t="n">
        <v>45757</v>
      </c>
      <c r="I1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in-04eaea5a693f96c7</t>
        </is>
      </c>
      <c r="B133" t="inlineStr">
        <is>
          <t>Principal Applied Scientist, Delivery Foundation Model</t>
        </is>
      </c>
      <c r="C133" t="inlineStr">
        <is>
          <t>Amazon.com</t>
        </is>
      </c>
      <c r="D133" t="inlineStr">
        <is>
          <t>indeed</t>
        </is>
      </c>
      <c r="E133" t="inlineStr"/>
      <c r="F133" t="inlineStr"/>
      <c r="G133" t="inlineStr">
        <is>
          <t>Santa Clara, CA, US</t>
        </is>
      </c>
      <c r="H133" s="2" t="n">
        <v>45757</v>
      </c>
      <c r="I1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in-af471a1f62ed3c16</t>
        </is>
      </c>
      <c r="B134" t="inlineStr">
        <is>
          <t>Principal Applied Scientist, FAR (Frontier AI &amp; Robotics)</t>
        </is>
      </c>
      <c r="C134" t="inlineStr">
        <is>
          <t>Amazon.com</t>
        </is>
      </c>
      <c r="D134" t="inlineStr">
        <is>
          <t>indeed</t>
        </is>
      </c>
      <c r="E134" t="inlineStr"/>
      <c r="F134" t="inlineStr"/>
      <c r="G134" t="inlineStr">
        <is>
          <t>Seattle, WA, US</t>
        </is>
      </c>
      <c r="H134" s="2" t="n">
        <v>45740</v>
      </c>
      <c r="I13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in-b882b2f1302a48ad</t>
        </is>
      </c>
      <c r="B135" t="inlineStr">
        <is>
          <t>Principal Applied Scientist, FAR (Frontier AI &amp; Robotics)</t>
        </is>
      </c>
      <c r="C135" t="inlineStr">
        <is>
          <t>Amazon.com</t>
        </is>
      </c>
      <c r="D135" t="inlineStr">
        <is>
          <t>indeed</t>
        </is>
      </c>
      <c r="E135" t="inlineStr"/>
      <c r="F135" t="inlineStr"/>
      <c r="G135" t="inlineStr">
        <is>
          <t>San Francisco, CA, US</t>
        </is>
      </c>
      <c r="H135" s="2" t="n">
        <v>45740</v>
      </c>
      <c r="I13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in-4f8f8d6bdf04ec97</t>
        </is>
      </c>
      <c r="B136" t="inlineStr">
        <is>
          <t>Sr. Applied Scientist, AGI Foundations</t>
        </is>
      </c>
      <c r="C136" t="inlineStr">
        <is>
          <t>Amazon.com</t>
        </is>
      </c>
      <c r="D136" t="inlineStr">
        <is>
          <t>indeed</t>
        </is>
      </c>
      <c r="E136">
        <f>HYPERLINK("https://www.indeed.com/viewjob?jk=4f8f8d6bdf04ec97", "https://www.indeed.com/viewjob?jk=4f8f8d6bdf04ec97")</f>
        <v/>
      </c>
      <c r="F136">
        <f>HYPERLINK("https://www.amazon.jobs/jobs/3128807/sr-applied-scientist-agi-foundations?cmpid=DA_INAD200785B", "https://www.amazon.jobs/jobs/3128807/sr-applied-scientist-agi-foundations?cmpid=DA_INAD200785B")</f>
        <v/>
      </c>
      <c r="G136" t="inlineStr">
        <is>
          <t>New York, NY, US</t>
        </is>
      </c>
      <c r="H136" s="3" t="n">
        <v>45978</v>
      </c>
      <c r="I13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in-74fe6961e14ff2ed</t>
        </is>
      </c>
      <c r="B137" t="inlineStr">
        <is>
          <t>Sr. Applied Scientist, AGI Foundations</t>
        </is>
      </c>
      <c r="C137" t="inlineStr">
        <is>
          <t>Amazon.com</t>
        </is>
      </c>
      <c r="D137" t="inlineStr">
        <is>
          <t>indeed</t>
        </is>
      </c>
      <c r="E137">
        <f>HYPERLINK("https://www.indeed.com/viewjob?jk=74fe6961e14ff2ed", "https://www.indeed.com/viewjob?jk=74fe6961e14ff2ed")</f>
        <v/>
      </c>
      <c r="F137">
        <f>HYPERLINK("https://www.amazon.jobs/jobs/3123268/sr-applied-scientist-agi-foundations?cmpid=DA_INAD200785B", "https://www.amazon.jobs/jobs/3123268/sr-applied-scientist-agi-foundations?cmpid=DA_INAD200785B")</f>
        <v/>
      </c>
      <c r="G137" t="inlineStr">
        <is>
          <t>New York, NY, US</t>
        </is>
      </c>
      <c r="H137" s="3" t="n">
        <v>45963</v>
      </c>
      <c r="I13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in-3a7b1f71abe484c3</t>
        </is>
      </c>
      <c r="B138" t="inlineStr">
        <is>
          <t>Sr. Applied Scientist, AGI Foundations</t>
        </is>
      </c>
      <c r="C138" t="inlineStr">
        <is>
          <t>Amazon.com</t>
        </is>
      </c>
      <c r="D138" t="inlineStr">
        <is>
          <t>indeed</t>
        </is>
      </c>
      <c r="E138">
        <f>HYPERLINK("https://www.indeed.com/viewjob?jk=3a7b1f71abe484c3", "https://www.indeed.com/viewjob?jk=3a7b1f71abe484c3")</f>
        <v/>
      </c>
      <c r="F138">
        <f>HYPERLINK("https://www.amazon.jobs/jobs/3123268/sr-applied-scientist-agi-foundations?cmpid=DA_INAD200785B", "https://www.amazon.jobs/jobs/3123268/sr-applied-scientist-agi-foundations?cmpid=DA_INAD200785B")</f>
        <v/>
      </c>
      <c r="G138" t="inlineStr">
        <is>
          <t>Bellevue, WA, US</t>
        </is>
      </c>
      <c r="H138" s="3" t="n">
        <v>45963</v>
      </c>
      <c r="I13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in-099b96acf537da5d</t>
        </is>
      </c>
      <c r="B139" t="inlineStr">
        <is>
          <t>Sr. Applied Scientist, AGI Foundations</t>
        </is>
      </c>
      <c r="C139" t="inlineStr">
        <is>
          <t>Amazon.com</t>
        </is>
      </c>
      <c r="D139" t="inlineStr">
        <is>
          <t>indeed</t>
        </is>
      </c>
      <c r="E139">
        <f>HYPERLINK("https://www.indeed.com/viewjob?jk=099b96acf537da5d", "https://www.indeed.com/viewjob?jk=099b96acf537da5d")</f>
        <v/>
      </c>
      <c r="F139">
        <f>HYPERLINK("https://www.amazon.jobs/jobs/3123268/sr-applied-scientist-agi-foundations?cmpid=DA_INAD200785B", "https://www.amazon.jobs/jobs/3123268/sr-applied-scientist-agi-foundations?cmpid=DA_INAD200785B")</f>
        <v/>
      </c>
      <c r="G139" t="inlineStr">
        <is>
          <t>Boston, MA, US</t>
        </is>
      </c>
      <c r="H139" s="3" t="n">
        <v>45963</v>
      </c>
      <c r="I13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in-c3f717ac8eb1ae04</t>
        </is>
      </c>
      <c r="B140" t="inlineStr">
        <is>
          <t>Applied Scientist II, Prime Video - Personalization and Discovery Science, Personalization and Discovery Science</t>
        </is>
      </c>
      <c r="C140" t="inlineStr">
        <is>
          <t>Amazon.com</t>
        </is>
      </c>
      <c r="D140" t="inlineStr">
        <is>
          <t>indeed</t>
        </is>
      </c>
      <c r="E140">
        <f>HYPERLINK("https://www.indeed.com/viewjob?jk=c3f717ac8eb1ae04", "https://www.indeed.com/viewjob?jk=c3f717ac8eb1ae04")</f>
        <v/>
      </c>
      <c r="F14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0" t="inlineStr">
        <is>
          <t>Seattle, WA, US</t>
        </is>
      </c>
      <c r="H140" s="3" t="n">
        <v>45930</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in-b971a39e6d5a2c79</t>
        </is>
      </c>
      <c r="B141" t="inlineStr">
        <is>
          <t>Applied Scientist II, Prime Video - Personalization and Discovery Science, Personalization and Discovery Science</t>
        </is>
      </c>
      <c r="C141" t="inlineStr">
        <is>
          <t>Amazon.com</t>
        </is>
      </c>
      <c r="D141" t="inlineStr">
        <is>
          <t>indeed</t>
        </is>
      </c>
      <c r="E141">
        <f>HYPERLINK("https://www.indeed.com/viewjob?jk=b971a39e6d5a2c79", "https://www.indeed.com/viewjob?jk=b971a39e6d5a2c79")</f>
        <v/>
      </c>
      <c r="F14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1" t="inlineStr">
        <is>
          <t>New York, NY, US</t>
        </is>
      </c>
      <c r="H141" s="3" t="n">
        <v>45930</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in-9152b0b2b487b417</t>
        </is>
      </c>
      <c r="B142" t="inlineStr">
        <is>
          <t>Applied Scientist II, Prime Video - Personalization and Discovery Science, Personalization and Discovery Science</t>
        </is>
      </c>
      <c r="C142" t="inlineStr">
        <is>
          <t>Amazon.com</t>
        </is>
      </c>
      <c r="D142" t="inlineStr">
        <is>
          <t>indeed</t>
        </is>
      </c>
      <c r="E142">
        <f>HYPERLINK("https://www.indeed.com/viewjob?jk=9152b0b2b487b417", "https://www.indeed.com/viewjob?jk=9152b0b2b487b417")</f>
        <v/>
      </c>
      <c r="F14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2" t="inlineStr">
        <is>
          <t>Sunnyvale, CA, US</t>
        </is>
      </c>
      <c r="H142" s="3" t="n">
        <v>45930</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in-8ea44ccaa9d61a5f</t>
        </is>
      </c>
      <c r="B143" t="inlineStr">
        <is>
          <t>Applied Scientist II, Prime Video - Personalization and Discovery Science</t>
        </is>
      </c>
      <c r="C143" t="inlineStr">
        <is>
          <t>Amazon.com</t>
        </is>
      </c>
      <c r="D143" t="inlineStr">
        <is>
          <t>indeed</t>
        </is>
      </c>
      <c r="E143">
        <f>HYPERLINK("https://www.indeed.com/viewjob?jk=8ea44ccaa9d61a5f", "https://www.indeed.com/viewjob?jk=8ea44ccaa9d61a5f")</f>
        <v/>
      </c>
      <c r="F143">
        <f>HYPERLINK("https://www.amazon.jobs/jobs/3086060/applied-scientist-ii-prime-video--personalization-and-discovery-science?cmpid=DA_INAD200785B", "https://www.amazon.jobs/jobs/3086060/applied-scientist-ii-prime-video--personalization-and-discovery-science?cmpid=DA_INAD200785B")</f>
        <v/>
      </c>
      <c r="G143" t="inlineStr">
        <is>
          <t>New York, NY, US</t>
        </is>
      </c>
      <c r="H143" s="3" t="n">
        <v>45915</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in-765161e26baea606</t>
        </is>
      </c>
      <c r="B144" t="inlineStr">
        <is>
          <t>Applied Scientist II, Prime Video - Personalization and Discovery Science</t>
        </is>
      </c>
      <c r="C144" t="inlineStr">
        <is>
          <t>Amazon.com</t>
        </is>
      </c>
      <c r="D144" t="inlineStr">
        <is>
          <t>indeed</t>
        </is>
      </c>
      <c r="E144">
        <f>HYPERLINK("https://www.indeed.com/viewjob?jk=765161e26baea606", "https://www.indeed.com/viewjob?jk=765161e26baea606")</f>
        <v/>
      </c>
      <c r="F144">
        <f>HYPERLINK("https://www.amazon.jobs/jobs/3086060/applied-scientist-ii-prime-video--personalization-and-discovery-science?cmpid=DA_INAD200785B", "https://www.amazon.jobs/jobs/3086060/applied-scientist-ii-prime-video--personalization-and-discovery-science?cmpid=DA_INAD200785B")</f>
        <v/>
      </c>
      <c r="G144" t="inlineStr">
        <is>
          <t>Seattle, WA, US</t>
        </is>
      </c>
      <c r="H144" s="3" t="n">
        <v>45915</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in-a3b0ce846d3bf7e2</t>
        </is>
      </c>
      <c r="B145" t="inlineStr">
        <is>
          <t>Applied Scientist II, Prime Video - Personalization and Discovery Science</t>
        </is>
      </c>
      <c r="C145" t="inlineStr">
        <is>
          <t>Amazon.com</t>
        </is>
      </c>
      <c r="D145" t="inlineStr">
        <is>
          <t>indeed</t>
        </is>
      </c>
      <c r="E145">
        <f>HYPERLINK("https://www.indeed.com/viewjob?jk=a3b0ce846d3bf7e2", "https://www.indeed.com/viewjob?jk=a3b0ce846d3bf7e2")</f>
        <v/>
      </c>
      <c r="F145">
        <f>HYPERLINK("https://www.amazon.jobs/jobs/3086060/applied-scientist-ii-prime-video--personalization-and-discovery-science?cmpid=DA_INAD200785B", "https://www.amazon.jobs/jobs/3086060/applied-scientist-ii-prime-video--personalization-and-discovery-science?cmpid=DA_INAD200785B")</f>
        <v/>
      </c>
      <c r="G145" t="inlineStr">
        <is>
          <t>Sunnyvale, CA, US</t>
        </is>
      </c>
      <c r="H145" s="3" t="n">
        <v>45915</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in-31ebed1cf4eef2a7</t>
        </is>
      </c>
      <c r="B146" t="inlineStr">
        <is>
          <t>Sr. Applied Scientist, Prime Video - Personalization and Discovery Science</t>
        </is>
      </c>
      <c r="C146" t="inlineStr">
        <is>
          <t>Amazon.com</t>
        </is>
      </c>
      <c r="D146" t="inlineStr">
        <is>
          <t>indeed</t>
        </is>
      </c>
      <c r="E146">
        <f>HYPERLINK("https://www.indeed.com/viewjob?jk=31ebed1cf4eef2a7", "https://www.indeed.com/viewjob?jk=31ebed1cf4eef2a7")</f>
        <v/>
      </c>
      <c r="F146">
        <f>HYPERLINK("https://www.amazon.jobs/jobs/3083564/sr-applied-scientist-prime-video--personalization-and-discovery-science?cmpid=DA_INAD200785B", "https://www.amazon.jobs/jobs/3083564/sr-applied-scientist-prime-video--personalization-and-discovery-science?cmpid=DA_INAD200785B")</f>
        <v/>
      </c>
      <c r="G146" t="inlineStr">
        <is>
          <t>Sunnyvale, CA, US</t>
        </is>
      </c>
      <c r="H146" s="3" t="n">
        <v>45914</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in-e7949a662579e665</t>
        </is>
      </c>
      <c r="B147" t="inlineStr">
        <is>
          <t>Sr. Applied Scientist, Prime Video - Personalization and Discovery Science</t>
        </is>
      </c>
      <c r="C147" t="inlineStr">
        <is>
          <t>Amazon.com</t>
        </is>
      </c>
      <c r="D147" t="inlineStr">
        <is>
          <t>indeed</t>
        </is>
      </c>
      <c r="E147">
        <f>HYPERLINK("https://www.indeed.com/viewjob?jk=e7949a662579e665", "https://www.indeed.com/viewjob?jk=e7949a662579e665")</f>
        <v/>
      </c>
      <c r="F147">
        <f>HYPERLINK("https://www.amazon.jobs/jobs/3083564/sr-applied-scientist-prime-video--personalization-and-discovery-science?cmpid=DA_INAD200785B", "https://www.amazon.jobs/jobs/3083564/sr-applied-scientist-prime-video--personalization-and-discovery-science?cmpid=DA_INAD200785B")</f>
        <v/>
      </c>
      <c r="G147" t="inlineStr">
        <is>
          <t>New York, NY, US</t>
        </is>
      </c>
      <c r="H147" s="3" t="n">
        <v>45914</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in-f947873fcc072dbf</t>
        </is>
      </c>
      <c r="B148" t="inlineStr">
        <is>
          <t>Sr. Applied Scientist, Prime Video - Personalization and Discovery Science</t>
        </is>
      </c>
      <c r="C148" t="inlineStr">
        <is>
          <t>Amazon.com</t>
        </is>
      </c>
      <c r="D148" t="inlineStr">
        <is>
          <t>indeed</t>
        </is>
      </c>
      <c r="E148">
        <f>HYPERLINK("https://www.indeed.com/viewjob?jk=f947873fcc072dbf", "https://www.indeed.com/viewjob?jk=f947873fcc072dbf")</f>
        <v/>
      </c>
      <c r="F148">
        <f>HYPERLINK("https://www.amazon.jobs/jobs/3083564/sr-applied-scientist-prime-video--personalization-and-discovery-science?cmpid=DA_INAD200785B", "https://www.amazon.jobs/jobs/3083564/sr-applied-scientist-prime-video--personalization-and-discovery-science?cmpid=DA_INAD200785B")</f>
        <v/>
      </c>
      <c r="G148" t="inlineStr">
        <is>
          <t>Seattle, WA, US</t>
        </is>
      </c>
      <c r="H148" s="3" t="n">
        <v>45914</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in-124a3935a02199a2</t>
        </is>
      </c>
      <c r="B149" t="inlineStr">
        <is>
          <t>Sr. Applied Scientist, Prime Video - Personalization and Discovery Science</t>
        </is>
      </c>
      <c r="C149" t="inlineStr">
        <is>
          <t>Amazon.com</t>
        </is>
      </c>
      <c r="D149" t="inlineStr">
        <is>
          <t>indeed</t>
        </is>
      </c>
      <c r="E149">
        <f>HYPERLINK("https://www.indeed.com/viewjob?jk=124a3935a02199a2", "https://www.indeed.com/viewjob?jk=124a3935a02199a2")</f>
        <v/>
      </c>
      <c r="F149">
        <f>HYPERLINK("https://www.amazon.jobs/jobs/3059256/sr-applied-scientist-prime-video--personalization-and-discovery-science?cmpid=DA_INAD200785B", "https://www.amazon.jobs/jobs/3059256/sr-applied-scientist-prime-video--personalization-and-discovery-science?cmpid=DA_INAD200785B")</f>
        <v/>
      </c>
      <c r="G149" t="inlineStr">
        <is>
          <t>Seattle, WA, US</t>
        </is>
      </c>
      <c r="H149" s="3" t="n">
        <v>45881</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in-aa7b1718a66a692f</t>
        </is>
      </c>
      <c r="B150" t="inlineStr">
        <is>
          <t>Sr. Applied Scientist, Prime Video - Personalization and Discovery Science</t>
        </is>
      </c>
      <c r="C150" t="inlineStr">
        <is>
          <t>Amazon.com</t>
        </is>
      </c>
      <c r="D150" t="inlineStr">
        <is>
          <t>indeed</t>
        </is>
      </c>
      <c r="E150">
        <f>HYPERLINK("https://www.indeed.com/viewjob?jk=aa7b1718a66a692f", "https://www.indeed.com/viewjob?jk=aa7b1718a66a692f")</f>
        <v/>
      </c>
      <c r="F150">
        <f>HYPERLINK("https://www.amazon.jobs/jobs/3059256/sr-applied-scientist-prime-video--personalization-and-discovery-science?cmpid=DA_INAD200785B", "https://www.amazon.jobs/jobs/3059256/sr-applied-scientist-prime-video--personalization-and-discovery-science?cmpid=DA_INAD200785B")</f>
        <v/>
      </c>
      <c r="G150" t="inlineStr">
        <is>
          <t>New York, NY, US</t>
        </is>
      </c>
      <c r="H150" s="3" t="n">
        <v>45881</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in-538797108dab5f67</t>
        </is>
      </c>
      <c r="B151" t="inlineStr">
        <is>
          <t>Sr. Applied Scientist, Prime Video - Personalization and Discovery Science</t>
        </is>
      </c>
      <c r="C151" t="inlineStr">
        <is>
          <t>Amazon.com</t>
        </is>
      </c>
      <c r="D151" t="inlineStr">
        <is>
          <t>indeed</t>
        </is>
      </c>
      <c r="E151">
        <f>HYPERLINK("https://www.indeed.com/viewjob?jk=538797108dab5f67", "https://www.indeed.com/viewjob?jk=538797108dab5f67")</f>
        <v/>
      </c>
      <c r="F151">
        <f>HYPERLINK("https://www.amazon.jobs/jobs/3059256/sr-applied-scientist-prime-video--personalization-and-discovery-science?cmpid=DA_INAD200785B", "https://www.amazon.jobs/jobs/3059256/sr-applied-scientist-prime-video--personalization-and-discovery-science?cmpid=DA_INAD200785B")</f>
        <v/>
      </c>
      <c r="G151" t="inlineStr">
        <is>
          <t>Sunnyvale, CA, US</t>
        </is>
      </c>
      <c r="H151" s="3" t="n">
        <v>45881</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in-b124b04862166d89</t>
        </is>
      </c>
      <c r="B152" t="inlineStr">
        <is>
          <t>Applied Scientist II, Prime Video - Personalization and Discovery Science</t>
        </is>
      </c>
      <c r="C152" t="inlineStr">
        <is>
          <t>Amazon.com</t>
        </is>
      </c>
      <c r="D152" t="inlineStr">
        <is>
          <t>indeed</t>
        </is>
      </c>
      <c r="E152">
        <f>HYPERLINK("https://www.indeed.com/viewjob?jk=b124b04862166d89", "https://www.indeed.com/viewjob?jk=b124b04862166d89")</f>
        <v/>
      </c>
      <c r="F152">
        <f>HYPERLINK("https://www.amazon.jobs/jobs/3059253/applied-scientist-ii-prime-video--personalization-and-discovery-science?cmpid=DA_INAD200785B", "https://www.amazon.jobs/jobs/3059253/applied-scientist-ii-prime-video--personalization-and-discovery-science?cmpid=DA_INAD200785B")</f>
        <v/>
      </c>
      <c r="G152" t="inlineStr">
        <is>
          <t>Seattle, WA, US</t>
        </is>
      </c>
      <c r="H152" s="3" t="n">
        <v>45881</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in-9633590fa62f93e6</t>
        </is>
      </c>
      <c r="B153" t="inlineStr">
        <is>
          <t>Applied Scientist II, Prime Video - Personalization and Discovery Science</t>
        </is>
      </c>
      <c r="C153" t="inlineStr">
        <is>
          <t>Amazon.com</t>
        </is>
      </c>
      <c r="D153" t="inlineStr">
        <is>
          <t>indeed</t>
        </is>
      </c>
      <c r="E153">
        <f>HYPERLINK("https://www.indeed.com/viewjob?jk=9633590fa62f93e6", "https://www.indeed.com/viewjob?jk=9633590fa62f93e6")</f>
        <v/>
      </c>
      <c r="F153">
        <f>HYPERLINK("https://www.amazon.jobs/jobs/3059253/applied-scientist-ii-prime-video--personalization-and-discovery-science?cmpid=DA_INAD200785B", "https://www.amazon.jobs/jobs/3059253/applied-scientist-ii-prime-video--personalization-and-discovery-science?cmpid=DA_INAD200785B")</f>
        <v/>
      </c>
      <c r="G153" t="inlineStr">
        <is>
          <t>New York, NY, US</t>
        </is>
      </c>
      <c r="H153" s="3" t="n">
        <v>45881</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in-abef4699797d11d2</t>
        </is>
      </c>
      <c r="B154" t="inlineStr">
        <is>
          <t>Applied Scientist II, Prime Video - Personalization and Discovery Science</t>
        </is>
      </c>
      <c r="C154" t="inlineStr">
        <is>
          <t>Amazon.com</t>
        </is>
      </c>
      <c r="D154" t="inlineStr">
        <is>
          <t>indeed</t>
        </is>
      </c>
      <c r="E154">
        <f>HYPERLINK("https://www.indeed.com/viewjob?jk=abef4699797d11d2", "https://www.indeed.com/viewjob?jk=abef4699797d11d2")</f>
        <v/>
      </c>
      <c r="F154">
        <f>HYPERLINK("https://www.amazon.jobs/jobs/3059253/applied-scientist-ii-prime-video--personalization-and-discovery-science?cmpid=DA_INAD200785B", "https://www.amazon.jobs/jobs/3059253/applied-scientist-ii-prime-video--personalization-and-discovery-science?cmpid=DA_INAD200785B")</f>
        <v/>
      </c>
      <c r="G154" t="inlineStr">
        <is>
          <t>Sunnyvale, CA, US</t>
        </is>
      </c>
      <c r="H154" s="3" t="n">
        <v>45881</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in-b5f5f8aa2e9f036c</t>
        </is>
      </c>
      <c r="B155" t="inlineStr">
        <is>
          <t>Applied Scientist, Prime Video - Personalization and Discovery Science</t>
        </is>
      </c>
      <c r="C155" t="inlineStr">
        <is>
          <t>Amazon.com</t>
        </is>
      </c>
      <c r="D155" t="inlineStr">
        <is>
          <t>indeed</t>
        </is>
      </c>
      <c r="E155">
        <f>HYPERLINK("https://www.indeed.com/viewjob?jk=b5f5f8aa2e9f036c", "https://www.indeed.com/viewjob?jk=b5f5f8aa2e9f036c")</f>
        <v/>
      </c>
      <c r="F155">
        <f>HYPERLINK("https://www.amazon.jobs/jobs/3033050/applied-scientist-prime-video--personalization-and-discovery-science?cmpid=DA_INAD200785B", "https://www.amazon.jobs/jobs/3033050/applied-scientist-prime-video--personalization-and-discovery-science?cmpid=DA_INAD200785B")</f>
        <v/>
      </c>
      <c r="G155" t="inlineStr">
        <is>
          <t>New York, NY, US</t>
        </is>
      </c>
      <c r="H155" s="3" t="n">
        <v>45845</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in-55e8187fd5a9f9bd</t>
        </is>
      </c>
      <c r="B156" t="inlineStr">
        <is>
          <t>Applied Scientist, Prime Video - Personalization and Discovery Science</t>
        </is>
      </c>
      <c r="C156" t="inlineStr">
        <is>
          <t>Amazon.com</t>
        </is>
      </c>
      <c r="D156" t="inlineStr">
        <is>
          <t>indeed</t>
        </is>
      </c>
      <c r="E156">
        <f>HYPERLINK("https://www.indeed.com/viewjob?jk=55e8187fd5a9f9bd", "https://www.indeed.com/viewjob?jk=55e8187fd5a9f9bd")</f>
        <v/>
      </c>
      <c r="F156">
        <f>HYPERLINK("https://www.amazon.jobs/jobs/3033050/applied-scientist-prime-video--personalization-and-discovery-science?cmpid=DA_INAD200785B", "https://www.amazon.jobs/jobs/3033050/applied-scientist-prime-video--personalization-and-discovery-science?cmpid=DA_INAD200785B")</f>
        <v/>
      </c>
      <c r="G156" t="inlineStr">
        <is>
          <t>Seattle, WA, US</t>
        </is>
      </c>
      <c r="H156" s="3" t="n">
        <v>45845</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in-d3be87dc5f76c519</t>
        </is>
      </c>
      <c r="B157" t="inlineStr">
        <is>
          <t>Applied Scientist, Prime Video - Personalization and Discovery Science</t>
        </is>
      </c>
      <c r="C157" t="inlineStr">
        <is>
          <t>Amazon.com</t>
        </is>
      </c>
      <c r="D157" t="inlineStr">
        <is>
          <t>indeed</t>
        </is>
      </c>
      <c r="E157">
        <f>HYPERLINK("https://www.indeed.com/viewjob?jk=d3be87dc5f76c519", "https://www.indeed.com/viewjob?jk=d3be87dc5f76c519")</f>
        <v/>
      </c>
      <c r="F157">
        <f>HYPERLINK("https://www.amazon.jobs/jobs/3033050/applied-scientist-prime-video--personalization-and-discovery-science?cmpid=DA_INAD200785B", "https://www.amazon.jobs/jobs/3033050/applied-scientist-prime-video--personalization-and-discovery-science?cmpid=DA_INAD200785B")</f>
        <v/>
      </c>
      <c r="G157" t="inlineStr">
        <is>
          <t>Sunnyvale, CA, US</t>
        </is>
      </c>
      <c r="H157" s="3" t="n">
        <v>45845</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in-8f30dcb160d7cc80</t>
        </is>
      </c>
      <c r="B158" t="inlineStr">
        <is>
          <t>Sr. Data Scientist, Amazon Leo Global Planning, Amazon Leo</t>
        </is>
      </c>
      <c r="C158" t="inlineStr">
        <is>
          <t>Amazon.com</t>
        </is>
      </c>
      <c r="D158" t="inlineStr">
        <is>
          <t>indeed</t>
        </is>
      </c>
      <c r="E158">
        <f>HYPERLINK("https://www.indeed.com/viewjob?jk=8f30dcb160d7cc80", "https://www.indeed.com/viewjob?jk=8f30dcb160d7cc80")</f>
        <v/>
      </c>
      <c r="F158">
        <f>HYPERLINK("https://www.amazon.jobs/jobs/3016062/sr-data-scientist-amazon-leo-global-planning-amazon-leo?cmpid=DA_INAD200785B", "https://www.amazon.jobs/jobs/3016062/sr-data-scientist-amazon-leo-global-planning-amazon-leo?cmpid=DA_INAD200785B")</f>
        <v/>
      </c>
      <c r="G158" t="inlineStr">
        <is>
          <t>Bellevue, WA, US</t>
        </is>
      </c>
      <c r="H158" s="3" t="n">
        <v>45830</v>
      </c>
      <c r="I15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in-81923f3c6454e7f5</t>
        </is>
      </c>
      <c r="B159" t="inlineStr">
        <is>
          <t>Sr. Data Scientist, Amazon Leo Global Planning, Amazon Leo</t>
        </is>
      </c>
      <c r="C159" t="inlineStr">
        <is>
          <t>Amazon.com</t>
        </is>
      </c>
      <c r="D159" t="inlineStr">
        <is>
          <t>indeed</t>
        </is>
      </c>
      <c r="E159">
        <f>HYPERLINK("https://www.indeed.com/viewjob?jk=81923f3c6454e7f5", "https://www.indeed.com/viewjob?jk=81923f3c6454e7f5")</f>
        <v/>
      </c>
      <c r="F159">
        <f>HYPERLINK("https://www.amazon.jobs/jobs/3016062/sr-data-scientist-amazon-leo-global-planning-amazon-leo?cmpid=DA_INAD200785B", "https://www.amazon.jobs/jobs/3016062/sr-data-scientist-amazon-leo-global-planning-amazon-leo?cmpid=DA_INAD200785B")</f>
        <v/>
      </c>
      <c r="G159" t="inlineStr">
        <is>
          <t>Redmond, WA, US</t>
        </is>
      </c>
      <c r="H159" s="3" t="n">
        <v>45830</v>
      </c>
      <c r="I15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in-0299362ddef0bd01</t>
        </is>
      </c>
      <c r="B160" t="inlineStr">
        <is>
          <t>Data Scientist II</t>
        </is>
      </c>
      <c r="C160" t="inlineStr">
        <is>
          <t>Fixity Technologies</t>
        </is>
      </c>
      <c r="D160" t="inlineStr">
        <is>
          <t>indeed</t>
        </is>
      </c>
      <c r="E160">
        <f>HYPERLINK("https://www.indeed.com/viewjob?jk=0299362ddef0bd01", "https://www.indeed.com/viewjob?jk=0299362ddef0bd01")</f>
        <v/>
      </c>
      <c r="F160">
        <f>HYPERLINK("https://fixity.oorwin.ai/#/careers/index.html/job/details/af00ef31bb91d056c29003a554e8c818aaab34f9?source=indeed&amp;postedby=381", "https://fixity.oorwin.ai/#/careers/index.html/job/details/af00ef31bb91d056c29003a554e8c818aaab34f9?source=indeed&amp;postedby=381")</f>
        <v/>
      </c>
      <c r="G160" t="inlineStr">
        <is>
          <t>North Chicago, IL, US</t>
        </is>
      </c>
      <c r="H160" s="3" t="n">
        <v>46043</v>
      </c>
      <c r="I160" t="inlineStr">
        <is>
          <t>Title:Data Scientist II
Location: North Chicago, IL
Description:
We are seeking a data scientist to apply advanced analytics and AI methods on EHR phenotyping data from clinicogenomic data sources such as UK Biobank (UKBB) and Alliance for Genomic Discovery (AGD) datasets, driving discovery through large\-scale biobank analyses.
The candidate will extract patient cohorts from the EHR data in order for Genome\-wide Association Studies (GWAS) and related applications to extract actionable insights from clients rich biobank data resources.
Responsibilities:
UKBB, AGD data and other RWD
Required Skill 1: Data curation and mining using Linux command line
Required Skill 2: Advanced analytics Required Skill 3: Advanced programming skills with writing reusable scripts (R, Python, Spark or SQL) Required Skill 4: Learn existing automated EHR\-phenotyping using large longitudinal UK Biobank and AGD data
Required Skill 5: strong communication and teamwork What years of experience, education, and/or certification is required? 2\-3 (PhD), or 5 years (MSc) What is a nice to have (but not required) regarding skills, requirements, experience, education, or certification? Biostatistics, Genetics, experience with latest AI methodologies What is the environment that this person will be working in (i.e. group setting vs individual role)? Individual role within a collaborative team Other notable details about the environment from the hiring manager about this role? \- advance the state\-of\-art Phenomics Data Science initiatives using large\-scale real\-world data What positions/background experience do you feel are successful in this role. \- experienced data scientist/data engineers with interest in driving new mathematical solutions and innovation in line with business strategy and rapidly changing data streams</t>
        </is>
      </c>
    </row>
    <row r="161">
      <c r="A161" t="inlineStr">
        <is>
          <t>in-a059ad1b7554493a</t>
        </is>
      </c>
      <c r="B161" t="inlineStr">
        <is>
          <t>Sr Data Scientist, AI</t>
        </is>
      </c>
      <c r="C161" t="inlineStr">
        <is>
          <t>Bayer</t>
        </is>
      </c>
      <c r="D161" t="inlineStr">
        <is>
          <t>indeed</t>
        </is>
      </c>
      <c r="E161">
        <f>HYPERLINK("https://www.indeed.com/viewjob?jk=a059ad1b7554493a", "https://www.indeed.com/viewjob?jk=a059ad1b7554493a")</f>
        <v/>
      </c>
      <c r="F161">
        <f>HYPERLINK("https://jobs.bayer.com/job/Seattle-Sr-Data-Scientist%2C-AI-Wash/1285955901/", "https://jobs.bayer.com/job/Seattle-Sr-Data-Scientist%2C-AI-Wash/1285955901/")</f>
        <v/>
      </c>
      <c r="G161" t="inlineStr">
        <is>
          <t>Seattle, WA, US</t>
        </is>
      </c>
      <c r="H161" s="3" t="n">
        <v>46042</v>
      </c>
      <c r="I161"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**Sr Data Scientist, AI**  
Here at Bayer Digital Farming, we are seeking a highly motivated Senior Data Scientist who shares our passion for innovation to join our team within the Science organization. You will have the opportunity to be on the forefront of developing novel \&amp; complex integrated agronomic models for recommendations on seeds, agronomic traits, and crop protection that farmers need today. Our team has access to rich, industry\-leading data sources to drive creation of predictive and prescriptive models that will shape the future of the agriculture industry.  
As part of our diverse, highly dynamic group, you will work side\-by\-side with a team of exceptional scientists, data engineers, analysts, and others with diverse backgrounds to deliver next\-generation scientific breakthroughs, while fostering your career growth and development. If you are passionate about addressing feeding a growing planet sustainably, with a direct impact on farmers, Bayer would love to talk to you. We work on hard problems because we love the challenge!  
As a Senior Data Scientist, you’ll play a key role in delivering innovative scientific breakthroughs by applying predictive analytics, risk optimization, and statistics to integrated recommendations. You will work closely with interdisciplinary scientists, domain experts, and stakeholders to predict the product performance and provide personalized insights for growers while developing novel analytical models and best practices for complex data analyses.  
**YOUR TASKS AND RESPONSIBILITIES**
The primary responsibilities of this role are to:  
* Explore, analyze, and model large and diverse agronomic datasets
* Design and develop models using statistical modeling, process modeling, and machine learning
* Apply sound statistical principles, selecting the most appropriate modeling techniques and data visualization, applying innovative methods where they add value
* Articulate project plans and architecture, independently design technical approaches, and model limitations and advantages, defending and communicating conclusions for technical and non\-technical audiences
* Follow software development best practices and produce code that anticipates scaling and production, assisting with code review and providing expert consultation
* Use your domain knowledge to anticipate and proactively address concerns and solutions, identifying opportunities for value creation
* Work in close collaboration with teams of world\-class scientists, engineers, analysts, and business stakeholders, understanding customer pain points, identifying alternative solutions and strategies, and influencing others to drive impact
**WHO YOU ARE**
Bayer seeks an incumbent who possesses the following:  
Required:
* PhD \+2 years or MS \+5 years of experience in Statistics, Mathematics, Computer Science or related field
* Minimum 3\-5 years of experience in applying statistical/machine learning solutions on a scalable platform to real\-world applications
* Fluency in a programming language commonly used for data manipulation and computational statistics, such as Python (required) and SQL (preferred)
* Mastery of multiple regression techniques, multivariate analysis, and mixed models
* Proven experience with software development best practices such as modularity, version control, documentation, code review, and automated test design
* Proven experience building generative AI agents tuned to custom datasets that deliver actionable insights, and deploying them in scalable solutions that ensure trustworthy, high\-quality results
* Strong communication skills and the ability to work with diverse cross\-functional teams, including examples of providing quality feedback and helping others to develop
* Domain expertise in Agronomy, Plant Genetics, Plant Pathology, Crop Physiology, Remote Sensing or related discipline
Preferred:
* Experience in developing agronomic models, including the effects of environment, management, and genetics on crop outcomes
* Theoretical knowledge and practical experience with advanced statistical and machine learning analysis techniques
* Proficiency in programming computational and statistical algorithms for complex data sets
* Track record demonstrating excellent command of research questions and critical thinking skills
* Proven experience using multiple forms of AI such as machine learning, deep learning, tensor flow, neural networks or predictive analytics to drive decisions using new algorithms efficiently and rigorously
Employees can expect to be paid a salary of approximately $140k\-$180k. Additional compensation may include a bonus or incentive program (if relevant). Additional benefits include health care, vision, dental, retirement, PTO, sick leave, etc.. This salary (or salary range) is merely an estimate and may vary based on an applicant’s location, market data/ranges, an applicant’s skills and prior relevant experience, certain degrees and certifications, and other relevant factors.  
This posting will be available for application until at least 2/6/26\.  
**YOUR APPLICATION**  
Bayer offers a wide variety of competitive compensation and benefits programs. If you meet the requirements of this unique opportunity, and want to impact our mission Health for all, Hunger for none,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Bayer is an E\-Verify Employer.  
**Location:** United States : Washington : Seattle \|\| United States : Illinois : Chicago \|\| United States : Missouri : Creve Coeur
**Division:** Crop Science
**Reference Code:** 860379  
**Contact Us**
**Email:** hrop\_usa@bayer.com</t>
        </is>
      </c>
    </row>
    <row r="162">
      <c r="A162" t="inlineStr">
        <is>
          <t>in-98eddb2a563193c5</t>
        </is>
      </c>
      <c r="B162" t="inlineStr">
        <is>
          <t>Data Scientist</t>
        </is>
      </c>
      <c r="C162" t="inlineStr">
        <is>
          <t>Marquette University</t>
        </is>
      </c>
      <c r="D162" t="inlineStr">
        <is>
          <t>indeed</t>
        </is>
      </c>
      <c r="E162">
        <f>HYPERLINK("https://www.indeed.com/viewjob?jk=98eddb2a563193c5", "https://www.indeed.com/viewjob?jk=98eddb2a563193c5")</f>
        <v/>
      </c>
      <c r="F162">
        <f>HYPERLINK("https://employment.marquette.edu/postings/24268", "https://employment.marquette.edu/postings/24268")</f>
        <v/>
      </c>
      <c r="G162" t="inlineStr">
        <is>
          <t>Milwaukee, WI, US</t>
        </is>
      </c>
      <c r="H162" s="3" t="n">
        <v>46042</v>
      </c>
      <c r="I162" t="inlineStr">
        <is>
          <t>**Be The Difference Begins with Great People.**  
Are you looking for a new opportunity where you can make the difference in the lives of students and faculty? We’re always looking for highly talented individuals to join our team – people who think big, care deeply, and believe in being the difference in their work and community.  
We prioritize student success, access to education, and service in our work to educate well\-rounded servant leaders who transform their fields, our society and the world. Our Catholic, Jesuit approach emphasizes student engagement with the world around them and formation of the heart and mind.  
We believe in our mission: The search for truth, the discovery and sharing of knowledge, the fostering of personal and professional excellence, the promotion of a life of faith, and the development of leadership expressed in service to others. These core values guide our relationships with our students, each other, and our community.  
Marquette University offers a rich and competitive Total Rewards package including **medical, dental, vision, 403(b) with up to 8% university match, generous time off package, and tuition benefits for employees, spouses, and dependents with no payback requirement!**  
This is your next opportunity to join an organization that invests in their employees’ career journey by diversifying their skills, deepening their expert knowledge, encouraging a healthy work\-life balance, focusing on personal wellbeing, providing leadership training, and sustaining a culture of respect and inclusion.  
The Data Scientist provides accurate, reliable and actionable information to stakeholders across campus to enable effective decision\-making in support of student success.
Duties and Responsibilities
1\. **Data Management**: support the development and maintenance of OIRA’s data warehouse environment related to student success data* Audit data prior to census dates
* Maintain stored procedures for all data warehouse tables related to student success
* Direct the development of new data tables as analytics require
2\. **Reporting**: support existing and develop new reporting to advance student success goals* Build visualizations of operational and historical data related retention, graduation rates, and other student success metrics
* Build visualizations to support analytical models
3\. **Analytics**: support existing and develop new analytics to advance student success goals* Annually re\-train and deploy the first\-to\-second year retention model and evaluate its accuracy
* Evaluate effectiveness of student success early alerts and other student success initiatives · Develop and deploy models to predict success of continuing students
* Respond to research questions about student success
4\. **Survey research**: coordinate and analyze institutional surveys* Coordinate the development, data collection, and analysis of institutional surveys
* Serve on the Online Survey Review Group
* Maintain survey data in the data warehouse
* Maintain reports and visualizations of survey data
5\. **Collaboration** with stakeholders: develop strong partnerships with student success stakeholders to build a culture of continuous improvement* Clearly communicate findings to student success stakeholders
* Assist stakeholders in making data\-informed decisions to support student success
6\. Perform other duties and responsibilities as required, assigned, or requested.
Required Knowledge, Skills and Abilities
Bachelor’s degree in business, data science, statistics, mathematics, computer science, social or behavior science or another related field  
A minimum of 2 years of related experience.  
Proficiency in programming languages/statistical software (e.g., R, Python, SAS, SQL)  
Experience with advanced statistical techniques such as multivariate analysis, predictive modeling, machine learning, or optimization in a professional setting  
Proficiency in data visualization tools (e.g., Power BI, Tableau)  
Strong analytical and problem\-solving skills  
Excellent oral and written communication skills, particularly in articulating complex data and insights to stakeholders  
Demonstrated strong attention to detail involving data, systems, and documentation.  
Ability to manage and prioritize multiple projects simultaneously  
Proficiency in Microsoft Office applications, including Word, Excel, PowerPoint and Teams  
Preferred Knowledge, Skills and Abilities
Experience with project management  
Experience with DevOps and MLOps processes and procedures
Department Institutional Research Posting Date 01/21/2026 Closing Date Special Instructions to Applicants
All applicants must use the online system to apply for this position.
EOE Statement
It is the policy of Marquette University to provide equal employment opportunities (EEO) to all employees and applicants without regard to race, color, religion, sex, sexual orientation, gender identity, national origin, disability, protected veteran status or any other applicable federal or state\-protected classification.
**Required Documents**
----------------------
**Required Documents**
* Resume
* Cover Letter/Letter of Application
**Optional Documents**
* References</t>
        </is>
      </c>
    </row>
    <row r="163">
      <c r="A163" t="inlineStr">
        <is>
          <t>in-3c29fba78c80a186</t>
        </is>
      </c>
      <c r="B163" t="inlineStr">
        <is>
          <t>Sr Data Scientist</t>
        </is>
      </c>
      <c r="C163" t="inlineStr">
        <is>
          <t>Kansas City National Security Campus</t>
        </is>
      </c>
      <c r="D163" t="inlineStr">
        <is>
          <t>indeed</t>
        </is>
      </c>
      <c r="E163">
        <f>HYPERLINK("https://www.indeed.com/viewjob?jk=3c29fba78c80a186", "https://www.indeed.com/viewjob?jk=3c29fba78c80a186")</f>
        <v/>
      </c>
      <c r="F163">
        <f>HYPERLINK("https://career-hcm03.ns2cloud.com/career?navBarLevel=JOB_SEARCH&amp;rcm_site_locale=en-US&amp;career_ns=job_listing&amp;company=KCPHCM03&amp;_s.crb=cgyjZnolSD%2Fc%2BTwm%2B8e7awNJ7dwuC%2FWxkhK80Kb36Lk%3D%3Fbplte_company%3DKCPHCM03&amp;_s.crb=cuIbGFpkRDC2wM5CPxgi4EjhSU5kDA2y%252fw%252fq3i4sCN8%253d&amp;selected_lang=en-US&amp;career_job_req_id=4014", "https://career-hcm03.ns2cloud.com/career?navBarLevel=JOB_SEARCH&amp;rcm_site_locale=en-US&amp;career_ns=job_listing&amp;company=KCPHCM03&amp;_s.crb=cgyjZnolSD%2Fc%2BTwm%2B8e7awNJ7dwuC%2FWxkhK80Kb36Lk%3D%3Fbplte_company%3DKCPHCM03&amp;_s.crb=cuIbGFpkRDC2wM5CPxgi4EjhSU5kDA2y%252fw%252fq3i4sCN8%253d&amp;selected_lang=en-US&amp;career_job_req_id=4014")</f>
        <v/>
      </c>
      <c r="G163" t="inlineStr">
        <is>
          <t>Overland Park, KS, US</t>
        </is>
      </c>
      <c r="H163" s="3" t="n">
        <v>46042</v>
      </c>
      <c r="I163" t="inlineStr">
        <is>
          <t>**Join the industry leader to design the next generation of breakthroughs.**  
**Innovate to solve the world's most important challenges.**  
Honeywell is a Fortune 100 company that invents and manufactures technologies to address critical challenges linked to global macrotrends such as safety, security, productivity, global urbanization and energy. With approximately 100,000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**Summary**
-----------
The Sr Data Scientist leads highly complex problem analysis, customer interaction, solution design, front\-end and back\-end integration, maintenance, and support of data science and analytics solutions for manufacturing or business applications.
**Duties and Responsibilities**
-------------------------------
* Independently develops data science models or algorithms using disciplined software development processes, making recommendations for developing new code or re\-using existing code, implementing version control and maintaining documentation of created applications.
* Interfaces with multiple stakeholders and team members to improve predictability of business or manufacturing operations.
* Collaborates with internal web application development team accessible throughout KCNSC to incorporate established models into stakeholder daily decision\-making processes.
* Partners with data science team to provide solutions to stakeholder challenges on a variety of topics.
* Stays current with relevant emerging technology to make recommendations on investment opportunities.
* Demonstrates project management skills, serving as project lead.
* Guides and produces information products, supporting visualization and data accessibility in a customer centric manner.
**You Must Have**
-----------------
* At least five years relevant experience in data science or related technical activities.
* BS in engineering from ABET accredited institution or Bachelor of Science degree in data science or related field, OR two additional years of relevant experience.
* Ability to travel as determined by the needs of the business.
* Ability to work remote, hybrid, or on\-site as directed by management and is determined by the needs of the business.
* Regular and reliable attendance is an essential function of this job.
* United States Citizenship.
* Ability to obtain and maintain, if required for position, a U.S. Department of Energy (DOE) security clearance (some positions require additional DOE designations).
**We Value**
------------
* Must be a team player who thrives off collaborating w/peers and ensuring successful deployment and execution of team goals.
* Experience with Linux or command line.
* Experience with Git, SQL, Hibernate/Entity Framework or similar, REST/GraphQL, Quarkus/Spring Boot or ASP.NET.
* Experience with frontend development in React or similar.
* Experience with design thinking, CSS, UI principles and UX philosophies.
* Experience with server/server management.
* Experience with managing multiple projects at same time (Project Management).
* Experience working with \&amp; supporting developers (SW 1 \&amp; 2\) supporting best practices including documentation, communication, \&amp; communicating with internal customers.
* Application of advanced engineering principles and technology related to highly complex technical assignments.
* Ability to provide technical guidance, mentoring, consultative services, and innovative solutions.
* Six Sigma certification preferred.
*This job description/job posting is not all inclusive and other duties may be assigned.*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**If you require a reasonable accommodation to submit an application, please send an email to our Reasonable Accommodation Support Team at** **staffing@kcnsc.doe.gov****.**
To learn more about our benefits and culture follow the link below:  
https://www.kcnsc.doe.gov/careers/benefits\-culture/
**Additional Information:**
* **Job ID:** 4014
* **Category:** Engineering
* **Level of Experience:** Experienced Professional
* **Posting Location**: KCNSC West 6700 W 115th St Overland Park, KS, 66221
* **Remote Eligibility:** On\-Site
* **Travel Required:** 0\-10%
* **Approved Work States:** MO; KS
* **Hourly/Salary:** Salary</t>
        </is>
      </c>
    </row>
    <row r="164">
      <c r="A164" t="inlineStr">
        <is>
          <t>in-f45a17e5caedfddf</t>
        </is>
      </c>
      <c r="B164" t="inlineStr">
        <is>
          <t>Senior Data Scientist</t>
        </is>
      </c>
      <c r="C164" t="inlineStr">
        <is>
          <t>Capgemini</t>
        </is>
      </c>
      <c r="D164" t="inlineStr">
        <is>
          <t>indeed</t>
        </is>
      </c>
      <c r="E164">
        <f>HYPERLINK("https://www.indeed.com/viewjob?jk=f45a17e5caedfddf", "https://www.indeed.com/viewjob?jk=f45a17e5caedfddf")</f>
        <v/>
      </c>
      <c r="F164">
        <f>HYPERLINK("https://www.capgemini.com/jobs/388991-en_GB+sap_btp/", "https://www.capgemini.com/jobs/388991-en_GB+sap_btp/")</f>
        <v/>
      </c>
      <c r="G164" t="inlineStr">
        <is>
          <t>Santa Clara, CA, US</t>
        </is>
      </c>
      <c r="H164" s="3" t="n">
        <v>46042</v>
      </c>
      <c r="I164" t="inlineStr">
        <is>
          <t>Santa Clara, CA
Senior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Responsible for helping the company leverage data, working with the team of data scientists and engineers to provide valuable direction and make informed decisions concerning the product, growth, and engagement
The base compensation range for this role in the posted location is $140,000\- $180,000/YR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388991\-en\_GB
Posted on
21 Jan 2026
Experience level
Experienced Professionals
Contract type
Permanent
Location
Santa Clara, CA
Business unit
I and D Global Business Line
Brand
Capgemini
Professional communities
Data \&amp; AI</t>
        </is>
      </c>
    </row>
    <row r="165">
      <c r="A165" t="inlineStr">
        <is>
          <t>in-aa9deedea1f314c2</t>
        </is>
      </c>
      <c r="B165" t="inlineStr">
        <is>
          <t>Senior Data Scientist</t>
        </is>
      </c>
      <c r="C165" t="inlineStr">
        <is>
          <t>Capgemini</t>
        </is>
      </c>
      <c r="D165" t="inlineStr">
        <is>
          <t>indeed</t>
        </is>
      </c>
      <c r="E165">
        <f>HYPERLINK("https://www.indeed.com/viewjob?jk=aa9deedea1f314c2", "https://www.indeed.com/viewjob?jk=aa9deedea1f314c2")</f>
        <v/>
      </c>
      <c r="F165">
        <f>HYPERLINK("https://www.capgemini.com/jobs/388994-en_GB+sap_btp/", "https://www.capgemini.com/jobs/388994-en_GB+sap_btp/")</f>
        <v/>
      </c>
      <c r="G165" t="inlineStr">
        <is>
          <t>Santa Clara, CA, US</t>
        </is>
      </c>
      <c r="H165" s="3" t="n">
        <v>46042</v>
      </c>
      <c r="I165" t="inlineStr">
        <is>
          <t>Santa Clara, CA
Senior Data Scientist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The Senior Data Scientist will demonstrate excellent knowledge of ML algorithms (e.g., Linear Regression, Logistic Regression, Clustering/Segmentation, Decision Tree, Random Forest Algorithm, GBM, DNN, Naive Bayes, Support Vector Machine, etc.) to lead efforts, teams, projects, and engage with customers.
**KEY RESPONSIBILITIES:**
* Responsible for developing and implementing AI\-assisted marketing analytics solutions that address customer needs using data science, machine learning.
* Work closely with multi\-functional teams to deliver innovative solutions that drive business growth and improve customer engagement.
Skill and Experience
* Excellent knowledge of ML algorithms (e.g., Linear Regression, Logistic Regression, Clustering/Segmentation, Decision Tree, Random Forest Algorithm, GBM, DNN, Naive Bayes, Support Vector Machine, etc.)
* Expertise in applying statistical, sophisticated analytics, machine learning, and/or AI, deep learning concepts, and techniques to solve business problems. Strong programming skills using Python, SQL, PySpark
* Experience with Python libraries such as Pandas, NumPy, SciPy, Scikit\-Learn
* Strong analytical, critical\-thinking skills with proven ability to identify/analyze/synthesize data and use the data to drive decisions
* Superior communication and persuasion skills, talent for storytelling, visualization, and crafting insights from data to deliver practical recommendations for business action
* Good knowledge of calculus, linear algebra, statistics, and probability
* Master’s degree in Math, Statistics, Data Science, Analytics, Econometrics, Computer science, Operations Research, Behavioral Science, or another analytical/quantitative field required
The base compensation range for this role in the posted location is:$160,000\- $200,000\.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388994\-en\_GB
Posted on
21 Jan 2026
Experience level
Experienced Professionals
Contract type
Permanent
Location
Santa Clara, CA
Business unit
I and D Global Business Line
Brand
Capgemini
Professional communities
Data \&amp; AI</t>
        </is>
      </c>
    </row>
    <row r="166">
      <c r="A166" t="inlineStr">
        <is>
          <t>in-e80b0c5f2c0a16ce</t>
        </is>
      </c>
      <c r="B166" t="inlineStr">
        <is>
          <t>Sr. Data Scientist, HSV, AL (Contingent upon Award)</t>
        </is>
      </c>
      <c r="C166" t="inlineStr">
        <is>
          <t>Davidson Technologies, Inc.</t>
        </is>
      </c>
      <c r="D166" t="inlineStr">
        <is>
          <t>indeed</t>
        </is>
      </c>
      <c r="E166">
        <f>HYPERLINK("https://www.indeed.com/viewjob?jk=e80b0c5f2c0a16ce", "https://www.indeed.com/viewjob?jk=e80b0c5f2c0a16ce")</f>
        <v/>
      </c>
      <c r="F166">
        <f>HYPERLINK("https://www.applicantpro.com/openings/davidsontech/jobs/3968730-955850", "https://www.applicantpro.com/openings/davidsontech/jobs/3968730-955850")</f>
        <v/>
      </c>
      <c r="G166" t="inlineStr">
        <is>
          <t>Huntsville, AL, US</t>
        </is>
      </c>
      <c r="H166" s="3" t="n">
        <v>46042</v>
      </c>
      <c r="I166" t="inlineStr">
        <is>
          <t>**What sets Davidson apart?**  
* **100% paid medical benefits \- Prioritizing your health and well\-being.**
* **Competitive 401(k) with company match \- Investing in your future.**
* **Tuition reimbursement \- Supporting your professional growth.**
**Nominated for** ***The Best Place to Work*****,** ***The Best Workplace for Millennials*** **and voted** ***The Best Place for Working Parents!***
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Senior Data Scientist in Huntsville, Alabama to design, build, and deploy ML systems to control and optimize VLF transmissions. Using your experience with applied ML, real\-time systems, and physical domain modeling, you will work closely with RF engineers, software engineers, and end customers to develop an intelligent Al/ML stack that monitors environmental conditions, predicts signal propagation impacts, and supports dynamic adjustments of transmission parameters to maintain signal stability and performance. You will take models from concept through production deployment (MLOps) and ensure they operate reliably in mission\-critical environments.
**Job Responsibilities:**
* Develop ML models to leverage weather and environmental data feeds for disaster event prediction
* Build predictive models to improve preventative maintenance capabilities
* Help to integrate models into decisions systems that optimize transmission system operations and performance
* Translate model outputs into actionable, explainable recommendations
* Collaborate with engineering team (RF, Systems, Software) to deploy models into real\-time production systems
* End\-to\-end ML lifecycle management using MLOps best practices
* Communicate complex technical concepts clearly to engineers and customers
* Contribute to system architecture decisions for scalable/reliable Al/ML solutions
 **Job Requirements:**
* Bachelor's degree or higher in Data Science, Computer Science, Engineering, Physics or related field
* 8\+ years of experience in applied data science or machine learning roles
* Strong foundation in machine learning and statistical modeling
* Demonstrable experience translating stakeholder requirements into technical ML strategies that deliver tangible customer value
* Hands\-on experience deploying ML models into production environments
* Practical experience with MLOps (model pipelines, monitoring, reproducibility)
* Must be a U.S. citizen
**Pref****erred Qualifications:**
* Familiarity with RF systems, signal propagation, or electromagnetic modeling
* Familiarity with surrogate modeling of physics\-based systems, such as weather
* Familiarity with predictive maintenance (CBM\+)
* Experience integrating ML into real\-time systems
 **Clearance:**
* Currently holds an Active Secret Clearance or is able to obtain a Secret Clearance</t>
        </is>
      </c>
    </row>
    <row r="167">
      <c r="A167" t="inlineStr">
        <is>
          <t>in-c79af6bd2c65b22d</t>
        </is>
      </c>
      <c r="B167" t="inlineStr">
        <is>
          <t>Applied Scientist, AGI</t>
        </is>
      </c>
      <c r="C167" t="inlineStr">
        <is>
          <t>Amazon.com</t>
        </is>
      </c>
      <c r="D167" t="inlineStr">
        <is>
          <t>indeed</t>
        </is>
      </c>
      <c r="E167">
        <f>HYPERLINK("https://www.indeed.com/viewjob?jk=c79af6bd2c65b22d", "https://www.indeed.com/viewjob?jk=c79af6bd2c65b22d")</f>
        <v/>
      </c>
      <c r="F167">
        <f>HYPERLINK("https://www.amazon.jobs/jobs/3139033/applied-scientist-agi?cmpid=DA_INAD200785B", "https://www.amazon.jobs/jobs/3139033/applied-scientist-agi?cmpid=DA_INAD200785B")</f>
        <v/>
      </c>
      <c r="G167" t="inlineStr">
        <is>
          <t>Bellevue, WA, US</t>
        </is>
      </c>
      <c r="H167" s="3" t="n">
        <v>45998</v>
      </c>
      <c r="I16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in-db830bd58c9a1bf7</t>
        </is>
      </c>
      <c r="B168" t="inlineStr">
        <is>
          <t>Applied Scientist, AGI</t>
        </is>
      </c>
      <c r="C168" t="inlineStr">
        <is>
          <t>Amazon.com</t>
        </is>
      </c>
      <c r="D168" t="inlineStr">
        <is>
          <t>indeed</t>
        </is>
      </c>
      <c r="E168">
        <f>HYPERLINK("https://www.indeed.com/viewjob?jk=db830bd58c9a1bf7", "https://www.indeed.com/viewjob?jk=db830bd58c9a1bf7")</f>
        <v/>
      </c>
      <c r="F168">
        <f>HYPERLINK("https://www.amazon.jobs/jobs/3139033/applied-scientist-agi?cmpid=DA_INAD200785B", "https://www.amazon.jobs/jobs/3139033/applied-scientist-agi?cmpid=DA_INAD200785B")</f>
        <v/>
      </c>
      <c r="G168" t="inlineStr">
        <is>
          <t>New York, NY, US</t>
        </is>
      </c>
      <c r="H168" s="3" t="n">
        <v>45998</v>
      </c>
      <c r="I16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in-95b6124a23ea874e</t>
        </is>
      </c>
      <c r="B169" t="inlineStr">
        <is>
          <t>Applied Scientist, AGI</t>
        </is>
      </c>
      <c r="C169" t="inlineStr">
        <is>
          <t>Amazon.com</t>
        </is>
      </c>
      <c r="D169" t="inlineStr">
        <is>
          <t>indeed</t>
        </is>
      </c>
      <c r="E169">
        <f>HYPERLINK("https://www.indeed.com/viewjob?jk=95b6124a23ea874e", "https://www.indeed.com/viewjob?jk=95b6124a23ea874e")</f>
        <v/>
      </c>
      <c r="F169">
        <f>HYPERLINK("https://www.amazon.jobs/jobs/3139033/applied-scientist-agi?cmpid=DA_INAD200785B", "https://www.amazon.jobs/jobs/3139033/applied-scientist-agi?cmpid=DA_INAD200785B")</f>
        <v/>
      </c>
      <c r="G169" t="inlineStr">
        <is>
          <t>Sunnyvale, CA, US</t>
        </is>
      </c>
      <c r="H169" s="3" t="n">
        <v>45998</v>
      </c>
      <c r="I16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in-aca3da0f8720d493</t>
        </is>
      </c>
      <c r="B170" t="inlineStr">
        <is>
          <t>Applied Scientist, AGI</t>
        </is>
      </c>
      <c r="C170" t="inlineStr">
        <is>
          <t>Amazon.com</t>
        </is>
      </c>
      <c r="D170" t="inlineStr">
        <is>
          <t>indeed</t>
        </is>
      </c>
      <c r="E170">
        <f>HYPERLINK("https://www.indeed.com/viewjob?jk=aca3da0f8720d493", "https://www.indeed.com/viewjob?jk=aca3da0f8720d493")</f>
        <v/>
      </c>
      <c r="F170">
        <f>HYPERLINK("https://www.amazon.jobs/jobs/3139033/applied-scientist-agi?cmpid=DA_INAD200785B", "https://www.amazon.jobs/jobs/3139033/applied-scientist-agi?cmpid=DA_INAD200785B")</f>
        <v/>
      </c>
      <c r="G170" t="inlineStr">
        <is>
          <t>Cambridge, MA, US</t>
        </is>
      </c>
      <c r="H170" s="3" t="n">
        <v>45998</v>
      </c>
      <c r="I17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in-9790c39ea042d757</t>
        </is>
      </c>
      <c r="B171" t="inlineStr">
        <is>
          <t>Sr. Applied Scientist, Amazon Ads</t>
        </is>
      </c>
      <c r="C171" t="inlineStr">
        <is>
          <t>Amazon.com</t>
        </is>
      </c>
      <c r="D171" t="inlineStr">
        <is>
          <t>indeed</t>
        </is>
      </c>
      <c r="E171">
        <f>HYPERLINK("https://www.indeed.com/viewjob?jk=9790c39ea042d757", "https://www.indeed.com/viewjob?jk=9790c39ea042d757")</f>
        <v/>
      </c>
      <c r="F171">
        <f>HYPERLINK("https://www.amazon.jobs/jobs/3139328/sr-applied-scientist-amazon-ads?cmpid=DA_INAD200785B", "https://www.amazon.jobs/jobs/3139328/sr-applied-scientist-amazon-ads?cmpid=DA_INAD200785B")</f>
        <v/>
      </c>
      <c r="G171" t="inlineStr">
        <is>
          <t>Brooklyn, NY, US</t>
        </is>
      </c>
      <c r="H171" s="3" t="n">
        <v>45998</v>
      </c>
      <c r="I1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2">
      <c r="A172" t="inlineStr">
        <is>
          <t>in-4c90fb72e1bd7006</t>
        </is>
      </c>
      <c r="B172" t="inlineStr">
        <is>
          <t>Sr. Applied Scientist, Amazon Ads</t>
        </is>
      </c>
      <c r="C172" t="inlineStr">
        <is>
          <t>Amazon.com</t>
        </is>
      </c>
      <c r="D172" t="inlineStr">
        <is>
          <t>indeed</t>
        </is>
      </c>
      <c r="E172">
        <f>HYPERLINK("https://www.indeed.com/viewjob?jk=4c90fb72e1bd7006", "https://www.indeed.com/viewjob?jk=4c90fb72e1bd7006")</f>
        <v/>
      </c>
      <c r="F172">
        <f>HYPERLINK("https://www.amazon.jobs/jobs/3139328/sr-applied-scientist-amazon-ads?cmpid=DA_INAD200785B", "https://www.amazon.jobs/jobs/3139328/sr-applied-scientist-amazon-ads?cmpid=DA_INAD200785B")</f>
        <v/>
      </c>
      <c r="G172" t="inlineStr">
        <is>
          <t>Santa Monica, CA, US</t>
        </is>
      </c>
      <c r="H172" s="3" t="n">
        <v>45998</v>
      </c>
      <c r="I1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3">
      <c r="A173" t="inlineStr">
        <is>
          <t>in-263d377bb1cdcabc</t>
        </is>
      </c>
      <c r="B173" t="inlineStr">
        <is>
          <t>Sr. Applied Scientist, Amazon Ads</t>
        </is>
      </c>
      <c r="C173" t="inlineStr">
        <is>
          <t>Amazon.com</t>
        </is>
      </c>
      <c r="D173" t="inlineStr">
        <is>
          <t>indeed</t>
        </is>
      </c>
      <c r="E173">
        <f>HYPERLINK("https://www.indeed.com/viewjob?jk=263d377bb1cdcabc", "https://www.indeed.com/viewjob?jk=263d377bb1cdcabc")</f>
        <v/>
      </c>
      <c r="F173">
        <f>HYPERLINK("https://www.amazon.jobs/jobs/3139328/sr-applied-scientist-amazon-ads?cmpid=DA_INAD200785B", "https://www.amazon.jobs/jobs/3139328/sr-applied-scientist-amazon-ads?cmpid=DA_INAD200785B")</f>
        <v/>
      </c>
      <c r="G173" t="inlineStr">
        <is>
          <t>Boulder, CO, US</t>
        </is>
      </c>
      <c r="H173" s="3" t="n">
        <v>45998</v>
      </c>
      <c r="I17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4">
      <c r="A174" t="inlineStr">
        <is>
          <t>in-457b1a71b7c7dec6</t>
        </is>
      </c>
      <c r="B174" t="inlineStr">
        <is>
          <t>Sr. Applied Scientist, Amazon Ads</t>
        </is>
      </c>
      <c r="C174" t="inlineStr">
        <is>
          <t>Amazon.com</t>
        </is>
      </c>
      <c r="D174" t="inlineStr">
        <is>
          <t>indeed</t>
        </is>
      </c>
      <c r="E174">
        <f>HYPERLINK("https://www.indeed.com/viewjob?jk=457b1a71b7c7dec6", "https://www.indeed.com/viewjob?jk=457b1a71b7c7dec6")</f>
        <v/>
      </c>
      <c r="F174">
        <f>HYPERLINK("https://www.amazon.jobs/jobs/3139328/sr-applied-scientist-amazon-ads?cmpid=DA_INAD200785B", "https://www.amazon.jobs/jobs/3139328/sr-applied-scientist-amazon-ads?cmpid=DA_INAD200785B")</f>
        <v/>
      </c>
      <c r="G174" t="inlineStr">
        <is>
          <t>Tukwila, WA, US</t>
        </is>
      </c>
      <c r="H174" s="3" t="n">
        <v>45998</v>
      </c>
      <c r="I1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5">
      <c r="A175" t="inlineStr">
        <is>
          <t>in-1cd196abb999eb25</t>
        </is>
      </c>
      <c r="B175" t="inlineStr">
        <is>
          <t>Sr. Applied Scientist, Amazon Ads</t>
        </is>
      </c>
      <c r="C175" t="inlineStr">
        <is>
          <t>Amazon.com</t>
        </is>
      </c>
      <c r="D175" t="inlineStr">
        <is>
          <t>indeed</t>
        </is>
      </c>
      <c r="E175">
        <f>HYPERLINK("https://www.indeed.com/viewjob?jk=1cd196abb999eb25", "https://www.indeed.com/viewjob?jk=1cd196abb999eb25")</f>
        <v/>
      </c>
      <c r="F175">
        <f>HYPERLINK("https://www.amazon.jobs/jobs/3139328/sr-applied-scientist-amazon-ads?cmpid=DA_INAD200785B", "https://www.amazon.jobs/jobs/3139328/sr-applied-scientist-amazon-ads?cmpid=DA_INAD200785B")</f>
        <v/>
      </c>
      <c r="G175" t="inlineStr">
        <is>
          <t>New York, NY, US</t>
        </is>
      </c>
      <c r="H175" s="3" t="n">
        <v>45998</v>
      </c>
      <c r="I1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6">
      <c r="A176" t="inlineStr">
        <is>
          <t>in-4dbce6a35777de4c</t>
        </is>
      </c>
      <c r="B176" t="inlineStr">
        <is>
          <t>Sr. Applied Scientist, Amazon Ads</t>
        </is>
      </c>
      <c r="C176" t="inlineStr">
        <is>
          <t>Amazon.com</t>
        </is>
      </c>
      <c r="D176" t="inlineStr">
        <is>
          <t>indeed</t>
        </is>
      </c>
      <c r="E176">
        <f>HYPERLINK("https://www.indeed.com/viewjob?jk=4dbce6a35777de4c", "https://www.indeed.com/viewjob?jk=4dbce6a35777de4c")</f>
        <v/>
      </c>
      <c r="F176">
        <f>HYPERLINK("https://www.amazon.jobs/jobs/3139328/sr-applied-scientist-amazon-ads?cmpid=DA_INAD200785B", "https://www.amazon.jobs/jobs/3139328/sr-applied-scientist-amazon-ads?cmpid=DA_INAD200785B")</f>
        <v/>
      </c>
      <c r="G176" t="inlineStr">
        <is>
          <t>Palo Alto, CA, US</t>
        </is>
      </c>
      <c r="H176" s="3" t="n">
        <v>45998</v>
      </c>
      <c r="I1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7">
      <c r="A177" t="inlineStr">
        <is>
          <t>in-e9d58eff121fed96</t>
        </is>
      </c>
      <c r="B177" t="inlineStr">
        <is>
          <t>Sr. Applied Scientist, Amazon Ads</t>
        </is>
      </c>
      <c r="C177" t="inlineStr">
        <is>
          <t>Amazon.com</t>
        </is>
      </c>
      <c r="D177" t="inlineStr">
        <is>
          <t>indeed</t>
        </is>
      </c>
      <c r="E177">
        <f>HYPERLINK("https://www.indeed.com/viewjob?jk=e9d58eff121fed96", "https://www.indeed.com/viewjob?jk=e9d58eff121fed96")</f>
        <v/>
      </c>
      <c r="F177">
        <f>HYPERLINK("https://www.amazon.jobs/jobs/3139328/sr-applied-scientist-amazon-ads?cmpid=DA_INAD200785B", "https://www.amazon.jobs/jobs/3139328/sr-applied-scientist-amazon-ads?cmpid=DA_INAD200785B")</f>
        <v/>
      </c>
      <c r="G177" t="inlineStr">
        <is>
          <t>Corvallis, OR, US</t>
        </is>
      </c>
      <c r="H177" s="3" t="n">
        <v>45998</v>
      </c>
      <c r="I1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8">
      <c r="A178" t="inlineStr">
        <is>
          <t>in-b9f8ba467730cc06</t>
        </is>
      </c>
      <c r="B178" t="inlineStr">
        <is>
          <t>Sr. Applied Scientist, Amazon Ads</t>
        </is>
      </c>
      <c r="C178" t="inlineStr">
        <is>
          <t>Amazon.com</t>
        </is>
      </c>
      <c r="D178" t="inlineStr">
        <is>
          <t>indeed</t>
        </is>
      </c>
      <c r="E178">
        <f>HYPERLINK("https://www.indeed.com/viewjob?jk=b9f8ba467730cc06", "https://www.indeed.com/viewjob?jk=b9f8ba467730cc06")</f>
        <v/>
      </c>
      <c r="F178">
        <f>HYPERLINK("https://www.amazon.jobs/jobs/3139328/sr-applied-scientist-amazon-ads?cmpid=DA_INAD200785B", "https://www.amazon.jobs/jobs/3139328/sr-applied-scientist-amazon-ads?cmpid=DA_INAD200785B")</f>
        <v/>
      </c>
      <c r="G178" t="inlineStr">
        <is>
          <t>Boston, MA, US</t>
        </is>
      </c>
      <c r="H178" s="3" t="n">
        <v>45998</v>
      </c>
      <c r="I17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9">
      <c r="A179" t="inlineStr">
        <is>
          <t>in-620cdd14d42af480</t>
        </is>
      </c>
      <c r="B179" t="inlineStr">
        <is>
          <t>Sr. Applied Scientist, Amazon Ads</t>
        </is>
      </c>
      <c r="C179" t="inlineStr">
        <is>
          <t>Amazon.com</t>
        </is>
      </c>
      <c r="D179" t="inlineStr">
        <is>
          <t>indeed</t>
        </is>
      </c>
      <c r="E179">
        <f>HYPERLINK("https://www.indeed.com/viewjob?jk=620cdd14d42af480", "https://www.indeed.com/viewjob?jk=620cdd14d42af480")</f>
        <v/>
      </c>
      <c r="F179">
        <f>HYPERLINK("https://www.amazon.jobs/jobs/3139328/sr-applied-scientist-amazon-ads?cmpid=DA_INAD200785B", "https://www.amazon.jobs/jobs/3139328/sr-applied-scientist-amazon-ads?cmpid=DA_INAD200785B")</f>
        <v/>
      </c>
      <c r="G179" t="inlineStr">
        <is>
          <t>Seattle, WA, US</t>
        </is>
      </c>
      <c r="H179" s="3" t="n">
        <v>45998</v>
      </c>
      <c r="I17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0">
      <c r="A180" t="inlineStr">
        <is>
          <t>in-61839769934c8637</t>
        </is>
      </c>
      <c r="B180" t="inlineStr">
        <is>
          <t>Sr. Applied Scientist, Amazon Ads</t>
        </is>
      </c>
      <c r="C180" t="inlineStr">
        <is>
          <t>Amazon.com</t>
        </is>
      </c>
      <c r="D180" t="inlineStr">
        <is>
          <t>indeed</t>
        </is>
      </c>
      <c r="E180">
        <f>HYPERLINK("https://www.indeed.com/viewjob?jk=61839769934c8637", "https://www.indeed.com/viewjob?jk=61839769934c8637")</f>
        <v/>
      </c>
      <c r="F180">
        <f>HYPERLINK("https://www.amazon.jobs/jobs/3139328/sr-applied-scientist-amazon-ads?cmpid=DA_INAD200785B", "https://www.amazon.jobs/jobs/3139328/sr-applied-scientist-amazon-ads?cmpid=DA_INAD200785B")</f>
        <v/>
      </c>
      <c r="G180" t="inlineStr">
        <is>
          <t>Sunnyvale, CA, US</t>
        </is>
      </c>
      <c r="H180" s="3" t="n">
        <v>45998</v>
      </c>
      <c r="I18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1">
      <c r="A181" t="inlineStr">
        <is>
          <t>in-d1472ae829b650cb</t>
        </is>
      </c>
      <c r="B181" t="inlineStr">
        <is>
          <t>Applied Scientist, ML Compiler</t>
        </is>
      </c>
      <c r="C181" t="inlineStr">
        <is>
          <t>Amazon Web Services</t>
        </is>
      </c>
      <c r="D181" t="inlineStr">
        <is>
          <t>indeed</t>
        </is>
      </c>
      <c r="E181">
        <f>HYPERLINK("https://www.indeed.com/viewjob?jk=d1472ae829b650cb", "https://www.indeed.com/viewjob?jk=d1472ae829b650cb")</f>
        <v/>
      </c>
      <c r="F181">
        <f>HYPERLINK("https://www.amazon.jobs/jobs/3136884/applied-scientist-ml-compiler?cmpid=DA_INAD200785B", "https://www.amazon.jobs/jobs/3136884/applied-scientist-ml-compiler?cmpid=DA_INAD200785B")</f>
        <v/>
      </c>
      <c r="G181" t="inlineStr">
        <is>
          <t>Seattle, WA, US</t>
        </is>
      </c>
      <c r="H181" s="3" t="n">
        <v>45993</v>
      </c>
      <c r="I18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in-e1ed2c4fae5ceadf</t>
        </is>
      </c>
      <c r="B182" t="inlineStr">
        <is>
          <t>Applied Scientist, ML Compiler</t>
        </is>
      </c>
      <c r="C182" t="inlineStr">
        <is>
          <t>Amazon Web Services</t>
        </is>
      </c>
      <c r="D182" t="inlineStr">
        <is>
          <t>indeed</t>
        </is>
      </c>
      <c r="E182">
        <f>HYPERLINK("https://www.indeed.com/viewjob?jk=e1ed2c4fae5ceadf", "https://www.indeed.com/viewjob?jk=e1ed2c4fae5ceadf")</f>
        <v/>
      </c>
      <c r="F182">
        <f>HYPERLINK("https://www.amazon.jobs/jobs/3136884/applied-scientist-ml-compiler?cmpid=DA_INAD200785B", "https://www.amazon.jobs/jobs/3136884/applied-scientist-ml-compiler?cmpid=DA_INAD200785B")</f>
        <v/>
      </c>
      <c r="G182" t="inlineStr">
        <is>
          <t>Cupertino, CA, US</t>
        </is>
      </c>
      <c r="H182" s="3" t="n">
        <v>45993</v>
      </c>
      <c r="I18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in-718732feaaefd006</t>
        </is>
      </c>
      <c r="B183" t="inlineStr">
        <is>
          <t>Sr. Applied Scientist, Sponsored Products and Brands Off-Search</t>
        </is>
      </c>
      <c r="C183" t="inlineStr">
        <is>
          <t>Amazon.com</t>
        </is>
      </c>
      <c r="D183" t="inlineStr">
        <is>
          <t>indeed</t>
        </is>
      </c>
      <c r="E183">
        <f>HYPERLINK("https://www.indeed.com/viewjob?jk=718732feaaefd006", "https://www.indeed.com/viewjob?jk=718732feaaefd006")</f>
        <v/>
      </c>
      <c r="F183">
        <f>HYPERLINK("https://www.amazon.jobs/jobs/3136934/sr-applied-scientist-sponsored-products-and-brands-offsearch?cmpid=DA_INAD200785B", "https://www.amazon.jobs/jobs/3136934/sr-applied-scientist-sponsored-products-and-brands-offsearch?cmpid=DA_INAD200785B")</f>
        <v/>
      </c>
      <c r="G183" t="inlineStr">
        <is>
          <t>New York, NY, US</t>
        </is>
      </c>
      <c r="H183" s="3" t="n">
        <v>45993</v>
      </c>
      <c r="I18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in-ec3310e1dfd5f28b</t>
        </is>
      </c>
      <c r="B184" t="inlineStr">
        <is>
          <t>Sr. Applied Scientist, Sponsored Products and Brands Off-Search</t>
        </is>
      </c>
      <c r="C184" t="inlineStr">
        <is>
          <t>Amazon.com</t>
        </is>
      </c>
      <c r="D184" t="inlineStr">
        <is>
          <t>indeed</t>
        </is>
      </c>
      <c r="E184">
        <f>HYPERLINK("https://www.indeed.com/viewjob?jk=ec3310e1dfd5f28b", "https://www.indeed.com/viewjob?jk=ec3310e1dfd5f28b")</f>
        <v/>
      </c>
      <c r="F184">
        <f>HYPERLINK("https://www.amazon.jobs/jobs/3136934/sr-applied-scientist-sponsored-products-and-brands-offsearch?cmpid=DA_INAD200785B", "https://www.amazon.jobs/jobs/3136934/sr-applied-scientist-sponsored-products-and-brands-offsearch?cmpid=DA_INAD200785B")</f>
        <v/>
      </c>
      <c r="G184" t="inlineStr">
        <is>
          <t>Seattle, WA, US</t>
        </is>
      </c>
      <c r="H184" s="3" t="n">
        <v>45993</v>
      </c>
      <c r="I18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in-70108fbf14377aa2</t>
        </is>
      </c>
      <c r="B185" t="inlineStr">
        <is>
          <t>Principal Applied Scientist, Amazon Special Projects</t>
        </is>
      </c>
      <c r="C185" t="inlineStr">
        <is>
          <t>Amazon.com</t>
        </is>
      </c>
      <c r="D185" t="inlineStr">
        <is>
          <t>indeed</t>
        </is>
      </c>
      <c r="E185">
        <f>HYPERLINK("https://www.indeed.com/viewjob?jk=70108fbf14377aa2", "https://www.indeed.com/viewjob?jk=70108fbf14377aa2")</f>
        <v/>
      </c>
      <c r="F185">
        <f>HYPERLINK("https://www.amazon.jobs/jobs/3132566/principal-applied-scientist-amazon-special-projects?cmpid=DA_INAD200785B", "https://www.amazon.jobs/jobs/3132566/principal-applied-scientist-amazon-special-projects?cmpid=DA_INAD200785B")</f>
        <v/>
      </c>
      <c r="G185" t="inlineStr">
        <is>
          <t>Seattle, WA, US</t>
        </is>
      </c>
      <c r="H185" s="3" t="n">
        <v>45982</v>
      </c>
      <c r="I18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in-dc867e1f1f2e0a0a</t>
        </is>
      </c>
      <c r="B186" t="inlineStr">
        <is>
          <t>Principal Applied Scientist, Amazon Special Projects</t>
        </is>
      </c>
      <c r="C186" t="inlineStr">
        <is>
          <t>Amazon.com</t>
        </is>
      </c>
      <c r="D186" t="inlineStr">
        <is>
          <t>indeed</t>
        </is>
      </c>
      <c r="E186">
        <f>HYPERLINK("https://www.indeed.com/viewjob?jk=dc867e1f1f2e0a0a", "https://www.indeed.com/viewjob?jk=dc867e1f1f2e0a0a")</f>
        <v/>
      </c>
      <c r="F186">
        <f>HYPERLINK("https://www.amazon.jobs/jobs/3132566/principal-applied-scientist-amazon-special-projects?cmpid=DA_INAD200785B", "https://www.amazon.jobs/jobs/3132566/principal-applied-scientist-amazon-special-projects?cmpid=DA_INAD200785B")</f>
        <v/>
      </c>
      <c r="G186" t="inlineStr">
        <is>
          <t>Boston, MA, US</t>
        </is>
      </c>
      <c r="H186" s="3" t="n">
        <v>45982</v>
      </c>
      <c r="I18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in-ec183bbdc93c6874</t>
        </is>
      </c>
      <c r="B187" t="inlineStr">
        <is>
          <t>Sr. Applied Scientist, SPB Advertiser Guidance</t>
        </is>
      </c>
      <c r="C187" t="inlineStr">
        <is>
          <t>Amazon.com</t>
        </is>
      </c>
      <c r="D187" t="inlineStr">
        <is>
          <t>indeed</t>
        </is>
      </c>
      <c r="E187">
        <f>HYPERLINK("https://www.indeed.com/viewjob?jk=ec183bbdc93c6874", "https://www.indeed.com/viewjob?jk=ec183bbdc93c6874")</f>
        <v/>
      </c>
      <c r="F187">
        <f>HYPERLINK("https://www.amazon.jobs/jobs/3132336/sr-applied-scientist-spb-advertiser-guidance?cmpid=DA_INAD200785B", "https://www.amazon.jobs/jobs/3132336/sr-applied-scientist-spb-advertiser-guidance?cmpid=DA_INAD200785B")</f>
        <v/>
      </c>
      <c r="G187" t="inlineStr">
        <is>
          <t>Palo Alto, CA, US</t>
        </is>
      </c>
      <c r="H187" s="3" t="n">
        <v>45981</v>
      </c>
      <c r="I18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in-a2715c9130b20671</t>
        </is>
      </c>
      <c r="B188" t="inlineStr">
        <is>
          <t>Sr. Applied Scientist, SPB Advertiser Guidance</t>
        </is>
      </c>
      <c r="C188" t="inlineStr">
        <is>
          <t>Amazon.com</t>
        </is>
      </c>
      <c r="D188" t="inlineStr">
        <is>
          <t>indeed</t>
        </is>
      </c>
      <c r="E188">
        <f>HYPERLINK("https://www.indeed.com/viewjob?jk=a2715c9130b20671", "https://www.indeed.com/viewjob?jk=a2715c9130b20671")</f>
        <v/>
      </c>
      <c r="F188">
        <f>HYPERLINK("https://www.amazon.jobs/jobs/3132336/sr-applied-scientist-spb-advertiser-guidance?cmpid=DA_INAD200785B", "https://www.amazon.jobs/jobs/3132336/sr-applied-scientist-spb-advertiser-guidance?cmpid=DA_INAD200785B")</f>
        <v/>
      </c>
      <c r="G188" t="inlineStr">
        <is>
          <t>New York, NY, US</t>
        </is>
      </c>
      <c r="H188" s="3" t="n">
        <v>45981</v>
      </c>
      <c r="I1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in-36e35e750babc251</t>
        </is>
      </c>
      <c r="B189" t="inlineStr">
        <is>
          <t>Sr. Applied Scientist, SPB Advertiser Guidance</t>
        </is>
      </c>
      <c r="C189" t="inlineStr">
        <is>
          <t>Amazon.com</t>
        </is>
      </c>
      <c r="D189" t="inlineStr">
        <is>
          <t>indeed</t>
        </is>
      </c>
      <c r="E189">
        <f>HYPERLINK("https://www.indeed.com/viewjob?jk=36e35e750babc251", "https://www.indeed.com/viewjob?jk=36e35e750babc251")</f>
        <v/>
      </c>
      <c r="F189">
        <f>HYPERLINK("https://www.amazon.jobs/jobs/3132336/sr-applied-scientist-spb-advertiser-guidance?cmpid=DA_INAD200785B", "https://www.amazon.jobs/jobs/3132336/sr-applied-scientist-spb-advertiser-guidance?cmpid=DA_INAD200785B")</f>
        <v/>
      </c>
      <c r="G189" t="inlineStr">
        <is>
          <t>Seattle, WA, US</t>
        </is>
      </c>
      <c r="H189" s="3" t="n">
        <v>45981</v>
      </c>
      <c r="I1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in-6cf1e572214860c3</t>
        </is>
      </c>
      <c r="B190" t="inlineStr">
        <is>
          <t>Senior Applied Scientist, Artificial General Intelligence</t>
        </is>
      </c>
      <c r="C190" t="inlineStr">
        <is>
          <t>Amazon.com</t>
        </is>
      </c>
      <c r="D190" t="inlineStr">
        <is>
          <t>indeed</t>
        </is>
      </c>
      <c r="E190">
        <f>HYPERLINK("https://www.indeed.com/viewjob?jk=6cf1e572214860c3", "https://www.indeed.com/viewjob?jk=6cf1e572214860c3")</f>
        <v/>
      </c>
      <c r="F190">
        <f>HYPERLINK("https://www.amazon.jobs/jobs/3131971/senior-applied-scientist-artificial-general-intelligence?cmpid=DA_INAD200785B", "https://www.amazon.jobs/jobs/3131971/senior-applied-scientist-artificial-general-intelligence?cmpid=DA_INAD200785B")</f>
        <v/>
      </c>
      <c r="G190" t="inlineStr">
        <is>
          <t>Boston, MA, US</t>
        </is>
      </c>
      <c r="H190" s="3" t="n">
        <v>45980</v>
      </c>
      <c r="I19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in-6a478c0ff481e1eb</t>
        </is>
      </c>
      <c r="B191" t="inlineStr">
        <is>
          <t>Senior Applied Scientist, Artificial General Intelligence</t>
        </is>
      </c>
      <c r="C191" t="inlineStr">
        <is>
          <t>Amazon.com</t>
        </is>
      </c>
      <c r="D191" t="inlineStr">
        <is>
          <t>indeed</t>
        </is>
      </c>
      <c r="E191">
        <f>HYPERLINK("https://www.indeed.com/viewjob?jk=6a478c0ff481e1eb", "https://www.indeed.com/viewjob?jk=6a478c0ff481e1eb")</f>
        <v/>
      </c>
      <c r="F191">
        <f>HYPERLINK("https://www.amazon.jobs/jobs/3131971/senior-applied-scientist-artificial-general-intelligence?cmpid=DA_INAD200785B", "https://www.amazon.jobs/jobs/3131971/senior-applied-scientist-artificial-general-intelligence?cmpid=DA_INAD200785B")</f>
        <v/>
      </c>
      <c r="G191" t="inlineStr">
        <is>
          <t>Seattle, WA, US</t>
        </is>
      </c>
      <c r="H191" s="3" t="n">
        <v>45980</v>
      </c>
      <c r="I19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in-ce1a32ffe528c8e4</t>
        </is>
      </c>
      <c r="B192" t="inlineStr">
        <is>
          <t>Senior Applied Scientist, Artificial General Intelligence</t>
        </is>
      </c>
      <c r="C192" t="inlineStr">
        <is>
          <t>Amazon.com</t>
        </is>
      </c>
      <c r="D192" t="inlineStr">
        <is>
          <t>indeed</t>
        </is>
      </c>
      <c r="E192">
        <f>HYPERLINK("https://www.indeed.com/viewjob?jk=ce1a32ffe528c8e4", "https://www.indeed.com/viewjob?jk=ce1a32ffe528c8e4")</f>
        <v/>
      </c>
      <c r="F192">
        <f>HYPERLINK("https://www.amazon.jobs/jobs/3131971/senior-applied-scientist-artificial-general-intelligence?cmpid=DA_INAD200785B", "https://www.amazon.jobs/jobs/3131971/senior-applied-scientist-artificial-general-intelligence?cmpid=DA_INAD200785B")</f>
        <v/>
      </c>
      <c r="G192" t="inlineStr">
        <is>
          <t>Sunnyvale, CA, US</t>
        </is>
      </c>
      <c r="H192" s="3" t="n">
        <v>45980</v>
      </c>
      <c r="I19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in-9009e90f30a49eb5</t>
        </is>
      </c>
      <c r="B193" t="inlineStr">
        <is>
          <t>Senior Applied Scientist, Artificial General Intelligence</t>
        </is>
      </c>
      <c r="C193" t="inlineStr">
        <is>
          <t>Amazon.com</t>
        </is>
      </c>
      <c r="D193" t="inlineStr">
        <is>
          <t>indeed</t>
        </is>
      </c>
      <c r="E193">
        <f>HYPERLINK("https://www.indeed.com/viewjob?jk=9009e90f30a49eb5", "https://www.indeed.com/viewjob?jk=9009e90f30a49eb5")</f>
        <v/>
      </c>
      <c r="F193">
        <f>HYPERLINK("https://www.amazon.jobs/jobs/3131971/senior-applied-scientist-artificial-general-intelligence?cmpid=DA_INAD200785B", "https://www.amazon.jobs/jobs/3131971/senior-applied-scientist-artificial-general-intelligence?cmpid=DA_INAD200785B")</f>
        <v/>
      </c>
      <c r="G193" t="inlineStr">
        <is>
          <t>New York, NY, US</t>
        </is>
      </c>
      <c r="H193" s="3" t="n">
        <v>45980</v>
      </c>
      <c r="I1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in-2c4d65c767991060</t>
        </is>
      </c>
      <c r="B194" t="inlineStr">
        <is>
          <t>Applied Scientist II, SPB Advertiser Guidance</t>
        </is>
      </c>
      <c r="C194" t="inlineStr">
        <is>
          <t>Amazon.com</t>
        </is>
      </c>
      <c r="D194" t="inlineStr">
        <is>
          <t>indeed</t>
        </is>
      </c>
      <c r="E194">
        <f>HYPERLINK("https://www.indeed.com/viewjob?jk=2c4d65c767991060", "https://www.indeed.com/viewjob?jk=2c4d65c767991060")</f>
        <v/>
      </c>
      <c r="F194">
        <f>HYPERLINK("https://www.amazon.jobs/jobs/3131876/applied-scientist-ii-spb-advertiser-guidance?cmpid=DA_INAD200785B", "https://www.amazon.jobs/jobs/3131876/applied-scientist-ii-spb-advertiser-guidance?cmpid=DA_INAD200785B")</f>
        <v/>
      </c>
      <c r="G194" t="inlineStr">
        <is>
          <t>New York, NY, US</t>
        </is>
      </c>
      <c r="H194" s="3" t="n">
        <v>45980</v>
      </c>
      <c r="I19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in-543f3a6889909d92</t>
        </is>
      </c>
      <c r="B195" t="inlineStr">
        <is>
          <t>Applied Scientist II, SPB Advertiser Guidance</t>
        </is>
      </c>
      <c r="C195" t="inlineStr">
        <is>
          <t>Amazon.com</t>
        </is>
      </c>
      <c r="D195" t="inlineStr">
        <is>
          <t>indeed</t>
        </is>
      </c>
      <c r="E195">
        <f>HYPERLINK("https://www.indeed.com/viewjob?jk=543f3a6889909d92", "https://www.indeed.com/viewjob?jk=543f3a6889909d92")</f>
        <v/>
      </c>
      <c r="F195">
        <f>HYPERLINK("https://www.amazon.jobs/jobs/3131876/applied-scientist-ii-spb-advertiser-guidance?cmpid=DA_INAD200785B", "https://www.amazon.jobs/jobs/3131876/applied-scientist-ii-spb-advertiser-guidance?cmpid=DA_INAD200785B")</f>
        <v/>
      </c>
      <c r="G195" t="inlineStr">
        <is>
          <t>Palo Alto, CA, US</t>
        </is>
      </c>
      <c r="H195" s="3" t="n">
        <v>45980</v>
      </c>
      <c r="I19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in-70ace315ca86dae3</t>
        </is>
      </c>
      <c r="B196" t="inlineStr">
        <is>
          <t>Applied Scientist II, SPB Advertiser Guidance</t>
        </is>
      </c>
      <c r="C196" t="inlineStr">
        <is>
          <t>Amazon.com</t>
        </is>
      </c>
      <c r="D196" t="inlineStr">
        <is>
          <t>indeed</t>
        </is>
      </c>
      <c r="E196">
        <f>HYPERLINK("https://www.indeed.com/viewjob?jk=70ace315ca86dae3", "https://www.indeed.com/viewjob?jk=70ace315ca86dae3")</f>
        <v/>
      </c>
      <c r="F196">
        <f>HYPERLINK("https://www.amazon.jobs/jobs/3131876/applied-scientist-ii-spb-advertiser-guidance?cmpid=DA_INAD200785B", "https://www.amazon.jobs/jobs/3131876/applied-scientist-ii-spb-advertiser-guidance?cmpid=DA_INAD200785B")</f>
        <v/>
      </c>
      <c r="G196" t="inlineStr">
        <is>
          <t>Seattle, WA, US</t>
        </is>
      </c>
      <c r="H196" s="3" t="n">
        <v>45980</v>
      </c>
      <c r="I19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in-6925fc4a87492bee</t>
        </is>
      </c>
      <c r="B197" t="inlineStr">
        <is>
          <t>Principal Applied Scientist, Sponsored Products and Brands</t>
        </is>
      </c>
      <c r="C197" t="inlineStr">
        <is>
          <t>Amazon.com</t>
        </is>
      </c>
      <c r="D197" t="inlineStr">
        <is>
          <t>indeed</t>
        </is>
      </c>
      <c r="E197">
        <f>HYPERLINK("https://www.indeed.com/viewjob?jk=6925fc4a87492bee", "https://www.indeed.com/viewjob?jk=6925fc4a87492bee")</f>
        <v/>
      </c>
      <c r="F197">
        <f>HYPERLINK("https://www.amazon.jobs/jobs/3130855/principal-applied-scientist-sponsored-products-and-brands?cmpid=DA_INAD200785B", "https://www.amazon.jobs/jobs/3130855/principal-applied-scientist-sponsored-products-and-brands?cmpid=DA_INAD200785B")</f>
        <v/>
      </c>
      <c r="G197" t="inlineStr">
        <is>
          <t>New York, NY, US</t>
        </is>
      </c>
      <c r="H197" s="3" t="n">
        <v>45979</v>
      </c>
      <c r="I19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in-efbae194cf61d0b7</t>
        </is>
      </c>
      <c r="B198" t="inlineStr">
        <is>
          <t>Principal Applied Scientist, Sponsored Products and Brands</t>
        </is>
      </c>
      <c r="C198" t="inlineStr">
        <is>
          <t>Amazon.com</t>
        </is>
      </c>
      <c r="D198" t="inlineStr">
        <is>
          <t>indeed</t>
        </is>
      </c>
      <c r="E198">
        <f>HYPERLINK("https://www.indeed.com/viewjob?jk=efbae194cf61d0b7", "https://www.indeed.com/viewjob?jk=efbae194cf61d0b7")</f>
        <v/>
      </c>
      <c r="F198">
        <f>HYPERLINK("https://www.amazon.jobs/jobs/3130855/principal-applied-scientist-sponsored-products-and-brands?cmpid=DA_INAD200785B", "https://www.amazon.jobs/jobs/3130855/principal-applied-scientist-sponsored-products-and-brands?cmpid=DA_INAD200785B")</f>
        <v/>
      </c>
      <c r="G198" t="inlineStr">
        <is>
          <t>Seattle, WA, US</t>
        </is>
      </c>
      <c r="H198" s="3" t="n">
        <v>45979</v>
      </c>
      <c r="I19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in-86c9e5e3443bc33b</t>
        </is>
      </c>
      <c r="B199" t="inlineStr">
        <is>
          <t>Sr. Applied Scientist, AGI Foundations</t>
        </is>
      </c>
      <c r="C199" t="inlineStr">
        <is>
          <t>Amazon.com</t>
        </is>
      </c>
      <c r="D199" t="inlineStr">
        <is>
          <t>indeed</t>
        </is>
      </c>
      <c r="E199">
        <f>HYPERLINK("https://www.indeed.com/viewjob?jk=86c9e5e3443bc33b", "https://www.indeed.com/viewjob?jk=86c9e5e3443bc33b")</f>
        <v/>
      </c>
      <c r="F199">
        <f>HYPERLINK("https://www.amazon.jobs/jobs/3128807/sr-applied-scientist-agi-foundations?cmpid=DA_INAD200785B", "https://www.amazon.jobs/jobs/3128807/sr-applied-scientist-agi-foundations?cmpid=DA_INAD200785B")</f>
        <v/>
      </c>
      <c r="G199" t="inlineStr">
        <is>
          <t>Boston, MA, US</t>
        </is>
      </c>
      <c r="H199" s="3" t="n">
        <v>45978</v>
      </c>
      <c r="I19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in-840f425e6be7ce91</t>
        </is>
      </c>
      <c r="B200" t="inlineStr">
        <is>
          <t>Sr. Applied Scientist, AGI Foundations</t>
        </is>
      </c>
      <c r="C200" t="inlineStr">
        <is>
          <t>Amazon.com</t>
        </is>
      </c>
      <c r="D200" t="inlineStr">
        <is>
          <t>indeed</t>
        </is>
      </c>
      <c r="E200">
        <f>HYPERLINK("https://www.indeed.com/viewjob?jk=840f425e6be7ce91", "https://www.indeed.com/viewjob?jk=840f425e6be7ce91")</f>
        <v/>
      </c>
      <c r="F200">
        <f>HYPERLINK("https://www.amazon.jobs/jobs/3128807/sr-applied-scientist-agi-foundations?cmpid=DA_INAD200785B", "https://www.amazon.jobs/jobs/3128807/sr-applied-scientist-agi-foundations?cmpid=DA_INAD200785B")</f>
        <v/>
      </c>
      <c r="G200" t="inlineStr">
        <is>
          <t>Bellevue, WA, US</t>
        </is>
      </c>
      <c r="H200" s="3" t="n">
        <v>45978</v>
      </c>
      <c r="I20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in-5943b0cc557a4c1a</t>
        </is>
      </c>
      <c r="B201" t="inlineStr">
        <is>
          <t>Sr. Applied Scientist, AGI Foundations</t>
        </is>
      </c>
      <c r="C201" t="inlineStr">
        <is>
          <t>Amazon.com</t>
        </is>
      </c>
      <c r="D201" t="inlineStr">
        <is>
          <t>indeed</t>
        </is>
      </c>
      <c r="E201">
        <f>HYPERLINK("https://www.indeed.com/viewjob?jk=5943b0cc557a4c1a", "https://www.indeed.com/viewjob?jk=5943b0cc557a4c1a")</f>
        <v/>
      </c>
      <c r="F201">
        <f>HYPERLINK("https://www.amazon.jobs/jobs/3128807/sr-applied-scientist-agi-foundations?cmpid=DA_INAD200785B", "https://www.amazon.jobs/jobs/3128807/sr-applied-scientist-agi-foundations?cmpid=DA_INAD200785B")</f>
        <v/>
      </c>
      <c r="G201" t="inlineStr">
        <is>
          <t>Sunnyvale, CA, US</t>
        </is>
      </c>
      <c r="H201" s="3" t="n">
        <v>45978</v>
      </c>
      <c r="I20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in-cd43de8af5a68b02</t>
        </is>
      </c>
      <c r="B202" t="inlineStr">
        <is>
          <t>Sr. Applied Scientist, Prime Video - Personalization and Discovery Science</t>
        </is>
      </c>
      <c r="C202" t="inlineStr">
        <is>
          <t>Amazon.com</t>
        </is>
      </c>
      <c r="D202" t="inlineStr">
        <is>
          <t>indeed</t>
        </is>
      </c>
      <c r="E202">
        <f>HYPERLINK("https://www.indeed.com/viewjob?jk=cd43de8af5a68b02", "https://www.indeed.com/viewjob?jk=cd43de8af5a68b02")</f>
        <v/>
      </c>
      <c r="F202">
        <f>HYPERLINK("https://www.amazon.jobs/jobs/3134486/sr-applied-scientist-prime-video--personalization-and-discovery-science?cmpid=DA_INAD200785B", "https://www.amazon.jobs/jobs/3134486/sr-applied-scientist-prime-video--personalization-and-discovery-science?cmpid=DA_INAD200785B")</f>
        <v/>
      </c>
      <c r="G202" t="inlineStr">
        <is>
          <t>Seattle, WA, US</t>
        </is>
      </c>
      <c r="H202" s="3" t="n">
        <v>45969</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in-ba908f15a43b3aeb</t>
        </is>
      </c>
      <c r="B203" t="inlineStr">
        <is>
          <t>Sr. Applied Scientist, Prime Video - Personalization and Discovery Science</t>
        </is>
      </c>
      <c r="C203" t="inlineStr">
        <is>
          <t>Amazon.com</t>
        </is>
      </c>
      <c r="D203" t="inlineStr">
        <is>
          <t>indeed</t>
        </is>
      </c>
      <c r="E203">
        <f>HYPERLINK("https://www.indeed.com/viewjob?jk=ba908f15a43b3aeb", "https://www.indeed.com/viewjob?jk=ba908f15a43b3aeb")</f>
        <v/>
      </c>
      <c r="F203">
        <f>HYPERLINK("https://www.amazon.jobs/jobs/3134486/sr-applied-scientist-prime-video--personalization-and-discovery-science?cmpid=DA_INAD200785B", "https://www.amazon.jobs/jobs/3134486/sr-applied-scientist-prime-video--personalization-and-discovery-science?cmpid=DA_INAD200785B")</f>
        <v/>
      </c>
      <c r="G203" t="inlineStr">
        <is>
          <t>New York, NY, US</t>
        </is>
      </c>
      <c r="H203" s="3" t="n">
        <v>45969</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in-ef0a52c33e5f35af</t>
        </is>
      </c>
      <c r="B204" t="inlineStr">
        <is>
          <t>Sr. Applied Scientist, Prime Video - Personalization and Discovery Science</t>
        </is>
      </c>
      <c r="C204" t="inlineStr">
        <is>
          <t>Amazon.com</t>
        </is>
      </c>
      <c r="D204" t="inlineStr">
        <is>
          <t>indeed</t>
        </is>
      </c>
      <c r="E204">
        <f>HYPERLINK("https://www.indeed.com/viewjob?jk=ef0a52c33e5f35af", "https://www.indeed.com/viewjob?jk=ef0a52c33e5f35af")</f>
        <v/>
      </c>
      <c r="F204">
        <f>HYPERLINK("https://www.amazon.jobs/jobs/3134486/sr-applied-scientist-prime-video--personalization-and-discovery-science?cmpid=DA_INAD200785B", "https://www.amazon.jobs/jobs/3134486/sr-applied-scientist-prime-video--personalization-and-discovery-science?cmpid=DA_INAD200785B")</f>
        <v/>
      </c>
      <c r="G204" t="inlineStr">
        <is>
          <t>Sunnyvale, CA, US</t>
        </is>
      </c>
      <c r="H204" s="3" t="n">
        <v>45969</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in-0ce6e0fef04891fa</t>
        </is>
      </c>
      <c r="B205" t="inlineStr">
        <is>
          <t>Principal Applied Scientist, Amazon AGI</t>
        </is>
      </c>
      <c r="C205" t="inlineStr">
        <is>
          <t>Amazon.com</t>
        </is>
      </c>
      <c r="D205" t="inlineStr">
        <is>
          <t>indeed</t>
        </is>
      </c>
      <c r="E205">
        <f>HYPERLINK("https://www.indeed.com/viewjob?jk=0ce6e0fef04891fa", "https://www.indeed.com/viewjob?jk=0ce6e0fef04891fa")</f>
        <v/>
      </c>
      <c r="F205">
        <f>HYPERLINK("https://www.amazon.jobs/jobs/3128808/principal-applied-scientist-amazon-agi?cmpid=DA_INAD200785B", "https://www.amazon.jobs/jobs/3128808/principal-applied-scientist-amazon-agi?cmpid=DA_INAD200785B")</f>
        <v/>
      </c>
      <c r="G205" t="inlineStr">
        <is>
          <t>San Francisco, CA, US</t>
        </is>
      </c>
      <c r="H205" s="3" t="n">
        <v>45964</v>
      </c>
      <c r="I20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in-7864f8bcb7a7bef2</t>
        </is>
      </c>
      <c r="B206" t="inlineStr">
        <is>
          <t>Principal Applied Scientist, Amazon AGI</t>
        </is>
      </c>
      <c r="C206" t="inlineStr">
        <is>
          <t>Amazon.com</t>
        </is>
      </c>
      <c r="D206" t="inlineStr">
        <is>
          <t>indeed</t>
        </is>
      </c>
      <c r="E206">
        <f>HYPERLINK("https://www.indeed.com/viewjob?jk=7864f8bcb7a7bef2", "https://www.indeed.com/viewjob?jk=7864f8bcb7a7bef2")</f>
        <v/>
      </c>
      <c r="F206">
        <f>HYPERLINK("https://www.amazon.jobs/jobs/3128808/principal-applied-scientist-amazon-agi?cmpid=DA_INAD200785B", "https://www.amazon.jobs/jobs/3128808/principal-applied-scientist-amazon-agi?cmpid=DA_INAD200785B")</f>
        <v/>
      </c>
      <c r="G206" t="inlineStr">
        <is>
          <t>Boston, MA, US</t>
        </is>
      </c>
      <c r="H206" s="3" t="n">
        <v>45964</v>
      </c>
      <c r="I20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in-826eb2c184f177c0</t>
        </is>
      </c>
      <c r="B207" t="inlineStr">
        <is>
          <t>Principal Applied Scientist, AWS Agentic AI Science</t>
        </is>
      </c>
      <c r="C207" t="inlineStr">
        <is>
          <t>Amazon Web Services</t>
        </is>
      </c>
      <c r="D207" t="inlineStr">
        <is>
          <t>indeed</t>
        </is>
      </c>
      <c r="E207">
        <f>HYPERLINK("https://www.indeed.com/viewjob?jk=826eb2c184f177c0", "https://www.indeed.com/viewjob?jk=826eb2c184f177c0")</f>
        <v/>
      </c>
      <c r="F207">
        <f>HYPERLINK("https://www.amazon.jobs/jobs/3132887/principal-applied-scientist-aws-agentic-ai-science?cmpid=DA_INAD200785B", "https://www.amazon.jobs/jobs/3132887/principal-applied-scientist-aws-agentic-ai-science?cmpid=DA_INAD200785B")</f>
        <v/>
      </c>
      <c r="G207" t="inlineStr">
        <is>
          <t>New York, NY, US</t>
        </is>
      </c>
      <c r="H207" s="3" t="n">
        <v>45963</v>
      </c>
      <c r="I207"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in-b2644bf2e0c48024</t>
        </is>
      </c>
      <c r="B208" t="inlineStr">
        <is>
          <t>Principal Applied Scientist, AWS Agentic AI Science</t>
        </is>
      </c>
      <c r="C208" t="inlineStr">
        <is>
          <t>Amazon Web Services</t>
        </is>
      </c>
      <c r="D208" t="inlineStr">
        <is>
          <t>indeed</t>
        </is>
      </c>
      <c r="E208">
        <f>HYPERLINK("https://www.indeed.com/viewjob?jk=b2644bf2e0c48024", "https://www.indeed.com/viewjob?jk=b2644bf2e0c48024")</f>
        <v/>
      </c>
      <c r="F208">
        <f>HYPERLINK("https://www.amazon.jobs/jobs/3132887/principal-applied-scientist-aws-agentic-ai-science?cmpid=DA_INAD200785B", "https://www.amazon.jobs/jobs/3132887/principal-applied-scientist-aws-agentic-ai-science?cmpid=DA_INAD200785B")</f>
        <v/>
      </c>
      <c r="G208" t="inlineStr">
        <is>
          <t>Santa Clara, CA, US</t>
        </is>
      </c>
      <c r="H208" s="3" t="n">
        <v>45963</v>
      </c>
      <c r="I208"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in-23e4318a2208a3a3</t>
        </is>
      </c>
      <c r="B209" t="inlineStr">
        <is>
          <t>Sr. Applied Scientist, Sponsored Product Off-Search</t>
        </is>
      </c>
      <c r="C209" t="inlineStr">
        <is>
          <t>Amazon.com</t>
        </is>
      </c>
      <c r="D209" t="inlineStr">
        <is>
          <t>indeed</t>
        </is>
      </c>
      <c r="E209">
        <f>HYPERLINK("https://www.indeed.com/viewjob?jk=23e4318a2208a3a3", "https://www.indeed.com/viewjob?jk=23e4318a2208a3a3")</f>
        <v/>
      </c>
      <c r="F209">
        <f>HYPERLINK("https://www.amazon.jobs/jobs/3120815/sr-applied-scientist-sponsored-product-offsearch-?cmpid=DA_INAD200785B", "https://www.amazon.jobs/jobs/3120815/sr-applied-scientist-sponsored-product-offsearch-?cmpid=DA_INAD200785B")</f>
        <v/>
      </c>
      <c r="G209" t="inlineStr">
        <is>
          <t>New York, NY, US</t>
        </is>
      </c>
      <c r="H209" s="3" t="n">
        <v>45963</v>
      </c>
      <c r="I20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in-fe6e156cd247e79a</t>
        </is>
      </c>
      <c r="B210" t="inlineStr">
        <is>
          <t>Sr. Applied Scientist, Sponsored Product Off-Search</t>
        </is>
      </c>
      <c r="C210" t="inlineStr">
        <is>
          <t>Amazon.com</t>
        </is>
      </c>
      <c r="D210" t="inlineStr">
        <is>
          <t>indeed</t>
        </is>
      </c>
      <c r="E210">
        <f>HYPERLINK("https://www.indeed.com/viewjob?jk=fe6e156cd247e79a", "https://www.indeed.com/viewjob?jk=fe6e156cd247e79a")</f>
        <v/>
      </c>
      <c r="F210">
        <f>HYPERLINK("https://www.amazon.jobs/jobs/3120815/sr-applied-scientist-sponsored-product-offsearch-?cmpid=DA_INAD200785B", "https://www.amazon.jobs/jobs/3120815/sr-applied-scientist-sponsored-product-offsearch-?cmpid=DA_INAD200785B")</f>
        <v/>
      </c>
      <c r="G210" t="inlineStr">
        <is>
          <t>Seattle, WA, US</t>
        </is>
      </c>
      <c r="H210" s="3" t="n">
        <v>45963</v>
      </c>
      <c r="I21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in-681730deff99a9de</t>
        </is>
      </c>
      <c r="B211" t="inlineStr">
        <is>
          <t>Applied Scientist, AWS Agentic AI</t>
        </is>
      </c>
      <c r="C211" t="inlineStr">
        <is>
          <t>Amazon Web Services</t>
        </is>
      </c>
      <c r="D211" t="inlineStr">
        <is>
          <t>indeed</t>
        </is>
      </c>
      <c r="E211">
        <f>HYPERLINK("https://www.indeed.com/viewjob?jk=681730deff99a9de", "https://www.indeed.com/viewjob?jk=681730deff99a9de")</f>
        <v/>
      </c>
      <c r="F211">
        <f>HYPERLINK("https://www.amazon.jobs/jobs/3141517/applied-scientist-aws-agentic-ai-?cmpid=DA_INAD200785B", "https://www.amazon.jobs/jobs/3141517/applied-scientist-aws-agentic-ai-?cmpid=DA_INAD200785B")</f>
        <v/>
      </c>
      <c r="G211" t="inlineStr">
        <is>
          <t>Santa Clara, CA, US</t>
        </is>
      </c>
      <c r="H211" s="3" t="n">
        <v>45962</v>
      </c>
      <c r="I21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in-78b1774df11d8e7a</t>
        </is>
      </c>
      <c r="B212" t="inlineStr">
        <is>
          <t>Applied Scientist, AWS Agentic AI</t>
        </is>
      </c>
      <c r="C212" t="inlineStr">
        <is>
          <t>Amazon Web Services</t>
        </is>
      </c>
      <c r="D212" t="inlineStr">
        <is>
          <t>indeed</t>
        </is>
      </c>
      <c r="E212">
        <f>HYPERLINK("https://www.indeed.com/viewjob?jk=78b1774df11d8e7a", "https://www.indeed.com/viewjob?jk=78b1774df11d8e7a")</f>
        <v/>
      </c>
      <c r="F212">
        <f>HYPERLINK("https://www.amazon.jobs/jobs/3141517/applied-scientist-aws-agentic-ai-?cmpid=DA_INAD200785B", "https://www.amazon.jobs/jobs/3141517/applied-scientist-aws-agentic-ai-?cmpid=DA_INAD200785B")</f>
        <v/>
      </c>
      <c r="G212" t="inlineStr">
        <is>
          <t>Seattle, WA, US</t>
        </is>
      </c>
      <c r="H212" s="3" t="n">
        <v>45962</v>
      </c>
      <c r="I21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in-bb7c8fddc0eb3300</t>
        </is>
      </c>
      <c r="B213" t="inlineStr">
        <is>
          <t>Applied Scientist, AWS Agentic AI</t>
        </is>
      </c>
      <c r="C213" t="inlineStr">
        <is>
          <t>Amazon Web Services</t>
        </is>
      </c>
      <c r="D213" t="inlineStr">
        <is>
          <t>indeed</t>
        </is>
      </c>
      <c r="E213">
        <f>HYPERLINK("https://www.indeed.com/viewjob?jk=bb7c8fddc0eb3300", "https://www.indeed.com/viewjob?jk=bb7c8fddc0eb3300")</f>
        <v/>
      </c>
      <c r="F213">
        <f>HYPERLINK("https://www.amazon.jobs/jobs/3141517/applied-scientist-aws-agentic-ai-?cmpid=DA_INAD200785B", "https://www.amazon.jobs/jobs/3141517/applied-scientist-aws-agentic-ai-?cmpid=DA_INAD200785B")</f>
        <v/>
      </c>
      <c r="G213" t="inlineStr">
        <is>
          <t>New York, NY, US</t>
        </is>
      </c>
      <c r="H213" s="3" t="n">
        <v>45962</v>
      </c>
      <c r="I21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in-d1105dd8485ca33e</t>
        </is>
      </c>
      <c r="B214" t="inlineStr">
        <is>
          <t>Principal Applied Scientist, Advertiser Growth, Amazon Sponsored Products &amp; Brands</t>
        </is>
      </c>
      <c r="C214" t="inlineStr">
        <is>
          <t>Amazon.com</t>
        </is>
      </c>
      <c r="D214" t="inlineStr">
        <is>
          <t>indeed</t>
        </is>
      </c>
      <c r="E214">
        <f>HYPERLINK("https://www.indeed.com/viewjob?jk=d1105dd8485ca33e", "https://www.indeed.com/viewjob?jk=d1105dd8485ca33e")</f>
        <v/>
      </c>
      <c r="F214">
        <f>HYPERLINK("https://www.amazon.jobs/jobs/3115279/principal-applied-scientist-advertiser-growth-amazon-sponsored-products--brands?cmpid=DA_INAD200785B", "https://www.amazon.jobs/jobs/3115279/principal-applied-scientist-advertiser-growth-amazon-sponsored-products--brands?cmpid=DA_INAD200785B")</f>
        <v/>
      </c>
      <c r="G214" t="inlineStr">
        <is>
          <t>Seattle, WA, US</t>
        </is>
      </c>
      <c r="H214" s="3" t="n">
        <v>45942</v>
      </c>
      <c r="I21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in-abc459d5142cd91a</t>
        </is>
      </c>
      <c r="B215" t="inlineStr">
        <is>
          <t>Principal Applied Scientist, Advertiser Growth, Amazon Sponsored Products &amp; Brands</t>
        </is>
      </c>
      <c r="C215" t="inlineStr">
        <is>
          <t>Amazon.com</t>
        </is>
      </c>
      <c r="D215" t="inlineStr">
        <is>
          <t>indeed</t>
        </is>
      </c>
      <c r="E215">
        <f>HYPERLINK("https://www.indeed.com/viewjob?jk=abc459d5142cd91a", "https://www.indeed.com/viewjob?jk=abc459d5142cd91a")</f>
        <v/>
      </c>
      <c r="F215">
        <f>HYPERLINK("https://www.amazon.jobs/jobs/3115279/principal-applied-scientist-advertiser-growth-amazon-sponsored-products--brands?cmpid=DA_INAD200785B", "https://www.amazon.jobs/jobs/3115279/principal-applied-scientist-advertiser-growth-amazon-sponsored-products--brands?cmpid=DA_INAD200785B")</f>
        <v/>
      </c>
      <c r="G215" t="inlineStr">
        <is>
          <t>New York, NY, US</t>
        </is>
      </c>
      <c r="H215" s="3" t="n">
        <v>45942</v>
      </c>
      <c r="I21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in-16a43f603c8656ef</t>
        </is>
      </c>
      <c r="B216" t="inlineStr">
        <is>
          <t>Principal Applied Scientist, Advertiser Growth, Amazon Sponsored Products &amp; Brands</t>
        </is>
      </c>
      <c r="C216" t="inlineStr">
        <is>
          <t>Amazon.com</t>
        </is>
      </c>
      <c r="D216" t="inlineStr">
        <is>
          <t>indeed</t>
        </is>
      </c>
      <c r="E216">
        <f>HYPERLINK("https://www.indeed.com/viewjob?jk=16a43f603c8656ef", "https://www.indeed.com/viewjob?jk=16a43f603c8656ef")</f>
        <v/>
      </c>
      <c r="F216">
        <f>HYPERLINK("https://www.amazon.jobs/jobs/3115279/principal-applied-scientist-advertiser-growth-amazon-sponsored-products--brands?cmpid=DA_INAD200785B", "https://www.amazon.jobs/jobs/3115279/principal-applied-scientist-advertiser-growth-amazon-sponsored-products--brands?cmpid=DA_INAD200785B")</f>
        <v/>
      </c>
      <c r="G216" t="inlineStr">
        <is>
          <t>Palo Alto, CA, US</t>
        </is>
      </c>
      <c r="H216" s="3" t="n">
        <v>45942</v>
      </c>
      <c r="I21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in-51a919c20802678f</t>
        </is>
      </c>
      <c r="B217" t="inlineStr">
        <is>
          <t>Applied Scientist</t>
        </is>
      </c>
      <c r="C217" t="inlineStr">
        <is>
          <t>Amazon.com</t>
        </is>
      </c>
      <c r="D217" t="inlineStr">
        <is>
          <t>indeed</t>
        </is>
      </c>
      <c r="E217">
        <f>HYPERLINK("https://www.indeed.com/viewjob?jk=51a919c20802678f", "https://www.indeed.com/viewjob?jk=51a919c20802678f")</f>
        <v/>
      </c>
      <c r="F217">
        <f>HYPERLINK("https://www.amazon.jobs/jobs/3106501/applied-scientist?cmpid=DA_INAD200785B", "https://www.amazon.jobs/jobs/3106501/applied-scientist?cmpid=DA_INAD200785B")</f>
        <v/>
      </c>
      <c r="G217" t="inlineStr">
        <is>
          <t>New York, NY, US</t>
        </is>
      </c>
      <c r="H217" s="3" t="n">
        <v>45939</v>
      </c>
      <c r="I2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in-0419ebebb0cab061</t>
        </is>
      </c>
      <c r="B218" t="inlineStr">
        <is>
          <t>Sr. Applied Scientist, SPB Advertiser Guidance</t>
        </is>
      </c>
      <c r="C218" t="inlineStr">
        <is>
          <t>Amazon.com</t>
        </is>
      </c>
      <c r="D218" t="inlineStr">
        <is>
          <t>indeed</t>
        </is>
      </c>
      <c r="E218">
        <f>HYPERLINK("https://www.indeed.com/viewjob?jk=0419ebebb0cab061", "https://www.indeed.com/viewjob?jk=0419ebebb0cab061")</f>
        <v/>
      </c>
      <c r="F218">
        <f>HYPERLINK("https://www.amazon.jobs/jobs/3106497/sr-applied-scientist-spb-advertiser-guidance?cmpid=DA_INAD200785B", "https://www.amazon.jobs/jobs/3106497/sr-applied-scientist-spb-advertiser-guidance?cmpid=DA_INAD200785B")</f>
        <v/>
      </c>
      <c r="G218" t="inlineStr">
        <is>
          <t>Seattle, WA, US</t>
        </is>
      </c>
      <c r="H218" s="3" t="n">
        <v>45939</v>
      </c>
      <c r="I21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in-95925d112b91430e</t>
        </is>
      </c>
      <c r="B219" t="inlineStr">
        <is>
          <t>Applied Scientist</t>
        </is>
      </c>
      <c r="C219" t="inlineStr">
        <is>
          <t>Amazon.com</t>
        </is>
      </c>
      <c r="D219" t="inlineStr">
        <is>
          <t>indeed</t>
        </is>
      </c>
      <c r="E219">
        <f>HYPERLINK("https://www.indeed.com/viewjob?jk=95925d112b91430e", "https://www.indeed.com/viewjob?jk=95925d112b91430e")</f>
        <v/>
      </c>
      <c r="F219">
        <f>HYPERLINK("https://www.amazon.jobs/jobs/3106501/applied-scientist?cmpid=DA_INAD200785B", "https://www.amazon.jobs/jobs/3106501/applied-scientist?cmpid=DA_INAD200785B")</f>
        <v/>
      </c>
      <c r="G219" t="inlineStr">
        <is>
          <t>Palo Alto, CA, US</t>
        </is>
      </c>
      <c r="H219" s="3" t="n">
        <v>45939</v>
      </c>
      <c r="I21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in-e27f5cd889ea88bc</t>
        </is>
      </c>
      <c r="B220" t="inlineStr">
        <is>
          <t>Sr. Applied Scientist, SPB Advertiser Guidance</t>
        </is>
      </c>
      <c r="C220" t="inlineStr">
        <is>
          <t>Amazon.com</t>
        </is>
      </c>
      <c r="D220" t="inlineStr">
        <is>
          <t>indeed</t>
        </is>
      </c>
      <c r="E220">
        <f>HYPERLINK("https://www.indeed.com/viewjob?jk=e27f5cd889ea88bc", "https://www.indeed.com/viewjob?jk=e27f5cd889ea88bc")</f>
        <v/>
      </c>
      <c r="F220">
        <f>HYPERLINK("https://www.amazon.jobs/jobs/3106497/sr-applied-scientist-spb-advertiser-guidance?cmpid=DA_INAD200785B", "https://www.amazon.jobs/jobs/3106497/sr-applied-scientist-spb-advertiser-guidance?cmpid=DA_INAD200785B")</f>
        <v/>
      </c>
      <c r="G220" t="inlineStr">
        <is>
          <t>Palo Alto, CA, US</t>
        </is>
      </c>
      <c r="H220" s="3" t="n">
        <v>45939</v>
      </c>
      <c r="I22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in-406440a971a14b1f</t>
        </is>
      </c>
      <c r="B221" t="inlineStr">
        <is>
          <t>Applied Scientist</t>
        </is>
      </c>
      <c r="C221" t="inlineStr">
        <is>
          <t>Amazon.com</t>
        </is>
      </c>
      <c r="D221" t="inlineStr">
        <is>
          <t>indeed</t>
        </is>
      </c>
      <c r="E221">
        <f>HYPERLINK("https://www.indeed.com/viewjob?jk=406440a971a14b1f", "https://www.indeed.com/viewjob?jk=406440a971a14b1f")</f>
        <v/>
      </c>
      <c r="F221">
        <f>HYPERLINK("https://www.amazon.jobs/jobs/3106501/applied-scientist?cmpid=DA_INAD200785B", "https://www.amazon.jobs/jobs/3106501/applied-scientist?cmpid=DA_INAD200785B")</f>
        <v/>
      </c>
      <c r="G221" t="inlineStr">
        <is>
          <t>Seattle, WA, US</t>
        </is>
      </c>
      <c r="H221" s="3" t="n">
        <v>45939</v>
      </c>
      <c r="I22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in-531d97a79065e5c8</t>
        </is>
      </c>
      <c r="B222" t="inlineStr">
        <is>
          <t>Sr. Applied Scientist, SPB Advertiser Guidance</t>
        </is>
      </c>
      <c r="C222" t="inlineStr">
        <is>
          <t>Amazon.com</t>
        </is>
      </c>
      <c r="D222" t="inlineStr">
        <is>
          <t>indeed</t>
        </is>
      </c>
      <c r="E222">
        <f>HYPERLINK("https://www.indeed.com/viewjob?jk=531d97a79065e5c8", "https://www.indeed.com/viewjob?jk=531d97a79065e5c8")</f>
        <v/>
      </c>
      <c r="F222">
        <f>HYPERLINK("https://www.amazon.jobs/jobs/3106497/sr-applied-scientist-spb-advertiser-guidance?cmpid=DA_INAD200785B", "https://www.amazon.jobs/jobs/3106497/sr-applied-scientist-spb-advertiser-guidance?cmpid=DA_INAD200785B")</f>
        <v/>
      </c>
      <c r="G222" t="inlineStr">
        <is>
          <t>New York, NY, US</t>
        </is>
      </c>
      <c r="H222" s="3" t="n">
        <v>45939</v>
      </c>
      <c r="I22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in-087d594e9e237534</t>
        </is>
      </c>
      <c r="B223" t="inlineStr">
        <is>
          <t>Principal Applied Scientist, Amazon - Sponsored Products</t>
        </is>
      </c>
      <c r="C223" t="inlineStr">
        <is>
          <t>Amazon.com</t>
        </is>
      </c>
      <c r="D223" t="inlineStr">
        <is>
          <t>indeed</t>
        </is>
      </c>
      <c r="E223">
        <f>HYPERLINK("https://www.indeed.com/viewjob?jk=087d594e9e237534", "https://www.indeed.com/viewjob?jk=087d594e9e237534")</f>
        <v/>
      </c>
      <c r="F223">
        <f>HYPERLINK("https://www.amazon.jobs/jobs/3094885/principal-applied-scientist-amazon--sponsored-products-?cmpid=DA_INAD200785B", "https://www.amazon.jobs/jobs/3094885/principal-applied-scientist-amazon--sponsored-products-?cmpid=DA_INAD200785B")</f>
        <v/>
      </c>
      <c r="G223" t="inlineStr">
        <is>
          <t>New York, NY, US</t>
        </is>
      </c>
      <c r="H223" s="3" t="n">
        <v>45924</v>
      </c>
      <c r="I223"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in-8c22287b328bc2d7</t>
        </is>
      </c>
      <c r="B224" t="inlineStr">
        <is>
          <t>Principal Applied Scientist, Amazon - Sponsored Products</t>
        </is>
      </c>
      <c r="C224" t="inlineStr">
        <is>
          <t>Amazon.com</t>
        </is>
      </c>
      <c r="D224" t="inlineStr">
        <is>
          <t>indeed</t>
        </is>
      </c>
      <c r="E224">
        <f>HYPERLINK("https://www.indeed.com/viewjob?jk=8c22287b328bc2d7", "https://www.indeed.com/viewjob?jk=8c22287b328bc2d7")</f>
        <v/>
      </c>
      <c r="F224">
        <f>HYPERLINK("https://www.amazon.jobs/jobs/3094885/principal-applied-scientist-amazon--sponsored-products-?cmpid=DA_INAD200785B", "https://www.amazon.jobs/jobs/3094885/principal-applied-scientist-amazon--sponsored-products-?cmpid=DA_INAD200785B")</f>
        <v/>
      </c>
      <c r="G224" t="inlineStr">
        <is>
          <t>Palo Alto, CA, US</t>
        </is>
      </c>
      <c r="H224" s="3" t="n">
        <v>45924</v>
      </c>
      <c r="I224"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in-1843d07217afd38d</t>
        </is>
      </c>
      <c r="B225" t="inlineStr">
        <is>
          <t>Principal Applied Scientist, Amazon - Sponsored Products</t>
        </is>
      </c>
      <c r="C225" t="inlineStr">
        <is>
          <t>Amazon.com</t>
        </is>
      </c>
      <c r="D225" t="inlineStr">
        <is>
          <t>indeed</t>
        </is>
      </c>
      <c r="E225">
        <f>HYPERLINK("https://www.indeed.com/viewjob?jk=1843d07217afd38d", "https://www.indeed.com/viewjob?jk=1843d07217afd38d")</f>
        <v/>
      </c>
      <c r="F225">
        <f>HYPERLINK("https://www.amazon.jobs/jobs/3094885/principal-applied-scientist-amazon--sponsored-products-?cmpid=DA_INAD200785B", "https://www.amazon.jobs/jobs/3094885/principal-applied-scientist-amazon--sponsored-products-?cmpid=DA_INAD200785B")</f>
        <v/>
      </c>
      <c r="G225" t="inlineStr">
        <is>
          <t>Seattle, WA, US</t>
        </is>
      </c>
      <c r="H225" s="3" t="n">
        <v>45924</v>
      </c>
      <c r="I225"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in-2204cbb17ee257ed</t>
        </is>
      </c>
      <c r="B226" t="inlineStr">
        <is>
          <t>Senior Applied Scientist, Sponsored Products and Brands</t>
        </is>
      </c>
      <c r="C226" t="inlineStr">
        <is>
          <t>Amazon.com</t>
        </is>
      </c>
      <c r="D226" t="inlineStr">
        <is>
          <t>indeed</t>
        </is>
      </c>
      <c r="E226">
        <f>HYPERLINK("https://www.indeed.com/viewjob?jk=2204cbb17ee257ed", "https://www.indeed.com/viewjob?jk=2204cbb17ee257ed")</f>
        <v/>
      </c>
      <c r="F226">
        <f>HYPERLINK("https://www.amazon.jobs/jobs/3094886/senior-applied-scientist-sponsored-products-and-brands?cmpid=DA_INAD200785B", "https://www.amazon.jobs/jobs/3094886/senior-applied-scientist-sponsored-products-and-brands?cmpid=DA_INAD200785B")</f>
        <v/>
      </c>
      <c r="G226" t="inlineStr">
        <is>
          <t>Seattle, WA, US</t>
        </is>
      </c>
      <c r="H226" s="3" t="n">
        <v>45922</v>
      </c>
      <c r="I22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in-51463f06495a5bb9</t>
        </is>
      </c>
      <c r="B227" t="inlineStr">
        <is>
          <t>Senior Applied Scientist, Sponsored Products and Brands</t>
        </is>
      </c>
      <c r="C227" t="inlineStr">
        <is>
          <t>Amazon.com</t>
        </is>
      </c>
      <c r="D227" t="inlineStr">
        <is>
          <t>indeed</t>
        </is>
      </c>
      <c r="E227">
        <f>HYPERLINK("https://www.indeed.com/viewjob?jk=51463f06495a5bb9", "https://www.indeed.com/viewjob?jk=51463f06495a5bb9")</f>
        <v/>
      </c>
      <c r="F227">
        <f>HYPERLINK("https://www.amazon.jobs/jobs/3094886/senior-applied-scientist-sponsored-products-and-brands?cmpid=DA_INAD200785B", "https://www.amazon.jobs/jobs/3094886/senior-applied-scientist-sponsored-products-and-brands?cmpid=DA_INAD200785B")</f>
        <v/>
      </c>
      <c r="G227" t="inlineStr">
        <is>
          <t>New York, NY, US</t>
        </is>
      </c>
      <c r="H227" s="3" t="n">
        <v>45922</v>
      </c>
      <c r="I22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in-7f1b2bac110f32e0</t>
        </is>
      </c>
      <c r="B228" t="inlineStr">
        <is>
          <t>Applied Scientist, Workplace Health &amp; Safety</t>
        </is>
      </c>
      <c r="C228" t="inlineStr">
        <is>
          <t>Amazon.com</t>
        </is>
      </c>
      <c r="D228" t="inlineStr">
        <is>
          <t>indeed</t>
        </is>
      </c>
      <c r="E228">
        <f>HYPERLINK("https://www.indeed.com/viewjob?jk=7f1b2bac110f32e0", "https://www.indeed.com/viewjob?jk=7f1b2bac110f32e0")</f>
        <v/>
      </c>
      <c r="F228">
        <f>HYPERLINK("https://www.amazon.jobs/jobs/3144886/applied-scientist-workplace-health--safety-?cmpid=DA_INAD200785B", "https://www.amazon.jobs/jobs/3144886/applied-scientist-workplace-health--safety-?cmpid=DA_INAD200785B")</f>
        <v/>
      </c>
      <c r="G228" t="inlineStr">
        <is>
          <t>Bellevue, WA, US</t>
        </is>
      </c>
      <c r="H228" s="3" t="n">
        <v>45917</v>
      </c>
      <c r="I22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in-7d529fb4737ff1bd</t>
        </is>
      </c>
      <c r="B229" t="inlineStr">
        <is>
          <t>Applied Scientist, Workplace Health &amp; Safety</t>
        </is>
      </c>
      <c r="C229" t="inlineStr">
        <is>
          <t>Amazon.com</t>
        </is>
      </c>
      <c r="D229" t="inlineStr">
        <is>
          <t>indeed</t>
        </is>
      </c>
      <c r="E229">
        <f>HYPERLINK("https://www.indeed.com/viewjob?jk=7d529fb4737ff1bd", "https://www.indeed.com/viewjob?jk=7d529fb4737ff1bd")</f>
        <v/>
      </c>
      <c r="F229">
        <f>HYPERLINK("https://www.amazon.jobs/jobs/3144886/applied-scientist-workplace-health--safety-?cmpid=DA_INAD200785B", "https://www.amazon.jobs/jobs/3144886/applied-scientist-workplace-health--safety-?cmpid=DA_INAD200785B")</f>
        <v/>
      </c>
      <c r="G229" t="inlineStr">
        <is>
          <t>Nashville, TN, US</t>
        </is>
      </c>
      <c r="H229" s="3" t="n">
        <v>45917</v>
      </c>
      <c r="I22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in-0de96102de87194c</t>
        </is>
      </c>
      <c r="B230" t="inlineStr">
        <is>
          <t>Sr. Applied Scientist, Amazon Advertising</t>
        </is>
      </c>
      <c r="C230" t="inlineStr">
        <is>
          <t>Amazon.com</t>
        </is>
      </c>
      <c r="D230" t="inlineStr">
        <is>
          <t>indeed</t>
        </is>
      </c>
      <c r="E230">
        <f>HYPERLINK("https://www.indeed.com/viewjob?jk=0de96102de87194c", "https://www.indeed.com/viewjob?jk=0de96102de87194c")</f>
        <v/>
      </c>
      <c r="F230">
        <f>HYPERLINK("https://www.amazon.jobs/jobs/3035686/sr-applied-scientist-amazon-advertising?cmpid=DA_INAD200785B", "https://www.amazon.jobs/jobs/3035686/sr-applied-scientist-amazon-advertising?cmpid=DA_INAD200785B")</f>
        <v/>
      </c>
      <c r="G230" t="inlineStr">
        <is>
          <t>New York, NY, US</t>
        </is>
      </c>
      <c r="H230" s="3"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in-dd438a9458b7cf00</t>
        </is>
      </c>
      <c r="B231" t="inlineStr">
        <is>
          <t>Sr. Applied Scientist, Amazon Advertising</t>
        </is>
      </c>
      <c r="C231" t="inlineStr">
        <is>
          <t>Amazon.com</t>
        </is>
      </c>
      <c r="D231" t="inlineStr">
        <is>
          <t>indeed</t>
        </is>
      </c>
      <c r="E231">
        <f>HYPERLINK("https://www.indeed.com/viewjob?jk=dd438a9458b7cf00", "https://www.indeed.com/viewjob?jk=dd438a9458b7cf00")</f>
        <v/>
      </c>
      <c r="F231">
        <f>HYPERLINK("https://www.amazon.jobs/jobs/3035686/sr-applied-scientist-amazon-advertising?cmpid=DA_INAD200785B", "https://www.amazon.jobs/jobs/3035686/sr-applied-scientist-amazon-advertising?cmpid=DA_INAD200785B")</f>
        <v/>
      </c>
      <c r="G231" t="inlineStr">
        <is>
          <t>Los Angeles, CA, US</t>
        </is>
      </c>
      <c r="H231" s="3" t="n">
        <v>45851</v>
      </c>
      <c r="I2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in-ef5366607064b724</t>
        </is>
      </c>
      <c r="B232" t="inlineStr">
        <is>
          <t>Sr. Applied Scientist, Amazon Advertising</t>
        </is>
      </c>
      <c r="C232" t="inlineStr">
        <is>
          <t>Amazon.com</t>
        </is>
      </c>
      <c r="D232" t="inlineStr">
        <is>
          <t>indeed</t>
        </is>
      </c>
      <c r="E232">
        <f>HYPERLINK("https://www.indeed.com/viewjob?jk=ef5366607064b724", "https://www.indeed.com/viewjob?jk=ef5366607064b724")</f>
        <v/>
      </c>
      <c r="F232">
        <f>HYPERLINK("https://www.amazon.jobs/jobs/3035686/sr-applied-scientist-amazon-advertising?cmpid=DA_INAD200785B", "https://www.amazon.jobs/jobs/3035686/sr-applied-scientist-amazon-advertising?cmpid=DA_INAD200785B")</f>
        <v/>
      </c>
      <c r="G232" t="inlineStr">
        <is>
          <t>Arlington, VA, US</t>
        </is>
      </c>
      <c r="H232" s="3"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in-3a59becb443e7d96</t>
        </is>
      </c>
      <c r="B233" t="inlineStr">
        <is>
          <t>Sr. Applied Scientist, Amazon Advertising</t>
        </is>
      </c>
      <c r="C233" t="inlineStr">
        <is>
          <t>Amazon.com</t>
        </is>
      </c>
      <c r="D233" t="inlineStr">
        <is>
          <t>indeed</t>
        </is>
      </c>
      <c r="E233">
        <f>HYPERLINK("https://www.indeed.com/viewjob?jk=3a59becb443e7d96", "https://www.indeed.com/viewjob?jk=3a59becb443e7d96")</f>
        <v/>
      </c>
      <c r="F233">
        <f>HYPERLINK("https://www.amazon.jobs/jobs/3035686/sr-applied-scientist-amazon-advertising?cmpid=DA_INAD200785B", "https://www.amazon.jobs/jobs/3035686/sr-applied-scientist-amazon-advertising?cmpid=DA_INAD200785B")</f>
        <v/>
      </c>
      <c r="G233" t="inlineStr">
        <is>
          <t>Simi Valley, CA, US</t>
        </is>
      </c>
      <c r="H233" s="3"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in-58fccefb587b785e</t>
        </is>
      </c>
      <c r="B234" t="inlineStr">
        <is>
          <t>Sr. Applied Scientist, Amazon Advertising</t>
        </is>
      </c>
      <c r="C234" t="inlineStr">
        <is>
          <t>Amazon.com</t>
        </is>
      </c>
      <c r="D234" t="inlineStr">
        <is>
          <t>indeed</t>
        </is>
      </c>
      <c r="E234">
        <f>HYPERLINK("https://www.indeed.com/viewjob?jk=58fccefb587b785e", "https://www.indeed.com/viewjob?jk=58fccefb587b785e")</f>
        <v/>
      </c>
      <c r="F234">
        <f>HYPERLINK("https://www.amazon.jobs/jobs/3035686/sr-applied-scientist-amazon-advertising?cmpid=DA_INAD200785B", "https://www.amazon.jobs/jobs/3035686/sr-applied-scientist-amazon-advertising?cmpid=DA_INAD200785B")</f>
        <v/>
      </c>
      <c r="G234" t="inlineStr">
        <is>
          <t>Palo Alto, CA, US</t>
        </is>
      </c>
      <c r="H234" s="3"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in-09797a098183940f</t>
        </is>
      </c>
      <c r="B235" t="inlineStr">
        <is>
          <t>Sr. Applied Scientist, Amazon Advertising</t>
        </is>
      </c>
      <c r="C235" t="inlineStr">
        <is>
          <t>Amazon.com</t>
        </is>
      </c>
      <c r="D235" t="inlineStr">
        <is>
          <t>indeed</t>
        </is>
      </c>
      <c r="E235">
        <f>HYPERLINK("https://www.indeed.com/viewjob?jk=09797a098183940f", "https://www.indeed.com/viewjob?jk=09797a098183940f")</f>
        <v/>
      </c>
      <c r="F235">
        <f>HYPERLINK("https://www.amazon.jobs/jobs/3035686/sr-applied-scientist-amazon-advertising?cmpid=DA_INAD200785B", "https://www.amazon.jobs/jobs/3035686/sr-applied-scientist-amazon-advertising?cmpid=DA_INAD200785B")</f>
        <v/>
      </c>
      <c r="G235" t="inlineStr">
        <is>
          <t>West Hollywood, CA, US</t>
        </is>
      </c>
      <c r="H235" s="3" t="n">
        <v>45851</v>
      </c>
      <c r="I2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in-b2f1a312b1f3d448</t>
        </is>
      </c>
      <c r="B236" t="inlineStr">
        <is>
          <t>Sr. Applied Scientist, Amazon Advertising</t>
        </is>
      </c>
      <c r="C236" t="inlineStr">
        <is>
          <t>Amazon.com</t>
        </is>
      </c>
      <c r="D236" t="inlineStr">
        <is>
          <t>indeed</t>
        </is>
      </c>
      <c r="E236">
        <f>HYPERLINK("https://www.indeed.com/viewjob?jk=b2f1a312b1f3d448", "https://www.indeed.com/viewjob?jk=b2f1a312b1f3d448")</f>
        <v/>
      </c>
      <c r="F236">
        <f>HYPERLINK("https://www.amazon.jobs/jobs/3035686/sr-applied-scientist-amazon-advertising?cmpid=DA_INAD200785B", "https://www.amazon.jobs/jobs/3035686/sr-applied-scientist-amazon-advertising?cmpid=DA_INAD200785B")</f>
        <v/>
      </c>
      <c r="G236" t="inlineStr">
        <is>
          <t>Seattle, WA, US</t>
        </is>
      </c>
      <c r="H236" s="3" t="n">
        <v>45851</v>
      </c>
      <c r="I2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in-e3017a6e6d3ebd29</t>
        </is>
      </c>
      <c r="B237" t="inlineStr">
        <is>
          <t>Sr. Applied Scientist, Amazon Advertising</t>
        </is>
      </c>
      <c r="C237" t="inlineStr">
        <is>
          <t>Amazon.com</t>
        </is>
      </c>
      <c r="D237" t="inlineStr">
        <is>
          <t>indeed</t>
        </is>
      </c>
      <c r="E237">
        <f>HYPERLINK("https://www.indeed.com/viewjob?jk=e3017a6e6d3ebd29", "https://www.indeed.com/viewjob?jk=e3017a6e6d3ebd29")</f>
        <v/>
      </c>
      <c r="F237">
        <f>HYPERLINK("https://www.amazon.jobs/jobs/3035686/sr-applied-scientist-amazon-advertising?cmpid=DA_INAD200785B", "https://www.amazon.jobs/jobs/3035686/sr-applied-scientist-amazon-advertising?cmpid=DA_INAD200785B")</f>
        <v/>
      </c>
      <c r="G237" t="inlineStr">
        <is>
          <t>Austin, TX, US</t>
        </is>
      </c>
      <c r="H237" s="3" t="n">
        <v>45851</v>
      </c>
      <c r="I2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in-0dcc215591e0f867</t>
        </is>
      </c>
      <c r="B238" t="inlineStr">
        <is>
          <t>Senior Applied Scientist, Artificial General Intelligence</t>
        </is>
      </c>
      <c r="C238" t="inlineStr">
        <is>
          <t>Amazon.com</t>
        </is>
      </c>
      <c r="D238" t="inlineStr">
        <is>
          <t>indeed</t>
        </is>
      </c>
      <c r="E238">
        <f>HYPERLINK("https://www.indeed.com/viewjob?jk=0dcc215591e0f867", "https://www.indeed.com/viewjob?jk=0dcc215591e0f867")</f>
        <v/>
      </c>
      <c r="F238">
        <f>HYPERLINK("https://www.amazon.jobs/jobs/3032183/senior-applied-scientist-artificial-general-intelligence?cmpid=DA_INAD200785B", "https://www.amazon.jobs/jobs/3032183/senior-applied-scientist-artificial-general-intelligence?cmpid=DA_INAD200785B")</f>
        <v/>
      </c>
      <c r="G238" t="inlineStr">
        <is>
          <t>Sunnyvale, CA, US</t>
        </is>
      </c>
      <c r="H238" s="3" t="n">
        <v>45838</v>
      </c>
      <c r="I23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in-7be73e867fb2b9ca</t>
        </is>
      </c>
      <c r="B239" t="inlineStr">
        <is>
          <t>Senior Applied Scientist, Artificial General Intelligence</t>
        </is>
      </c>
      <c r="C239" t="inlineStr">
        <is>
          <t>Amazon.com</t>
        </is>
      </c>
      <c r="D239" t="inlineStr">
        <is>
          <t>indeed</t>
        </is>
      </c>
      <c r="E239">
        <f>HYPERLINK("https://www.indeed.com/viewjob?jk=7be73e867fb2b9ca", "https://www.indeed.com/viewjob?jk=7be73e867fb2b9ca")</f>
        <v/>
      </c>
      <c r="F239">
        <f>HYPERLINK("https://www.amazon.jobs/jobs/3032183/senior-applied-scientist-artificial-general-intelligence?cmpid=DA_INAD200785B", "https://www.amazon.jobs/jobs/3032183/senior-applied-scientist-artificial-general-intelligence?cmpid=DA_INAD200785B")</f>
        <v/>
      </c>
      <c r="G239" t="inlineStr">
        <is>
          <t>New York, NY, US</t>
        </is>
      </c>
      <c r="H239" s="3" t="n">
        <v>45838</v>
      </c>
      <c r="I23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in-4b24210cfda344b7</t>
        </is>
      </c>
      <c r="B240" t="inlineStr">
        <is>
          <t>Senior Applied Scientist, Artificial General Intelligence</t>
        </is>
      </c>
      <c r="C240" t="inlineStr">
        <is>
          <t>Amazon.com</t>
        </is>
      </c>
      <c r="D240" t="inlineStr">
        <is>
          <t>indeed</t>
        </is>
      </c>
      <c r="E240">
        <f>HYPERLINK("https://www.indeed.com/viewjob?jk=4b24210cfda344b7", "https://www.indeed.com/viewjob?jk=4b24210cfda344b7")</f>
        <v/>
      </c>
      <c r="F240">
        <f>HYPERLINK("https://www.amazon.jobs/jobs/3032183/senior-applied-scientist-artificial-general-intelligence?cmpid=DA_INAD200785B", "https://www.amazon.jobs/jobs/3032183/senior-applied-scientist-artificial-general-intelligence?cmpid=DA_INAD200785B")</f>
        <v/>
      </c>
      <c r="G240" t="inlineStr">
        <is>
          <t>Boston, MA, US</t>
        </is>
      </c>
      <c r="H240" s="3" t="n">
        <v>45838</v>
      </c>
      <c r="I24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in-44de1c56ebff5b70</t>
        </is>
      </c>
      <c r="B241" t="inlineStr">
        <is>
          <t>Sr. Applied Scientist, Sales AI</t>
        </is>
      </c>
      <c r="C241" t="inlineStr">
        <is>
          <t>Amazon.com</t>
        </is>
      </c>
      <c r="D241" t="inlineStr">
        <is>
          <t>indeed</t>
        </is>
      </c>
      <c r="E241">
        <f>HYPERLINK("https://www.indeed.com/viewjob?jk=44de1c56ebff5b70", "https://www.indeed.com/viewjob?jk=44de1c56ebff5b70")</f>
        <v/>
      </c>
      <c r="F241">
        <f>HYPERLINK("https://www.amazon.jobs/jobs/3020528/sr-applied-scientist-sales-ai?cmpid=DA_INAD200785B", "https://www.amazon.jobs/jobs/3020528/sr-applied-scientist-sales-ai?cmpid=DA_INAD200785B")</f>
        <v/>
      </c>
      <c r="G241" t="inlineStr">
        <is>
          <t>New York, NY, US</t>
        </is>
      </c>
      <c r="H241" s="3" t="n">
        <v>45830</v>
      </c>
      <c r="I24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in-560e3ee49e2b5507</t>
        </is>
      </c>
      <c r="B242" t="inlineStr">
        <is>
          <t>Sr. Applied Scientist, Sales AI</t>
        </is>
      </c>
      <c r="C242" t="inlineStr">
        <is>
          <t>Amazon.com</t>
        </is>
      </c>
      <c r="D242" t="inlineStr">
        <is>
          <t>indeed</t>
        </is>
      </c>
      <c r="E242">
        <f>HYPERLINK("https://www.indeed.com/viewjob?jk=560e3ee49e2b5507", "https://www.indeed.com/viewjob?jk=560e3ee49e2b5507")</f>
        <v/>
      </c>
      <c r="F242">
        <f>HYPERLINK("https://www.amazon.jobs/jobs/3020528/sr-applied-scientist-sales-ai?cmpid=DA_INAD200785B", "https://www.amazon.jobs/jobs/3020528/sr-applied-scientist-sales-ai?cmpid=DA_INAD200785B")</f>
        <v/>
      </c>
      <c r="G242" t="inlineStr">
        <is>
          <t>Sunnyvale, CA, US</t>
        </is>
      </c>
      <c r="H242" s="3" t="n">
        <v>45830</v>
      </c>
      <c r="I24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in-733cdc6fc41f4fc8</t>
        </is>
      </c>
      <c r="B243" t="inlineStr">
        <is>
          <t>Sr. Applied Scientist, Sales AI</t>
        </is>
      </c>
      <c r="C243" t="inlineStr">
        <is>
          <t>Amazon.com</t>
        </is>
      </c>
      <c r="D243" t="inlineStr">
        <is>
          <t>indeed</t>
        </is>
      </c>
      <c r="E243">
        <f>HYPERLINK("https://www.indeed.com/viewjob?jk=733cdc6fc41f4fc8", "https://www.indeed.com/viewjob?jk=733cdc6fc41f4fc8")</f>
        <v/>
      </c>
      <c r="F243">
        <f>HYPERLINK("https://www.amazon.jobs/jobs/3020528/sr-applied-scientist-sales-ai?cmpid=DA_INAD200785B", "https://www.amazon.jobs/jobs/3020528/sr-applied-scientist-sales-ai?cmpid=DA_INAD200785B")</f>
        <v/>
      </c>
      <c r="G243" t="inlineStr">
        <is>
          <t>Seattle, WA, US</t>
        </is>
      </c>
      <c r="H243" s="3" t="n">
        <v>45830</v>
      </c>
      <c r="I24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in-8dab13b758cf53c5</t>
        </is>
      </c>
      <c r="B244" t="inlineStr">
        <is>
          <t>Sr. Applied Scientist, AGI Info</t>
        </is>
      </c>
      <c r="C244" t="inlineStr">
        <is>
          <t>Amazon.com</t>
        </is>
      </c>
      <c r="D244" t="inlineStr">
        <is>
          <t>indeed</t>
        </is>
      </c>
      <c r="E244">
        <f>HYPERLINK("https://www.indeed.com/viewjob?jk=8dab13b758cf53c5", "https://www.indeed.com/viewjob?jk=8dab13b758cf53c5")</f>
        <v/>
      </c>
      <c r="F244">
        <f>HYPERLINK("https://www.amazon.jobs/jobs/2999351/sr-applied-scientist-agi-info?cmpid=DA_INAD200785B", "https://www.amazon.jobs/jobs/2999351/sr-applied-scientist-agi-info?cmpid=DA_INAD200785B")</f>
        <v/>
      </c>
      <c r="G244" t="inlineStr">
        <is>
          <t>Bellevue, WA, US</t>
        </is>
      </c>
      <c r="H244" s="3" t="n">
        <v>45811</v>
      </c>
      <c r="I24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in-df7fa453a6da11b8</t>
        </is>
      </c>
      <c r="B245" t="inlineStr">
        <is>
          <t>Sr. Applied Scientist, AGI Info</t>
        </is>
      </c>
      <c r="C245" t="inlineStr">
        <is>
          <t>Amazon.com</t>
        </is>
      </c>
      <c r="D245" t="inlineStr">
        <is>
          <t>indeed</t>
        </is>
      </c>
      <c r="E245">
        <f>HYPERLINK("https://www.indeed.com/viewjob?jk=df7fa453a6da11b8", "https://www.indeed.com/viewjob?jk=df7fa453a6da11b8")</f>
        <v/>
      </c>
      <c r="F245">
        <f>HYPERLINK("https://www.amazon.jobs/jobs/2999351/sr-applied-scientist-agi-info?cmpid=DA_INAD200785B", "https://www.amazon.jobs/jobs/2999351/sr-applied-scientist-agi-info?cmpid=DA_INAD200785B")</f>
        <v/>
      </c>
      <c r="G245" t="inlineStr">
        <is>
          <t>Sunnyvale, CA, US</t>
        </is>
      </c>
      <c r="H245" s="3" t="n">
        <v>45811</v>
      </c>
      <c r="I24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in-4e0a29a8ad243f1f</t>
        </is>
      </c>
      <c r="B246" t="inlineStr">
        <is>
          <t>Principal Applied Scientist, Delivery Foundation Model</t>
        </is>
      </c>
      <c r="C246" t="inlineStr">
        <is>
          <t>Amazon.com</t>
        </is>
      </c>
      <c r="D246" t="inlineStr">
        <is>
          <t>indeed</t>
        </is>
      </c>
      <c r="E246">
        <f>HYPERLINK("https://www.indeed.com/viewjob?jk=4e0a29a8ad243f1f", "https://www.indeed.com/viewjob?jk=4e0a29a8ad243f1f")</f>
        <v/>
      </c>
      <c r="F246">
        <f>HYPERLINK("https://www.amazon.jobs/jobs/3006938/principal-applied-scientist-delivery-foundation-model-?cmpid=DA_INAD200785B", "https://www.amazon.jobs/jobs/3006938/principal-applied-scientist-delivery-foundation-model-?cmpid=DA_INAD200785B")</f>
        <v/>
      </c>
      <c r="G246" t="inlineStr">
        <is>
          <t>Bellevue, WA, US</t>
        </is>
      </c>
      <c r="H246" s="3" t="n">
        <v>45810</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in-d54be26c762e621e</t>
        </is>
      </c>
      <c r="B247" t="inlineStr">
        <is>
          <t>Principal Applied Scientist, Delivery Foundation Model</t>
        </is>
      </c>
      <c r="C247" t="inlineStr">
        <is>
          <t>Amazon.com</t>
        </is>
      </c>
      <c r="D247" t="inlineStr">
        <is>
          <t>indeed</t>
        </is>
      </c>
      <c r="E247">
        <f>HYPERLINK("https://www.indeed.com/viewjob?jk=d54be26c762e621e", "https://www.indeed.com/viewjob?jk=d54be26c762e621e")</f>
        <v/>
      </c>
      <c r="F247">
        <f>HYPERLINK("https://www.amazon.jobs/jobs/3006938/principal-applied-scientist-delivery-foundation-model-?cmpid=DA_INAD200785B", "https://www.amazon.jobs/jobs/3006938/principal-applied-scientist-delivery-foundation-model-?cmpid=DA_INAD200785B")</f>
        <v/>
      </c>
      <c r="G247" t="inlineStr">
        <is>
          <t>Santa Clara, CA, US</t>
        </is>
      </c>
      <c r="H247" s="3" t="n">
        <v>45810</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in-afba20e37cce9abf</t>
        </is>
      </c>
      <c r="B248" t="inlineStr">
        <is>
          <t>Principal Applied Scientist, Delivery Foundation Model</t>
        </is>
      </c>
      <c r="C248" t="inlineStr">
        <is>
          <t>Amazon.com</t>
        </is>
      </c>
      <c r="D248" t="inlineStr">
        <is>
          <t>indeed</t>
        </is>
      </c>
      <c r="E248">
        <f>HYPERLINK("https://www.indeed.com/viewjob?jk=afba20e37cce9abf", "https://www.indeed.com/viewjob?jk=afba20e37cce9abf")</f>
        <v/>
      </c>
      <c r="F248">
        <f>HYPERLINK("https://www.amazon.jobs/jobs/3006938/principal-applied-scientist-delivery-foundation-model-?cmpid=DA_INAD200785B", "https://www.amazon.jobs/jobs/3006938/principal-applied-scientist-delivery-foundation-model-?cmpid=DA_INAD200785B")</f>
        <v/>
      </c>
      <c r="G248" t="inlineStr">
        <is>
          <t>New York, NY, US</t>
        </is>
      </c>
      <c r="H248" s="3" t="n">
        <v>45810</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in-4a76045706b8306c</t>
        </is>
      </c>
      <c r="B249" t="inlineStr">
        <is>
          <t>Principal Applied Scientist, Delivery Foundation Model</t>
        </is>
      </c>
      <c r="C249" t="inlineStr">
        <is>
          <t>Amazon.com</t>
        </is>
      </c>
      <c r="D249" t="inlineStr">
        <is>
          <t>indeed</t>
        </is>
      </c>
      <c r="E249">
        <f>HYPERLINK("https://www.indeed.com/viewjob?jk=4a76045706b8306c", "https://www.indeed.com/viewjob?jk=4a76045706b8306c")</f>
        <v/>
      </c>
      <c r="F249">
        <f>HYPERLINK("https://www.amazon.jobs/jobs/3006938/principal-applied-scientist-delivery-foundation-model-?cmpid=DA_INAD200785B", "https://www.amazon.jobs/jobs/3006938/principal-applied-scientist-delivery-foundation-model-?cmpid=DA_INAD200785B")</f>
        <v/>
      </c>
      <c r="G249" t="inlineStr">
        <is>
          <t>Austin, TX, US</t>
        </is>
      </c>
      <c r="H249" s="3" t="n">
        <v>45810</v>
      </c>
      <c r="I24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in-661a758db804c26b</t>
        </is>
      </c>
      <c r="B250" t="inlineStr">
        <is>
          <t>Principal Applied Scientist, Delivery Foundation Model</t>
        </is>
      </c>
      <c r="C250" t="inlineStr">
        <is>
          <t>Amazon.com</t>
        </is>
      </c>
      <c r="D250" t="inlineStr">
        <is>
          <t>indeed</t>
        </is>
      </c>
      <c r="E250">
        <f>HYPERLINK("https://www.indeed.com/viewjob?jk=661a758db804c26b", "https://www.indeed.com/viewjob?jk=661a758db804c26b")</f>
        <v/>
      </c>
      <c r="F250">
        <f>HYPERLINK("https://www.amazon.jobs/jobs/2998635/principal-applied-scientist-delivery-foundation-model-?cmpid=DA_INAD200785B", "https://www.amazon.jobs/jobs/2998635/principal-applied-scientist-delivery-foundation-model-?cmpid=DA_INAD200785B")</f>
        <v/>
      </c>
      <c r="G250" t="inlineStr">
        <is>
          <t>Santa Clara, CA, US</t>
        </is>
      </c>
      <c r="H250" s="3" t="n">
        <v>45757</v>
      </c>
      <c r="I25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in-9ec9561a9a568225</t>
        </is>
      </c>
      <c r="B251" t="inlineStr">
        <is>
          <t>Principal Applied Scientist, Delivery Foundation Model</t>
        </is>
      </c>
      <c r="C251" t="inlineStr">
        <is>
          <t>Amazon.com</t>
        </is>
      </c>
      <c r="D251" t="inlineStr">
        <is>
          <t>indeed</t>
        </is>
      </c>
      <c r="E251">
        <f>HYPERLINK("https://www.indeed.com/viewjob?jk=9ec9561a9a568225", "https://www.indeed.com/viewjob?jk=9ec9561a9a568225")</f>
        <v/>
      </c>
      <c r="F251">
        <f>HYPERLINK("https://www.amazon.jobs/jobs/2998635/principal-applied-scientist-delivery-foundation-model-?cmpid=DA_INAD200785B", "https://www.amazon.jobs/jobs/2998635/principal-applied-scientist-delivery-foundation-model-?cmpid=DA_INAD200785B")</f>
        <v/>
      </c>
      <c r="G251" t="inlineStr">
        <is>
          <t>Bellevue, WA, US</t>
        </is>
      </c>
      <c r="H251" s="3" t="n">
        <v>45757</v>
      </c>
      <c r="I25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in-d662d53624c98ec5</t>
        </is>
      </c>
      <c r="B252" t="inlineStr">
        <is>
          <t>Principal Applied Scientist, Delivery Foundation Model</t>
        </is>
      </c>
      <c r="C252" t="inlineStr">
        <is>
          <t>Amazon.com</t>
        </is>
      </c>
      <c r="D252" t="inlineStr">
        <is>
          <t>indeed</t>
        </is>
      </c>
      <c r="E252">
        <f>HYPERLINK("https://www.indeed.com/viewjob?jk=d662d53624c98ec5", "https://www.indeed.com/viewjob?jk=d662d53624c98ec5")</f>
        <v/>
      </c>
      <c r="F252">
        <f>HYPERLINK("https://www.amazon.jobs/jobs/2998635/principal-applied-scientist-delivery-foundation-model-?cmpid=DA_INAD200785B", "https://www.amazon.jobs/jobs/2998635/principal-applied-scientist-delivery-foundation-model-?cmpid=DA_INAD200785B")</f>
        <v/>
      </c>
      <c r="G252" t="inlineStr">
        <is>
          <t>New York, NY, US</t>
        </is>
      </c>
      <c r="H252" s="3" t="n">
        <v>45757</v>
      </c>
      <c r="I25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in-1f97f4eaf7e0c75b</t>
        </is>
      </c>
      <c r="B253" t="inlineStr">
        <is>
          <t>Principal Applied Scientist, FAR (Frontier AI &amp; Robotics)</t>
        </is>
      </c>
      <c r="C253" t="inlineStr">
        <is>
          <t>Amazon.com</t>
        </is>
      </c>
      <c r="D253" t="inlineStr">
        <is>
          <t>indeed</t>
        </is>
      </c>
      <c r="E253">
        <f>HYPERLINK("https://www.indeed.com/viewjob?jk=1f97f4eaf7e0c75b", "https://www.indeed.com/viewjob?jk=1f97f4eaf7e0c75b")</f>
        <v/>
      </c>
      <c r="F253">
        <f>HYPERLINK("https://www.amazon.jobs/jobs/2938625/principal-applied-scientist-far-frontier-ai--robotics?cmpid=DA_INAD200785B", "https://www.amazon.jobs/jobs/2938625/principal-applied-scientist-far-frontier-ai--robotics?cmpid=DA_INAD200785B")</f>
        <v/>
      </c>
      <c r="G253" t="inlineStr">
        <is>
          <t>San Francisco, CA, US</t>
        </is>
      </c>
      <c r="H253" s="3" t="n">
        <v>45740</v>
      </c>
      <c r="I25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in-4725270f60446dfa</t>
        </is>
      </c>
      <c r="B254" t="inlineStr">
        <is>
          <t>Principal Applied Scientist, FAR (Frontier AI &amp; Robotics)</t>
        </is>
      </c>
      <c r="C254" t="inlineStr">
        <is>
          <t>Amazon.com</t>
        </is>
      </c>
      <c r="D254" t="inlineStr">
        <is>
          <t>indeed</t>
        </is>
      </c>
      <c r="E254">
        <f>HYPERLINK("https://www.indeed.com/viewjob?jk=4725270f60446dfa", "https://www.indeed.com/viewjob?jk=4725270f60446dfa")</f>
        <v/>
      </c>
      <c r="F254">
        <f>HYPERLINK("https://www.amazon.jobs/jobs/2938625/principal-applied-scientist-far-frontier-ai--robotics?cmpid=DA_INAD200785B", "https://www.amazon.jobs/jobs/2938625/principal-applied-scientist-far-frontier-ai--robotics?cmpid=DA_INAD200785B")</f>
        <v/>
      </c>
      <c r="G254" t="inlineStr">
        <is>
          <t>Seattle, WA, US</t>
        </is>
      </c>
      <c r="H254" s="3" t="n">
        <v>45740</v>
      </c>
      <c r="I25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li-4329686163</t>
        </is>
      </c>
      <c r="B2" t="inlineStr">
        <is>
          <t>Data Scientist II, Growth</t>
        </is>
      </c>
      <c r="C2" t="inlineStr">
        <is>
          <t>Tinder</t>
        </is>
      </c>
      <c r="D2" t="inlineStr">
        <is>
          <t>linkedin</t>
        </is>
      </c>
      <c r="E2" t="inlineStr"/>
      <c r="F2" t="inlineStr"/>
      <c r="G2" t="inlineStr">
        <is>
          <t>Los Angeles, CA</t>
        </is>
      </c>
      <c r="H2" t="inlineStr"/>
      <c r="I2"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The Growth Data Science team is looking for curious individuals excited to drive data\-informed
 decision\-making at Tinder. We are a strategic partner to the Product team, and will be using our
 comprehensive datasets to develop experiments, understand metrics, develop automated
 reports, and generate exploratory insights to guide our business solutions. These insights are
 key in both the performance of our business and the experience of our members.
 This role has the opportunity to work on either the User Growth or Growth Platform teams within
 the Data Science Team. The User Growth team focuses on validating greenspace hypotheses
 and optimizing the core experience through growth levers and personalization, while the Growth
 Platform team focuses on optimizing and scaling messaging strategy through strategic channels and personalization. We will work closely with you to define what team would be the best match.
**Where you’ll work:** 
 This position can be located in Los Angeles (preferred), San Francisco, Palo Alto, CA, or Dallas, TX
**In this role, you will:** 
- Drive rigorous testing to validate hypotheses and guide business decisions
- Find the “story” in the data and readily share insights with product, engineering, and design
- as well as at a company level
- Be an authority with a point of view for the organization, using data to constantly challenge
- and reshape our current understanding of customer behavior and business performance
- Derive and communicate data\-driven recommendations regarding both the prioritization of
- potential product/marketing initiatives and the performance of current initiatives
- Define and operationalize the detailed tracking of company\-wide, team\-specific, and product\-
- specific performance metrics via rollout tables, dashboards, and automated reporting
**You’ll need:** 
- Bachelor’s degree in a quantitative field, Master’s degree, or PhD with a social science background preferred
- 2\-4 years of professional working experience in Data Science and/or analytics
- Familiarity with two sided consumer ecosystem, specifically in the context of consumer technology
- Experience with SQL, data visualization tools (e.g., Tableau or Mode)
- Hands on experience in designing and implementing experiments (e.g. randomized testing, A/B testing) to drive key product decisions is required
- Familiarity with Python/R, using descriptive and inferential statistics and machine learning models
- Demonstrated ability to collaborate effectively with design, product, and engineering
- teams to advance key business initiatives from conceptualization to final product delivery
- Ability to develop a nuanced business understanding, testable hypotheses, and significant findings from data
- Ability to present data, actionable insights, technical concepts and approaches to technical and non\-technical audiences
**Differentiators:** 
- Curiosity of how things work, from both a business and technical perspective, which could result in identifying and exploring new product opportunities, potential improvements to our data infrastructure, and diving deeply into understanding member behavior
- Proactive collaborator skilled in engaging with cross\-functional teams (Product, Engineering, Machine Learning) to influence decision\-making, confidently voicing concerns and alternative perspectives
- Ability to prioritize time across multiple projects and communicate timelines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3">
      <c r="A3" t="inlineStr">
        <is>
          <t>li-4365078833</t>
        </is>
      </c>
      <c r="B3" t="inlineStr">
        <is>
          <t>Data Scientist</t>
        </is>
      </c>
      <c r="C3" t="inlineStr">
        <is>
          <t>Target</t>
        </is>
      </c>
      <c r="D3" t="inlineStr">
        <is>
          <t>linkedin</t>
        </is>
      </c>
      <c r="E3" t="inlineStr"/>
      <c r="F3" t="inlineStr"/>
      <c r="G3" t="inlineStr"/>
      <c r="H3" t="inlineStr"/>
      <c r="I3" t="inlineStr">
        <is>
          <t>**About The Company** 
 Joining Target means becoming part of a company dedicated to helping families discover the joy of everyday life. With a rich history of retail excellence, Target is committed to delivering exceptional value, innovative shopping experiences, and a culture rooted in inclusivity and community engagement. As a leading retailer, Target continuously strives to exceed guest expectations through a combination of quality products, outstanding service, and a focus on sustainability and social responsibility. Working at Target offers the opportunity to be part of a dynamic environment where innovation and collaboration drive success, and where your contributions directly impact millions of guests across the globe.
**About The Role** 
 The Lead Data Scientist for Last Mile Operations \&amp; Design at Target is a strategic role focused on leveraging advanced data science techniques to optimize supply chain and delivery operations. This position involves developing and managing predictive and prescriptive algorithms that automate decision\-making processes at scale. The role is integral to accelerating omni\-channel experimentation and fostering a culture of continuous innovation within the Last Mile Delivery space. As a leader, you will spearhead initiatives that improve guest and carrier experiences by harnessing the power of data, machine learning, and operations research. Your work will directly influence business strategies, enhance operational efficiencies, and support Target’s mission to deliver value and convenience to its customers.
**Qualifications** 
* PhD or MS degree in Operations Research, Industrial Engineering, Computer Science, Mathematics, Statistics, Physics, or a related quantitative field
* Minimum of 5 years of experience leading large\-scale supply chain optimization, simulation, and machine learning projects
* Proficiency in programming languages such as Python, R, Kotlin, or Java
* Experience deploying algorithms in production environments with high\-performance code
* Knowledge of predictive and prescriptive analytics, ML Ops, and scalable data processing
* Experience working with large event\-driven distributed systems and multi\-threaded applications
* Familiarity with application/software architecture, process modeling, and data pipeline development
* Strong SQL/Hive skills and experience building data tools for research or experimentation
* Proven ability to solve complex real\-world problems using advanced statistical techniques such as regression, clustering, PCA, and time series forecasting
* Excellent communication skills with the ability to craft compelling data\-driven stories and visualizations
* Self\-motivated, results\-oriented, and capable of working collaboratively across teams and time zones
**Responsibilities** 
* Serve as an advocate for a data\-driven culture across Product, Business Operations, and Engineering teams, promoting the use of insights to prioritize impactful initiatives
* Develop and implement solutions to complex business problems using data analysis, machine learning, optimization, and forecasting techniques
* Formulate clear problem statements, synthesize analysis results, and communicate findings effectively to stakeholders through storytelling and visualizations
* Collaborate with product managers to design in\-product experiments, analyze results, and provide strategic recommendations for feature enhancements
* Partner with business teams to identify gaps in product offerings, conduct comprehensive data analysis, and drive analytics maturity in key areas
* Define KPIs and data collection strategies to measure the success of new features and business strategies, working closely with engineering teams for data instrumentation
* Optimize queries on large datasets to support operations research and decision\-making processes
* Design and develop self\-service dashboards and visualization tools that translate complex data into actionable insights
* Democratize data and insights by delivering accessible tools that enable partners to make faster, informed decisions
* Stay current with industry trends and continuously improve analytical models, tools, and processes to support business growth
**Benefits** 
* Competitive salary and performance\-based incentives
* Comprehensive health, dental, and vision insurance plans
* Retirement savings plans with company matching
* Generous paid time off and holiday leave
* Opportunities for professional development and continuous learning
* Flexible work arrangements, including hybrid and remote work options
* Inclusive and collaborative work environment that values diversity
* Employee discounts and access to company resources
 Equal Opportunity
 Target is an equal opportunity employer committed to creating an inclusive environment for all employees. We celebrate diversity and are dedicated to providing equal employment opportunities regardless of race, color, religion, gender, gender identity or expression, sexual orientation, national origin, genetics, disability, age, or veteran status.</t>
        </is>
      </c>
    </row>
    <row r="4">
      <c r="A4" t="inlineStr">
        <is>
          <t>li-4365078832</t>
        </is>
      </c>
      <c r="B4" t="inlineStr">
        <is>
          <t>Data Scientist</t>
        </is>
      </c>
      <c r="C4" t="inlineStr">
        <is>
          <t>General Mills</t>
        </is>
      </c>
      <c r="D4" t="inlineStr">
        <is>
          <t>linkedin</t>
        </is>
      </c>
      <c r="E4" t="inlineStr"/>
      <c r="F4" t="inlineStr"/>
      <c r="G4" t="inlineStr"/>
      <c r="H4" t="inlineStr"/>
      <c r="I4" t="inlineStr">
        <is>
          <t>**About The Company**
 General Mills is a leading global food company renowned for its diverse portfolio of trusted brands and innovative food solutions. With a rich history spanning over a century, the company is committed to nourishing lives through high\-quality products that meet the evolving needs of consumers worldwide. Operating across multiple markets, General Mills emphasizes sustainability, operational excellence, and a customer\-centric approach to ensure its continued growth and positive impact on communities. The organization values diversity, collaboration, and innovation, fostering a dynamic environment where talented professionals can thrive and contribute to shaping the future of food.
**About The Role**
 As a Lead Data Scientist at General Mills, you will play a pivotal role in driving data\-driven decision\-making and innovation within the organization. Your primary responsibility will be to design, develop, and implement advanced analytics engines and services that leverage cutting\-edge techniques in statistics, machine learning, and AI. You will collaborate closely with cross\-functional teams, including product owners, business partners, and fellow data scientists, to identify key technical challenges and formulate hypotheses for testing. Your expertise will enable the creation of scalable, real\-time analytical models that support critical business functions such as supply chain optimization, demand planning, logistics, and pricing strategies. This role offers an exciting opportunity to lead technical initiatives, influence strategic decisions, and mentor junior team members, all while contributing to the company's mission of making the food people love.
**Qualifications**
* 6\+ years of relevant experience in data science, with at least 4 years focused on optimization techniques
* Bachelor’s Degree in operations research, statistics, industrial engineering, computer science, or related quantitative fields
* Proficiency in Python programming, particularly in developing optimization models using commercial solver suites
* Hands\-on experience building IP / MIP models and supporting algorithms
* Strong SQL skills and ability to work with large, dynamic data sets
* Demonstrated ability to collaborate with business leaders and influence decision\-making
* Excellent problem\-solving skills and adaptability to complex challenges
* Proven track record of delivering results through effective task prioritization and time management
**Responsibilities**
* Partner with data science leadership, machine learning engineering, and business teams to develop optimization and machine learning models using state\-of\-the\-art tools and technologies
* Provide strategic technical guidance and actionable insights to support business objectives
* Design and build scalable, production\-ready models for real\-time insights in areas such as supply\-demand planning, logistics, trade optimization, and pricing
* Develop a comprehensive modeling framework and architecture for deterministic and combinatorial optimization, as well as advanced machine learning applications
* Communicate complex data\-driven insights effectively to cross\-functional teams, explaining the ‘why and how’ behind recommendations
* Advise business partners on technical solutions and best practices
* Contribute as a senior leader within the data science team, shaping technical strategy, standards, and team development
* Mentor junior data scientists, providing technical guidance and fostering professional growth
* Monitor and improve model performance metrics, incorporating feedback from business stakeholders to enhance accuracy and recommendations
* Engage in strategic planning, documentation, and standardization of modeling practices
**Benefits**
* Competitive salary within the range of $126,700 to $211,200 annually
* Comprehensive health benefits and wellness programs
* Retirement plans and financial wellbeing support
* Paid time off and holiday leave
* Opportunities for professional development and career growth
* Participation in annual incentive programs based on individual and organizational performance
* Flexible work arrangements, with a preferred location in Minneapolis, MN, and remote work options within the United States
 Equal Opportunity
 General Mills is an equal opportunity employer committed to fostering a diverse and inclusive workplace. We do not discriminate based on race, color, religion, sex, sexual orientation, gender identity, national origin, age, disability, or any other protected status. We encourage applicants from all backgrounds to apply and participate in our hiring process. All employment decisions are made based on qualifications, merit, and business needs.</t>
        </is>
      </c>
    </row>
    <row r="5">
      <c r="A5" t="inlineStr">
        <is>
          <t>li-4342862746</t>
        </is>
      </c>
      <c r="B5" t="inlineStr">
        <is>
          <t>Data Scientist I</t>
        </is>
      </c>
      <c r="C5" t="inlineStr">
        <is>
          <t>Pathward</t>
        </is>
      </c>
      <c r="D5" t="inlineStr">
        <is>
          <t>linkedin</t>
        </is>
      </c>
      <c r="E5" t="inlineStr"/>
      <c r="F5" t="inlineStr"/>
      <c r="G5" t="inlineStr"/>
      <c r="H5" t="inlineStr"/>
      <c r="I5" t="inlineStr">
        <is>
          <t>We are a hybrid, remote\-office company dedicated to growing our talent anywhere!
 We have onsite locations in: Sioux Falls, SD, Scottsdale, AZ, Louisville, KY, Troy, MI, Franklin, TN, Easton, PA.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Develop and program methods, processes, and systems to consolidate and analyze diverse data sets to generate insights and solutions for customer solutions and program enhancement. Identify and interpret insights from data sources and communicate findings to management.
**What You Will Do:**
* Mines, models, and analyzes large datasets utilizing descriptive, predictive, and prescriptive analytics.
* Develops insights from historical loan performance data, identify swap\-in opportunities to underwrite new customer populations, and develop credit solutions for customer base using various analytical techniques.
* Develops and supports custom score models for underwriting, pricing. and profitability.
* Forecasts performance of marketing campaigns and track actual performance against target.
* Designs and deploys model monitoring frameworks to assess the performance of partner underwriting portfolios, new product launches, and existing customer portfolios. Advise senior management of emerging trends and risks.
* Collaborates with vendors and technology teams to ensure new strategies and models are implemented accurately and as designed.
* Conducts other ad hoc analyses as required to support team goals.
* Other duties as assigned
**What You Will Need:**
* Bachelor's degree or equivalent education and work experience.
* Up to 2\+ years with bachelor's or equivalent.
* Ability to handle large volume of data and derive actionable insights.
* Strong analytical and problem\-solving skills, combined with solid business acumen
* Strong written and communication skills with ability to explain complex insights to a range of audiences
* Experience in the consumer credit industry is a plus
* The ability to thrive in a fast\-paced startup environment
*The responsibilities listed above are not all inclusive and may be changed at any time.*
 Salary range: $60,000 – $100,500
 The salary range reflects the minimum and maximum target for a new hire in this role. Individual pay within the range will be determined by multiple factors which can include but are not limited to a candidate’s experience, qualifications, skills, and location. Your recruiter can share more about the specific salary for your location during the hiring process. Ranges may be modified in the future.
 This role is also eligible for an annual performance\-based incentive opportunity. Pathward offers a comprehensive benefits package for eligible employees, including health insurance, 401(k) retirement benefits, life insurance, disability benefits, paid time off, and more.
***Don’t have everything listed under qualifications? If you’re excited about this role but your***
***experiences don’t match exactly to everything in the posting, we encourage you to apply***
***anyway. You may be just the right candidate for this or other Pathward roles. Pathward is***
***an equal employment opportunity employer and considers candidates for roles without regard***
***to their race, sex, national origin, ethnicity, age, disability or any other category protected by***
***law.***
**Who we are:**
 Our commitment to inclusion is woven into our DNA. We believe that we are strongest when we embrace the voices of our employees, customers, partners, and the communities we serve.
 We provide equal employment opportunities (EEO) to all employees and applicants for employment without regard to race, color, ethnicity, religion, sex, sexual orientation, gender identity, transgender status, pregnancy, national origin, age (age 40 and over), disability, genetic information, marital status, hair texture or hairstyle, ancestry, service in the uniformed services, protected veteran status, status as a victim of domestic violence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
 Applications will be accepted for a minimum of 3 days after posting, and there is no predetermined date by which applications should be submitted.
**Knowingly submitting false information will result in disqualification for consideration of future positions, termination of employment and forfeiture of other rights.**
**Candidate Scam Warning**
 We encourage you to be cautious of hiring scams that impersonate Pathward. Copy and paste the following URL into your browser to learn more: https://www.pathward.com/about\-us/people\-culture/careers/</t>
        </is>
      </c>
    </row>
    <row r="6">
      <c r="A6" t="inlineStr">
        <is>
          <t>li-4365077680</t>
        </is>
      </c>
      <c r="B6" t="inlineStr">
        <is>
          <t>Data Scientist</t>
        </is>
      </c>
      <c r="C6" t="inlineStr">
        <is>
          <t>Atlassian</t>
        </is>
      </c>
      <c r="D6" t="inlineStr">
        <is>
          <t>linkedin</t>
        </is>
      </c>
      <c r="E6" t="inlineStr"/>
      <c r="F6" t="inlineStr"/>
      <c r="G6" t="inlineStr"/>
      <c r="H6" t="inlineStr"/>
      <c r="I6" t="inlineStr">
        <is>
          <t>**About The Company** 
 Atlassian is a global leader in enterprise software solutions that facilitate collaboration, project management, and productivity for teams of all sizes. Committed to unleashing the potential of every team, Atlassian develops innovative tools designed to streamline workflows, foster communication, and enhance overall efficiency. The company values diversity, inclusion, and a distributed\-first work environment, allowing employees to work from anywhere in the world. With a focus on creating a supportive and engaging workplace, Atlassian invests in its people and offers a comprehensive suite of benefits to promote well\-being and growth. As a company that empowers teams to do their best work, Atlassian continues to set industry standards through its innovative products and inclusive culture.
**About The Role** 
 We are seeking a highly skilled and experienced Analytics \&amp; Data Science professional to join our team in San Francisco or remotely. In this role, you will collaborate with cross\-functional partners to address a wide range of product and business challenges. Your primary focus will be on leveraging your technical expertise to conduct quantitative analysis, design experiments, and present data\-driven insights that influence strategic decisions. You will develop hypotheses using diverse analytical methodologies, frameworks, and technical approaches, testing and validating them to uncover opportunities for product and business improvements. Your insights will help shape product roadmaps, inform strategy, and identify key metrics for monitoring success. As a trusted advisor to leadership, you will communicate complex data insights through compelling storytelling techniques, ensuring that your findings drive impactful decisions across the organization.
**Qualifications** 
* 8\+ years of experience in Data Science or related fields
* Proficiency in SQL and at least one additional data manipulation programming language (e.g., Python, R)
* Expertise in data visualization tools such as Tableau, R\-Shiny, Microstrategy, SAP Business Objects, Looker, etc.
* Strong knowledge of statistical concepts including regressions, A/B testing, clustering, and probability
* Proven track record of driving impactful projects that influence business strategy and performance through analytics
* Excellent storytelling skills with the ability to craft persuasive analysis and communicate insights effectively
* Experience advising and presenting to senior executives and serving as a thought partner
**Desirable Qualifications Include** 
* 10\+ years of experience in Data Science or related fields
* Understanding of the SaaS business model and key metrics
* Experience developing insights for Chat, Search, or LLM\-based products
**Responsibilities** 
* Collaborate with cross\-functional teams to solve diverse product and business problems, becoming a trusted strategic partner
* Apply technical expertise to conduct quantitative analysis, experimentation, and data presentation to develop strategic insights
* Develop hypotheses and test them using various analytical methodologies, frameworks, and technical approaches
* Identify, define, and evaluate opportunities for product and business improvements through data\-driven insights
* Partner with teams to influence and execute strategic decisions based on analytical findings
* Monitor and forecast key product metrics to measure success, identify trends, and anticipate challenges
* Utilize data to inform product development, quantify new opportunities, and ensure products deliver value to users and the business
* Communicate insights across the organization through storytelling, including presentations to leadership teams
**Benefits** 
* Comprehensive health coverage including medical, dental, and vision plans
* Paid volunteer days to support community engagement
* Wellness resources and programs to promote physical and mental health
* Flexible work arrangements supporting remote and hybrid work models
* Competitive compensation packages including bonuses, equity, and benefits
* Opportunities for professional development and career growth
 Equal Opportunity
 At Atlassian, we are committed to fostering an inclusive environment where all employees are valued and respected. We do not discriminate based on race, religion, national origin, gender identity or expression, sexual orientation, age, marital status, veteran status, disability, or any other protected characteristic.</t>
        </is>
      </c>
    </row>
    <row r="7">
      <c r="A7" t="inlineStr">
        <is>
          <t>li-4309802103</t>
        </is>
      </c>
      <c r="B7" t="inlineStr">
        <is>
          <t>Data Scientist</t>
        </is>
      </c>
      <c r="C7" t="inlineStr">
        <is>
          <t>DataAnnotation</t>
        </is>
      </c>
      <c r="D7" t="inlineStr">
        <is>
          <t>linkedin</t>
        </is>
      </c>
      <c r="E7" t="inlineStr"/>
      <c r="F7" t="inlineStr"/>
      <c r="G7" t="inlineStr">
        <is>
          <t>Nevada, United States</t>
        </is>
      </c>
      <c r="H7" t="inlineStr"/>
      <c r="I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8">
      <c r="A8" t="inlineStr">
        <is>
          <t>li-4309693778</t>
        </is>
      </c>
      <c r="B8" t="inlineStr">
        <is>
          <t>Data Scientist</t>
        </is>
      </c>
      <c r="C8" t="inlineStr">
        <is>
          <t>DataAnnotation</t>
        </is>
      </c>
      <c r="D8" t="inlineStr">
        <is>
          <t>linkedin</t>
        </is>
      </c>
      <c r="E8" t="inlineStr"/>
      <c r="F8" t="inlineStr"/>
      <c r="G8" t="inlineStr">
        <is>
          <t>Rhode Island, United States</t>
        </is>
      </c>
      <c r="H8" t="inlineStr"/>
      <c r="I8"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
      <c r="A9" t="inlineStr">
        <is>
          <t>li-4309808127</t>
        </is>
      </c>
      <c r="B9" t="inlineStr">
        <is>
          <t>Data Scientist</t>
        </is>
      </c>
      <c r="C9" t="inlineStr">
        <is>
          <t>DataAnnotation</t>
        </is>
      </c>
      <c r="D9" t="inlineStr">
        <is>
          <t>linkedin</t>
        </is>
      </c>
      <c r="E9" t="inlineStr"/>
      <c r="F9" t="inlineStr"/>
      <c r="G9" t="inlineStr">
        <is>
          <t>Nevada, United States</t>
        </is>
      </c>
      <c r="H9" t="inlineStr"/>
      <c r="I9"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0">
      <c r="A10" t="inlineStr">
        <is>
          <t>li-4309691957</t>
        </is>
      </c>
      <c r="B10" t="inlineStr">
        <is>
          <t>Data Scientist</t>
        </is>
      </c>
      <c r="C10" t="inlineStr">
        <is>
          <t>DataAnnotation</t>
        </is>
      </c>
      <c r="D10" t="inlineStr">
        <is>
          <t>linkedin</t>
        </is>
      </c>
      <c r="E10" t="inlineStr"/>
      <c r="F10" t="inlineStr"/>
      <c r="G10" t="inlineStr">
        <is>
          <t>Idaho, United States</t>
        </is>
      </c>
      <c r="H10" t="inlineStr"/>
      <c r="I10"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1">
      <c r="A11" t="inlineStr">
        <is>
          <t>li-4309697423</t>
        </is>
      </c>
      <c r="B11" t="inlineStr">
        <is>
          <t>Data Scientist</t>
        </is>
      </c>
      <c r="C11" t="inlineStr">
        <is>
          <t>DataAnnotation</t>
        </is>
      </c>
      <c r="D11" t="inlineStr">
        <is>
          <t>linkedin</t>
        </is>
      </c>
      <c r="E11" t="inlineStr"/>
      <c r="F11" t="inlineStr"/>
      <c r="G11" t="inlineStr">
        <is>
          <t>Oregon, United States</t>
        </is>
      </c>
      <c r="H11" t="inlineStr"/>
      <c r="I11"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2">
      <c r="A12" t="inlineStr">
        <is>
          <t>li-4309692719</t>
        </is>
      </c>
      <c r="B12" t="inlineStr">
        <is>
          <t>Data Scientist</t>
        </is>
      </c>
      <c r="C12" t="inlineStr">
        <is>
          <t>DataAnnotation</t>
        </is>
      </c>
      <c r="D12" t="inlineStr">
        <is>
          <t>linkedin</t>
        </is>
      </c>
      <c r="E12" t="inlineStr"/>
      <c r="F12" t="inlineStr"/>
      <c r="G12" t="inlineStr">
        <is>
          <t>Connecticut, United States</t>
        </is>
      </c>
      <c r="H12" t="inlineStr"/>
      <c r="I12"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3">
      <c r="A13" t="inlineStr">
        <is>
          <t>li-4326412537</t>
        </is>
      </c>
      <c r="B13" t="inlineStr">
        <is>
          <t>Data Scientist</t>
        </is>
      </c>
      <c r="C13" t="inlineStr">
        <is>
          <t>Motorola Solutions</t>
        </is>
      </c>
      <c r="D13" t="inlineStr">
        <is>
          <t>linkedin</t>
        </is>
      </c>
      <c r="E13" t="inlineStr"/>
      <c r="F13" t="inlineStr"/>
      <c r="G13" t="inlineStr">
        <is>
          <t>Schaumburg, IL</t>
        </is>
      </c>
      <c r="H13" t="inlineStr"/>
      <c r="I13"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worldwide, our work supports those who put their lives on the line to keep us safe. Bring your passion, potential, and talents to Motorola Solutions, and help us usher in a new era in public safety and security.
**Job Description**
 We are seeking a highly skilled and motivated Data Scientist to join our team. The ideal candidate will be responsible for leveraging large datasets to uncover actionable insights, drive business strategy, and solve complex problems. This role requires a strong background in statistical analysis, machine learning, and data visualization, with a keen ability to translate data into compelling narratives for both technical and non\-technical audiences.
**Key Responsibilities:**
* Data Analysis \&amp; Insight Generation: Collect, clean, and analyze complex datasets from various sources to identify trends, patterns, and anomalies. Develop and apply statistical models and algorithms to generate actionable insights that inform business decisions.
* Model Development: Design, build, and deploy predictive models and machine learning algorithms to solve business challenges, such as forecasting, customer segmentation, and fraud detection.
* Data Visualization \&amp; Reporting: Create clear, compelling visualizations and reports to communicate findings and recommendations. Present complex data in an understandable format to stakeholders at all levels of the organization.
* Cross\-functional Collaboration: Partner with engineering, product management, and business teams to understand their needs, define key metrics, and support data\-driven decision\-making.
* Problem\-Solving: Proactively identify opportunities to use data to improve processes, products, and services. Troubleshoot and optimize existing models and data pipelines.
**Preferred Qualification as and Skills:**
* Bachelor’s or Master’s degree in a quantitative field such as Computer Science, Statistics, Mathematics, or a related discipline.
* Proven experience as a Data Scientist or in a similar role.
* Experience with data visualization tools (e.g., Tableau, Power BI, Matplotlib).
* Solid understanding of statistical analysis, machine learning techniques, and experimental design.
* Excellent communication and presentation skills, with the ability to explain complex analytical concepts to diverse audiences.
 Target Base Salary Range: $85,000\-$95,000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or Master’s degree in a quantitative field such as Computer Science, Statistics, Mathematics, or a related discipline.
* 1\-2 years of Data Scientist experience
* Legal authorization to work in the U.S. indefinitely is required. Employer work permit sponsorship is not available for this position.
**Travel Requirements**
 Under 10%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4">
      <c r="A14" t="inlineStr">
        <is>
          <t>li-4309812067</t>
        </is>
      </c>
      <c r="B14" t="inlineStr">
        <is>
          <t>Data Scientist</t>
        </is>
      </c>
      <c r="C14" t="inlineStr">
        <is>
          <t>DataAnnotation</t>
        </is>
      </c>
      <c r="D14" t="inlineStr">
        <is>
          <t>linkedin</t>
        </is>
      </c>
      <c r="E14" t="inlineStr"/>
      <c r="F14" t="inlineStr"/>
      <c r="G14" t="inlineStr">
        <is>
          <t>South Carolina, United States</t>
        </is>
      </c>
      <c r="H14" t="inlineStr"/>
      <c r="I14"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
      <c r="A15" t="inlineStr">
        <is>
          <t>li-4309698313</t>
        </is>
      </c>
      <c r="B15" t="inlineStr">
        <is>
          <t>Data Scientist</t>
        </is>
      </c>
      <c r="C15" t="inlineStr">
        <is>
          <t>DataAnnotation</t>
        </is>
      </c>
      <c r="D15" t="inlineStr">
        <is>
          <t>linkedin</t>
        </is>
      </c>
      <c r="E15" t="inlineStr"/>
      <c r="F15" t="inlineStr"/>
      <c r="G15" t="inlineStr">
        <is>
          <t>Arizona, United States</t>
        </is>
      </c>
      <c r="H15" t="inlineStr"/>
      <c r="I1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6">
      <c r="A16" t="inlineStr">
        <is>
          <t>li-4309804211</t>
        </is>
      </c>
      <c r="B16" t="inlineStr">
        <is>
          <t>Data Scientist</t>
        </is>
      </c>
      <c r="C16" t="inlineStr">
        <is>
          <t>DataAnnotation</t>
        </is>
      </c>
      <c r="D16" t="inlineStr">
        <is>
          <t>linkedin</t>
        </is>
      </c>
      <c r="E16" t="inlineStr"/>
      <c r="F16" t="inlineStr"/>
      <c r="G16" t="inlineStr">
        <is>
          <t>Hawaii, United States</t>
        </is>
      </c>
      <c r="H16" t="inlineStr"/>
      <c r="I16"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
      <c r="A17" t="inlineStr">
        <is>
          <t>li-4309697453</t>
        </is>
      </c>
      <c r="B17" t="inlineStr">
        <is>
          <t>Data Scientist</t>
        </is>
      </c>
      <c r="C17" t="inlineStr">
        <is>
          <t>DataAnnotation</t>
        </is>
      </c>
      <c r="D17" t="inlineStr">
        <is>
          <t>linkedin</t>
        </is>
      </c>
      <c r="E17" t="inlineStr"/>
      <c r="F17" t="inlineStr"/>
      <c r="G17" t="inlineStr">
        <is>
          <t>Idaho, United States</t>
        </is>
      </c>
      <c r="H17" t="inlineStr"/>
      <c r="I17"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18">
      <c r="A18" t="inlineStr">
        <is>
          <t>li-4309807087</t>
        </is>
      </c>
      <c r="B18" t="inlineStr">
        <is>
          <t>Data Scientist</t>
        </is>
      </c>
      <c r="C18" t="inlineStr">
        <is>
          <t>DataAnnotation</t>
        </is>
      </c>
      <c r="D18" t="inlineStr">
        <is>
          <t>linkedin</t>
        </is>
      </c>
      <c r="E18" t="inlineStr"/>
      <c r="F18" t="inlineStr"/>
      <c r="G18" t="inlineStr">
        <is>
          <t>Maryland, United States</t>
        </is>
      </c>
      <c r="H18" t="inlineStr"/>
      <c r="I18"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9">
      <c r="A19" t="inlineStr">
        <is>
          <t>li-4309690813</t>
        </is>
      </c>
      <c r="B19" t="inlineStr">
        <is>
          <t>Data Scientist</t>
        </is>
      </c>
      <c r="C19" t="inlineStr">
        <is>
          <t>DataAnnotation</t>
        </is>
      </c>
      <c r="D19" t="inlineStr">
        <is>
          <t>linkedin</t>
        </is>
      </c>
      <c r="E19" t="inlineStr"/>
      <c r="F19" t="inlineStr"/>
      <c r="G19" t="inlineStr">
        <is>
          <t>Rhode Island, United States</t>
        </is>
      </c>
      <c r="H19" t="inlineStr"/>
      <c r="I19"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0">
      <c r="A20" t="inlineStr">
        <is>
          <t>li-4309802294</t>
        </is>
      </c>
      <c r="B20" t="inlineStr">
        <is>
          <t>Data Scientist</t>
        </is>
      </c>
      <c r="C20" t="inlineStr">
        <is>
          <t>DataAnnotation</t>
        </is>
      </c>
      <c r="D20" t="inlineStr">
        <is>
          <t>linkedin</t>
        </is>
      </c>
      <c r="E20" t="inlineStr"/>
      <c r="F20" t="inlineStr"/>
      <c r="G20" t="inlineStr">
        <is>
          <t>Delaware, United States</t>
        </is>
      </c>
      <c r="H20" t="inlineStr"/>
      <c r="I20"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1">
      <c r="A21" t="inlineStr">
        <is>
          <t>li-4309697571</t>
        </is>
      </c>
      <c r="B21" t="inlineStr">
        <is>
          <t>Data Scientist</t>
        </is>
      </c>
      <c r="C21" t="inlineStr">
        <is>
          <t>DataAnnotation</t>
        </is>
      </c>
      <c r="D21" t="inlineStr">
        <is>
          <t>linkedin</t>
        </is>
      </c>
      <c r="E21" t="inlineStr"/>
      <c r="F21" t="inlineStr"/>
      <c r="G21" t="inlineStr">
        <is>
          <t>Nebraska, United States</t>
        </is>
      </c>
      <c r="H21" t="inlineStr"/>
      <c r="I21"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
      <c r="A22" t="inlineStr">
        <is>
          <t>li-4309805178</t>
        </is>
      </c>
      <c r="B22" t="inlineStr">
        <is>
          <t>Data Scientist</t>
        </is>
      </c>
      <c r="C22" t="inlineStr">
        <is>
          <t>DataAnnotation</t>
        </is>
      </c>
      <c r="D22" t="inlineStr">
        <is>
          <t>linkedin</t>
        </is>
      </c>
      <c r="E22" t="inlineStr"/>
      <c r="F22" t="inlineStr"/>
      <c r="G22" t="inlineStr">
        <is>
          <t>Arkansas, United States</t>
        </is>
      </c>
      <c r="H22" t="inlineStr"/>
      <c r="I22"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3">
      <c r="A23" t="inlineStr">
        <is>
          <t>li-4309692792</t>
        </is>
      </c>
      <c r="B23" t="inlineStr">
        <is>
          <t>Data Scientist</t>
        </is>
      </c>
      <c r="C23" t="inlineStr">
        <is>
          <t>DataAnnotation</t>
        </is>
      </c>
      <c r="D23" t="inlineStr">
        <is>
          <t>linkedin</t>
        </is>
      </c>
      <c r="E23" t="inlineStr"/>
      <c r="F23" t="inlineStr"/>
      <c r="G23" t="inlineStr">
        <is>
          <t>New Mexico, United States</t>
        </is>
      </c>
      <c r="H23" t="inlineStr"/>
      <c r="I2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4">
      <c r="A24" t="inlineStr">
        <is>
          <t>li-4309697439</t>
        </is>
      </c>
      <c r="B24" t="inlineStr">
        <is>
          <t>Data Scientist</t>
        </is>
      </c>
      <c r="C24" t="inlineStr">
        <is>
          <t>DataAnnotation</t>
        </is>
      </c>
      <c r="D24" t="inlineStr">
        <is>
          <t>linkedin</t>
        </is>
      </c>
      <c r="E24" t="inlineStr"/>
      <c r="F24" t="inlineStr"/>
      <c r="G24" t="inlineStr">
        <is>
          <t>Vermont, United States</t>
        </is>
      </c>
      <c r="H24" t="inlineStr"/>
      <c r="I24"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5">
      <c r="A25" t="inlineStr">
        <is>
          <t>li-4309685982</t>
        </is>
      </c>
      <c r="B25" t="inlineStr">
        <is>
          <t>Data Scientist</t>
        </is>
      </c>
      <c r="C25" t="inlineStr">
        <is>
          <t>DataAnnotation</t>
        </is>
      </c>
      <c r="D25" t="inlineStr">
        <is>
          <t>linkedin</t>
        </is>
      </c>
      <c r="E25" t="inlineStr"/>
      <c r="F25" t="inlineStr"/>
      <c r="G25" t="inlineStr">
        <is>
          <t>Alaska, United States</t>
        </is>
      </c>
      <c r="H25" t="inlineStr"/>
      <c r="I25"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6">
      <c r="A26" t="inlineStr">
        <is>
          <t>li-4309687892</t>
        </is>
      </c>
      <c r="B26" t="inlineStr">
        <is>
          <t>Data Scientist</t>
        </is>
      </c>
      <c r="C26" t="inlineStr">
        <is>
          <t>DataAnnotation</t>
        </is>
      </c>
      <c r="D26" t="inlineStr">
        <is>
          <t>linkedin</t>
        </is>
      </c>
      <c r="E26" t="inlineStr"/>
      <c r="F26" t="inlineStr"/>
      <c r="G26" t="inlineStr">
        <is>
          <t>Tennessee, United States</t>
        </is>
      </c>
      <c r="H26" t="inlineStr"/>
      <c r="I2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27">
      <c r="A27" t="inlineStr">
        <is>
          <t>li-4309693821</t>
        </is>
      </c>
      <c r="B27" t="inlineStr">
        <is>
          <t>Data Scientist</t>
        </is>
      </c>
      <c r="C27" t="inlineStr">
        <is>
          <t>DataAnnotation</t>
        </is>
      </c>
      <c r="D27" t="inlineStr">
        <is>
          <t>linkedin</t>
        </is>
      </c>
      <c r="E27" t="inlineStr"/>
      <c r="F27" t="inlineStr"/>
      <c r="G27" t="inlineStr">
        <is>
          <t>Alaska, United States</t>
        </is>
      </c>
      <c r="H27" t="inlineStr"/>
      <c r="I27"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8">
      <c r="A28" t="inlineStr">
        <is>
          <t>li-4210583877</t>
        </is>
      </c>
      <c r="B28" t="inlineStr">
        <is>
          <t>Senior Data Scientist</t>
        </is>
      </c>
      <c r="C28" t="inlineStr">
        <is>
          <t>Upstart</t>
        </is>
      </c>
      <c r="D28" t="inlineStr">
        <is>
          <t>linkedin</t>
        </is>
      </c>
      <c r="E28" t="inlineStr"/>
      <c r="F28" t="inlineStr"/>
      <c r="G28" t="inlineStr"/>
      <c r="H28" t="inlineStr"/>
      <c r="I28"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At Upstart, our mission is to expand access to credit using advanced machine learning models that better evaluate true risk. Our Machine Learning team researches and productionizes all of Upstart’s core predictive models. If data is the new oil, then you’ll be responsible for the refining process that creates the most premium fuel possible. You’ll work in an environment where actionable insights from data are valued and needed, so you’ll be able to see your analysis turn into measurable results for our company and our borrowers.
 As a Data Scientist, you'll leverage technical and business acumen to become an expert in our models and how the models interact with the business. Identify potential problems or opportunities for improvement, communicate these issues to the team, stakeholders and suggest solutions. This involves self\-directed investigation into our business and its data, designing and preparing regular reports, as well as conducting ad hoc analyses for the Machine Learning team, company leadership, and external business partners. Collaborating with ML scientists, engineers, product managers, and growth marketers, your work will drive data\-informed decisions and measurable business impact.
**How You’ll Make An Impact**
* Build and refine metrics for model performance and help understand uncertainty around model performance.
* Conduct in\-depth data analyses to uncover growth opportunities and inform pricing strategy.
* Collaborate with engineers and analysts to build scalable data pipelines that enable efficient data access.
* Partner with cross\-functional teams (ML scientists, engineers, product managers, and growth marketers) to align on priorities and drive measurable business impact.
* Develop dashboards and reporting tools to monitor key metrics and track performance.
**Minimum Qualifications**
* Advanced degree in Statistics, Mathematics, Economics, Finance, or a related quantitative field.
* 2\+ years of experience in data science, analytics, or related fields.
* Strong understanding of statistical, probability, and machine learning theory.
* Strong proficiency in SQL for querying and analyzing large datasets.
* Experience with Python and data analysis libraries.
* Proven ability to translate complex data insights into business impact and strategic recommendations.
**Preferred Qualifications**
* Strong critical thinking skills and ability to translate general problem statements into actionable solutions.
* Knowledge of statistical methods for measuring uncertainty (e.g., Bayes, Frequentist approaches).
* Experience collaborating with cross\-functional teams including ML scientists, engineers, and product partners.
* Experience in building visualizations and maintaining Dashboards (Plotly or Matplotlib) to track model performance
* Serving as an expert in the areas of experimental testing, Causal Inference, A/B testing or Hypothesis testing
**Position location** 
 This role is available in the following locations: Remote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$149,800—$207,000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29">
      <c r="A29" t="inlineStr">
        <is>
          <t>li-4309694825</t>
        </is>
      </c>
      <c r="B29" t="inlineStr">
        <is>
          <t>Data Scientist</t>
        </is>
      </c>
      <c r="C29" t="inlineStr">
        <is>
          <t>DataAnnotation</t>
        </is>
      </c>
      <c r="D29" t="inlineStr">
        <is>
          <t>linkedin</t>
        </is>
      </c>
      <c r="E29" t="inlineStr"/>
      <c r="F29" t="inlineStr"/>
      <c r="G29" t="inlineStr">
        <is>
          <t>West Virginia, United States</t>
        </is>
      </c>
      <c r="H29" t="inlineStr"/>
      <c r="I29"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0">
      <c r="A30" t="inlineStr">
        <is>
          <t>li-4309697442</t>
        </is>
      </c>
      <c r="B30" t="inlineStr">
        <is>
          <t>Data Scientist</t>
        </is>
      </c>
      <c r="C30" t="inlineStr">
        <is>
          <t>DataAnnotation</t>
        </is>
      </c>
      <c r="D30" t="inlineStr">
        <is>
          <t>linkedin</t>
        </is>
      </c>
      <c r="E30" t="inlineStr"/>
      <c r="F30" t="inlineStr"/>
      <c r="G30" t="inlineStr">
        <is>
          <t>South Carolina, United States</t>
        </is>
      </c>
      <c r="H30" t="inlineStr"/>
      <c r="I3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1">
      <c r="A31" t="inlineStr">
        <is>
          <t>li-4309806169</t>
        </is>
      </c>
      <c r="B31" t="inlineStr">
        <is>
          <t>Data Scientist</t>
        </is>
      </c>
      <c r="C31" t="inlineStr">
        <is>
          <t>DataAnnotation</t>
        </is>
      </c>
      <c r="D31" t="inlineStr">
        <is>
          <t>linkedin</t>
        </is>
      </c>
      <c r="E31" t="inlineStr"/>
      <c r="F31" t="inlineStr"/>
      <c r="G31" t="inlineStr">
        <is>
          <t>Louisiana, United States</t>
        </is>
      </c>
      <c r="H31" t="inlineStr"/>
      <c r="I31"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2">
      <c r="A32" t="inlineStr">
        <is>
          <t>li-4309699252</t>
        </is>
      </c>
      <c r="B32" t="inlineStr">
        <is>
          <t>Data Scientist</t>
        </is>
      </c>
      <c r="C32" t="inlineStr">
        <is>
          <t>DataAnnotation</t>
        </is>
      </c>
      <c r="D32" t="inlineStr">
        <is>
          <t>linkedin</t>
        </is>
      </c>
      <c r="E32" t="inlineStr"/>
      <c r="F32" t="inlineStr"/>
      <c r="G32" t="inlineStr">
        <is>
          <t>Missouri, United States</t>
        </is>
      </c>
      <c r="H32" t="inlineStr"/>
      <c r="I32"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3">
      <c r="A33" t="inlineStr">
        <is>
          <t>li-4309805060</t>
        </is>
      </c>
      <c r="B33" t="inlineStr">
        <is>
          <t>Data Scientist</t>
        </is>
      </c>
      <c r="C33" t="inlineStr">
        <is>
          <t>DataAnnotation</t>
        </is>
      </c>
      <c r="D33" t="inlineStr">
        <is>
          <t>linkedin</t>
        </is>
      </c>
      <c r="E33" t="inlineStr"/>
      <c r="F33" t="inlineStr"/>
      <c r="G33" t="inlineStr">
        <is>
          <t>Montana, United States</t>
        </is>
      </c>
      <c r="H33" t="inlineStr"/>
      <c r="I33"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4">
      <c r="A34" t="inlineStr">
        <is>
          <t>li-4309812000</t>
        </is>
      </c>
      <c r="B34" t="inlineStr">
        <is>
          <t>Data Scientist</t>
        </is>
      </c>
      <c r="C34" t="inlineStr">
        <is>
          <t>DataAnnotation</t>
        </is>
      </c>
      <c r="D34" t="inlineStr">
        <is>
          <t>linkedin</t>
        </is>
      </c>
      <c r="E34" t="inlineStr"/>
      <c r="F34" t="inlineStr"/>
      <c r="G34" t="inlineStr">
        <is>
          <t>Mississippi, United States</t>
        </is>
      </c>
      <c r="H34" t="inlineStr"/>
      <c r="I34"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5">
      <c r="A35" t="inlineStr">
        <is>
          <t>li-4309697588</t>
        </is>
      </c>
      <c r="B35" t="inlineStr">
        <is>
          <t>Data Scientist</t>
        </is>
      </c>
      <c r="C35" t="inlineStr">
        <is>
          <t>DataAnnotation</t>
        </is>
      </c>
      <c r="D35" t="inlineStr">
        <is>
          <t>linkedin</t>
        </is>
      </c>
      <c r="E35" t="inlineStr"/>
      <c r="F35" t="inlineStr"/>
      <c r="G35" t="inlineStr">
        <is>
          <t>Tennessee, United States</t>
        </is>
      </c>
      <c r="H35" t="inlineStr"/>
      <c r="I35"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6">
      <c r="A36" t="inlineStr">
        <is>
          <t>li-4309688932</t>
        </is>
      </c>
      <c r="B36" t="inlineStr">
        <is>
          <t>Data Scientist</t>
        </is>
      </c>
      <c r="C36" t="inlineStr">
        <is>
          <t>DataAnnotation</t>
        </is>
      </c>
      <c r="D36" t="inlineStr">
        <is>
          <t>linkedin</t>
        </is>
      </c>
      <c r="E36" t="inlineStr"/>
      <c r="F36" t="inlineStr"/>
      <c r="G36" t="inlineStr">
        <is>
          <t>Utah, United States</t>
        </is>
      </c>
      <c r="H36" t="inlineStr"/>
      <c r="I36"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7">
      <c r="A37" t="inlineStr">
        <is>
          <t>li-4309689936</t>
        </is>
      </c>
      <c r="B37" t="inlineStr">
        <is>
          <t>Data Scientist</t>
        </is>
      </c>
      <c r="C37" t="inlineStr">
        <is>
          <t>DataAnnotation</t>
        </is>
      </c>
      <c r="D37" t="inlineStr">
        <is>
          <t>linkedin</t>
        </is>
      </c>
      <c r="E37" t="inlineStr"/>
      <c r="F37" t="inlineStr"/>
      <c r="G37" t="inlineStr">
        <is>
          <t>Maine, United States</t>
        </is>
      </c>
      <c r="H37" t="inlineStr"/>
      <c r="I37" t="inlineStr">
        <is>
          <t>We are looking for a Data Scientist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8">
      <c r="A38" t="inlineStr">
        <is>
          <t>li-4309686953</t>
        </is>
      </c>
      <c r="B38" t="inlineStr">
        <is>
          <t>Data Scientist</t>
        </is>
      </c>
      <c r="C38" t="inlineStr">
        <is>
          <t>DataAnnotation</t>
        </is>
      </c>
      <c r="D38" t="inlineStr">
        <is>
          <t>linkedin</t>
        </is>
      </c>
      <c r="E38" t="inlineStr"/>
      <c r="F38" t="inlineStr"/>
      <c r="G38" t="inlineStr">
        <is>
          <t>Arkansas, United States</t>
        </is>
      </c>
      <c r="H38" t="inlineStr"/>
      <c r="I38"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39">
      <c r="A39" t="inlineStr">
        <is>
          <t>li-4342793001</t>
        </is>
      </c>
      <c r="B39" t="inlineStr">
        <is>
          <t>Data Scientist (Remote)</t>
        </is>
      </c>
      <c r="C39" t="inlineStr">
        <is>
          <t>Inspira Financial</t>
        </is>
      </c>
      <c r="D39" t="inlineStr">
        <is>
          <t>linkedin</t>
        </is>
      </c>
      <c r="E39" t="inlineStr"/>
      <c r="F39" t="inlineStr"/>
      <c r="G39" t="inlineStr">
        <is>
          <t>Oak Brook, IL</t>
        </is>
      </c>
      <c r="H39" t="inlineStr"/>
      <c r="I39"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Inspira is seeking highly skilled and intellectually curious Data Scientist to join our dynamic Data Science \&amp; Analytics Organization. The role is central to driving data informed decision\-making across the organization by developing predictive models, uncovering insights and building scalable analytic solutions.
 The ideal candidate will possess a strong foundation in statistical modeling, machine learning, and data engineering, along with the ability to communicate complex findings in a clear and actionable manner to both technical and non\-technical stakeholders.
**Duties \&amp; Responsibilities**
* Develop and deploy predictive models and machine learning algorithms to solve business problems and optimize performance
* Conduct exploratory analysis to identify trends, patterns and opportunities
* Collaborate with cross\-functional teams to define business questions and translate them into analytical frameworks
* Build and maintain data pipelines and ensure data quality, integrity, and accessibility
* Design and deliver visualizations and dashboards that communicate insights effectively
* Apply statistical techniques to test hypotheses validate model performance
* Document methodologies, code and findings to ensure transparency and reproducibility
**Preferred Qualifications**
* Bachelors degree in Data Science, Statistics, Mathematics or related field (Masters degree preferred)
* 3 – 5\+ years of experience in data science or advanced analytics role
* Proficiency in programming languages such as Python, SQL and R
* Proficiency with statistical modeling and machine learning
* Familiarity with cloud data platforms (Snowflake, Azure)
* Experience with data visualization tools (Tableau, Looker)
* Experience with Docker Containers
* Excellent communication and storytelling skills
* Experience with MLOps, model deployment, and version control (Git) \[preferred]
* Knowledge of natural language processing (NLP) or deep learning techniques
* Exposure to semantic layer design and data governance frameworks
**Pay Range**
 $92,000\-$102,000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40">
      <c r="A40" t="inlineStr">
        <is>
          <t>li-4309689869</t>
        </is>
      </c>
      <c r="B40" t="inlineStr">
        <is>
          <t>Data Scientist</t>
        </is>
      </c>
      <c r="C40" t="inlineStr">
        <is>
          <t>DataAnnotation</t>
        </is>
      </c>
      <c r="D40" t="inlineStr">
        <is>
          <t>linkedin</t>
        </is>
      </c>
      <c r="E40" t="inlineStr"/>
      <c r="F40" t="inlineStr"/>
      <c r="G40" t="inlineStr">
        <is>
          <t>Kentucky, United States</t>
        </is>
      </c>
      <c r="H40" t="inlineStr"/>
      <c r="I40" t="inlineStr">
        <is>
          <t>We are looking for a Data Scientist to join our team to train AI models. You will measure the progress of these AI chatbots, evaluate their logic, and solve problems to improve the quality of each model.
 In this role you will need to hold an expert understanding of data analysis. Other related fields include, but are not limited to: Applied skills in Statistics and/or Computer Science.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writing and editing tasks and evaluate their outputs
* Evaluate the quality produced by AI models for correctness and performance
**Qualifications**
* Fluency in English (native or bilingual level)
* Detail\-oriented
* Demonstrated proficiency in related technical, statistical, and mathematical skills
*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\#math</t>
        </is>
      </c>
    </row>
    <row r="41">
      <c r="A41" t="inlineStr">
        <is>
          <t>li-4346741162</t>
        </is>
      </c>
      <c r="B41" t="inlineStr">
        <is>
          <t>Data Scientist</t>
        </is>
      </c>
      <c r="C41" t="inlineStr">
        <is>
          <t>Govini</t>
        </is>
      </c>
      <c r="D41" t="inlineStr">
        <is>
          <t>linkedin</t>
        </is>
      </c>
      <c r="E41" t="inlineStr"/>
      <c r="F41" t="inlineStr"/>
      <c r="G41" t="inlineStr">
        <is>
          <t>Pittsburgh, PA</t>
        </is>
      </c>
      <c r="H41" t="inlineStr"/>
      <c r="I41"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inquisitive data scientist to join our team and work with our various datasets to find connections, knowledge, and potential issues in order to help our government clients make more informed decisions. Your role on the Data Science team will be primarily focused on our large datasets, and you will design and implement scalable statistical systems based on your analysis. You will have the opportunity to expand and grow data\-driven research across Govini, and lead new areas to apply advanced analytics to drive business results. As part of our team, you must be a data nerd with a strong understanding of the various fundamentals of data science and analysis and know how to bring data to life.
 In order to do this job well, you must be a highly organized problem\-solver and possess excellent oral and written communication skills. You are independent, driven, and motivated to jump in and roll up your sleeves to get the job done. You lead by influence and motivation.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We need a creative, out\-of\-the\-box thinker who shares our passion and obsession with quality.
 This role is a full\-time position located out of our office in Pittsburgh, PA.
 This role may require up to 25% travel.
 Scope of Responsibilities
* Design experiments, test hypotheses, and build models for advanced data analysis and complex algorithms
* Apply advanced statistical and predictive modeling techniques to build, maintain, and improve multiple real\-time decision systems
* Make strategic recommendations on data collection, integration, and retention requirements, incorporating business requirements and knowledge of data industry best practices
* Model and frame business scenarios that are meaningful and which impact critical processes and decisions; transform, standardize, and integrate datasets for client use cases
* Convert custom, complex and manual client data analysis tasks into repeatable, configurable processes for consistent and scalable use within the Govini SaaS platform
* Optimize processes for maximum speed, performance, and accuracy; craft clean, testable, and maintainable code
* Partner with internal Govini business analysts and external client teams to seek out the best solutions regarding data\-driven problem solving
* Participate in end\-to\-end software development, on an agile team in a scrum process, collaborating closely with fellow software, machine learning, data, and QA engineers
**Qualifications**
* U.S. Citizenship is required
* Bachelor's degree in Computer Science, Computer Engineering, Mathematics, Statistics, or a related field; Master’s or PhD preferred
**Required Skills**
* Minimum 3 years of hands\-on data science experience
* Minimum 3 years deriving key insights and KPIs for external and internal customers
* Regular development experience in Python
* Prior hands\-on experience working with data\-driven analytics
* Proven ability to develop solutions to loosely defined business problems by leveraging pattern detection over large datasets
* Proficiency in statistical analysis, quantitative analytics, forecasting/predictive analytics, multivariate testing, and optimization algorithms
* Experience using machine learning algorithms (e.g., gradient\-boosted machines, neural networks)
* Ability to work independently with little supervision
* Strong communication and interpersonal skills
* A burning desire to work in a challenging fast\-paced environment
**Desired Skills**
* Current possession of a U.S. security clearance, or the ability to obtain one with our sponsorship
* Experience in or exposure to the nuances of a startup or other entrepreneurial environment
* Experience working on agile/scrum teams
* Experience building datasets from common database tools using flavors of SQL
* Expertise with automation and streaming data
* Experience with major NLP frameworks (spaCy, fasttext, BERT)Familiarity with big data frameworks (e.g., HDFS, Spark) and AWS
* Familiarity with Git source control management
* Experience working in a product organization
* Experience analyzing financial, supply chain/logistics, or intellectual property data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42">
      <c r="A42" t="inlineStr">
        <is>
          <t>li-4354603487</t>
        </is>
      </c>
      <c r="B42" t="inlineStr">
        <is>
          <t>Data Scientist</t>
        </is>
      </c>
      <c r="C42" t="inlineStr">
        <is>
          <t>STAND 8 Technology Consulting</t>
        </is>
      </c>
      <c r="D42" t="inlineStr">
        <is>
          <t>linkedin</t>
        </is>
      </c>
      <c r="E42" t="inlineStr"/>
      <c r="F42" t="inlineStr"/>
      <c r="G42" t="inlineStr">
        <is>
          <t>Long Beach, CA</t>
        </is>
      </c>
      <c r="H42" t="inlineStr"/>
      <c r="I42"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43">
      <c r="A43" t="inlineStr">
        <is>
          <t>li-4277931692</t>
        </is>
      </c>
      <c r="B43" t="inlineStr">
        <is>
          <t>Data Scientist, People Analytics</t>
        </is>
      </c>
      <c r="C43" t="inlineStr">
        <is>
          <t>Roblox</t>
        </is>
      </c>
      <c r="D43" t="inlineStr">
        <is>
          <t>linkedin</t>
        </is>
      </c>
      <c r="E43" t="inlineStr"/>
      <c r="F43" t="inlineStr"/>
      <c r="G43" t="inlineStr">
        <is>
          <t>San Mateo, CA</t>
        </is>
      </c>
      <c r="H43" t="inlineStr"/>
      <c r="I4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People Science \&amp; Analytics team at Roblox partners with our People, Places, \&amp; Systems organization to apply data science, applied statistics, and analytics to our internal operations. We deliver insights and solutions that shape Roblox's approach to leadership, people development, and organizational culture. As a Data Scientist in the People Analytics pod, you will join this team to solve complex challenges using qualitative and quantitative data, driving strategic decisions across the company. We are responsible for developing and managing Roblox’s HR data warehouse, analytical tools, and reports which support data\-driven HR initiatives and are used by internal stakeholders throughout the company.
**You Will**
* Serve as an analytics consultant to key partners in HR, Talent Acquisition, and Finance where you will apply your expertise in data science, applied statistics and analytics engineering to build tooling and identify insights that drive strategic and operational improvement \- domains located below.
* Conduct end\-to\-end analyses on large, complex datasets to diagnose operational challenges, tell a compelling story, and provide actionable recommendations to executive leadership.
* Design, build, and maintain data products and automated workflows that scale our team's analytical offerings and support our partners' long\-term needs.
* Uphold a high standard for data integrity and analytical rigor, working through ambiguity to produce clear, defensible insights.
**You Have**
* A MBA / Master's degree, PhD, or equivalent experience in Data Science Statistics, Economics, Operations Research, Computer Science, Applied Math, Physics, Engineering, or other quantitative fields.
* 4\+ years of professional experience with SQL.
* 4\+ years of statistical programming in R/Python and/or analytics engineering experience in Python
* 4\+ years of professional experience with BI Tools (Tableau, Looker, Hex, etc.)
* Proven ability to execute complex and cross functional projects from ideation through completion.
* Strong interpersonal skills and the ability to work through ambiguity to delivery on projects that have driven organizational change.
* Proven ability to explain technical concepts to non\-technical audiences and discuss appropriate tradeoffs.
* Highly self\-driven and intellectually curious with a growth mindset focused on maximizing organizational impact.
* A consistent track record to learn quickly and works well both independently as well as in a team setting.
**At Least Two Or More Of The Following**
* 2\+ years of experience with enterprise HR/People data systems (e.g., Greenhouse, Workday, Qualtrics) and/or experience working with non\-technical operations teams.
* 2\+ years of experience in causal inference, experimental design, and statistical modeling.
* 2\+ years of experience with data orchestration and transformation tools (e.g., Airflow, dbt) and deploying data pipelines.
**People Analytics Domains at Roblox**
* Talent Acquisition
* Employee Performance Programs
* Workforce Planning
* People Data Governance
* Facilities and Office Planning
* HR Operations
* Partnering with Internal Tooling to build people products
* Building our People Datalake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$184,760—$242,180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4">
      <c r="A44" t="inlineStr">
        <is>
          <t>li-4365084613</t>
        </is>
      </c>
      <c r="B44" t="inlineStr">
        <is>
          <t>Data Scientist II</t>
        </is>
      </c>
      <c r="C44" t="inlineStr">
        <is>
          <t>JPS Tech Solutions</t>
        </is>
      </c>
      <c r="D44" t="inlineStr">
        <is>
          <t>linkedin</t>
        </is>
      </c>
      <c r="E44" t="inlineStr"/>
      <c r="F44" t="inlineStr"/>
      <c r="G44" t="inlineStr">
        <is>
          <t>North Chicago, IL</t>
        </is>
      </c>
      <c r="H44" t="inlineStr"/>
      <c r="I44" t="inlineStr">
        <is>
          <t>**Job Category:** 
 Data Scientist
**Job Type:** 
 Onsite
**Job Location:** 
 Illinois North Chicago
**Compensation:** 
 Depends on Experience
**W2:** 
 W2\-Contract Only; Kindly note that applications on a C2C basis will not be considered for this role.
**Job Description**
**Job Description:**
 We are seeking a data scientist to apply advanced analytics and AI methods on EHR phenotyping data from clinicogenomic data sources such as UK Biobank (UKBB) and Alliance for Genomic Discovery (AGD) datasets, driving discovery through large\-scale biobank analyses. The candidate will extract patient cohorts from the EHR data in order for Genome\-wide Association Studies (GWAS) and related applications to extract actionable insights from AbbVie’s rich biobank data resources. Responsibilities: UKBB, AGD data and other RWD Required Skill 1: Data curation and mining using Linux command line Required Skill 2: Advanced analytics Required Skill 3: Advanced programming skills with writing reusable scripts (R, Python, Spark or SQL) Required Skill 4: Learn existing automated EHR\-phenotyping using large longitudinal UK Biobank and AGD data Required Skill 5: strong communication and teamwork What years of experience, education, and/or certification is required? 2\-3 (PhD), or 5 years (MSc) What is a nice to have (but not required) regarding skills, requirements, experience, education, or certification? Biostatistics, Genetics, experience with latest AI methodologies What is the environment that this person will be working in (i.e. group setting vs individual role)? Individual role within a collaborative team Other notable details about the environment from the hiring manager about this role? – advance the state\-of\-art Phenomics Data Science initiatives using large\-scale real\-world data What positions/background experience do you feel are successful in this role. – experienced data scientist/data engineers with interest in driving new mathematical solutions and innovation in line with business strategy and rapidly changing data streams
 Apply Online
 Your Name \*
 Your Phone Number \*
 Your Email Address \*
 Job id \*
 JPS\-5184 / Data Scientist II
 What is your current U.S. visa or immigration status? \*
 Select
 Where are you currently located at? \*
 W2 or C2C \*
 Select
 How many years of total experience do you have? \*
 How many years of relevant experience you have? \*
 Do you require H1B sponsorship? \*
 Select
 Upload Resume \*
 Choose a file
 No file chosen.
 Facebook X LinkedIn WhatsApp</t>
        </is>
      </c>
    </row>
    <row r="45">
      <c r="A45" t="inlineStr">
        <is>
          <t>li-4362068096</t>
        </is>
      </c>
      <c r="B45" t="inlineStr">
        <is>
          <t>Machine Learning &amp; Algorithms Data Scientist</t>
        </is>
      </c>
      <c r="C45" t="inlineStr">
        <is>
          <t>MetaOption LLC</t>
        </is>
      </c>
      <c r="D45" t="inlineStr">
        <is>
          <t>linkedin</t>
        </is>
      </c>
      <c r="E45" t="inlineStr"/>
      <c r="F45" t="inlineStr"/>
      <c r="G45" t="inlineStr">
        <is>
          <t>Oakland, CA</t>
        </is>
      </c>
      <c r="H45" t="inlineStr"/>
      <c r="I45" t="inlineStr">
        <is>
          <t>* LOCAL CANDIDATES ONLY\* The role is mostly remote with some instances to collaborate in person. Roughly 1 or 2 times monthly in office. 5% \- 10 % travel per month
**Interview process:** 
 Panel interview (1–2 interviewers), \~1 hour, in\-person only (no virtual interviews).
**Top Things**
* Operational experience in building and tuning ML models (regression, random forest, XGBoost, etc.).
* Python proficiency; experience with Jupyter notebooks.
* Experience with Foundry (for model operationalization and version control) is desirable but not mandatory.
* Hands\-on experience building and deploying ML models for real world applications.
* Understanding of model evaluation, optimization, and feature engineering
* Mathematics \&amp; Statistics
* Solid foundation in probability, linear algebra, calculus, and statistical inference.
* Programming Proficiency
* Strong command of languages like Python, R, and SQL for data manipulation and model development.
* Presentation Skills
* Provide insights in clear and concise manner for upper management review through various mediums such as graphics, power point presentations, dashboards, etc
* Domain Knowledge (Additional Desired Skills)
* Understanding of Utility data, has industry context, project management methodologies, Foundry experience.
**Position Summary**
 We are seeking an experienced Data Scientist who will provide strong execution and delivery of data science. Working as a part of the Electric Operations Excellence Team, this Data Scientist will translate business needs into advanced analytics and machine learning models. The successful candidate will be responsible for model selection and identification of appropriate training data sets; building, training, and evaluating models; and delivering results to the business on a regular cadence. This role will work alongside a product owner, technical lead, and with internal stakeholders, process owners to support delivery of high\-value analytics machine learning models to derive key insights for execution of the work within Electric Operations.
**Position Responsibilities**
* Leads development of high complexity models and training sets
* Provides hands\-on execution and implementation of data science models
* Translates business analysis needs into well\-defined data science problems, and selecting appropriate models and algorithms and communicates model evaluation and implications of results back to stakeholders
* Recognizes and prioritizes the most important work related to data science models to achieve highest operational impact for analytics in the business
* Balances tradeoffs among analytics value, model development methods and design and technologies used to implement data science models with a bias toward action
* Performs collaborative work on data science problems and mentor junior data scientists
* Creates shared process models, business objects, activity diagrams and process documentation to effectively articulate multiple views of the business solutions that support technical architecture.
* Manages development of quantitative models and tools.
* Collaborates with leaders, other LOBs, and business partners to work on issues, projects or activities.
* Develops new or revises complex models to predict business demand trends, and volume and expenditures forecasts capacity analysis, and various other metrics to identify potential opportunities.
* Assesses business implications associated with modeling assumptions, inputs, methodologies, technical implementation, analytic procedures and processes, and advanced data analysis.
* Partners with leaders to drive high performance in their lines of business.
* Develop deep understanding of business drivers and financial levers to provide strategic decision support.
* Oversees resolution of complex projects and programs.
* Develops and maintains up\-to\-date detailed project schedules and work plans.
* Performs analysis on complex data models requiring customized reports and data and presents recommendations.
 Bachelor's Degree in Econometrics, Economics, Engineering, Mathematics, Applied Sciences, Statistics or job\-related discipline or equivalent experience
 Job\-related experience, 8 years, OR Master
* Degree and job\-related experience, 6 years, OR Doctorate Degree and job\-related experience, 3 years. Experience in data modeling, 5yrs
**Desired Education / Skills**
 PhD in engineering or a related field (computer science, natural sciences, mathematics)
 Experience with Python, R, Scala, SQL
 Experience developing solutions with Pandas/Scikit\-learn, Spark or comparable technologies
**Experience Data Science Notebooks (Jupyter, Zeppelin Or Other)**
 Experience with AWS, Azure, cloud computing technologies
 Scrum team experience
 Energy industry experience
 Experience designing efficient data science workflows and database architecture for data science purposes
 Experience with forecasting, Bayesian networks, and graph analytics
 Strong statistics experience
 Experience with software development methodologies and software engineering principles
 Knowledge of program management theories, concepts, methods, best practices, and techniques as needed to perform at the job level
 Knowledge of relevant programming languages \- for example Visual Basic, Ladder Logic,
 Programmable Logic Controller, C, SharePoint, HTML, Java, Adobe \- as needed to perform at the job level
 Competency in knowing the most effective and efficient processes to get things done, with a focus on continuous improvement
 Knowledge of principles, techniques, and procedures used for production and design of technology\-based equipment and systems as needed to perform at the job level
 Knowledge of statistical theories, concepts, methods, best practices, and analyses as needed to perform at the job level
 Ability to develop reports, models, and simulations as needed to perform at the job level
 Competency in developing and delivering multi\-mode communications that convey a clear understanding of the unique needs of different audiences
 Knowledge of data model design philosophies and methodologies for data warehouse and OLTP systems
 Powered by JazzHR</t>
        </is>
      </c>
    </row>
    <row r="46">
      <c r="A46" t="inlineStr">
        <is>
          <t>li-4336646254</t>
        </is>
      </c>
      <c r="B46" t="inlineStr">
        <is>
          <t>Senior Forward-Deployed Data Scientist, AI Deployment</t>
        </is>
      </c>
      <c r="C46" t="inlineStr">
        <is>
          <t>Braze</t>
        </is>
      </c>
      <c r="D46" t="inlineStr">
        <is>
          <t>linkedin</t>
        </is>
      </c>
      <c r="E46" t="inlineStr"/>
      <c r="F46" t="inlineStr"/>
      <c r="G46" t="inlineStr">
        <is>
          <t>San Francisco, CA</t>
        </is>
      </c>
      <c r="H46" t="inlineStr"/>
      <c r="I46"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47">
      <c r="A47" t="inlineStr">
        <is>
          <t>li-4263515247</t>
        </is>
      </c>
      <c r="B47" t="inlineStr">
        <is>
          <t>Senior Data Scientist</t>
        </is>
      </c>
      <c r="C47" t="inlineStr">
        <is>
          <t>Copeland</t>
        </is>
      </c>
      <c r="D47" t="inlineStr">
        <is>
          <t>linkedin</t>
        </is>
      </c>
      <c r="E47" t="inlineStr"/>
      <c r="F47" t="inlineStr"/>
      <c r="G47" t="inlineStr">
        <is>
          <t>St Louis, MO</t>
        </is>
      </c>
      <c r="H47" t="inlineStr"/>
      <c r="I47"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**As a Senior Data Scientist, You Will**
* Implement solutions to solve sophisticated engineering problems using machine learning, econometrics and operations research techniques
* Build customer\-focused analytics with data scientist peers
* Discover opportunities to improve systems, processes and enterprises through data analytics and automation
* Generate reports for decision\-making using data visualization tools
* Establish and maintain collaboration with other internal teams to apply cloud and edge\-computing capabilities for production and proprietary algorithms
* Develop in\-depth business and domain understanding
* Translate analytics techniques published in peer\-review journals and conference proceedings into practical solutions for challenges at hand
**Required Education, Experience, \&amp; Skills**
* Strong interdisciplinary background, combining data science expertise with a solid grounding in traditional engineering fields such as Chemical, Mechanical, Aerospace, or related disciplines.
* Bachelor Chemical Engineering, Mechanical Engineering, Electronic / Electrical Engineering, Aerospace Engineering, Mathematics, Data Science, Statistics or other relevant degree
* 3\+ years of relevant experience
* Experience in data wrangling and modeling in Python or similar language and collaborate using Git
* Proficient in verifying raw data integrity through automation and classic extract\-transform\-load (ETL) techniques
* Proficient in robust statistics, hypothesis testing, experimental design
* Ability to work virtually with a global team
* Ability to translate ambiguous business problem into actionable analytics and data science tasks
**Preferred Education, Experience, \&amp; Skills**
* 1\+ years of practical experience in predictive maintenance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Proven experience in applying signal process (time and frequency domain) for feature engineering
* Experience in applying optimal control theory and reinforcement learning (RL)
* Proven experience as the technical lead for project(s) or research or acted as a change agent for transformation initiatives
* Experience with Docker, Azure DevOps, Agile sprints
* Ability and interest in translating highly sophisticated and abstract concepts to internal and external team members with minimum analytics knowledge
**Flexible Work Schedule – Remote Work Option and Core Hours**
 This role has the flexibility of a remote work option up to three days a week and a core hour schedule. You can choose to flex your start and stop times given you are working during the core hours of 9:00am \- 3:00pm. Our teams work together to ensure our chosen work schedules enable our creativity and productivity as we serve the needs of our customers.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48">
      <c r="A48" t="inlineStr">
        <is>
          <t>li-4263518015</t>
        </is>
      </c>
      <c r="B48" t="inlineStr">
        <is>
          <t>Senior Data Scientist</t>
        </is>
      </c>
      <c r="C48" t="inlineStr">
        <is>
          <t>Copeland</t>
        </is>
      </c>
      <c r="D48" t="inlineStr">
        <is>
          <t>linkedin</t>
        </is>
      </c>
      <c r="E48" t="inlineStr"/>
      <c r="F48" t="inlineStr"/>
      <c r="G48" t="inlineStr">
        <is>
          <t>Kennesaw, GA</t>
        </is>
      </c>
      <c r="H48" t="inlineStr"/>
      <c r="I48"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**As a Senior Data Scientist, You Will**
* Implement solutions to solve sophisticated engineering problems using machine learning, econometrics and operations research techniques
* Build customer\-focused analytics with data scientist peers
* Discover opportunities to improve systems, processes and enterprises through data analytics and automation
* Generate reports for decision\-making using data visualization tools
* Establish and maintain collaboration with other internal teams to apply cloud and edge\-computing capabilities for production and proprietary algorithms
* Develop in\-depth business and domain understanding
* Translate analytics techniques published in peer\-review journals and conference proceedings into practical solutions for challenges at hand
**Required Education, Experience, \&amp; Skills**
* Strong interdisciplinary background, combining data science expertise with a solid grounding in traditional engineering fields such as Chemical, Mechanical, Aerospace, or related disciplines.
* Bachelor Chemical Engineering, Mechanical Engineering, Electronic / Electrical Engineering, Aerospace Engineering, Mathematics, Data Science, Statistics or other relevant degree
* 3\+ years of relevant experience
* Experience in data wrangling and modeling in Python or similar language and collaborate using Git
* Proficient in verifying raw data integrity through automation and classic extract\-transform\-load (ETL) techniques
* Proficient in robust statistics, hypothesis testing, experimental design
* Ability to work virtually with a global team
* Ability to translate ambiguous business problem into actionable analytics and data science tasks
**Preferred Education, Experience, \&amp; Skills**
* 1\+ years of practical experience in predictive maintenance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Proven experience in applying signal process (time and frequency domain) for feature engineering
* Experience in applying optimal control theory and reinforcement learning (RL)
* Proven experience as the technical lead for project(s) or research or acted as a change agent for transformation initiatives
* Experience with Docker, Azure DevOps, Agile sprints
* Ability and interest in translating highly sophisticated and abstract concepts to internal and external team members with minimum analytics knowledge
**Flexible Work Schedule – Remote Work Option and Core Hours**
 This role has the flexibility of a remote work option up to three days a week and a core hour schedule. You can choose to flex your start and stop times given you are working during the core hours of 9:00am \- 3:00pm. Our teams work together to ensure our chosen work schedules enable our creativity and productivity as we serve the needs of our customers.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tuition reimbursement, and more. We provide employees with flexible time off plans, including paid parental leave (maternal and paternal), vacation and holiday leave.
 Together, we have the opportunity – and the power – to continue to revolutionize the technology behind air conditioning, heating and refrigeration, and cultivate a better future. Learn more about us and how you can join our team!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49">
      <c r="A49" t="inlineStr">
        <is>
          <t>li-4326318003</t>
        </is>
      </c>
      <c r="B49" t="inlineStr">
        <is>
          <t>Field R&amp;D Lead Data Scientist - Industrial Focus</t>
        </is>
      </c>
      <c r="C49" t="inlineStr">
        <is>
          <t>Cloud Software Group</t>
        </is>
      </c>
      <c r="D49" t="inlineStr">
        <is>
          <t>linkedin</t>
        </is>
      </c>
      <c r="E49" t="inlineStr"/>
      <c r="F49" t="inlineStr"/>
      <c r="G49" t="inlineStr">
        <is>
          <t>Colorado, United States</t>
        </is>
      </c>
      <c r="H49" t="inlineStr"/>
      <c r="I49" t="inlineStr">
        <is>
          <t>**About Spotfire**
**Spotfire is a business unit of Cloud Software Group, one of the largest enterprise software companies in the world. Spotfire empowers businesses to their digital destinations by interconnecting everything in real time and providing visual data science for everyone, from business users to data scientists. Our more than 10,000 customers include:**
* Majority of the top 10 Energy companies in the world
* Majority of the top 10 Life Sciences companies in the world
* 7 of the world’s top 10 Manufacturing companies
* Several other major companies in banking, retail, and airlines
**We're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Field R\&amp;D team is a central part of the company strategy. The team focuses on applied innovation, customer needs, and the community of data scientists. A portion of the team’s creations will end up in our products to scale its impact. The team is responsible for enabling our client’s competitiveness by improving ROI from their investment in Spotfire.**
**Operating across several sectors, our Field R\&amp;D Data Scientists have helped improve the drilling operations of several energy companies, built solutions for reducing fraud in financial trading, worked with NASA medical teams, helped increase yields at some of the biggest semiconductor companies, and initiated changes in California traffic laws.**
**We are looking for a
 **Field R\&amp;D** 
 Lead
 **Data Scientist** 
 with experience in industry verticals such as Energy, Manufacturing, or similar to join our team. The right candidate is seeking an opportunity to deliver hands\-on prowess and thought leadership to grow our customer’s analytical capabilities with Spotfire. You will join a team of highly collaborative individuals as a key team member and play a significant role in developing our capabilities. You will lead field\-inspired R\&amp;D projects, represent the company at industry events and contribute to the active customer and partner community. You will participate in technical customer engagements by developing analytical deliverables using methods from exploratory analytics to machine learning, statistical modeling, and AI. You will see R\&amp;D projects through its inception, design, deployment, customer feedback, and publication.**
**Responsibilities**
**The position entails the following responsibilities:**
* Delve deep into energy, manufacturing, or similar types of analytical and data science challenges.
* Engage with customers through presales support and post\-sales success projects.
* Perform and guide R\&amp;D topics in the field of applied machine learning and AI.
* Example topics of research and projects include Large Language Models, digital twin, anomaly detection in time series, or mathematical modeling of manufacturing processes.
* Create re­usable data models, workflows and test suites in order to streamline project delivery.
* Provide input into product management and engineering for the product roadmap.
* Innovate in the areas of application and deployment of machine learning.
* Tool Kit Development: create demos and templates with data science libraries.
* Technical marketing: create white papers, blogs and content for the Spotfire user community.
* Represent the team as a speaker or instructor in industry events and external conferences.
* Participate in technical customer engagements through understanding Spotfire use cases, providing guidance, and building prototypes.
* Collaborate with stakeholders on specific industry knowledge, analytics use cases and customer stories related to data science or machine learning in the Energy sector
**Required Qualifications**
* 5\+ years of experience in advanced data analytics and delivery of demonstrations, projects, engagements or deployed software applications. Experience with applying advanced analytics such as machine learning and optimization techniques to large, complex and disparate data sources.
* 5\+ years of experience in applying analytics to industry verticals such as Energy, Manufacturing, or similar.
* Superior communication and storytelling skills with data. The ability to comfortably communicate with customers’ senior industry personnel, provide compelling presentations and demonstrations of analytics software, and the business value of analytics projects demonstrating domain knowledge in a key Industry such as Manufacturing, Energy, Telecommunications, Financial Services, Healthcare, or Retail.
* Capability to formulate a real\-world problem into a mathematical equivalent, propose various solutions, compare and contrast them, deploy the solution, validate the results, and present the results to technical and non\-technical stakeholders.
* 5\+ years of experience with Python or R and some knowledge of SQL. Some experience with other software environments e.g. Spotfire, Tableau, Qlikview, SPSS, KNIME, Azure, AWS and/or other data mining tools will be a plus.
* Excellent communication and collaboration skills, with the ability to work effectively in a team environment and communicate technical concepts to non\-technical stakeholders
* Strong problem\-solving skills, with the ability to identify key areas for improvement and develop data\-driven solutions to address them.
* A Master’s or higher degree in STEM (Computer Science, Statistics, Data Science, Engineering, Science, or related analytical field of study) with graduate classes in statistics and data mining.
**Desired Qualifications**
* Experience with other software components for data preparation and integration e.g. Data Virtualization and Big Data tools such as Snowflake or Databricks and/or further programming or scripting environments e.g. .Net, Java, IronPython, Javascript, C\+\+ is a plus.
* A PhD in STEM (Computer Science, Statistics, Data Science, Engineering, Science, or related analytical field of study) with graduate classes in statistics and data mining.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***Benefits may vary depending on the nature of your employment with Cloud Software Group and the country where you work. U.S. based employees are typically offered access to healthcare, life insurance and disability benefits, 401(k) plan and company match, among others.***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$172,114\-$258,172 CA generally ranges: $179,598\-$269,396 All other locations fall under our General State range: $149,665\-$224,497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50">
      <c r="A50" t="inlineStr">
        <is>
          <t>li-4326377521</t>
        </is>
      </c>
      <c r="B50" t="inlineStr">
        <is>
          <t>Field R&amp;D Senior Data Scientist - Industrial Focus</t>
        </is>
      </c>
      <c r="C50" t="inlineStr">
        <is>
          <t>Cloud Software Group</t>
        </is>
      </c>
      <c r="D50" t="inlineStr">
        <is>
          <t>linkedin</t>
        </is>
      </c>
      <c r="E50" t="inlineStr"/>
      <c r="F50" t="inlineStr"/>
      <c r="G50" t="inlineStr">
        <is>
          <t>Colorado, United States</t>
        </is>
      </c>
      <c r="H50" t="inlineStr"/>
      <c r="I50" t="inlineStr">
        <is>
          <t>**About Spotfire**
**Spotfire is a business unit of Cloud Software Group, one of the largest enterprise software companies in the world. Spotfire empowers businesses to their digital destinations by interconnecting everything in real time and providing visual data science for everyone, from business users to data scientists. Our more than 10,000 customers include:**
* Majority of the top 10 Energy companies in the world
* Majority of the top 10 Life Sciences companies in the world
* 7 of the world’s top 10 Manufacturing companies
* Several other major companies in banking, retail, and airlines
**We're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Field R\&amp;D team is a central part of the company strategy. The team focuses on applied innovation, customer needs, and the community of data scientists. A portion of the team’s creations will end up in our products to scale its impact. The team is responsible for enabling our client’s competitiveness by improving ROI from their investment in Spotfire.**
**Operating across several sectors, our Field R\&amp;D Data Scientists have helped improve the drilling operations of several energy companies, built solutions for reducing fraud in financial trading, worked with NASA medical teams, helped increase yields at some of the biggest semiconductor companies, and initiated changes in California traffic laws.**
**We are looking for a
 **Field R\&amp;D** 
 Senior
 **Data Scientist** 
 with experience in industry verticals such as Energy, Manufacturing, or similar to join our team. The right candidate is seeking an opportunity to deliver hands\-on prowess and thought leadership to grow our customer’s analytical capabilities with Spotfire. You will join a team of highly collaborative individuals as a key team member and play a significant role in developing our capabilities. You will lead field\-inspired R\&amp;D projects, represent the company at industry events and contribute to the active customer and partner community. You will participate in technical customer engagements by developing analytical deliverables using methods from exploratory analytics to machine learning, statistical modeling, and AI. You will see R\&amp;D projects through its inception, design, deployment, customer feedback, and publication.**
**Responsibilities**
**The position entails the following responsibilities:**
* Delve deep into energy, manufacturing, or similar types of analytical and data science challenges.
* Engage with customers through presales support and post\-sales success projects.
* Perform and guide R\&amp;D topics in the field of applied machine learning and AI.
* Example topics of research and projects include Large Language Models, digital twin, anomaly detection in time series, or mathematical modeling of manufacturing processes.
* Create re­usable data models, workflows and test suites in order to streamline project delivery.
* Provide input into product management and engineering for the product roadmap.
* Innovate in the areas of application and deployment of machine learning.
* Tool Kit Development: create demos and templates with data science libraries.
* Technical marketing: create white papers, blogs and content for the Spotfire user community.
* Represent the team as a speaker or instructor in industry events and external conferences.
* Participate in technical customer engagements through understanding Spotfire use cases, providing guidance, and building prototypes.
* Collaborate with stakeholders on specific industry knowledge, analytics use cases and customer stories related to data science or machine learning in the Energy sector
**Required Qualifications**
* 5\+ years of experience in advanced data analytics and delivery of demonstrations, projects, engagements or deployed software applications. Experience with applying advanced analytics such as machine learning and optimization techniques to large, complex and disparate data sources.
* 5\+ years of experience in applying analytics to industry verticals such as Energy, Manufacturing, or similar.
* Superior communication and storytelling skills with data. The ability to comfortably communicate with customers’ senior industry personnel, provide compelling presentations and demonstrations of analytics software, and the business value of analytics projects demonstrating domain knowledge in a key Industry such as Manufacturing, Energy, Telecommunications, Financial Services, Healthcare, or Retail.
* Capability to formulate a real\-world problem into a mathematical equivalent, propose various solutions, compare and contrast them, deploy the solution, validate the results, and present the results to technical and non\-technical stakeholders.
* 5\+ years of experience with Python or R and some knowledge of SQL. Some experience with other software environments e.g. Spotfire, Tableau, Qlikview, SPSS, KNIME, Azure, AWS and/or other data mining tools will be a plus.
* Excellent communication and collaboration skills, with the ability to work effectively in a team environment and communicate technical concepts to non\-technical stakeholders
* Strong problem\-solving skills, with the ability to identify key areas for improvement and develop data\-driven solutions to address them.
* A Master’s or higher degree in STEM (Computer Science, Statistics, Data Science, Engineering, Science, or related analytical field of study) with graduate classes in statistics and data mining.
**Desired Qualifications**
* Experience with other software components for data preparation and integration e.g. Data Virtualization and Big Data tools such as Snowflake or Databricks and/or further programming or scripting environments e.g. .Net, Java, IronPython, Javascript, C\+\+ is a plus.
* A PhD in STEM (Computer Science, Statistics, Data Science, Engineering, Science, or related analytical field of study) with graduate classes in statistics and data mining.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***Benefits may vary depending on the nature of your employment with Cloud Software Group and the country where you work. U.S. based employees are typically offered access to healthcare, life insurance and disability benefits, 401(k) plan and company match, among others.***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$142,692\-$214,038 CA generally ranges: $148,896\-$223,344 All other locations fall under our General State range: $124,080\-$186,120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51">
      <c r="A51" t="inlineStr">
        <is>
          <t>li-4346589534</t>
        </is>
      </c>
      <c r="B51" t="inlineStr">
        <is>
          <t>Senior Data Scientist, Google Cloud Platform (GCP)</t>
        </is>
      </c>
      <c r="C51" t="inlineStr">
        <is>
          <t>West Monroe</t>
        </is>
      </c>
      <c r="D51" t="inlineStr">
        <is>
          <t>linkedin</t>
        </is>
      </c>
      <c r="E51" t="inlineStr"/>
      <c r="F51" t="inlineStr"/>
      <c r="G51" t="inlineStr">
        <is>
          <t>New York, NY</t>
        </is>
      </c>
      <c r="H51" t="inlineStr"/>
      <c r="I51" t="inlineStr">
        <is>
          <t>**Are you ready to make an impact?**
 West Monroe is seeking a highly skilled and experienced
 **Senior Data Scientist** 
 to join our growing Data \&amp; Analytics team. This role will involve working closely with cross\-functional teams, including data engineers, analysts, and business stakeholders, to deliver actionable insights and scalable models that drive value.
**Key Responsibilities**
* Design, develop, and deploy machine learning models and advanced analytics solutions on GCP to solve business problems.
* Design, develop and deploy agentic models in GCP.
* Conduct exploratory data analysis (EDA) to uncover trends, patterns, and actionable insights.
* Build predictive, prescriptive, and descriptive models using tools like TensorFlow, BigQuery ML, AutoML, and Vertex AI.
* Evaluate model performance and optimize for accuracy, scalability, and interpretability.
* Utilize GCP services such as BigQuery, Cloud Storage, Dataflow, Cloud Functions, and Vertex AI to build end\-to\-end data science workflows.
* Design and implement scalable data pipelines in collaboration with data engineers using GCP\-native tools.
* Ensure solutions are secure, cost\-efficient, and aligned with best practices for cloud\-based data science.
* Partner with business stakeholders to understand their challenges and translate them into data science solutions.
* Communicate complex technical concepts to non\-technical audiences through clear visualizations, storytelling, and presentations.
* Mentor junior data scientists and collaborate with team members to promote knowledge sharing and innovation.
**Qualifications**
* Bachelor’s or Master’s degree in Data Science, Computer Science, Statistics, Mathematics, or a related field.
* 4\+ years of hands\-on experience in data science, machine learning, and advanced analytics.
* Strong expertise in Google Cloud Platform (GCP) services, including BigQuery, Vertex AI, Cloud Storage, and Dataflow.
* Proficiency in programming languages such as Python and SQL.
* Experience with machine learning frameworks (e.g., TensorFlow, PyTorch, Scikit\-learn).
* Solid understanding of statistical methods, data modeling, and algorithm development.
* Proven ability to deploy production\-ready models and monitor performance over time.
* Preferred GCP certifications (e.g., Professional Data Engineer, Professional Machine Learning Engineer).
* Experience with containerization (e.g., Docker, Kubernetes) and CI/CD pipelines for ML models.
* Familiarity with MLOps practices and tools for model deployment and monitoring.
* Knowledge of other cloud platforms (AWS, Azure) and their data science services.
 Based on pay transparency guidelines, the salary range for this role can vary based on your proximity to one of our West Monroe offices (see table below). Information on our competitive total rewards package, including our bonus structure and benefits is here. Individual salaries are determined by evaluating a variety of factors including geography, experience, skills, education, and internal equity.
 Employees (and their families) are covered by medical, dental, vision, and basic life insurance. Employees are able to enroll in our company’s 401k plan, purchase shares from our employee stock ownership program and be eligible to receive annual bonuses. Employees will also receive unlimited flexible time off and ten paid holidays throughout the calendar year. Eligibility for ten weeks of paid parental leave will also be available upon hire date.
 Seattle or Washington, D.C.
 $136,200—$160,200 USD
 Los Angeles
 $142,700—$167,900 USD
 New York City or San Francisco
 $149,200—$175,500 USD
 A location not listed above
 $129,700—$152,600 USD
 Other consultancies talk at you.
 At West Monroe, we work with you.
 We’re a global business and technology consulting firm passionate about creating measurable value for our clients, delivering real\-world solutions.
 The combination of business and technology is not new, but how we bring them together is unique. We’re fluent in both. We know that technology alone is not the answer, but how we apply it is. We rely on data to constantly adapt and solve new challenges. Actions that work today with outcomes that generate value for years to come.
 At West Monroe, we zero in on the heart of the opportunity, getting to results faster and preparing people for what’s next.
 You’ll feel the difference in how we work. We show up personally. We’re right there in the room with you, co\-creating through the challenges. With West Monroe, collaboration isn’t a lofty promise, but a daily action. We work together with you to turn vision into clear action with lasting impact.
**West Monroe** 
**is an Equal Employment Opportunity Employer**
 We believe in treating each employee and applicant for employment fairly and with dignity. We base our employment decisions on merit, experience, and potential, without regard to race, color, national origin, sex, sexual orientation, gender identity, marital status, age, religion, disability, veteran status, or any other characteristic prohibited by federal, state or local law. To learn more about diversity, equity and inclusion at West Monroe, visit www.westmonroe.com/inclusion. If you require a reasonable accommodation to participate in our recruiting process, please inquire by sending an email to recruiting@westmonroe.com.
 Please review our current policy regarding use of generative artificial intelligence during the application process.
 If you are based in California, we encourage you to read West Monroe’s Notice at Collection for California residents, provided pursuant to the California Consumer Privacy Act (CCPA) and linked here.</t>
        </is>
      </c>
    </row>
    <row r="52">
      <c r="A52" t="inlineStr">
        <is>
          <t>li-4326455758</t>
        </is>
      </c>
      <c r="B52" t="inlineStr">
        <is>
          <t>Field R&amp;D Senior Data Scientist - Industrial Focus</t>
        </is>
      </c>
      <c r="C52" t="inlineStr">
        <is>
          <t>Cloud Software Group</t>
        </is>
      </c>
      <c r="D52" t="inlineStr">
        <is>
          <t>linkedin</t>
        </is>
      </c>
      <c r="E52" t="inlineStr"/>
      <c r="F52" t="inlineStr"/>
      <c r="G52" t="inlineStr">
        <is>
          <t>Texas, United States</t>
        </is>
      </c>
      <c r="H52" t="inlineStr"/>
      <c r="I52" t="inlineStr">
        <is>
          <t>**About Spotfire**
**Spotfire is a business unit of Cloud Software Group, one of the largest enterprise software companies in the world. Spotfire empowers businesses to their digital destinations by interconnecting everything in real time and providing visual data science for everyone, from business users to data scientists. Our more than 10,000 customers include:**
* Majority of the top 10 Energy companies in the world
* Majority of the top 10 Life Sciences companies in the world
* 7 of the world’s top 10 Manufacturing companies
* Several other major companies in banking, retail, and airlines
**We're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Field R\&amp;D team is a central part of the company strategy. The team focuses on applied innovation, customer needs, and the community of data scientists. A portion of the team’s creations will end up in our products to scale its impact. The team is responsible for enabling our client’s competitiveness by improving ROI from their investment in Spotfire.**
**Operating across several sectors, our Field R\&amp;D Data Scientists have helped improve the drilling operations of several energy companies, built solutions for reducing fraud in financial trading, worked with NASA medical teams, helped increase yields at some of the biggest semiconductor companies, and initiated changes in California traffic laws.**
**We are looking for a
 **Field R\&amp;D** 
 Senior
 **Data Scientist** 
 with experience in industry verticals such as Energy, Manufacturing, or similar to join our team. The right candidate is seeking an opportunity to deliver hands\-on prowess and thought leadership to grow our customer’s analytical capabilities with Spotfire. You will join a team of highly collaborative individuals as a key team member and play a significant role in developing our capabilities. You will lead field\-inspired R\&amp;D projects, represent the company at industry events and contribute to the active customer and partner community. You will participate in technical customer engagements by developing analytical deliverables using methods from exploratory analytics to machine learning, statistical modeling, and AI. You will see R\&amp;D projects through its inception, design, deployment, customer feedback, and publication.**
**Responsibilities**
**The position entails the following responsibilities:**
* Delve deep into energy, manufacturing, or similar types of analytical and data science challenges.
* Engage with customers through presales support and post\-sales success projects.
* Perform and guide R\&amp;D topics in the field of applied machine learning and AI.
* Example topics of research and projects include Large Language Models, digital twin, anomaly detection in time series, or mathematical modeling of manufacturing processes.
* Create re­usable data models, workflows and test suites in order to streamline project delivery.
* Provide input into product management and engineering for the product roadmap.
* Innovate in the areas of application and deployment of machine learning.
* Tool Kit Development: create demos and templates with data science libraries.
* Technical marketing: create white papers, blogs and content for the Spotfire user community.
* Represent the team as a speaker or instructor in industry events and external conferences.
* Participate in technical customer engagements through understanding Spotfire use cases, providing guidance, and building prototypes.
* Collaborate with stakeholders on specific industry knowledge, analytics use cases and customer stories related to data science or machine learning in the Energy sector
**Required Qualifications**
* 5\+ years of experience in advanced data analytics and delivery of demonstrations, projects, engagements or deployed software applications. Experience with applying advanced analytics such as machine learning and optimization techniques to large, complex and disparate data sources.
* 5\+ years of experience in applying analytics to industry verticals such as Energy, Manufacturing, or similar.
* Superior communication and storytelling skills with data. The ability to comfortably communicate with customers’ senior industry personnel, provide compelling presentations and demonstrations of analytics software, and the business value of analytics projects demonstrating domain knowledge in a key Industry such as Manufacturing, Energy, Telecommunications, Financial Services, Healthcare, or Retail.
* Capability to formulate a real\-world problem into a mathematical equivalent, propose various solutions, compare and contrast them, deploy the solution, validate the results, and present the results to technical and non\-technical stakeholders.
* 5\+ years of experience with Python or R and some knowledge of SQL. Some experience with other software environments e.g. Spotfire, Tableau, Qlikview, SPSS, KNIME, Azure, AWS and/or other data mining tools will be a plus.
* Excellent communication and collaboration skills, with the ability to work effectively in a team environment and communicate technical concepts to non\-technical stakeholders
* Strong problem\-solving skills, with the ability to identify key areas for improvement and develop data\-driven solutions to address them.
* A Master’s or higher degree in STEM (Computer Science, Statistics, Data Science, Engineering, Science, or related analytical field of study) with graduate classes in statistics and data mining.
**Desired Qualifications**
* Experience with other software components for data preparation and integration e.g. Data Virtualization and Big Data tools such as Snowflake or Databricks and/or further programming or scripting environments e.g. .Net, Java, IronPython, Javascript, C\+\+ is a plus.
* A PhD in STEM (Computer Science, Statistics, Data Science, Engineering, Science, or related analytical field of study) with graduate classes in statistics and data mining.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***Benefits may vary depending on the nature of your employment with Cloud Software Group and the country where you work. U.S. based employees are typically offered access to healthcare, life insurance and disability benefits, 401(k) plan and company match, among others.***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$142,692\-$214,038 CA generally ranges: $148,896\-$223,344 All other locations fall under our General State range: $124,080\-$186,120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53">
      <c r="A53" t="inlineStr">
        <is>
          <t>li-4362105702</t>
        </is>
      </c>
      <c r="B53" t="inlineStr">
        <is>
          <t>Data Scientist</t>
        </is>
      </c>
      <c r="C53" t="inlineStr">
        <is>
          <t>Jobs via Dice</t>
        </is>
      </c>
      <c r="D53" t="inlineStr">
        <is>
          <t>linkedin</t>
        </is>
      </c>
      <c r="E53" t="inlineStr"/>
      <c r="F53" t="inlineStr"/>
      <c r="G53" t="inlineStr">
        <is>
          <t>Vienna, VA</t>
        </is>
      </c>
      <c r="H53" t="inlineStr"/>
      <c r="I53" t="inlineStr">
        <is>
          <t>**Overview**
 The Data Analytics and Reporting team at NFFG develops scalable analytics solutions that support investment strategy, member engagement, and business performance. This role involves building predictive models and applying mathematical optimization to improve targeting and decision\-making. Responsibilities also include automating data pipelines and workflows, developing interactive dashboards, and producing recurring reports that deliver clear, actionable insights. Success in this role requires strong technical skills, business understanding, and the ability to communicate analytical findings effectively across teams
**Responsibilities**
* Develop and deploy predictive models (classification, regression, clustering, time series) to support investment behavior analysis and member targeting.
* Automate data pipelines and modeling workflows for scalable deployment across data channels.
* Develop interactive dashboards to visualize key trends and model insights
* Apply mathematical optimization to improve portfolio strategy, and campaign effectiveness.
* Conduct deep\-dive analyses on member behavior, transactions, and product adoption to guide data\-driven decisions.
* Collaborate with cross\-functional teams to align analytics with business objectives.
* Present findings clearly to technical and non\-technical audiences
* Model monitoring and documentation
**Qualifications**
* 2\-3 years of experience with requisite competencies
* Proficient in Python, SQL, PySpark, Power BI (or Tableau)
* Hands\-on experience with statistics, machine learning, time series forecasting, and mathematical optimization
* Strong communication, collaboration and presentation and problem\-solving skills
* Experience with cloud platforms (e.g., Azure Databricks)
* Research skills
* Independent judgment
* Data storytelling and technical presentation skills
* Problem solving and critical thinking
* Bachelor's Degree in Computers Science, Engineering, Statistics, Operations Research, Mathematics, or degrees in similar quantitative fields
**Desired Qualifications**
* Master's Degree in Data Science, Statistics, Mathematics, Computer Science, or Engineering
* 3\+ years of experience with requisite competencies
**Hours:** 
 Monday \- Friday, 8:00AM \- 4:30PM Hybrid
**Location:** 
 820 Follin Lane, Vienna, VA 22180
 This position is eligible for the TalentQuest employee referral program. If an employee referred you for this job, please apply using the system\-generated link that was sent to you.
**Navy Federal Credit Union currently does not provide sponsorship for this role. Applicants must be authorized to work in the United States without the need for current or future sponsorship.**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Yello and WayUp Top 100 Internship Programs
 Computerworld Best Places to Work in IT
 Newsweek Most Loved Workplaces
 2025 PEOPLE Companies That Care
 Newsweek Most Trustworthy Companies in America
 Military Times 2025 Best for Vets Employers
 Best Companies for Latinos to Work for 2024
 Forbes 2025 America's Best Large Employers
 Forbes 2025 America's Best Employers for New Grads
 Forbes 2025 America's Best Employers for Tech Workers
 2025 RippleMatch Campus Forward Award Winner for Overall Excellence
 Military.com Top Military Spouse Employers 2025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54">
      <c r="A54" t="inlineStr">
        <is>
          <t>li-4326514278</t>
        </is>
      </c>
      <c r="B54" t="inlineStr">
        <is>
          <t>Field R&amp;D Lead Data Scientist - Industrial Focus</t>
        </is>
      </c>
      <c r="C54" t="inlineStr">
        <is>
          <t>Cloud Software Group</t>
        </is>
      </c>
      <c r="D54" t="inlineStr">
        <is>
          <t>linkedin</t>
        </is>
      </c>
      <c r="E54" t="inlineStr"/>
      <c r="F54" t="inlineStr"/>
      <c r="G54" t="inlineStr">
        <is>
          <t>Texas, United States</t>
        </is>
      </c>
      <c r="H54" t="inlineStr"/>
      <c r="I54" t="inlineStr">
        <is>
          <t>**About Spotfire**
**Spotfire is a business unit of Cloud Software Group, one of the largest enterprise software companies in the world. Spotfire empowers businesses to their digital destinations by interconnecting everything in real time and providing visual data science for everyone, from business users to data scientists. Our more than 10,000 customers include:**
* Majority of the top 10 Energy companies in the world
* Majority of the top 10 Life Sciences companies in the world
* 7 of the world’s top 10 Manufacturing companies
* Several other major companies in banking, retail, and airlines
**We're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Field R\&amp;D team is a central part of the company strategy. The team focuses on applied innovation, customer needs, and the community of data scientists. A portion of the team’s creations will end up in our products to scale its impact. The team is responsible for enabling our client’s competitiveness by improving ROI from their investment in Spotfire.**
**Operating across several sectors, our Field R\&amp;D Data Scientists have helped improve the drilling operations of several energy companies, built solutions for reducing fraud in financial trading, worked with NASA medical teams, helped increase yields at some of the biggest semiconductor companies, and initiated changes in California traffic laws.**
**We are looking for a
 **Field R\&amp;D** 
 Lead
 **Data Scientist** 
 with experience in industry verticals such as Energy, Manufacturing, or similar to join our team. The right candidate is seeking an opportunity to deliver hands\-on prowess and thought leadership to grow our customer’s analytical capabilities with Spotfire. You will join a team of highly collaborative individuals as a key team member and play a significant role in developing our capabilities. You will lead field\-inspired R\&amp;D projects, represent the company at industry events and contribute to the active customer and partner community. You will participate in technical customer engagements by developing analytical deliverables using methods from exploratory analytics to machine learning, statistical modeling, and AI. You will see R\&amp;D projects through its inception, design, deployment, customer feedback, and publication.**
**Responsibilities**
**The position entails the following responsibilities:**
* Delve deep into energy, manufacturing, or similar types of analytical and data science challenges.
* Engage with customers through presales support and post\-sales success projects.
* Perform and guide R\&amp;D topics in the field of applied machine learning and AI.
* Example topics of research and projects include Large Language Models, digital twin, anomaly detection in time series, or mathematical modeling of manufacturing processes.
* Create re­usable data models, workflows and test suites in order to streamline project delivery.
* Provide input into product management and engineering for the product roadmap.
* Innovate in the areas of application and deployment of machine learning.
* Tool Kit Development: create demos and templates with data science libraries.
* Technical marketing: create white papers, blogs and content for the Spotfire user community.
* Represent the team as a speaker or instructor in industry events and external conferences.
* Participate in technical customer engagements through understanding Spotfire use cases, providing guidance, and building prototypes.
* Collaborate with stakeholders on specific industry knowledge, analytics use cases and customer stories related to data science or machine learning in the Energy sector
**Required Qualifications**
* 5\+ years of experience in advanced data analytics and delivery of demonstrations, projects, engagements or deployed software applications. Experience with applying advanced analytics such as machine learning and optimization techniques to large, complex and disparate data sources.
* 5\+ years of experience in applying analytics to industry verticals such as Energy, Manufacturing, or similar.
* Superior communication and storytelling skills with data. The ability to comfortably communicate with customers’ senior industry personnel, provide compelling presentations and demonstrations of analytics software, and the business value of analytics projects demonstrating domain knowledge in a key Industry such as Manufacturing, Energy, Telecommunications, Financial Services, Healthcare, or Retail.
* Capability to formulate a real\-world problem into a mathematical equivalent, propose various solutions, compare and contrast them, deploy the solution, validate the results, and present the results to technical and non\-technical stakeholders.
* 5\+ years of experience with Python or R and some knowledge of SQL. Some experience with other software environments e.g. Spotfire, Tableau, Qlikview, SPSS, KNIME, Azure, AWS and/or other data mining tools will be a plus.
* Excellent communication and collaboration skills, with the ability to work effectively in a team environment and communicate technical concepts to non\-technical stakeholders
* Strong problem\-solving skills, with the ability to identify key areas for improvement and develop data\-driven solutions to address them.
* A Master’s or higher degree in STEM (Computer Science, Statistics, Data Science, Engineering, Science, or related analytical field of study) with graduate classes in statistics and data mining.
**Desired Qualifications**
* Experience with other software components for data preparation and integration e.g. Data Virtualization and Big Data tools such as Snowflake or Databricks and/or further programming or scripting environments e.g. .Net, Java, IronPython, Javascript, C\+\+ is a plus.
* A PhD in STEM (Computer Science, Statistics, Data Science, Engineering, Science, or related analytical field of study) with graduate classes in statistics and data mining.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***Benefits may vary depending on the nature of your employment with Cloud Software Group and the country where you work. U.S. based employees are typically offered access to healthcare, life insurance and disability benefits, 401(k) plan and company match, among others.***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$172,114\-$258,172 CA generally ranges: $179,598\-$269,396 All other locations fall under our General State range: $149,665\-$224,497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55">
      <c r="A55" t="inlineStr">
        <is>
          <t>li-4342991503</t>
        </is>
      </c>
      <c r="B55" t="inlineStr">
        <is>
          <t>Senior Data Scientist - Copilot Insights</t>
        </is>
      </c>
      <c r="C55" t="inlineStr">
        <is>
          <t>Microsoft</t>
        </is>
      </c>
      <c r="D55" t="inlineStr">
        <is>
          <t>linkedin</t>
        </is>
      </c>
      <c r="E55" t="inlineStr"/>
      <c r="F55" t="inlineStr"/>
      <c r="G55" t="inlineStr">
        <is>
          <t>Redmond, WA</t>
        </is>
      </c>
      <c r="H55" t="inlineStr"/>
      <c r="I55" t="inlineStr">
        <is>
          <t>**Overview**
 Copilot Insights is a data driven team looking to uncover insights about customer usage of Copilot and find ways to add customer value through the Copilot features and interactions we build inside of Office. The Copilot Insights team delivers insights and analysis that drives the features and investments that Office makes to add value to customers' lives through Copilot! Our team is about empowering organizations and individuals to unlock their full potential using Copilot within Office. We are looking for a
 **Senior Data Scientist \- Copilot Insights** 
 to join our team.
 In this role, you will collaborate with Engineers, Product Managers, Data and Applied Scientists, as well as business and AI leaders to design and develop AI/ML solutions that address business needs. Responsibilities include defining Copilot metrics, supporting experimentation systems, and developing evaluation frameworks for Copilot investments.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Develops extensive knowledge in the domain and technical framework, notably in Large Language Models (LLM), plays a role in advancing product development through ongoing awareness of industry trends and technologies, and continuously finding insights that drive product investment decisions.
* Assesses business needs and integrates research to achieve business objectives. This role involves guiding the selection of data to address issues strategically, leveraging knowledge to design, measure and build AI applications to drive tangible business results.
* Records ongoing work and experimental findings, sharing them to encourage innovation.
* Assesses the effectiveness of models and collaborates with product teams to design AI\-driven experiences.
* Communicates and educates team members (engineers, product managers, leadership) on Data Science principles and methodologies so that they understand the models being built, conclusions being drawn, why the model was chosen, and how to interpret the results.
* Applies concepts to practical models and innovate at the speed of our business. It is critical that we ship models and enhancements on an on\-going basis to empower us and our partners to focus our Copilot efforts across Office.
 Embody our culture and values.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4\+ years of technical leadership in designing and scaling generative AI pipelines (retrieval augmented generation (RAG), finetuning, evaluation frameworks), with deep knowledge in transformer models and architectures.
* 1\+ year experience building generative AI applications.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li-4323020538</t>
        </is>
      </c>
      <c r="B56" t="inlineStr">
        <is>
          <t>Senior Data Scientist / Machine Learning Engineer - Storefront</t>
        </is>
      </c>
      <c r="C56" t="inlineStr">
        <is>
          <t>Quince</t>
        </is>
      </c>
      <c r="D56" t="inlineStr">
        <is>
          <t>linkedin</t>
        </is>
      </c>
      <c r="E56" t="inlineStr"/>
      <c r="F56" t="inlineStr"/>
      <c r="G56" t="inlineStr">
        <is>
          <t>Palo Alto, CA</t>
        </is>
      </c>
      <c r="H56" t="inlineStr"/>
      <c r="I56" t="inlineStr">
        <is>
          <t>**ABOUT QUINCE**
 Founded in 2018, Quince was built to challenge the idea that nice things have to cost a lot. Our mission is simple: to make really high quality essentials for really low prices, produced fairly and sustainably. We believe everyone deserves exceptional craftsmanship and timeless design without the traditional markups. Quince is a direct\-to\-consumer (DTC) model that cuts out middlemen and leverages just\-in\-time manufacturing to minimize waste and maximize value.
 Quince is a tech company disrupting the retail industry by putting AI, analytics and automation at the center of everything we do. Our unwavering commitment to excellence and company values guide our teams and actions:
* Customer First: We prioritize customer satisfaction in every decision.
* High Quality: True quality means premium materials and rigorous production standards you can feel good about.
* Essential Design: We focus on timeless, functional essentials instead of chasing trends.
* Always a Better Deal: Innovation and transparency ensure value for both customers and partners.
* Social \&amp; Environmental Responsibility: We commit to sustainable materials, ethical production, and fair wages.
 Quince partners with world\-class manufacturers across the globe and serves millions of customers. With strong investor backing and a focus on sustainable growth, we are a company that is rapidly scaling while maintaining a commitment to quality, simplicity, and radical price transparency.
**OUR TEAM AND SUCCESS**
 At Quince, you will be part of a high\-performing team that is redefining what quality, value, and sustainability mean in modern retail. We are a destination for builders, innovators, and operators to come together and challenge the status quo. Our collective ambition is bold. We are creating an entirely new category and customer experience – one that democratizes luxury and provides high quality products at radically low prices. That mission demands a world\-class team committed to excellence.
 If you are motivated by impact, growth, and purpose, you will find a strong sense of belonging at Quince.
**THE ROLE**
**Senior Data Scientist/Machine Learning Engineer \- Storefront**
 We are seeking passionate individuals who are enthusiastic about transforming the way people purchase essential goods through innovative data science and AI solutions. We are a centralized data science team that optimize and automate the decision making and provide valuable and actionable business insights. As a Storefront Data Scientist/Machine Learning Engineer at Quince, you will spearhead innovative data science solutions to elevate site personalization, ranking, recommendations, search, and discovery. Your work will enhance the shopping experience, enabling you to drive meaningful improvements that shape the future of Quince.
**Responsibilities**
* Develop and apply machine learning and statistical models to enhance personalized site and app experiences, including product search, ranking, and recommendations.
* Build and optimize ranking features while contributing to end\-to\-end modeling pipelines using modern ML/AI techniques.
* Support model deployment, run experiments, and assist in monitoring model performance in production.
* Collaborate with product, business, and engineering teams to develop and implement data\-driven solutions.
* Communicate findings by translating complex data insights into actionable recommendations for business stakeholders.
* Identify data gaps, define data requirements, and work with Engineering teams to improve data infrastructure and tracking.
* Share insights and best practices with Analytics and cross\-functional teams to promote consistency in data\-driven decision\-making.
* Seek opportunities to automate processes and improve efficiency in model development and deployment.
**Qualifications**
**Required:**
* MS or PhD in statistics, mathematics, engineering, computer science or another quantitative field AND 2\+ years of experience as a data scientist in relevant industry.
* Hands\-on experience applying machine learning, predictive modeling, GenAI to developing consumer facing applications.
* Deep knowledge in:
+ Statistical and machine learning techniques.
+ Data Science libraries in a programming or scripting language.
* Proficient in Python and SQL.
* Excellent communication and presentation skills.
* Experience with BI platforms such as Looker, Tableau, etc.
* Move fast, be a team player, and be kind.
 All posted ranges are reflective of base salary and may vary depending upon experience level and location. Bonus and equity may also be provided for eligible roles.
 Pay Range: $175,000 USD \- $265,000 USD
**WHY QUINCE?**
 Joining Quince means being part of a mission\-driven team reshaping retail. You will work alongside talented colleagues, tackle meaningful challenges, and contribute to building a more sustainable, accessible future for customers and partners alike.
**EQUAL OPPORTUNITY \&amp; HIRING INTEGRITY**
 Quince provides equal employment opportunities to all employees and applications for employment and prohibits discrimination and harassment of any type without regard to race, color, religion, age, sex, national origin, disability status, genetics, protected veteran or military status, sexual orientation, gender identity or expression, or any other characteristic protected by federal, state, or local laws.
 Quince is committed to providing reasonable accommodations to qualified individuals with disabilities. If you need a reasonable accommodation to complete your application or to perform the essential functions of a role at Quince, please let us know by completing this accommodation form. We review all requests individually and will work with you to determine appropriate accommodations on a case\-by\-case basis.
 Employment is contingent upon successful completion of a background check. Quince will conduct background checks in compliance with applicable federal, state, and local laws.
*Security Advisory: Beware of Frauds*
 At Quince, we're dedicated to recruiting top talent who share our drive for innovation. To safeguard candidates, Quince emphasizes legitimate recruitment practices. Initial communication is primarily via official Quince email addresses and LinkedIn; beware of deviations. Personal data and sensitive information will not be solicited during the application phase. Interviews are conducted via phone, in person, or through the approved platforms Google Meets or Zoom—never via messaging apps or other calling services. Offers are merit\-based, communicated verbally, and followed up in writing. If personal information is requested to initiate the hiring process, rest assured it will be through secure and protected means.</t>
        </is>
      </c>
    </row>
    <row r="57">
      <c r="A57" t="inlineStr">
        <is>
          <t>li-4336745582</t>
        </is>
      </c>
      <c r="B57" t="inlineStr">
        <is>
          <t>Senior Forward-Deployed Data Scientist, AI Deployment</t>
        </is>
      </c>
      <c r="C57" t="inlineStr">
        <is>
          <t>Braze</t>
        </is>
      </c>
      <c r="D57" t="inlineStr">
        <is>
          <t>linkedin</t>
        </is>
      </c>
      <c r="E57" t="inlineStr"/>
      <c r="F57" t="inlineStr"/>
      <c r="G57" t="inlineStr">
        <is>
          <t>New York, NY</t>
        </is>
      </c>
      <c r="H57" t="inlineStr"/>
      <c r="I57"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58">
      <c r="A58" t="inlineStr">
        <is>
          <t>li-4344086826</t>
        </is>
      </c>
      <c r="B58" t="inlineStr">
        <is>
          <t>Staff Data Scientist, Pricing</t>
        </is>
      </c>
      <c r="C58" t="inlineStr">
        <is>
          <t>Engine</t>
        </is>
      </c>
      <c r="D58" t="inlineStr">
        <is>
          <t>linkedin</t>
        </is>
      </c>
      <c r="E58" t="inlineStr"/>
      <c r="F58" t="inlineStr"/>
      <c r="G58" t="inlineStr">
        <is>
          <t>Denver, CO</t>
        </is>
      </c>
      <c r="H58" t="inlineStr"/>
      <c r="I58" t="inlineStr">
        <is>
          <t>**About Engine**
 At Engine, we're transforming business travel into something personalized, rewarding, and simple. For too long, managing travel and spend has been overwhelming and fragmented — we're here to change that. We believe the future of travel should be seamless and powered by technology that delights customers at every step. That's why we're building a platform that brings together corporate travel, a powerful charge card, and modern spend management in one place.
 To make this vision real, we're looking for exceptional, mission\-driven people to help redefine how businesses manage and experience travel.
 More than 20,000 companies already rely on Engine to support over 1 million travelers and billions in annual bookings each year. Cash flow positive with rapid growth, we pair exclusive Engine\-only rates, industry\-leading rewards, and intelligent automation to help businesses save money while delivering world\-class personalization and convenience.
 Backed by Telescope Partners, Blackstone, and Permira, Engine has been recognized as one of the fastest\-growing travel and fintech platforms in North America, with honors including the Deloitte Fast 500 and Built In's Best Places to Work.
**Your Mission:**
 As part of the Engine team, you'll play a vital role in an environment where innovation meets collaboration. Here's what you'll take charge of:
* **Analyze large\-scale pricing datasets** 
 to identify trends and benchmark comparable properties across regions
* **Architect core pricing intelligence systems** 
 using robust statistical ML methods that form the foundation for our next\-generation pricing platform
* **Build enterprise\-grade ML models** 
 that balance sophistication with interpretability, ensuring stakeholder confidence and regulatory compliance
* **Develop strategic pricing algorithms** 
 that combine the reliability of proven statistical methods with the innovation of modern ML engineering
* **Advanced analytics experience** 
 , including experimental design, A/B testing, and causal inference methods
* **Collaborate cross\-functionally** 
 with engineers, analysts, and business teams to uncover pricing opportunities
* **Perform exploratory data analysis** 
 and communicate clear, actionable insights to leadership and stakeholders
* **Drive business impact** 
 by building strategic models and thriving in a fast\-paced, high\-growth environment
**What You'll Bring to Engine:**
 We're looking for someone who's ready to make an impact and grow alongside us:
* **Experience:** 
 7\+ years of hands\-on experience in Data Science or ML Engineering, ideally in pricing, revenue optimization, or similar high\-impact domains.
* **Skills:** 
 You're a problem\-solver with strong machine learning and statistical modeling skills, and you're especially adept at working with large, complex datasets.
* **Tech\-Savvy:** 
 Strong proficiency in SQL and Python is a must. Experience with agnostic tech stacks is a plus. Bonus points if you've worked with Snowflake or Streamlit.
* **Education:** 
 A Master's degree in a quantitative field is highly desired; a PhD is a plus.
* **Mindset:** 
 You thrive in fast\-paced environments, communicate insights clearly to technical and non\-technical audiences, and are driven by real business impact. You're not just building models—you're helping shape pricing strategy.
*Applications for this role will be accepted through 1/06/2026 or until the role is filled. We encourage you to apply early, as we may begin reviewing applications before the deadline.*
**Compensation**
 Our compensation packages are based on several factors, including your experience, expertise, and location. In addition to a competitive base salary, total compensation may include equity and/or variable pay (OTE). Your recruiter will share your complete compensation package as you move through the process.
 Base Pay Range
 $144,500—$247,600 USD
**The Engine Edge: Perks \&amp; Compensation**
 We believe in rewarding great work with great benefits:
* **Compensation:** 
 Competitive base pay tied to role and experience, with opportunities for bonuses, commissions, and equity.
* **Benefits:** 
 Check out our full list at engine.com/culture.
* **Environments for Success:** 
 Different roles have different needs in terms of the environments that drive success which is why we have a hybrid\-hub model. Whether you are in one of our amazing offices or fully remote, we'll make sure you have what you need to succeed.
*Perks and benefits may vary based on employment type, location, and more.*
**Ready to Build the Future of Work Travel?**
 Join us on our mission to transform how work travel works—for businesses, for travelers, and for the industry. Apply now and let's make travel simpler, smarter, and more enjoyable—together.</t>
        </is>
      </c>
    </row>
    <row r="59">
      <c r="A59" t="inlineStr">
        <is>
          <t>li-4354079083</t>
        </is>
      </c>
      <c r="B59" t="inlineStr">
        <is>
          <t>Data Scientist</t>
        </is>
      </c>
      <c r="C59" t="inlineStr">
        <is>
          <t>Acceler8 Talent</t>
        </is>
      </c>
      <c r="D59" t="inlineStr">
        <is>
          <t>linkedin</t>
        </is>
      </c>
      <c r="E59" t="inlineStr"/>
      <c r="F59" t="inlineStr"/>
      <c r="G59" t="inlineStr"/>
      <c r="H59" t="inlineStr"/>
      <c r="I59" t="inlineStr">
        <is>
          <t>🚀
 **Founding AI Engineer (Berkley, Onsite)** 
 We’re building the
 **first fully agentic social platform** 
 , starting with dating. Our AI understands user preferences, finds compatible matches, and even sets up real\-life dates. The product has already gone viral across campuses, facilitated tens of thousands of real dates, and is backed by top\-tier VCs and Google.
 This is an early role on a
 **\&lt;10 person team** 
 , working directly with the cofounders.
**What you’ll do:** 
* Own agentic matchmaking end\-to\-end: retrieval, reasoning, tool use, safety — from research to production
* Build and evaluate prompts, models, and policies (offline \+ online, A/B testing)
* Design chat agents that feel fast, reliable, and human
* Build context pipelines (RAG, memory, summarization, grounding)
* Stand up agent observability: traces, costs, failures, hallucinations
* Ship internal tools and SDKs used by engineers — and by other AIs
**What we’re looking for:** 
* 2–4\+ years of experience
 **or** 
 an exceptional portfolio of LLM/agent products
* Strong CS fundamentals and clean, maintainable code
* TypeScript \+ Python
* Experience with multiple LLM providers, tool/function calling, and fallbacks
* Hands\-on RAG and prompt engineering with strong intuition for failure modes
* Comfort defining metrics (accuracy, latency, cost, safety) and iterating quickly
* Batchelors degree in Computer Science or other related field
**Bonus points!!** 
**LangGraph/CrewAI, MCP, Langfuse/Promptfoo/Ragas, vector DBs, guardrails \&amp; red\-teaming** 
 💰
 **Comp up to $250K base** 
 📍 San Francisco (onsite only)
 💬 DM me if this sounds like you.</t>
        </is>
      </c>
    </row>
    <row r="60">
      <c r="A60" t="inlineStr">
        <is>
          <t>li-3819704675</t>
        </is>
      </c>
      <c r="B60" t="inlineStr">
        <is>
          <t>Data Scientist</t>
        </is>
      </c>
      <c r="C60" t="inlineStr">
        <is>
          <t>StreetID</t>
        </is>
      </c>
      <c r="D60" t="inlineStr">
        <is>
          <t>linkedin</t>
        </is>
      </c>
      <c r="E60">
        <f>HYPERLINK("https://www.linkedin.com/jobs/view/3819704675", "https://www.linkedin.com/jobs/view/3819704675")</f>
        <v/>
      </c>
      <c r="F60" t="inlineStr"/>
      <c r="G60" t="inlineStr"/>
      <c r="H60" t="inlineStr"/>
      <c r="I60" t="inlineStr">
        <is>
          <t>Building on our heritage of public markets investing, lifecycle investment platform has expanded across venture, growth, thematic, and structured capital strategies over the last decade. Our singular obsession with technology drives how we work as a firm. As investors, we seek out the greatest innovators with the biggest ideas. We are a founder\-led firm dedicated to helping fellow founders build. At every stage, we champion the insights, connections, and experience that create world\-shaping companies.
**Data Science Team** 
 The data science team works directly with the investment professionals on a daily basis and is integral in all current and future investments across the firm. Our goal is to track every component of the economy in real\-time.
 This encompasses projects such as:
 · Forecasting entries on a company’s income statement via real\-time alternative datasets
 · Tracking the launch of a new product and its impact on that company versus its competitors
 · Analyzing and decomposing stock market performance of various securities in different scenarios
 · Quantitatively screening for emerging venture\-backed companies
 · Building shared tooling to improve the team’s day\-to\-day workflow
**Job Description** 
 The data scientist role uses SQL, R, and data visualization to inform investment decisions. This role is based in our New York City office.
 This is a generalist role that works across sectors, company stages, and datasets.
 The ideal candidate is simultaneously very technical and a strong communicator, is eager to take on responsibility quickly, and can juggle multiple priorities.
 Key skills include:
 · Proficient programming abilities, particularly with a dataframe\-based library (data.table, dplyr, pandas)
 · Analysis and interpretation of data
 · Strong communication skills, needed to translate between technical projects and business stakeholders
 · Ability to manage multiple workstreams simultaneously</t>
        </is>
      </c>
    </row>
    <row r="61">
      <c r="A61" t="inlineStr">
        <is>
          <t>li-4365078833</t>
        </is>
      </c>
      <c r="B61" t="inlineStr">
        <is>
          <t>Data Scientist</t>
        </is>
      </c>
      <c r="C61" t="inlineStr">
        <is>
          <t>Target</t>
        </is>
      </c>
      <c r="D61" t="inlineStr">
        <is>
          <t>linkedin</t>
        </is>
      </c>
      <c r="E61">
        <f>HYPERLINK("https://www.linkedin.com/jobs/view/4365078833", "https://www.linkedin.com/jobs/view/4365078833")</f>
        <v/>
      </c>
      <c r="F61" t="inlineStr"/>
      <c r="G61" t="inlineStr"/>
      <c r="H61" t="inlineStr"/>
      <c r="I61" t="inlineStr">
        <is>
          <t>**About The Company** 
 Joining Target means becoming part of a company dedicated to helping families discover the joy of everyday life. With a rich history of retail excellence, Target is committed to delivering exceptional value, innovative shopping experiences, and a culture rooted in inclusivity and community engagement. As a leading retailer, Target continuously strives to exceed guest expectations through a combination of quality products, outstanding service, and a focus on sustainability and social responsibility. Working at Target offers the opportunity to be part of a dynamic environment where innovation and collaboration drive success, and where your contributions directly impact millions of guests across the globe.
**About The Role** 
 The Lead Data Scientist for Last Mile Operations \&amp; Design at Target is a strategic role focused on leveraging advanced data science techniques to optimize supply chain and delivery operations. This position involves developing and managing predictive and prescriptive algorithms that automate decision\-making processes at scale. The role is integral to accelerating omni\-channel experimentation and fostering a culture of continuous innovation within the Last Mile Delivery space. As a leader, you will spearhead initiatives that improve guest and carrier experiences by harnessing the power of data, machine learning, and operations research. Your work will directly influence business strategies, enhance operational efficiencies, and support Target’s mission to deliver value and convenience to its customers.
**Qualifications** 
* PhD or MS degree in Operations Research, Industrial Engineering, Computer Science, Mathematics, Statistics, Physics, or a related quantitative field
* Minimum of 5 years of experience leading large\-scale supply chain optimization, simulation, and machine learning projects
* Proficiency in programming languages such as Python, R, Kotlin, or Java
* Experience deploying algorithms in production environments with high\-performance code
* Knowledge of predictive and prescriptive analytics, ML Ops, and scalable data processing
* Experience working with large event\-driven distributed systems and multi\-threaded applications
* Familiarity with application/software architecture, process modeling, and data pipeline development
* Strong SQL/Hive skills and experience building data tools for research or experimentation
* Proven ability to solve complex real\-world problems using advanced statistical techniques such as regression, clustering, PCA, and time series forecasting
* Excellent communication skills with the ability to craft compelling data\-driven stories and visualizations
* Self\-motivated, results\-oriented, and capable of working collaboratively across teams and time zones
**Responsibilities** 
* Serve as an advocate for a data\-driven culture across Product, Business Operations, and Engineering teams, promoting the use of insights to prioritize impactful initiatives
* Develop and implement solutions to complex business problems using data analysis, machine learning, optimization, and forecasting techniques
* Formulate clear problem statements, synthesize analysis results, and communicate findings effectively to stakeholders through storytelling and visualizations
* Collaborate with product managers to design in\-product experiments, analyze results, and provide strategic recommendations for feature enhancements
* Partner with business teams to identify gaps in product offerings, conduct comprehensive data analysis, and drive analytics maturity in key areas
* Define KPIs and data collection strategies to measure the success of new features and business strategies, working closely with engineering teams for data instrumentation
* Optimize queries on large datasets to support operations research and decision\-making processes
* Design and develop self\-service dashboards and visualization tools that translate complex data into actionable insights
* Democratize data and insights by delivering accessible tools that enable partners to make faster, informed decisions
* Stay current with industry trends and continuously improve analytical models, tools, and processes to support business growth
**Benefits** 
* Competitive salary and performance\-based incentives
* Comprehensive health, dental, and vision insurance plans
* Retirement savings plans with company matching
* Generous paid time off and holiday leave
* Opportunities for professional development and continuous learning
* Flexible work arrangements, including hybrid and remote work options
* Inclusive and collaborative work environment that values diversity
* Employee discounts and access to company resources
 Equal Opportunity
 Target is an equal opportunity employer committed to creating an inclusive environment for all employees. We celebrate diversity and are dedicated to providing equal employment opportunities regardless of race, color, religion, gender, gender identity or expression, sexual orientation, national origin, genetics, disability, age, or veteran status.</t>
        </is>
      </c>
    </row>
    <row r="62">
      <c r="A62" t="inlineStr">
        <is>
          <t>li-4365105870</t>
        </is>
      </c>
      <c r="B62" t="inlineStr">
        <is>
          <t>Data Scientist</t>
        </is>
      </c>
      <c r="C62" t="inlineStr">
        <is>
          <t>Ford Motor Company</t>
        </is>
      </c>
      <c r="D62" t="inlineStr">
        <is>
          <t>linkedin</t>
        </is>
      </c>
      <c r="E62">
        <f>HYPERLINK("https://www.linkedin.com/jobs/view/4365105870", "https://www.linkedin.com/jobs/view/4365105870")</f>
        <v/>
      </c>
      <c r="F62" t="inlineStr"/>
      <c r="G62" t="inlineStr">
        <is>
          <t>Dearborn, MI</t>
        </is>
      </c>
      <c r="H62" t="inlineStr"/>
      <c r="I62" t="inlineStr">
        <is>
          <t>**Job Description**
**Data Scientist**
 Our
 **Marketing, Sales \&amp; Service** 
 organization advances Ford’s reputation as a visionary vehicle and mobility services company and helps deliver a trusted customer experience. Use your marketing, sales, and service expertise to turn data\-driven insights into innovative solutions that enhance sales and customer loyalty. Join us and be the eyes, ears, and voice of Ford.
**In this position…**
 The Yield Management (YM) team supports all Ford Blue, Model e, and Ford Pro product lines and tackles the :5 highest priority strategic and profit projects each quarter. The team works in “Value Sprints” with a dedicated team focused against a specific mandate for a dedicated period of time. The team applies problem\-solving framework and leverages advanced analytics to derive insights and deliver tangible recommendations to create value for Ford. Yield Management’s project portfolio aims to deliver a balance of:
* Near term vehicle line specific profit improvement or risk mitigation actions
* New or expanded enterprise capabilities
* Long term portfolio optimizations
 This Yield Management position operates cross\-functionally across Marketing \&amp; Sales, Brand, Product Marketing, General Management, GDI\&amp;A, Finance, \&amp; Ford Credit. Data Scientists come from a range of different backgrounds and work on specific “sprints” typically for 6\-8 weeks.
**Responsibilities**
 This role is at the intersection of strategy, operations, and analytics, and is tasked with creating change and maximizing profits in the Ford\+ plan. The immediate working team is highly collaborative and fast\-paced.This is a high\-exposure role with ongoing interaction with leadership across Ford Blue, Model e, and Ford Pro.
 As a Data Scientist, you will perform analysis and modeling as part of Yield Management Scope: Profit optimization \&amp; decision analysis, vehicle line demand estimation, price sensitivity analysis, counter\-factual modeling, and hypothesis testing.
**What you'll do..** 
 .
 In sprints, Data Scientists are responsible for:
* Accessing and analyzing data to develop solutions, including leveraging advanced analytics tools and building ad\-hoc data models
* Applying structured problem\-solving mindset to sprints
* Considering enterprise\-wide impact and sensitivity of sprint recommendations
* Communicating analysis insights and implications of sprint recommendations
* Apply and integrate latest analytical tools developed by Yield Management Advanced Analytics modeling team
* Assist in preparing presentations and reports for management and business customers
 Additionally, Data Scientists support:
* Establishing the sprint mandate and problem statement with key stakeholders
* Leading analysis and developing insights and implications of decisions
* Delivering clear and actionable recommendations
**Qualifications**
**You'll have...**
* Bachelors degree Computer Science, Economics, Analytics, Business, Strategy, Finance, or related field
* 5\+ years of relevant experience in Computer Science, Economics, Analytics, Business, Strategy, Finance, or related field
* 3\+ years of various modeling methodologies, including economics, econometrics, statistics, data mining; be able to explain to a non\-technical audience the results of your work
* 3\+ years of experience working in Microsoft Excel and PowerPoint
* 3\+ years in python and Database languages such as SQL
**Even better, you may have.** 
 ..
* MBA or PhD degree in Statistics, Economics, Computer Science in an appropriate field of study
* Experience with Google Cloud Platform (GCP) and programming/statistical software utilizing large datasets
* Knowledge of Marketing \&amp; Sales, including exposure to some combination of go\-to\-market strategy, brand marketing, field ops, sales, variable marketing, pricing, allocation, production, or supply chain
* Fast learning, hands on, aspirational and curious in technical excellence and innovation; have a lifetime learning attitude
* Be able to make reasonable judgment and conclusion with limited information and resources; be able to quickly convert a real business requirement into a solvable modeling problem, sort out relevant information, and judge the solution against business reality
* Executive communication experience (written and verbal)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grades 5\-8 and ranges from $63,480\-162,120\.
 For more information on salary and benefits, click here: https://fordcareers.co/GSR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63">
      <c r="A63" t="inlineStr">
        <is>
          <t>li-4354271214</t>
        </is>
      </c>
      <c r="B63" t="inlineStr">
        <is>
          <t>Data Scientist</t>
        </is>
      </c>
      <c r="C63" t="inlineStr">
        <is>
          <t>Saragossa</t>
        </is>
      </c>
      <c r="D63" t="inlineStr">
        <is>
          <t>linkedin</t>
        </is>
      </c>
      <c r="E63">
        <f>HYPERLINK("https://www.linkedin.com/jobs/view/4354271214", "https://www.linkedin.com/jobs/view/4354271214")</f>
        <v/>
      </c>
      <c r="F63" t="inlineStr"/>
      <c r="G63" t="inlineStr">
        <is>
          <t>Chicago, IL</t>
        </is>
      </c>
      <c r="H63" t="inlineStr"/>
      <c r="I63" t="inlineStr">
        <is>
          <t>**Data Scientist – Build the Edge in Sports Trading – Starting at $150,000** 
 You will be part researcher, part modeler, part strategist \- working at the intersection of statistics, data science, and real\-world markets.
 This team operates like a quantitative hedge fund, but instead of trading equities, they trade sports outcomes. Their models analyze massive volumes of sports and market data to estimate probabilities, identify mispriced odds, and generate consistent edge across millions of bets.
 In this role, you’ll work directly with sports data and betting markets to understand how specific events shift probabilities and outcomes. Your analysis and models will move quickly from exploration to production, where performance is measured in real results, not theory.
 You’ll collaborate closely with quantitative researchers, have direct access to founders, and see your work influence decisions immediately. As prediction markets expand, you’ll also help shape how the firm applies its edge beyond traditional sports betting.
 If you want your models judged by outcomes, not opinions, let’s talk.
 No up\-to\-date resume required.</t>
        </is>
      </c>
    </row>
    <row r="64">
      <c r="A64" t="inlineStr">
        <is>
          <t>li-4365078832</t>
        </is>
      </c>
      <c r="B64" t="inlineStr">
        <is>
          <t>Data Scientist</t>
        </is>
      </c>
      <c r="C64" t="inlineStr">
        <is>
          <t>General Mills</t>
        </is>
      </c>
      <c r="D64" t="inlineStr">
        <is>
          <t>linkedin</t>
        </is>
      </c>
      <c r="E64">
        <f>HYPERLINK("https://www.linkedin.com/jobs/view/4365078832", "https://www.linkedin.com/jobs/view/4365078832")</f>
        <v/>
      </c>
      <c r="F64" t="inlineStr"/>
      <c r="G64" t="inlineStr"/>
      <c r="H64" t="inlineStr"/>
      <c r="I64" t="inlineStr">
        <is>
          <t>**About The Company**
 General Mills is a leading global food company renowned for its diverse portfolio of trusted brands and innovative food solutions. With a rich history spanning over a century, the company is committed to nourishing lives through high\-quality products that meet the evolving needs of consumers worldwide. Operating across multiple markets, General Mills emphasizes sustainability, operational excellence, and a customer\-centric approach to ensure its continued growth and positive impact on communities. The organization values diversity, collaboration, and innovation, fostering a dynamic environment where talented professionals can thrive and contribute to shaping the future of food.
**About The Role**
 As a Lead Data Scientist at General Mills, you will play a pivotal role in driving data\-driven decision\-making and innovation within the organization. Your primary responsibility will be to design, develop, and implement advanced analytics engines and services that leverage cutting\-edge techniques in statistics, machine learning, and AI. You will collaborate closely with cross\-functional teams, including product owners, business partners, and fellow data scientists, to identify key technical challenges and formulate hypotheses for testing. Your expertise will enable the creation of scalable, real\-time analytical models that support critical business functions such as supply chain optimization, demand planning, logistics, and pricing strategies. This role offers an exciting opportunity to lead technical initiatives, influence strategic decisions, and mentor junior team members, all while contributing to the company's mission of making the food people love.
**Qualifications**
* 6\+ years of relevant experience in data science, with at least 4 years focused on optimization techniques
* Bachelor’s Degree in operations research, statistics, industrial engineering, computer science, or related quantitative fields
* Proficiency in Python programming, particularly in developing optimization models using commercial solver suites
* Hands\-on experience building IP / MIP models and supporting algorithms
* Strong SQL skills and ability to work with large, dynamic data sets
* Demonstrated ability to collaborate with business leaders and influence decision\-making
* Excellent problem\-solving skills and adaptability to complex challenges
* Proven track record of delivering results through effective task prioritization and time management
**Responsibilities**
* Partner with data science leadership, machine learning engineering, and business teams to develop optimization and machine learning models using state\-of\-the\-art tools and technologies
* Provide strategic technical guidance and actionable insights to support business objectives
* Design and build scalable, production\-ready models for real\-time insights in areas such as supply\-demand planning, logistics, trade optimization, and pricing
* Develop a comprehensive modeling framework and architecture for deterministic and combinatorial optimization, as well as advanced machine learning applications
* Communicate complex data\-driven insights effectively to cross\-functional teams, explaining the ‘why and how’ behind recommendations
* Advise business partners on technical solutions and best practices
* Contribute as a senior leader within the data science team, shaping technical strategy, standards, and team development
* Mentor junior data scientists, providing technical guidance and fostering professional growth
* Monitor and improve model performance metrics, incorporating feedback from business stakeholders to enhance accuracy and recommendations
* Engage in strategic planning, documentation, and standardization of modeling practices
**Benefits**
* Competitive salary within the range of $126,700 to $211,200 annually
* Comprehensive health benefits and wellness programs
* Retirement plans and financial wellbeing support
* Paid time off and holiday leave
* Opportunities for professional development and career growth
* Participation in annual incentive programs based on individual and organizational performance
* Flexible work arrangements, with a preferred location in Minneapolis, MN, and remote work options within the United States
 Equal Opportunity
 General Mills is an equal opportunity employer committed to fostering a diverse and inclusive workplace. We do not discriminate based on race, color, religion, sex, sexual orientation, gender identity, national origin, age, disability, or any other protected status. We encourage applicants from all backgrounds to apply and participate in our hiring process. All employment decisions are made based on qualifications, merit, and business needs.</t>
        </is>
      </c>
    </row>
    <row r="65">
      <c r="A65" t="inlineStr">
        <is>
          <t>li-4365077680</t>
        </is>
      </c>
      <c r="B65" t="inlineStr">
        <is>
          <t>Data Scientist</t>
        </is>
      </c>
      <c r="C65" t="inlineStr">
        <is>
          <t>Atlassian</t>
        </is>
      </c>
      <c r="D65" t="inlineStr">
        <is>
          <t>linkedin</t>
        </is>
      </c>
      <c r="E65">
        <f>HYPERLINK("https://www.linkedin.com/jobs/view/4365077680", "https://www.linkedin.com/jobs/view/4365077680")</f>
        <v/>
      </c>
      <c r="F65">
        <f>HYPERLINK("https://www.wiraa.com/job-description/usC6047D5545BA4B6644B7D0792DE01013?source=Linkedin&amp;urlHash=6WJB", "https://www.wiraa.com/job-description/usC6047D5545BA4B6644B7D0792DE01013?source=Linkedin&amp;urlHash=6WJB")</f>
        <v/>
      </c>
      <c r="G65" t="inlineStr"/>
      <c r="H65" t="inlineStr"/>
      <c r="I65" t="inlineStr">
        <is>
          <t>**About The Company** 
 Atlassian is a global leader in enterprise software solutions that facilitate collaboration, project management, and productivity for teams of all sizes. Committed to unleashing the potential of every team, Atlassian develops innovative tools designed to streamline workflows, foster communication, and enhance overall efficiency. The company values diversity, inclusion, and a distributed\-first work environment, allowing employees to work from anywhere in the world. With a focus on creating a supportive and engaging workplace, Atlassian invests in its people and offers a comprehensive suite of benefits to promote well\-being and growth. As a company that empowers teams to do their best work, Atlassian continues to set industry standards through its innovative products and inclusive culture.
**About The Role** 
 We are seeking a highly skilled and experienced Analytics \&amp; Data Science professional to join our team in San Francisco or remotely. In this role, you will collaborate with cross\-functional partners to address a wide range of product and business challenges. Your primary focus will be on leveraging your technical expertise to conduct quantitative analysis, design experiments, and present data\-driven insights that influence strategic decisions. You will develop hypotheses using diverse analytical methodologies, frameworks, and technical approaches, testing and validating them to uncover opportunities for product and business improvements. Your insights will help shape product roadmaps, inform strategy, and identify key metrics for monitoring success. As a trusted advisor to leadership, you will communicate complex data insights through compelling storytelling techniques, ensuring that your findings drive impactful decisions across the organization.
**Qualifications** 
* 8\+ years of experience in Data Science or related fields
* Proficiency in SQL and at least one additional data manipulation programming language (e.g., Python, R)
* Expertise in data visualization tools such as Tableau, R\-Shiny, Microstrategy, SAP Business Objects, Looker, etc.
* Strong knowledge of statistical concepts including regressions, A/B testing, clustering, and probability
* Proven track record of driving impactful projects that influence business strategy and performance through analytics
* Excellent storytelling skills with the ability to craft persuasive analysis and communicate insights effectively
* Experience advising and presenting to senior executives and serving as a thought partner
**Desirable Qualifications Include** 
* 10\+ years of experience in Data Science or related fields
* Understanding of the SaaS business model and key metrics
* Experience developing insights for Chat, Search, or LLM\-based products
**Responsibilities** 
* Collaborate with cross\-functional teams to solve diverse product and business problems, becoming a trusted strategic partner
* Apply technical expertise to conduct quantitative analysis, experimentation, and data presentation to develop strategic insights
* Develop hypotheses and test them using various analytical methodologies, frameworks, and technical approaches
* Identify, define, and evaluate opportunities for product and business improvements through data\-driven insights
* Partner with teams to influence and execute strategic decisions based on analytical findings
* Monitor and forecast key product metrics to measure success, identify trends, and anticipate challenges
* Utilize data to inform product development, quantify new opportunities, and ensure products deliver value to users and the business
* Communicate insights across the organization through storytelling, including presentations to leadership teams
**Benefits** 
* Comprehensive health coverage including medical, dental, and vision plans
* Paid volunteer days to support community engagement
* Wellness resources and programs to promote physical and mental health
* Flexible work arrangements supporting remote and hybrid work models
* Competitive compensation packages including bonuses, equity, and benefits
* Opportunities for professional development and career growth
 Equal Opportunity
 At Atlassian, we are committed to fostering an inclusive environment where all employees are valued and respected. We do not discriminate based on race, religion, national origin, gender identity or expression, sexual orientation, age, marital status, veteran status, disability, or any other protected characteristic.</t>
        </is>
      </c>
    </row>
    <row r="66">
      <c r="A66" t="inlineStr">
        <is>
          <t>li-4355200938</t>
        </is>
      </c>
      <c r="B66" t="inlineStr">
        <is>
          <t>Data Scientist (REMOTE)</t>
        </is>
      </c>
      <c r="C66" t="inlineStr">
        <is>
          <t>Signet Jewelers</t>
        </is>
      </c>
      <c r="D66" t="inlineStr">
        <is>
          <t>linkedin</t>
        </is>
      </c>
      <c r="E66">
        <f>HYPERLINK("https://www.linkedin.com/jobs/view/4355200938", "https://www.linkedin.com/jobs/view/4355200938")</f>
        <v/>
      </c>
      <c r="F66" t="inlineStr"/>
      <c r="G66" t="inlineStr"/>
      <c r="H66" t="inlineStr"/>
      <c r="I66"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We are looking for a Data Scientist to join our Enterprise Analytics team and contribute to pricing and promotion optimization initiatives. This role offers hands\-on experience in building models, performing exploratory analysis, and collaborating with business stakeholders to deliver actionable insights.
**KEY RESPONSIBILITIES:**
* Collaborate with the team to develop and enhance machine learning models that support pricing and promotional strategies
* Perform data exploration and analysis to uncover insights that drive business outcomes.
* Contribute to the design of scalable, interpretable solutions for retail applications
* Partner with stakeholders to translate analytics into actionable strategies for pricing and promotions
* Support continuous improvement through monitoring, evaluation, and scenario planning
* Assist in building automated data pipelines for model refresh and reporting
* Participate in cross\-functional discussions to align analytics with business goals
**POSITION QUALIFICATIONS:**
* 1–3 years of experience in data science or advanced analytics roles
* Proficiency in Python (Pandas, scikit\-learn, statsmodels) and SQL
* Solid understanding of statistics, machine learning fundamentals, and data wrangling
* Exposure to time series forecasting and basic econometric concepts
* Strong analytical mindset and ability to work in a collaborative environment
* Familiarity with retail analytics or pricing/promotion modeling, preferred
* Familiarity with cloud\-based ML platforms (e.g., AWS SageMaker), preferred
* Knowledge of MLOps practices and deployment pipelines, preferred
* Interest in Generative AI applications for retail, preferred
**BENEFITS AND PERKS:**
* Comprehensive healthcare, dental, and vision insurance to keep you and your family covered
* Generous 401(k) matching after just one year to help secure your financial future
* Ample paid time off, plus seven holidays to recharge and unwind
* Exclusive discounts on premium merchandise just for you
* Dynamic Learning \&amp; Development programs to support your growth
* And more!
*The salary range for this opportunity is $90,000\- $105,000\. Base pay offered may vary depending on geographic region, internal equity, job related knowledge, skills and experience, among other factors.*</t>
        </is>
      </c>
    </row>
    <row r="67">
      <c r="A67" t="inlineStr">
        <is>
          <t>li-4354220806</t>
        </is>
      </c>
      <c r="B67" t="inlineStr">
        <is>
          <t>Data Scientist</t>
        </is>
      </c>
      <c r="C67" t="inlineStr">
        <is>
          <t>Spot Pet Insurance</t>
        </is>
      </c>
      <c r="D67" t="inlineStr">
        <is>
          <t>linkedin</t>
        </is>
      </c>
      <c r="E67">
        <f>HYPERLINK("https://www.linkedin.com/jobs/view/4354220806", "https://www.linkedin.com/jobs/view/4354220806")</f>
        <v/>
      </c>
      <c r="F67" t="inlineStr"/>
      <c r="G67" t="inlineStr">
        <is>
          <t>Miami, FL</t>
        </is>
      </c>
      <c r="H67" t="inlineStr"/>
      <c r="I67" t="inlineStr">
        <is>
          <t>**Who we are:** 
 Spot Pet Insurance is the fastest growing pet insurance company in North America. Our commitment to an exceptional end\-to\-end customer experience and our data\-driven approach have quickly established us as a leading pet insurance provider. We're dedicated to providing pet parents with peace of mind by offering accessible and comprehensive coverage so their furry companions can lead happier, healthier lives. To demonstrate this, we recently joined forces with MrBeast to find homes for 100 homeless pets and committed to giving each of them pet insurance for life! Along the way, we’ve created a company culture that allows our employees to thrive, with perks like daily free meals, a pet\-friendly office, and ridiculously fun company events every quarter. Our dedication to fostering a positive and rewarding work environment for our team has even earned us a Great Place to Work certification.
**About the Role:** 
 Love Pets? Love AI? Let's Talk.
 We’re looking for a Data Scientist who treats AI like a trusted teammate and thrives in a collaborative, fast\-moving environment. If you're already using large language models, AI coding assistants, and automated analysis tools every day, you'll fit right in here. At Spot, we help pet parents protect the animals they love. Your work will make that protection smarter and more personal.
**Key Responsibilities** 
* Team up across the company to find problems worth solving with data.
* Use AI tools (Claude, ChatGPT, Copilot, and others) to write, debug, and ship code faster.
* Build predictive models for pricing, claims, fraud detection, and customer behavior.
* Design experiments and measure what works. You know correlation isn't causation.
* Run marketing mix modeling to show where our dollars work hardest.
* Create customer models that help us earn trust and keep it.
* Build internal tools and data products that help your teammates answer their own questions and make better decisions without waiting on you.
* Share your findings in ways everyone can understand. Skip the jargon.
* Keep learning. AI and machine learning move fast. So should you.
**Required Qualifications** 
* Degree in Computer Science, Statistics, Mathematics, Engineering, or a related field.
* Real experience as a Data Scientist in a fast\-paced environment.
* Strong programming skills in Python, R, and SQL, including data and ML libraries (pandas, NumPy, scikit\-learn, TensorFlow, PyTorch).
* Experience with BigQuery and Databricks.
* Solid grounding in statistics, hypothesis testing, and experimental design.
* Daily use of AI assistants for coding, analysis, and problem\-solving. We'll ask for examples.
* Experience building dashboards, self\-serve tools, or internal data products for non\-technical users.
* You explain complex ideas clearly
**About AI Proficiency** 
 This matters. We'll ask how you use AI tools in your current work. We want specifics, not buzzwords. If AI isn't already part of how you get things done, this role won't be a good fit. But if you're the type who's always looking for ways to work smarter, we'd love to hear from you.
**About Location** 
 We work together in our downtown Miami office five days a week. This is non\-negotiable. We believe the best collaboration happens in person, and this role requires it.
**What we offer:** 
* The opportunity to work on challenging and impactful projects at the intersection of design and data.
* A collaborative and supportive work environment, recognized as a Great Place to Work.
* Cell phone allowance of $100 per month
* Health, dental, and visions benefits
* Life insurance
* ClassPass
* Unlimited PTO
* Bring your pet to work
* Your pet insurance is covered (Up to $100\)
* 401k with Company match
* Annual performance\-based bonus</t>
        </is>
      </c>
    </row>
    <row r="68">
      <c r="A68" t="inlineStr">
        <is>
          <t>li-4365113562</t>
        </is>
      </c>
      <c r="B68" t="inlineStr">
        <is>
          <t>Senior Data Scientist</t>
        </is>
      </c>
      <c r="C68" t="inlineStr">
        <is>
          <t>Webflow</t>
        </is>
      </c>
      <c r="D68" t="inlineStr">
        <is>
          <t>linkedin</t>
        </is>
      </c>
      <c r="E68">
        <f>HYPERLINK("https://www.linkedin.com/jobs/view/4365113562", "https://www.linkedin.com/jobs/view/4365113562")</f>
        <v/>
      </c>
      <c r="F68" t="inlineStr"/>
      <c r="G68" t="inlineStr"/>
      <c r="H68" t="inlineStr"/>
      <c r="I68" t="inlineStr">
        <is>
          <t>At Webflow, we’re building the world’s leading AI\-native Digital Experience Platform, and we’re doing it as a remote\-first company built on trust, transparency, and a whole lot of creativity. This work takes grit, because we move fast, without ever sacrificing craft or quality. Our mission is to bring development superpowers to everyone. From entrepreneurs launching their first idea to global enterprises scaling their digital presence, we empower teams to design, launch, and optimize for the web without barriers. We believe the future of the web, and work, is more open, more creative, and more equitable. And we’re here to build it together.
 We’re adding a Senior Data Scientist to our team to help inform the future of Webflow with data by building a deep understanding of how our customers create for the web using our product. You’ll partner directly with key product, engineering, and design stakeholders to identify interesting business questions and provide the data and quantitative analysis to answer them, leading the development of KPIs and helping teams understand how to improve our product. You will also work with our analytics and data engineering partners to mature our data foundations, including data logging, pipelines, as well as high quality source\-of\-truth tables.
**About The Role** 
* Location: Remote\-first (United States; BC \&amp; ON, Canada)
* Full\-time
* Permanent
* Exempt
* The cash compensation for this role is tailored to align with the cost of labor in different geographic markets. We've structured the base pay ranges for this role into zones for our geographic markets, and the specific base pay within the range will be determined by the candidate’s geographic location, job\-related experience, knowledge, qualifications, and skills.
+ United States (all figures cited below in USD and pertain to workers in the United States)
- Zone A: $150,100 \- $188,100
- Zone B: $141,600 \- $176,700
- Zone C: $132,100 \- $165,300
+ Canada (All figures cited below in CAD and pertain to workers in ON \&amp; BC, Canada)
- $171,000 \- $213,800
 This role is also eligible to participate in Webflow's company\-wide bonus program. Target amounts are a percentage of base salary and vary by career level. Payouts are based on company performance against established financial and operational goals.
 Please visit our Careers page for more information on which locations are included in each of our geographic pay zones. However, please confirm the zone for your specific location with your recruiter.
* Application Information:
+ Application deadline: applications accepted on an ongoing basis until position is closed and filled
+ This posting is for an existing vacancy.
* Reporting to the Director, Data Science.
 As a Senior Data Scientist you’ll …
* Enable our product teams to think strategically with key stakeholders about how customers engage with Webflow, identifying and executing on high impact growth opportunities with actionable insights
* Define product and business success metrics, building tools for monitoring and surfacing drivers of KPIs (Key Performance Indicators)
* Lead technical and non\-technical team members with processes and technical expertise for executing experiments, answering open ended business questions with data, and researching levers for improving our product.
* Develop our data foundation, experimentation and machine learning capabilities, collaborating on our strategic roadmap for building new pipelines and tools that contribute to our connected, complete understanding of our customer journey and improve our customer experience. We currently use Snowflake, DBT, Tableau, and Fivetran and are working with our Data Engineering collaborators on scaling our platform capabilities with a number of other tools!
**Requirements**
**About you:**
* BA/BS degree or equivalent experience
 You’ll thrive as a Senior Data Scientist if you:
* Have 4\+ years of experience in a Data Science (or similar) position
* Have interest and experience in mentoring and developing the technical skills of your team members, helping to build a collaborative data science practice
* Have demonstrated experience working as a Data Scientist (or the equivalent in quantitative analysis), contributing to the strategic roadmap, providing high quality, reproducible analysis that impacts company strategy and decision making, building tools to enable scalable processes and enabling others to do the same
* Have expertise in applied statistics (e.g. predictive modeling, hypothesis testing, regressions), segmentation and experimentation (e.g. A/B testing) in an industry setting and the ability to explain concepts to technical and non\-technical team members
* Have proficiency in SQL, and experience with a programming language like Python or R
* Curious about diving into the nuances of our business and product data
* Thrive collaborating with product teams in a fast\-paced and sometimes ambiguous environment, solving complex and nuanced problems
* Engage both technical and nontechnical audiences with clear and compelling communication
* Stay curious and open to growth — actively building fluency in emerging technologies like AI to unlock creativity, accelerate progress, and amplify impact.
**Our Core Behaviors**
* Build lasting customer trust. We build trust by taking action that puts customer trust first.
* Win together. We play to win, and we win as one team. Success at Webflow isn't a solo act.
* Reinvent ourselves. We don't just improve what exists, we imagine what's possible.
* Deliver with speed, quality, and craft. We move fast because the moment demands it, and we do so without lowering the bar.
**Benefits**
* Ownership in what you help build. Every permanent Webflower receives equity (RSUs) in our growing, privately held company.
* Health coverage that actually covers you. Comprehensive medical, dental, and vision plans for full\-time employees and their dependents, with Webflow covering most premiums.
* Support for every stage of family life. 12 weeks of paid parental leave for all parents and 6\+ weeks of additional paid leave for birthing parents. Plus inclusive care for family planning, menopause, and midlife transitions.
* Time off that’s actually off. Flexible vacation, paid holidays, and a sabbatical program to help you recharge and come back inspired.
* Wellness for the whole you. Access to mental health resources, therapy and coaching.
* Invest in your future. A 401(k) with 100% employer match (up to $6,000/year) in the U.S., and support for retirement savings globally.
* Monthly stipends that flex with your life. Localized support for work and wellness expenses — from Wi\-Fi to workouts.
* Bonus for building together. All full\-time, permanent, non\-commission employees are eligible for our annual WIN bonus program.
*Temporary employees may be eligible for paid holiday and time off, statutory leaves of absence, and company\-sponsored medical benefits depending on their Fixed Term Contract and their country/state of employment.*
**Remote, together**
 At Webflow, equality is a core tenet of our culture. We are an Equal Opportunity (EEO)/Veterans/Disabled Employer and are committed to building an inclusive global team that represents a variety of backgrounds, perspectives, beliefs, and experiences. Employment decisions are made on the basis of job\-related criteria without regard to race, color, religion, sex, sexual orientation, gender identity, national origin, disability, veteran status, or any other classification protected by applicable law. Pursuant to the San Francisco Fair Chance Ordinance, Webflow will consider for employment qualified applicants with arrest and conviction records.
**Stay connected**
 Not ready to apply, but want to be part of the Webflow community? Consider following our story on our Webflow Blog, LinkedIn, X (Twitter), and/or Glassdoor.
**Please Note**
*We will ensure that individuals with disabilities are provided reasonable accommodation to participate in the job application or interview process, to perform essential job functions, and to receive other benefits and privileges of employment. Upon interview scheduling, instructions for confidential accommodation requests will be administered.*
*To join Webflow, you'll need a valid right to work authorization depending on the country of employment.*
*If you are extended an offer, that offer may be contingent upon your successful completion of a background check, which will be conducted in accordance with applicable laws. We may obtain one or more background screening reports about you, solely for employment purposes.*
*For information about how Webflow processes your personal information, please review* 
*Webflow’s Applicant Privacy Notice* 
*.*</t>
        </is>
      </c>
    </row>
    <row r="69">
      <c r="A69" t="inlineStr">
        <is>
          <t>li-4321990241</t>
        </is>
      </c>
      <c r="B69" t="inlineStr">
        <is>
          <t>Senior Data Scientist</t>
        </is>
      </c>
      <c r="C69" t="inlineStr">
        <is>
          <t>PrePass</t>
        </is>
      </c>
      <c r="D69" t="inlineStr">
        <is>
          <t>linkedin</t>
        </is>
      </c>
      <c r="E69">
        <f>HYPERLINK("https://www.linkedin.com/jobs/view/4321990241", "https://www.linkedin.com/jobs/view/4321990241")</f>
        <v/>
      </c>
      <c r="F69" t="inlineStr"/>
      <c r="G69" t="inlineStr"/>
      <c r="H69" t="inlineStr"/>
      <c r="I69"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We're seeking a Senior Data Scientist to lead advanced analytics and machine learning initiatives that drive strategic decisions and product innovation. You will work cross\-functionally with data engineers, BI analysts, product and operational teams to develop scalable models and insights that shape the future of transportation logistics. This role is fully remote.
**Key Responsibilities**
**Data Science and Machine Learning**
* Design, train, and evaluate predictive and optimization models using statistical, machine learning, and deep learning techniques
* Build and deploy models for classification, regression, clustering, and anomaly detection
* Develop time series forecasting models for churn prediction and demand forecasting
* Balance R\&amp;D prototyping with production\-grade model development
**Feature Development and Engineering**
* Partner with data architects and engineers to source, clean, and transform large datasets from the Fabric data lakehouse and warehouse environments
* Create reusable data pipelines and feature stores for model training and scoring
* Ensure model reproducibility, explainability, and integration into downstream reporting or applications
**Programming and Tools**
* Use Python extensively with libraries such as scikit\-learn, pandas, numpy, statsmodels, seaborn, and matplotlib
* Work with SQL and T\-SQL for data manipulation and analysis
* Create compelling visualizations and dashboards using Power BI including DAX measures
**Business Collaboration and Impact**
* Partner with BI analysts, data engineers, and architects to understand business needs
* Translate complex modeling outcomes into actionable business recommendations
* Present findings and model outcomes to non\-technical stakeholders across Product, Operations, and Leadership
* Contribute to the development of scalable data science infrastructure and best practices
**Requirements**
****Qualifications****
**Required**
* Bachelor's degree in computer science, statistics, mathematics, machine learning, or equivalent quantitative field. (Master's or PhD preferred.)
* 5\+ years of experience in building machine learning models in business contexts
* Proven track record of deploying models in production environments
* Strong collaboration and communication skills in dynamic, cross\-functional teams
**Preferred**
* Proficiency in Microsoft cloud technologies, especially Fabric
* Experience building ML pipelines with MLOps features including preprocessing, training, model deployment, monitoring/retraining, and CICD
* Experience working with GPS telemetry data including latency, gaps, and error handling
* Familiarity with geospatial data science including spatial joins, clustering, ArcGIS GeoAnalytics, and geohashing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70">
      <c r="A70" t="inlineStr">
        <is>
          <t>li-4365132605</t>
        </is>
      </c>
      <c r="B70" t="inlineStr">
        <is>
          <t>Junior AI/ML scientist</t>
        </is>
      </c>
      <c r="C70" t="inlineStr">
        <is>
          <t>Daice Labs</t>
        </is>
      </c>
      <c r="D70" t="inlineStr">
        <is>
          <t>linkedin</t>
        </is>
      </c>
      <c r="E70">
        <f>HYPERLINK("https://www.linkedin.com/jobs/view/4365132605", "https://www.linkedin.com/jobs/view/4365132605")</f>
        <v/>
      </c>
      <c r="F70" t="inlineStr"/>
      <c r="G70" t="inlineStr">
        <is>
          <t>Boston, MA</t>
        </is>
      </c>
      <c r="H70" t="inlineStr"/>
      <c r="I70" t="inlineStr">
        <is>
          <t>Company Description
 Daice Labs is building hybrid AI frameworks that integrate today's models into systems that learn continuously. Founded by MIT CSAIL scientists, we focus on building new architectures by combining LLMs/DL with symbolic reasoning and bio\-inspired system design. Operating on two tracks, our Product Lab develops industry\-specific solutions for collaborative human teams \+ AI co\-building and co\-owning vertical applications, while our Research Lab explores how principles of natural intelligence can guide system design of new hybrid AI architectures.
 Join us in taking the next leap in productivity through collaborative innovation.
 Role Description
 This is a full\-time remote role for a Junior AI/ML Engineer. The engineer will be responsible for developing, testing, and optimizing AI/ML models with a focus on hybrid AI architectures. Day\-to\-day tasks include implementing innovative algorithms, conducting experiments to validate models, collaborating with cross\-functional teams, and contributing to research on new AI paradigms. The engineer will also be involved in translating research findings into practical applications and building scalable AI solutions.
 Qualifications
* Strong understanding of Pattern Recognition, Neural Networks, LLMs, agentic architectures, hybrid and composite AI
* Proficiency in Computer Science and ML Algorithms (proficiency in python and ML stack languages)
* Experience with Statistics, evaluation, inference, platform integration
* Good problem\-solving skills and the ability to work collaboratively
* Excellent written and verbal communication skills
* Bachelor's or Master's degree in AI, Machine Learning, Computer Science, or related field
* Experience in hybrid AI architectures,
 reinforcement learning, evolutionary search, symbolic techniques, and program synthesis</t>
        </is>
      </c>
    </row>
    <row r="71">
      <c r="A71" t="inlineStr">
        <is>
          <t>li-4330606918</t>
        </is>
      </c>
      <c r="B71" t="inlineStr">
        <is>
          <t>Business Data Scientist, AI/ML, Google Cloud</t>
        </is>
      </c>
      <c r="C71" t="inlineStr">
        <is>
          <t>Google</t>
        </is>
      </c>
      <c r="D71" t="inlineStr">
        <is>
          <t>linkedin</t>
        </is>
      </c>
      <c r="E71">
        <f>HYPERLINK("https://www.linkedin.com/jobs/view/4330606918", "https://www.linkedin.com/jobs/view/4330606918")</f>
        <v/>
      </c>
      <c r="F71" t="inlineStr"/>
      <c r="G71" t="inlineStr">
        <is>
          <t>Sunnyvale, CA</t>
        </is>
      </c>
      <c r="H71" t="inlineStr"/>
      <c r="I7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in a data science role, with machine learning and Natural Language Processing (NLP) for developing and deploying AI/ML solutions.
* Experience with AI/ML libraries (e.g., TensorFlow, PyTorch, scikit\-learn, Hugging Face).
**Preferred qualifications:**
* PhD degree in Computer Science, Artificial Intelligence, Machine Learning, or a related quantitative field.
* Experience with Large Language Models (LLMs), including application in solving business problems.
* Experience in intelligent self\-sustaining agents, including design, development, evaluation, and deployment.
* Experience with cloud platforms (e.g., Google Cloud Platform) and AI/ML services related to LLMs and generative AI.
* Experience in customer support or support\-adjacent roles.
* Excellent programming skills in Python or a similar language with the ability to translate data into actionable insights and communicate findings to technical and non\-technical stakeholders.
**About The Job**
 As a Business Data Scientist, you will be instrumental in driving customer success at scale by building the predictive, personalized, and proactive solutions that define the future of customer support. You will work with datasets to develop and deploy innovative AI/ML solutions, translating data into actionable strategies.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customer success at scale while researching and integrating advancements in Large Language Models (LLMs), Generative AI, and AI agent architectures to continuously enhance our capabilities and foster innovation.
* Lead development and deployment of advanced AI/ML solutions, with an emphasis on LLMs and intelligent self\-sustaining, agents, addressing business issues.
* Implement evaluation frameworks and metrics for LLMs and AI agents, encompassing both traditional model performance and agent\-specific evaluation criteria (e.g., task completion rate, reasoning quality).
* Monitor and maintain deployed LLM and AI agent solutions in production, including tracking key performance indicators, identifying and addressing model drift, and ensuring system stability and scalability.
* Identify and define AI/ML opportunities by collaborating with stakeholders to translate business needs into technical requirements and measurable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li-4330843336</t>
        </is>
      </c>
      <c r="B72" t="inlineStr">
        <is>
          <t>Business Data Scientist, AI/ML, Google Cloud</t>
        </is>
      </c>
      <c r="C72" t="inlineStr">
        <is>
          <t>Google</t>
        </is>
      </c>
      <c r="D72" t="inlineStr">
        <is>
          <t>linkedin</t>
        </is>
      </c>
      <c r="E72">
        <f>HYPERLINK("https://www.linkedin.com/jobs/view/4330843336", "https://www.linkedin.com/jobs/view/4330843336")</f>
        <v/>
      </c>
      <c r="F72" t="inlineStr"/>
      <c r="G72" t="inlineStr">
        <is>
          <t>San Francisco, CA</t>
        </is>
      </c>
      <c r="H72" t="inlineStr"/>
      <c r="I7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in a data science role, with machine learning and Natural Language Processing (NLP) for developing and deploying AI/ML solutions.
* Experience with AI/ML libraries (e.g., TensorFlow, PyTorch, scikit\-learn, Hugging Face).
**Preferred qualifications:**
* PhD degree in Computer Science, Artificial Intelligence, Machine Learning, or a related quantitative field.
* Experience with Large Language Models (LLMs), including application in solving business problems.
* Experience in intelligent self\-sustaining agents, including design, development, evaluation, and deployment.
* Experience with cloud platforms (e.g., Google Cloud Platform) and AI/ML services related to LLMs and generative AI.
* Experience in customer support or support\-adjacent roles.
* Excellent programming skills in Python or a similar language with the ability to translate data into actionable insights and communicate findings to technical and non\-technical stakeholders.
**About The Job**
 As a Business Data Scientist, you will be instrumental in driving customer success at scale by building the predictive, personalized, and proactive solutions that define the future of customer support. You will work with datasets to develop and deploy innovative AI/ML solutions, translating data into actionable strategies.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customer success at scale while researching and integrating advancements in Large Language Models (LLMs), Generative AI, and AI agent architectures to continuously enhance our capabilities and foster innovation.
* Lead development and deployment of advanced AI/ML solutions, with an emphasis on LLMs and intelligent self\-sustaining, agents, addressing business issues.
* Implement evaluation frameworks and metrics for LLMs and AI agents, encompassing both traditional model performance and agent\-specific evaluation criteria (e.g., task completion rate, reasoning quality).
* Monitor and maintain deployed LLM and AI agent solutions in production, including tracking key performance indicators, identifying and addressing model drift, and ensuring system stability and scalability.
* Identify and define AI/ML opportunities by collaborating with stakeholders to translate business needs into technical requirements and measurable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3">
      <c r="A73" t="inlineStr">
        <is>
          <t>li-4365120276</t>
        </is>
      </c>
      <c r="B73" t="inlineStr">
        <is>
          <t>Lead, Data Scientist</t>
        </is>
      </c>
      <c r="C73" t="inlineStr">
        <is>
          <t>Petco</t>
        </is>
      </c>
      <c r="D73" t="inlineStr">
        <is>
          <t>linkedin</t>
        </is>
      </c>
      <c r="E73">
        <f>HYPERLINK("https://www.linkedin.com/jobs/view/4365120276", "https://www.linkedin.com/jobs/view/4365120276")</f>
        <v/>
      </c>
      <c r="F73" t="inlineStr"/>
      <c r="G73" t="inlineStr">
        <is>
          <t>San Antonio, Texas Metropolitan Area</t>
        </is>
      </c>
      <c r="H73" t="inlineStr"/>
      <c r="I73"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**Position Purpose**
 As Lead Data Scientist on Petco’s Enterprise Analytics and Data Science team, you will spearhead the development and deployment of scalable, production\-grade machine learning models that enable personalized membership and digital experiences. You will partner closely with stakeholders in the membership and digital teams to plan and execute data science initiatives that support customer engagement, loyalty growth, and digital performance.
**Essential Job Functions:** 
*The incumbent must be able to perform all of the following duties and responsibilities* 
 w
 *ith or without a reasonable accommodation.*
* Build, maintain, optimize, and productionize machine learning models and advanced algorithms that enhance membership and digital customer experiences.
* Generate and test hypotheses and analyze and interpret results of experiments.
* Communicate insights and recommendations through clear written reports and verbal presentations to audiences of varying technical sophistication.
* Improve upon existing methodologies by developing new data sources, testing model enhancements, and refining model parameters.
* Define requirements and collaborate with engineering teams to develop analytic capabilities, platforms, and pipelines that enable scalable modeling.
* Develop and monitor KPIs across multiple business areas, ensuring accurate tracking and performance measurement.
* Provide leadership, including guiding and training, to more junior data scientists.
**Education And Experience**
* MS or PhD in Statistics, Math, Engineering, Economics, or a related quantitative field.
* 8\+ years of experience in business analytics and data science.
* Previous experience working with machine learning/deep learning for real\-world problems in a corporate environment is a must.
* Demonstrable track record of dealing well with ambiguity, prioritizing needs, and delivering results in a dynamic environment.
* Proficiency with SQL and Python required; proficiency in R is a strong plus.
* Ability to explain/present complicated/advanced analytical methodology and results to non\-technical audiences.
* Advanced quantitative modeling, statistical analysis, and critical thinking skills.
* Related experience in a retail organization is a strong plus.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$142,100\.00 \- $213,100\.00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74">
      <c r="A74" t="inlineStr">
        <is>
          <t>li-4365108126</t>
        </is>
      </c>
      <c r="B74" t="inlineStr">
        <is>
          <t>Data Scientist | Clinical AI</t>
        </is>
      </c>
      <c r="C74" t="inlineStr">
        <is>
          <t>Machinify</t>
        </is>
      </c>
      <c r="D74" t="inlineStr">
        <is>
          <t>linkedin</t>
        </is>
      </c>
      <c r="E74">
        <f>HYPERLINK("https://www.linkedin.com/jobs/view/4365108126", "https://www.linkedin.com/jobs/view/4365108126")</f>
        <v/>
      </c>
      <c r="F74" t="inlineStr"/>
      <c r="G74" t="inlineStr">
        <is>
          <t>Palo Alto, CA</t>
        </is>
      </c>
      <c r="H74" t="inlineStr"/>
      <c r="I74"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 Translate medical policy into executable logic \- Read and interpret medical policies and clinical criteria (e.g., lab thresholds, temporal windows, trend logic, exclusions).
* Convert requirements into correct, maintainable SQL and Python implementations (e.g., creatinine\-based AKI rules, bilirubin thresholds, troponin dynamics, ABG\-derived criteria).
* Design rule representations that are composable and auditable (clear inputs, outputs, assumptions, edge cases).
* Prompt engineering and system parameter tuning for AI configuration that extracts clinical information from medical records.
* Build robust clinical feature pipelines
* Create and maintain pipelines that compute clinical features from extracted signals (labs, vitals, flowsheets, notes\-derived facts).
* Handle tricky realities: missing timestamps, multiple measurement sources, unit normalization, deduplication, conflicting values, provenance tracking.
* Own measurement, evaluation, and continuous quality improvement
* Define and instrument accuracy metrics for the AI system that extracts data from medical records
* Build gold datasets, sampling strategies, and review workflows with clinical/operations partners.
* Perform error analysis, identify root causes (retrieval failures, OCR issues, extraction ambiguity, policy interpretation gaps), and drive improvements.
* Establish engineering frameworks and tooling
* Create reusable tooling for policy\-to\-code translation: templates, test harnesses, validation suites, regression checks, and monitoring dashboards.
* Improve infrastructure for large\-scale runs: orchestration, logging, lineage, versioning, and reproducibility.
* Implement guardrails and QA gates so policy logic changes are safe, traceable, and measurable.
* Partner deeply with domain experts
* Work with clinicians, policy specialists, and operations to clarify ambiguous requirements and ensure implementations reflect real\-world intent.
* Produce clear documentation that explains what the code is doing and why, with examples and edge\-case handling.
**What You'll Bring**
* Strong SQL and Python engineering skills \- Ability to translate nuanced requirements into correct SQL (CTEs, window functions, joins at scale, performance tuning) and production\-quality Python. \- Experience building testable pipelines, not just ad hoc analysis.
* Experience operationalizing rules \+ models \- Track record of implementing complex business/clinical logic and deploying it reliably. \- Comfort working with imperfect, messy, high\-volume datasets.
* Evaluation/Metric mindset \- Experience designing metrics, building ground truth, running experiments, and improving system quality through structured iteration. \- Ability to connect technical quality measures to business outcomes (e.g., accuracy vs reviewer burden vs downstream decisions).
* Systems thinking and rigor \- You build frameworks that make other engineers/scientists faster: shared libraries, patterns, tooling, and clear interfaces.
* You sweat details: edge cases, provenance, temporal logic, unit conversions, and regression safety.
* Healthcare curiosity (and willingness to learn fast) \- Interest in medical records, clinical data, and how policies translate into decision criteria. \- Prior healthcare experience is a plus, but not required if you bring the aptitude and motivation.
**Nice to Have**
 Experience with clinical data standards or lab data normalization (LOINC familiarity, units conversion, reference ranges). \- Experience evaluating LLM/IE systems (information extraction) or building human\-in\-the\-loop QA workflows. \- Familiarity with distributed data systems (Spark, BigQuery/Snowflake, Databricks) and workflow orchestrators.
**Why This Role**
 If you enjoy turning ambiguous real\-world policies into precise code, building quality systems that make AI reliable, and operating at the boundary of clinical domain nuance and production engineering, this role is designed for you.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75">
      <c r="A75" t="inlineStr">
        <is>
          <t>li-4362190933</t>
        </is>
      </c>
      <c r="B75" t="inlineStr">
        <is>
          <t>Data Scientist</t>
        </is>
      </c>
      <c r="C75" t="inlineStr">
        <is>
          <t>Millennium Software and Staffing Inc</t>
        </is>
      </c>
      <c r="D75" t="inlineStr">
        <is>
          <t>linkedin</t>
        </is>
      </c>
      <c r="E75">
        <f>HYPERLINK("https://www.linkedin.com/jobs/view/4362190933", "https://www.linkedin.com/jobs/view/4362190933")</f>
        <v/>
      </c>
      <c r="F75" t="inlineStr"/>
      <c r="G75" t="inlineStr">
        <is>
          <t>Santa Clara, CA</t>
        </is>
      </c>
      <c r="H75" t="inlineStr"/>
      <c r="I75" t="inlineStr">
        <is>
          <t>The ideal candidate's favorite words are learning, data, scale, and agility. You will leverage your strong collaboration skills and ability to extract valuable insights from highly complex data sets to ask the right questions and find the right answers.
**Responsibilities** 
* Analyze raw data: assessing quality, cleansing, structuring for downstream processing
* Design accurate and scalable prediction algorithms
* Collaborate with engineering team to bring analytical prototypes to production
* Generate actionable insights for business improvements
**Qualifications** 
* Bachelor's degree or equivalent experience in quantative field (Statistics, Mathematics, Computer Science, Engineering, etc.)
* Material Science skills with forecasting on Materials
* At least 1 \- 2 years' of experience in quantitative analytics or data modeling
* Deep understanding of predictive modeling, machine\-learning, clustering and classification techniques, and algorithms
* Fluency in a programming language (Python, C,C\+\+, Java, SQL)
* Familiarity with Big Data frameworks and visualization tools (Cassandra, Hadoop, Spark, Tableau)</t>
        </is>
      </c>
    </row>
    <row r="76">
      <c r="A76" t="inlineStr">
        <is>
          <t>li-4327978223</t>
        </is>
      </c>
      <c r="B76" t="inlineStr">
        <is>
          <t>Research Data Scientist, Ads Metrics</t>
        </is>
      </c>
      <c r="C76" t="inlineStr">
        <is>
          <t>Google</t>
        </is>
      </c>
      <c r="D76" t="inlineStr">
        <is>
          <t>linkedin</t>
        </is>
      </c>
      <c r="E76">
        <f>HYPERLINK("https://www.linkedin.com/jobs/view/4327978223", "https://www.linkedin.com/jobs/view/4327978223")</f>
        <v/>
      </c>
      <c r="F76" t="inlineStr"/>
      <c r="G76" t="inlineStr">
        <is>
          <t>Mountain View, CA</t>
        </is>
      </c>
      <c r="H76" t="inlineStr"/>
      <c r="I76" t="inlineStr">
        <is>
          <t>**Minimum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 Experience working with Large Language Models (LLM’s) or applied AI.
**About the job** 
 Ads Metrics is the Data Scientist team for Search, Owned and Operated (O\&amp;O) ads. We support the Search Ads and Google Experience (SAGE) organisation in developing the most important ad products at Google. These products are at the heart of Google’s business driving in annual growth and are advanced, and rapidly growing and evolving. We are also working on the most exciting projects related to AI (LLM Eval, AI Mode).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7">
      <c r="A77" t="inlineStr">
        <is>
          <t>li-4365110290</t>
        </is>
      </c>
      <c r="B77" t="inlineStr">
        <is>
          <t>Applied Scientist</t>
        </is>
      </c>
      <c r="C77" t="inlineStr">
        <is>
          <t>Raydar</t>
        </is>
      </c>
      <c r="D77" t="inlineStr">
        <is>
          <t>linkedin</t>
        </is>
      </c>
      <c r="E77">
        <f>HYPERLINK("https://www.linkedin.com/jobs/view/4365110290", "https://www.linkedin.com/jobs/view/4365110290")</f>
        <v/>
      </c>
      <c r="F77" t="inlineStr"/>
      <c r="G77" t="inlineStr"/>
      <c r="H77" t="inlineStr"/>
      <c r="I77" t="inlineStr">
        <is>
          <t>As an Applied Scientist (ML), you will collaborate closely with our product and engineering teams, and use cutting\-edge ML research to transform how users interact with our client in their daily workflows. You'll drive impact across the entire ML lifecycle: from problem formulation and system analysis to data collection, benchmark development, model training, and production deployment. You’ll also have opportunities to publish your work and deliver impact to the ML community. Your expertise will advance our capabilities in these critical technical domains:
* Retrieval, ranking and RAG
* LLM post\-training and reinforcement learning
* AI agents for knowledge workflows
* ML benchmarks
 Your work has the potential to transform the following key products and deliver impacts to tens of thousands of professional users:
**Instant QA:** 
 Our client's custom\-built Question Answer system using state of the art in house models, seamlessly trained to work together to enable instant expert intelligence.
**Agents:** 
 You will enable expert\-level agentic workflows to automate comprehensive knowledge work and enable AI tools that work with experts to gain new insights.
**Responsibilities** 
* Formulate an ML problem from product requirements.
* Analyze existing ML systems for their limitations, and propose and validate novel methodologies to improve upon existing systems.
* Create and productionize cutting\-edge research prototypes for knowledge work at scale.
* Build novel ML evaluation datasets that serve as crucial criteria for production feature rollouts.
* \[Optionally] Mentor ML interns and publish your research findings with the community.
**Experience** 
 Required
* PhD or Master’s degree in Computer Science, Machine Learning, NLP, or a related field.
* Strong background in deep learning, large language models, and NLP techniques.
* A strong track record of first\-author publications in top AI/NLP conferences (e.g., NeurIPS, ICML, ACL, EMNLP).
* Proficiency in Python and deep learning frameworks such as PyTorch or Transformers, and strong coding skills.
 Preferred
* 2\+ years of experience in an industry applied ML research environment
* Familiarity with retrieval\-augmented generation, reasoning, LLM training and reinforcement learning techniques.</t>
        </is>
      </c>
    </row>
    <row r="78">
      <c r="A78" t="inlineStr">
        <is>
          <t>li-4330654087</t>
        </is>
      </c>
      <c r="B78" t="inlineStr">
        <is>
          <t>Business Data Scientist, AI/ML, Google Cloud</t>
        </is>
      </c>
      <c r="C78" t="inlineStr">
        <is>
          <t>Google</t>
        </is>
      </c>
      <c r="D78" t="inlineStr">
        <is>
          <t>linkedin</t>
        </is>
      </c>
      <c r="E78">
        <f>HYPERLINK("https://www.linkedin.com/jobs/view/4330654087", "https://www.linkedin.com/jobs/view/4330654087")</f>
        <v/>
      </c>
      <c r="F78">
        <f>HYPERLINK("https://careers.google.com/jobs/results/119787490121786054-business-data-scientist/?src=Online/LinkedIn/linkedin_us&amp;utm_source=linkedin&amp;utm_medium=jobposting&amp;utm_campaign=contract&amp;urlHash=E7kp", "https://careers.google.com/jobs/results/119787490121786054-business-data-scientist/?src=Online/LinkedIn/linkedin_us&amp;utm_source=linkedin&amp;utm_medium=jobposting&amp;utm_campaign=contract&amp;urlHash=E7kp")</f>
        <v/>
      </c>
      <c r="G78" t="inlineStr">
        <is>
          <t>Austin, TX</t>
        </is>
      </c>
      <c r="H78" t="inlineStr"/>
      <c r="I7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in a data science role, with machine learning and Natural Language Processing (NLP) for developing and deploying AI/ML solutions.
* Experience with AI/ML libraries (e.g., TensorFlow, PyTorch, scikit\-learn, Hugging Face).
**Preferred qualifications:**
* PhD degree in Computer Science, Artificial Intelligence, Machine Learning, or a related quantitative field.
* Experience with Large Language Models (LLMs), including application in solving business problems.
* Experience in intelligent self\-sustaining agents, including design, development, evaluation, and deployment.
* Experience with cloud platforms (e.g., Google Cloud Platform) and AI/ML services related to LLMs and generative AI.
* Experience in customer support or support\-adjacent roles.
* Excellent programming skills in Python or a similar language with the ability to translate data into actionable insights and communicate findings to technical and non\-technical stakeholders.
**About The Job**
 As a Business Data Scientist, you will be instrumental in driving customer success at scale by building the predictive, personalized, and proactive solutions that define the future of customer support. You will work with datasets to develop and deploy innovative AI/ML solutions, translating data into actionable strategies.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customer success at scale while researching and integrating advancements in Large Language Models (LLMs), Generative AI, and AI agent architectures to continuously enhance our capabilities and foster innovation.
* Lead development and deployment of advanced AI/ML solutions, with an emphasis on LLMs and intelligent self\-sustaining, agents, addressing business issues.
* Implement evaluation frameworks and metrics for LLMs and AI agents, encompassing both traditional model performance and agent\-specific evaluation criteria (e.g., task completion rate, reasoning quality).
* Monitor and maintain deployed LLM and AI agent solutions in production, including tracking key performance indicators, identifying and addressing model drift, and ensuring system stability and scalability.
* Identify and define AI/ML opportunities by collaborating with stakeholders to translate business needs into technical requirements and measurable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9">
      <c r="A79" t="inlineStr">
        <is>
          <t>li-4365159445</t>
        </is>
      </c>
      <c r="B79" t="inlineStr">
        <is>
          <t>Sr Data Scientist, AI</t>
        </is>
      </c>
      <c r="C79" t="inlineStr">
        <is>
          <t>Bayer</t>
        </is>
      </c>
      <c r="D79" t="inlineStr">
        <is>
          <t>linkedin</t>
        </is>
      </c>
      <c r="E79">
        <f>HYPERLINK("https://www.linkedin.com/jobs/view/4365159445", "https://www.linkedin.com/jobs/view/4365159445")</f>
        <v/>
      </c>
      <c r="F79">
        <f>HYPERLINK("https://jobs.bayer.com/job/Seattle-Sr-Data-Scientist%2C-AI-Wash/1285955901/?utm_source=LINKEDIN&amp;utm_medium=referrer&amp;urlHash=RSlC", "https://jobs.bayer.com/job/Seattle-Sr-Data-Scientist%2C-AI-Wash/1285955901/?utm_source=LINKEDIN&amp;utm_medium=referrer&amp;urlHash=RSlC")</f>
        <v/>
      </c>
      <c r="G79" t="inlineStr">
        <is>
          <t>Seattle, WA</t>
        </is>
      </c>
      <c r="H79" t="inlineStr"/>
      <c r="I79"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**Sr Data Scientist, AI**
 Here at Bayer Digital Farming, we are seeking a highly motivated Senior Data Scientist who shares our passion for innovation to join our team within the Science organization. You will have the opportunity to be on the forefront of developing novel \&amp; complex integrated agronomic models for recommendations on seeds, agronomic traits, and crop protection that farmers need today. Our team has access to rich, industry\-leading data sources to drive creation of predictive and prescriptive models that will shape the future of the agriculture industry.
 As part of our diverse, highly dynamic group, you will work side\-by\-side with a team of exceptional scientists, data engineers, analysts, and others with diverse backgrounds to deliver next\-generation scientific breakthroughs, while fostering your career growth and development. If you are passionate about addressing feeding a growing planet sustainably, with a direct impact on farmers, Bayer would love to talk to you. We work on hard problems because we love the challenge!
 As a Senior Data Scientist, you’ll play a key role in delivering innovative scientific breakthroughs by applying predictive analytics, risk optimization, and statistics to integrated recommendations. You will work closely with interdisciplinary scientists, domain experts, and stakeholders to predict the product performance and provide personalized insights for growers while developing novel analytical models and best practices for complex data analyses.
**Your Tasks And Responsibilities**
 The primary responsibilities of this role are to:
* Explore, analyze, and model large and diverse agronomic datasets
* Design and develop models using statistical modeling, process modeling, and machine learning
* Apply sound statistical principles, selecting the most appropriate modeling techniques and data visualization, applying innovative methods where they add value
* Articulate project plans and architecture, independently design technical approaches, and model limitations and advantages, defending and communicating conclusions for technical and non\-technical audiences
* Follow software development best practices and produce code that anticipates scaling and production, assisting with code review and providing expert consultation
* Use your domain knowledge to anticipate and proactively address concerns and solutions, identifying opportunities for value creation
* Work in close collaboration with teams of world\-class scientists, engineers, analysts, and business stakeholders, understanding customer pain points, identifying alternative solutions and strategies, and influencing others to drive impact
**Who You Are**
 Bayer seeks an incumbent who possesses the following:
 Required:
* PhD \+2 years or MS \+5 years of experience in Statistics, Mathematics, Computer Science or related field
* Minimum 3\-5 years of experience in applying statistical/machine learning solutions on a scalable platform to real\-world applications
* Fluency in a programming language commonly used for data manipulation and computational statistics, such as Python (required) and SQL (preferred)
* Mastery of multiple regression techniques, multivariate analysis, and mixed models
* Proven experience with software development best practices such as modularity, version control, documentation, code review, and automated test design
* Proven experience building generative AI agents tuned to custom datasets that deliver actionable insights, and deploying them in scalable solutions that ensure trustworthy, high\-quality results
* Strong communication skills and the ability to work with diverse cross\-functional teams, including examples of providing quality feedback and helping others to develop
* Domain expertise in Agronomy, Plant Genetics, Plant Pathology, Crop Physiology, Remote Sensing or related discipline
 Preferred:
* Experience in developing agronomic models, including the effects of environment, management, and genetics on crop outcomes
* Theoretical knowledge and practical experience with advanced statistical and machine learning analysis techniques
* Proficiency in programming computational and statistical algorithms for complex data sets
* Track record demonstrating excellent command of research questions and critical thinking skills
* Proven experience using multiple forms of AI such as machine learning, deep learning, tensor flow, neural networks or predictive analytics to drive decisions using new algorithms efficiently and rigorously
 Employees can expect to be paid a salary of approximately $140k\-$180k. Additional compensation may include a bonus or incentive program (if relevant).  Additional benefits include health care, vision, dental, retirement, PTO, sick leave, etc..  This salary (or salary range) is merely an estimate and may vary based on an applicant’s location, market data/ranges, an applicant’s skills and prior relevant experience, certain degrees and certifications, and other relevant factors.
 This posting will be available for application until at least 2/6/26\.
**YOUR APPLICATION**
 Bayer offers a wide variety of competitive compensation and benefits programs. If you meet the requirements of this unique opportunity, and want to impact our mission Health for all, Hunger for none,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Bayer is an E\-Verify Employer.
**Location:** 
 United States : Washington : Seattle \|\| United States : Illinois : Chicago \|\| United States : Missouri : Creve Coeur
**Division:** 
 Crop Science
**Reference Code:** 
 860379
**Contact Us**
**Email:** 
 hrop\_usa@bayer.com</t>
        </is>
      </c>
    </row>
    <row r="80">
      <c r="A80" t="inlineStr">
        <is>
          <t>li-4345887223</t>
        </is>
      </c>
      <c r="B80" t="inlineStr">
        <is>
          <t>Business Data Scientist, Forecasting, Google Cloud</t>
        </is>
      </c>
      <c r="C80" t="inlineStr">
        <is>
          <t>Google</t>
        </is>
      </c>
      <c r="D80" t="inlineStr">
        <is>
          <t>linkedin</t>
        </is>
      </c>
      <c r="E80">
        <f>HYPERLINK("https://www.linkedin.com/jobs/view/4345887223", "https://www.linkedin.com/jobs/view/4345887223")</f>
        <v/>
      </c>
      <c r="F80">
        <f>HYPERLINK("https://careers.google.com/jobs/results/119921820592677574-business-data-scientist/?src=Online/LinkedIn/linkedin_us&amp;utm_source=linkedin&amp;utm_medium=jobposting&amp;utm_campaign=contract&amp;urlHash=V_RG", "https://careers.google.com/jobs/results/119921820592677574-business-data-scientist/?src=Online/LinkedIn/linkedin_us&amp;utm_source=linkedin&amp;utm_medium=jobposting&amp;utm_campaign=contract&amp;urlHash=V_RG")</f>
        <v/>
      </c>
      <c r="G80" t="inlineStr">
        <is>
          <t>Sunnyvale, CA</t>
        </is>
      </c>
      <c r="H80" t="inlineStr"/>
      <c r="I8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Austin, TX, USA; San Francisco, CA, USA** 
 .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 3 years of experience in data science, with a focus on time series analysis and forecasting.
* Experience in causal inference, A/B testing, statistical modeling, or machine learning.
* Experience with a range of forecasting methods, from classical statistical models to machine learning approaches.
**Preferred qualifications:**
* 4 years of experience deploying and maintaining forecasting models in a live production environment.
* Experience with recent advancements in forecasting, such as foundation models (TimesFM) or deep learning approaches.
* Experience in a demand planning, contact center, or operational workforce management role.
* Familiarity with cloud platforms (e.g., Google Cloud Platform) and their AI/ML services (e.g., BigQuery, Vertex AI).
* Ability to apply judgmental forecasting and incorporate qualitative business adjustments into model outputs, especially for new or unprecedented events.
**About the job** 
 In this role, you will be responsible for developing and maintaining the models that predict our customer support case volume. Your work will be a critical input for the organization's staffing, budgeting, and planning, directly impacting our ability to deliver exceptional customer support at scale.The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deploy, and maintain time series forecasting models to predict customer support case volumes across various products, regions, and channels.
* Build and automate scalable data pipelines to ensure timely and reliable data for model training and inference.
* Monitor and evaluate model performance, dealing with key accuracy metrics, identifying model drift, and ensuring forecast reliability. Research and implement forecasting techniques to continuously improve model accuracy and capabilities.
* Partner with Operations, Finance, and leadership stakeholders to understand their planning needs, deliver forecasts, and explain variance drivers.
* Communicate forecast results and uncertainty to both technical and non\-technical audiences to guide strategic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1">
      <c r="A81" t="inlineStr">
        <is>
          <t>li-4354241621</t>
        </is>
      </c>
      <c r="B81" t="inlineStr">
        <is>
          <t>Associate Data Scientist</t>
        </is>
      </c>
      <c r="C81" t="inlineStr">
        <is>
          <t>Vistra Corp.</t>
        </is>
      </c>
      <c r="D81" t="inlineStr">
        <is>
          <t>linkedin</t>
        </is>
      </c>
      <c r="E81">
        <f>HYPERLINK("https://www.linkedin.com/jobs/view/4354241621", "https://www.linkedin.com/jobs/view/4354241621")</f>
        <v/>
      </c>
      <c r="F81">
        <f>HYPERLINK("https://vst.wd5.myworkdayjobs.com/en-US/vistra_careers/job/Irving-Texas/Associate-Data-Scientist_40014566?source=LinkedIn&amp;urlHash=BlbK", "https://vst.wd5.myworkdayjobs.com/en-US/vistra_careers/job/Irving-Texas/Associate-Data-Scientist_40014566?source=LinkedIn&amp;urlHash=BlbK")</f>
        <v/>
      </c>
      <c r="G81" t="inlineStr">
        <is>
          <t>Irving, TX</t>
        </is>
      </c>
      <c r="H81" t="inlineStr"/>
      <c r="I81" t="inlineStr">
        <is>
          <t>If you have what it takes to become part of the Vistra family and would like to start a promising career with a global leader, take a look at the exciting employment opportunities that are currently available and apply online.
**Job Summary**
 The Associate Data Scientist, Retail role takes end\-to\-end ownership of achieving business objectives through the development, application and deployment of advanced analytical (prescriptive, predictive, machine learning, AI) models. In order to succeed in this role, the applicant should be eager to take on challenges and responsibility of increasing complexity, have impeccable attention to detail, be fully accountable for business outcomes, be able to improvise and solve problems in the absence of perfect data, be able to simplify and communicate complex results to key business stakeholders via presentation and visualization tools
**Job Description**
**Key** 
**Accountabilities**
* Develop and implement advanced analytics solutions (predictive, prescriptive models, machine learning algorithms, AI models) to support / optimize business outcomes
* Provide actionable business insights via experimental design and testing; leverage learnings to drive further optimization in campaign performance
* Demonstrate tangible business value from his/her Manage a project from initial analysis to readying a model for production
* Maintain balance between pragmatic and deeply rigorous solutions depending on business context
* Develop code and processes that are repeatable and easily maintained
* Must be an independent thinker, with a strong bias towards action
**Education, Experience \&amp; Skill Requirements**
* Masters degree in Applied Mathematics, Operations Research, Industrial Engineering, Economics, Statistics or a related quantitative discipline
* 0\-1 years of hands\-on experience in the areas of developing and deploying predictive \&amp; prescriptive analytical models and Machine Learning \&amp; Optimization algorithms to improve business performance
* Solid theoretical background in mathematics, statistics, database technology, mathematical optimization, graph algorithms and related disciplines
* Strong computer programming skills in a high\-level programming language (SAS, Python, and SQL)
* Work with Big / Fast data, creating scalable, robust and accurate augmented intelligent solutions
* Design and run experiments, research new algorithms, and work closely with stakeholders to deploy our algorithms and models into practice
* Innovative problem solver who can handle both high breadth \&amp; depth of advanced analytics problems
**Key Metrics**
* Effectively partner with cross\-functional stakeholders to improve customer experience and portfolio performance metrics
* Serves as a SME on Big Data and Advanced Analytical projects
* Works under minimal supervision
**Job Family**
 General Services
**Company**
 Vistra Retail Operations Company
**Locations**
 Irving, Texas
 Texas
*We are a company of people committed to: Exceeding Customer Expectations, Great People, Teamwork, Competitive Spirit and Effective Communication. If this describes you, then apply today!*
***If you currently work for Vistra or its subsidiaries, please apply via the internal career site.***
**It is the policy of the Company to comply with all employment laws and to afford equal employment opportunity to individuals in all aspects of employment, including in selection for job opportunities, without regard to race, color, religion, sex, sexual orientation, gender identity, pregnancy, national origin, age, disability, genetic information, military service, protected veteran status, or any other consideration protected by federal, state or local laws.**
**If you are an individual with a disability and need assistance submitting an application or would like to request an accommodation, please email us at assistance@vistraenergy.com to make a request.**</t>
        </is>
      </c>
    </row>
    <row r="82">
      <c r="A82" t="inlineStr">
        <is>
          <t>li-4362088621</t>
        </is>
      </c>
      <c r="B82" t="inlineStr">
        <is>
          <t>Data Scientist</t>
        </is>
      </c>
      <c r="C82" t="inlineStr">
        <is>
          <t>American Bureau of Shipping (ABS)</t>
        </is>
      </c>
      <c r="D82" t="inlineStr">
        <is>
          <t>linkedin</t>
        </is>
      </c>
      <c r="E82">
        <f>HYPERLINK("https://www.linkedin.com/jobs/view/4362088621", "https://www.linkedin.com/jobs/view/4362088621")</f>
        <v/>
      </c>
      <c r="F82" t="inlineStr"/>
      <c r="G82" t="inlineStr">
        <is>
          <t>Houston, TX</t>
        </is>
      </c>
      <c r="H82" t="inlineStr"/>
      <c r="I82" t="inlineStr">
        <is>
          <t>**Job Description**
 The Data Scientist analyzes the complex and unstructured data using state\-of\-the\-art data science methods for data\-driven decision\-making. This role uses knowledge of data science methods and applies analytics to solve real\-world problems. The Data Scientist will work with customers to collect and understand data, perform wrangling, develop applications, and collaborate actively across the organization and with senior management to accomplish various objectives.
**What You Will Do:**
* Work with internal departments (Digital, Survey, Engineering, etc.) and external stakeholders to leverage data to drive organizational decision\-making in areas like maintenance, service, improvements, event predictions, etc.
* Utilize knowledge of modern data\-driven methods and domain understanding to support the creation of new products, services, and insights.
* Be able to write independent source code, validate and test for model quality assessment and improvement
* Knowledge of data architectures and database design
* Knowledge in applying system identification methods like Kalman filters, particle filters, etc. to real\-world problems
* Knowledge of machine learning and artificial intelligence methods
* Develop data collection efforts for data quality improvement, in both existing and new data streams to support overall business goals
* Be able to think independently and work as part of a cross\-functional team to achieve common goals
* Comfortable working independently on data engineering, pre\-processing, and data preparation tasks to prepare data for further analysis
* Generate Intellectual Property for the company
* Evaluate and partner with external customers, vendors, university relations, and other teams
* Stay current in the field of advanced analytics and take initiative to apply new technologies
**What You Will Need:**
 Education and Experience
* Bachelor’s degree in data science, Statistics, Computer Science, Engineering, or another relevant field degree required
* Master’s degree in Data Science, Statistics, Computer Science, Engineering, or another relevant field preferred
* Minimum 0\-4 years of relevant experience in data/analytics.
**Knowledge, Skills, And Abilities**
* Ability to develop a working knowledge of ABS Rules, Guides, statutory regulations, and related instructions, as well as the ABS Employee Safety Policy.
* Strong written and verbal communications skills
* Experience in working as part of multi\-faceted teams
* Experience in System Identification, Machine Learning, and other data science technologies such as Artificial Intelligence, Risk Analysis, and Statistical methods
* Specialties in utilizing data in developing physics\-based and time\-series models
* Experience with applications such as Python, MATLAB, R, or similar
* Familiarity with database architectures such as SQL, NoSQL, or similar
* Familiarity with distributed storage and processing for Big Data (e.g., Hadoop or similar)
* Ability to quickly adapt and learn new domain
* Display an entrepreneurial mindset and think practical, ‘out of box’ solutions
* Obtain a working knowledge of the ABS Health, Safety, Quality, and Environmental Management Systems.
**Reporting Relationships:**
 Reports directly to the Chief Data Scientist or a Manager, Director, or Executive role.
**Notice:**
 This position requires access to information that is subject to control by the Export Administration Regulations and/or the International Traffic in Arms Regulations. Any offer of employment shall be contingent upon the Company’s verification that the candidate is a “U.S. Person” or upon the receipt of all necessary export licenses or authorizations that may be required by U.S. export control laws. “U.S. Persons” are defined as U.S. citizens, U.S. lawful permanent residents (i.e., “green card” holders), or any individual granted protected status under the Immigration and Nationality Act (8 U.S.C.
* 1324b(a)(3\)), including asylees and refugees. In the event a candidate refuses or cannot otherwise provide the necessary information for the Company to determine whether such licenses may be required, or for the Company to obtain any required licenses, the Company shall maintain the exclusive right to discontinue the application process and/or withdraw any contingent offer that has been made.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Bureau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support in personal wellness, including work\-life services. ABS Bureau also offers a 401K plan with a generous company match, subject to plan requirements.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row>
    <row r="83">
      <c r="A83" t="inlineStr">
        <is>
          <t>li-4354400488</t>
        </is>
      </c>
      <c r="B83" t="inlineStr">
        <is>
          <t>Product Data Scientist III, Analytics Insights and Measurement</t>
        </is>
      </c>
      <c r="C83" t="inlineStr">
        <is>
          <t>Google</t>
        </is>
      </c>
      <c r="D83" t="inlineStr">
        <is>
          <t>linkedin</t>
        </is>
      </c>
      <c r="E83">
        <f>HYPERLINK("https://www.linkedin.com/jobs/view/4354400488", "https://www.linkedin.com/jobs/view/4354400488")</f>
        <v/>
      </c>
      <c r="F83" t="inlineStr"/>
      <c r="G83" t="inlineStr">
        <is>
          <t>Mountain View, CA</t>
        </is>
      </c>
      <c r="H83" t="inlineStr"/>
      <c r="I83" t="inlineStr">
        <is>
          <t>**Minimum qualifications:**
* Bachelor's degree in Statistics, Mathematics, Data Science, Engineering, Physics, Economics, or a related quantitative field.
* 5 years of experience with analysis applications (e.g., extracting insights, performing statistical analysis, or solving business problems), and coding (e.g., Python, R, SQL) or 2 years of experience with a Master's degree.
**Preferred qualifications:**
* Master's degree in Statistics, Mathematics, Data Science, Engineering, Physics, Economics, or a related quantitative field.
* 5 years of experience with analysis applications (e.g., extracting insights, performing statistical analysis, or solving business problems),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Measurement is a cornerstone of performance advertising, driving the majority of Google Ads business growth. Accurate and unbiased measurement empowers bidding engines to maximize advertiser Return On Investment (ROI), fostering growth for both advertisers and Google. The Product Analyst team applies advanced analytics to guide Google Ads strategy in this crucial area, ensuring that our advertising solutions effectively connect businesses with customers and deliver measurable results across our broad ad platforms.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process of gathering, extracting, and compiling data across sources via relevant tools (e.g., SQL, R, Python). Format, re\-structure, and validate data to ensure quality.
* Report Key Performance Indicators (KPIs) to support business reviews with cross\-functional/organizational leadership team. Translate analysis results to business insights or product improvement opportunities.
* Provide analytical insights and recommendations to influence product feature development decisions, and with some guidance.
* Build and prototype analysis and business cases iteratively to provide insights at scale. Develop comprehensive knowledge of Google data structures and metrics.
* Execute defined, moderately difficult analytical tasks under guidance from the manager or executive team members/TL. For straightforward problems, execute end\-to\-end analysis with minimal guidance.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4">
      <c r="A84" t="inlineStr">
        <is>
          <t>li-4361919225</t>
        </is>
      </c>
      <c r="B84" t="inlineStr">
        <is>
          <t>Business Data Scientist, Statistics, Platform Analytics, Google Cloud</t>
        </is>
      </c>
      <c r="C84" t="inlineStr">
        <is>
          <t>Google</t>
        </is>
      </c>
      <c r="D84" t="inlineStr">
        <is>
          <t>linkedin</t>
        </is>
      </c>
      <c r="E84">
        <f>HYPERLINK("https://www.linkedin.com/jobs/view/4361919225", "https://www.linkedin.com/jobs/view/4361919225")</f>
        <v/>
      </c>
      <c r="F84" t="inlineStr"/>
      <c r="G84" t="inlineStr">
        <is>
          <t>Sunnyvale, CA</t>
        </is>
      </c>
      <c r="H84" t="inlineStr"/>
      <c r="I8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Master's degree in a quantitative discipline such as Statistics, Engineering, Sciences, or equivalent practical experience.
* 4 years of experience in a data science role using data to influence business or product decisions.
* Experience analyzing data from various sources such as product instrumentation, customer support systems, and internal operational tools.
* Experience with SQL, Python or R programming including advanced data analysis, statistical modeling, and data visualization.
**Preferred qualifications:**
* PhD degree in a relevant quantitative field.
* Experience in causal inference techniques to measure the true impact of business actions.
* Experience in Customer Support or Support\-adjacent roles.
* Ability to work cross\-functionally and communicate technical findings to non\-technical audiences.
* Excellent product intuition and business acumen, with experience influencing both product and business strategy.
**About the job** 
 In this role, you will be using data to solve problems and you will be a key partner to stakeholders across product, operations, and engineering, helping to drive our strategy by analyzing the entire customer journey. You will address a wide range of issues, from optimizing product features and user behavior to analyzing the customer support experience and streamlining internal processes. You will use your investigative and statistical skills to make data\-informed decisions across the board.The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product, operations, and engineering stakeholders to prioritize opportunities for improvement; collaborate with partner teams to define data requirements and build foundational datasets for key business and product initiatives.
* Drive and separately scope and analysis projects from inception to completion, defining success metrics and managing stakeholder communication along the way; design, execute, and analyze A/B experiments on product features, internal tools, and operational workflows to measure their impact.
* Apply causal inference and advanced statistical modeling to measure the impact of critical product and business initiatives and understand their key drivers.
* Manage analyses of the user journey to identify friction points and opportunities; translate investigative findings into actionable insights and narratives for various stakeholders.
* Perform opportunity sizing for new product and business initiatives to inform the roadmap and resource allocation.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5">
      <c r="A85" t="inlineStr">
        <is>
          <t>li-4362098138</t>
        </is>
      </c>
      <c r="B85" t="inlineStr">
        <is>
          <t>Data Scientist</t>
        </is>
      </c>
      <c r="C85" t="inlineStr">
        <is>
          <t>TransUnion</t>
        </is>
      </c>
      <c r="D85" t="inlineStr">
        <is>
          <t>linkedin</t>
        </is>
      </c>
      <c r="E85">
        <f>HYPERLINK("https://www.linkedin.com/jobs/view/4362098138", "https://www.linkedin.com/jobs/view/4362098138")</f>
        <v/>
      </c>
      <c r="F85" t="inlineStr"/>
      <c r="G85" t="inlineStr">
        <is>
          <t>Chicago, IL</t>
        </is>
      </c>
      <c r="H85" t="inlineStr"/>
      <c r="I85"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Master’s or PhD degree in statistics, applied mathematics, financial mathematics, computer science, engineering, operations research, or other highly quantitative field; or a Bachelor’s degree in a quantitative field with at least three (3\) years of relevant professional experience. In either case, the candidate will demonstrate a consistent track record of academic excellence.
* Experience and demonstrated success in client\-facing roles over a period of at least one (1\) year as well as at least one (1\) year of professional experience performing analytic work, preferably in the Financial Services industry.
* Demonstrated interest in industries served by TransUnion, such as financial services, insurance, fraud, and digital marketing (e.g., through relevant internships).
* Strong analytical, critical thinking, and creative problem solving skills.
* Advanced programming skill and aptitude; proficiency with statistical programs such as R or Python; experience with other programming and data manipulation languages (SQL, Hive, Spark, C/C\+\+, Java, Ab Initio); high level of familiarity with Microsoft Office tools.
* Versatile interpersonal and communication style with the ability to effectively communicate at multiple levels within and outside the organization; ability to work in a collaborative, fast\-paced environment; evidence of initiative\-taking.
* Strong project and time management skills with the ability to manage multiple assignments effectively.
* Interest in client\-facing consulting roles and ability to travel 10\-20%.
**We'd Love To See**
* Proven ability to operate effectively under modest supervision in a complex and dynamic, matrixed environment.
* Familiarity with credit bureau data and solutions.
* Work experience in industries served by TransUnion, such as financial services, insurance, fraud, and digital marketing.
**Impact You'll Make**
 This position is responsible for supporting the development of analytic solutions through consulting engagements for TransUnion’s clients across a broad array of credit, fraud, insurance and marketing business applications. This position requires a general understanding of US financial services risk management practices.
* You will partner with internal and external cross\-functional teams to drive new business initiatives and deliver long term value\-added solutions to various TransUnion customers. These tasks will include –among others\- the development of predictive models and business intelligence solutions of moderate scope and complexity for customers within the various industries served by TransUnion.
* You will lead analytic client engagements involving descriptive, predictive, and prescriptive analysis for a variety of business use cases leveraging multiple analytic techniques. As a project leader, you will take ownership of all aspects of the project from design, to development, to peer review, to client presentation, to implementation and audit.
* You will identify strategies and opportunities for customers to test and adopt TransUnion’s analytic products and services and develop project proposals, sales presentations and promotional collateral to enable the adoption of integrated customer solutions supported by TransUnion, applying your practical analytic experience to find areas of new value of TransUnion customers. In the context of these opportunities, you will interact directly with TransUnion Sales and business unit partners and provide an analytic perspective and general support as needed.
* You will design, write, and test programs for data extraction, segmentation and statistical analysis on large population datasets using languages such as R, Python, SQL, Hive and Spark, formalizing some of these efforts into repeatable process improvements.
* You will deliver analytic insights and recommendations in succinct and compelling presentations for internal and external customers representing a wide range of backgrounds and levels. You will foster a high performance culture and cultivate an environment that promotes excellence and reflects the TransUnion brand.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$67,500\.00 \- $112,500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Analyst, Data Science and Analytics
**Company**
 TransUnion LLC</t>
        </is>
      </c>
    </row>
    <row r="86">
      <c r="A86" t="inlineStr">
        <is>
          <t>li-4365109127</t>
        </is>
      </c>
      <c r="B86" t="inlineStr">
        <is>
          <t>Staff Data Scientist | ML</t>
        </is>
      </c>
      <c r="C86" t="inlineStr">
        <is>
          <t>Machinify</t>
        </is>
      </c>
      <c r="D86" t="inlineStr">
        <is>
          <t>linkedin</t>
        </is>
      </c>
      <c r="E86">
        <f>HYPERLINK("https://www.linkedin.com/jobs/view/4365109127", "https://www.linkedin.com/jobs/view/4365109127")</f>
        <v/>
      </c>
      <c r="F86" t="inlineStr"/>
      <c r="G86" t="inlineStr">
        <is>
          <t>Palo Alto, CA</t>
        </is>
      </c>
      <c r="H86" t="inlineStr"/>
      <c r="I86"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looking for a
 **Staff** 
**Data Scientist \| ML** 
 for our "Pay" team (claims payments product) to advance our models further. In addition to building best\-in\-class models, this person will create technical frameworks and tools to help the team achieve greater scale and improved business outcomes.
**What You'll Do**
* Solve real business problems with data: Own end\-to\-end data science work, from problem framing and data exploration to modeling, validation, and production impact.
* Lead high\-impact initiatives: Drive complex efforts such as vendor leakage detection and prevention, delivering measurable revenue or cost improvements.
* Innovate on methods and approaches: Go beyond standard analyses by developing new metrics, models, or workflows when existing approaches fall short.
* Build and productionize models: Design, build, and support production ML or LLM\-powered solutions in collaboration with engineering and product partners.
* Work deeply with data: Use SQL fluently to explore large datasets, build reliable data assets, and validate results.
* Influence cross\-functionally: Partner with Product, Engineering, Finance, and Operations to align on goals, tradeoffs, and execution plans.
* Set technical direction (especially at L7\): Raise the bar for data science quality, scalability, and impact across the organization through mentorship, design reviews, and technical leadership.
**What You'll Bring**
* Proven track record of hands\-on data science impact on real\-world problems, not just research or dashboards.
* Strong proficiency in SQL, with experience working directly on complex, large\-scale datasets.
* Experience building, shipping, or supporting production ML systems, preferably some exposure to LLM\-based products or workflows.
* Ability to independently scope ambiguous problems, identify the right data and methods, and drive work to completion.
* Strong communication skills, with the ability to explain complex analyses and models to non\-technical stakeholders.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87">
      <c r="A87" t="inlineStr">
        <is>
          <t>li-4361949227</t>
        </is>
      </c>
      <c r="B87" t="inlineStr">
        <is>
          <t>Business Data Scientist, Statistics, Platform Analytics, Google Cloud</t>
        </is>
      </c>
      <c r="C87" t="inlineStr">
        <is>
          <t>Google</t>
        </is>
      </c>
      <c r="D87" t="inlineStr">
        <is>
          <t>linkedin</t>
        </is>
      </c>
      <c r="E87">
        <f>HYPERLINK("https://www.linkedin.com/jobs/view/4361949227", "https://www.linkedin.com/jobs/view/4361949227")</f>
        <v/>
      </c>
      <c r="F87" t="inlineStr"/>
      <c r="G87" t="inlineStr">
        <is>
          <t>San Francisco, CA</t>
        </is>
      </c>
      <c r="H87" t="inlineStr"/>
      <c r="I8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
 **Minimum qualifications:**
* Master's degree in a quantitative discipline such as Statistics, Engineering, Sciences, or equivalent practical experience.
* 4 years of experience in a data science role using data to influence business or product decisions.
* Experience analyzing data from various sources such as product instrumentation, customer support systems, and internal operational tools.
* Experience with SQL, Python or R programming including advanced data analysis, statistical modeling, and data visualization.
**Preferred qualifications:**
* PhD degree in a relevant quantitative field.
* Experience in causal inference techniques to measure the true impact of business actions.
* Experience in Customer Support or Support\-adjacent roles.
* Ability to work cross\-functionally and communicate technical findings to non\-technical audiences.
* Excellent product intuition and business acumen, with experience influencing both product and business strategy.
**About the job** 
 In this role, you will be using data to solve problems and you will be a key partner to stakeholders across product, operations, and engineering, helping to drive our strategy by analyzing the entire customer journey. You will address a wide range of issues, from optimizing product features and user behavior to analyzing the customer support experience and streamlining internal processes. You will use your investigative and statistical skills to make data\-informed decisions across the board.The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product, operations, and engineering stakeholders to prioritize opportunities for improvement; collaborate with partner teams to define data requirements and build foundational datasets for key business and product initiatives.
* Drive and separately scope and analysis projects from inception to completion, defining success metrics and managing stakeholder communication along the way; design, execute, and analyze A/B experiments on product features, internal tools, and operational workflows to measure their impact.
* Apply causal inference and advanced statistical modeling to measure the impact of critical product and business initiatives and understand their key drivers.
* Manage analyses of the user journey to identify friction points and opportunities; translate investigative findings into actionable insights and narratives for various stakeholders.
* Perform opportunity sizing for new product and business initiatives to inform the roadmap and resource allocation.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8">
      <c r="A88" t="inlineStr">
        <is>
          <t>li-4365134033</t>
        </is>
      </c>
      <c r="B88" t="inlineStr">
        <is>
          <t>Senior Data Scientist</t>
        </is>
      </c>
      <c r="C88" t="inlineStr">
        <is>
          <t>Aon</t>
        </is>
      </c>
      <c r="D88" t="inlineStr">
        <is>
          <t>linkedin</t>
        </is>
      </c>
      <c r="E88">
        <f>HYPERLINK("https://www.linkedin.com/jobs/view/4365134033", "https://www.linkedin.com/jobs/view/4365134033")</f>
        <v/>
      </c>
      <c r="F88">
        <f>HYPERLINK("https://jobs.aon.com/jobs/97805?lang=en-us&amp;iis=Job+Board&amp;iisn=LinkedIn&amp;urlHash=jJrC", "https://jobs.aon.com/jobs/97805?lang=en-us&amp;iis=Job+Board&amp;iisn=LinkedIn&amp;urlHash=jJrC")</f>
        <v/>
      </c>
      <c r="G88" t="inlineStr">
        <is>
          <t>New York, NY</t>
        </is>
      </c>
      <c r="H88" t="inlineStr"/>
      <c r="I88" t="inlineStr">
        <is>
          <t>**Aon is Looking for a Senior Data Scientist \- Human Capital \- Hybrid \- New York**
 Aon plc (NYSE: AON) exists to shape decisions for the better — to protect and enrich the lives of people around the world. Our colleagues provide our clients in over 120 countries with advice and solutions that give them the clarity and confidence to make better decisions to protect and grow their business.
 Data science is revolutionizing many areas of business and the management of people is no exception. Aon’s human capital business, encompassing over 2,000 colleagues and spanning the globe, applies our market\-leading workforce data to help clients tackle transformational projects.
**Aon is in the business of better decisions**
 At Aon, we shape decisions for the better to protect and enrich the lives of people around the world.
 As an organization, we are united through trust as one inclusive team and we are passionate about helping our colleagues and clients succeed.
**What The Day Will Look Like**
* Provide technical leadership in a team that generates business insights, identify impactful recommendations, and communicate the findings to clients
* Lead end\-to\-end data science projects from storage to pipeline, modeling, visualization, and deployment
* Design, construct, install, test, and maintain data management systems typically in the form of scalable Databricks pipelines
* Research, build, and apply LLMs and NLP\-based systems for insight extraction and data enrichment use\-cases
* Design and draft long\-term technical development plans answering the question of how we will accomplish something, not simply what must be done
* Contribute to knowledge sharing and best practices
* Communicate complex quantitative analyses in a clear, precise, and actionable manner
* Mentor data analysts and junior data scientists
**How This Opportunity Is Different**
 The Senior Data Scientist will have the opportunity to reshape how businesses think about people metrics holistically. Our focus lies in building creative solutions that have an immediate impact on the business of our partners and the lives of the people who work for them. Aon is home to human capital data of a scale and breadth found in few other places, allowing you to participate in developing market\-leading insights that shape how companies manage their people and their business.
**Skills And Experience That Will Lead To Success**
* Master’s or PhD in Computer Science, Statistics, Operations Research Economics, or related quantitative field
* Proficiency with Python and Databricks
* Deep experience building data pipelines with LLMs for insight extraction and data enrichment
* Experience with collaborative development environment like GitHub
**Preferred Skills And Experience**
* Experience with advanced econometrics and machine learning methods for social sciences
**How We Support Our Colleagues**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The salary range for this position (intended for U.S. applicants) is $136,000 \- $180,000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are committed to providing equal employment opportunities and fostering an inclusive workplace. If you require accommodations during the application or interview process, please let us know. You can request accommodations by emailing us at ReasonableAccommodations@Aon.com or your recruiter. We will work with you to meet your needs and ensure a fair and equitable experience.
 For positions in San Francisco and Los Angeles, we will consider for employment qualified applicants with arrest and conviction record in accordance with local Fair Chance ordinances.
***Aon is not accepting unsolicited resumes from search firms for this position. If you are a search firm, you will not be compensated in any way for your submission of a candidate, even if Aon hires that candidate.***
 Nothing in this job description restricts management's right to assign or reassign duties and responsibilities to this job at any time.
 2572969</t>
        </is>
      </c>
    </row>
    <row r="89">
      <c r="A89" t="inlineStr">
        <is>
          <t>li-4354161577</t>
        </is>
      </c>
      <c r="B89" t="inlineStr">
        <is>
          <t>Data Scientist - Cloud Specialist</t>
        </is>
      </c>
      <c r="C89" t="inlineStr">
        <is>
          <t>Cornerstone Research</t>
        </is>
      </c>
      <c r="D89" t="inlineStr">
        <is>
          <t>linkedin</t>
        </is>
      </c>
      <c r="E89">
        <f>HYPERLINK("https://www.linkedin.com/jobs/view/4354161577", "https://www.linkedin.com/jobs/view/4354161577")</f>
        <v/>
      </c>
      <c r="F89">
        <f>HYPERLINK("http://cornerstone.com&amp;urlHash=1D_c", "http://cornerstone.com&amp;urlHash=1D_c")</f>
        <v/>
      </c>
      <c r="G89" t="inlineStr"/>
      <c r="H89" t="inlineStr"/>
      <c r="I89" t="inlineStr">
        <is>
          <t>**POSITION SUMMARY** 
 Cornerstone's Data Science Center is seeking a Data Scientist – Cloud Specialist to develop the cloud infrastructure powering our data\-intensive economic and financial research. As a hands\-on engineer, you will be responsible for coding, automating, and deploying the specialized cloud\-native data and analytics solutions used across the firm's consulting practices.
 In this role, you will design and build bespoke analytical systems tailored to the requirements of individual litigation matters. Success in this role requires a high degree of technical ownership and the versatility to engineer data platforms across multiple cloud providers. You must be able to solve complex infrastructure challenges with a focus on scalability, efficiency, and technical rigor.
**ESSENTIAL JOB FUNCTIONS** 
* **Architect \&amp; Engineer** 
 : Design and implement bespoke, performant, data and analytics cloud infrastructure (AWS, GCP) tailored to specific research and litigation needs.
* **Technical Advisory \&amp; Scoping** 
 : Act as technical resource for project\-driven challenges, working alongside Analysts and Project Managers to build custom solutions for massive data ingestion, complex data analyses, and high\-performance computing (HPC), fitting the right resources and data science methods to the right project.
* **Technical Adaptability** 
 : Design and implement functional cloud systems in response to shifting project scopes and data processing needs.
* **Advanced Automation** 
 : Develop and maintain automated CI/CD pipelines and Infrastructure\-as\-Code (IaC) to streamline data science workflows and environment deployment.
* **Cross\-Functional Collaboration** 
 : Partner with firm\-wide IT, Cloud Operations, and security teams to ensure custom\-built solutions meet rigorous data privacy and compliance standards.
* **Technical Leadership \&amp; Mentorship** 
 : Mentor junior staff, lead learning workshops, and implement processes that improve the accuracy and reproducibility of work products.
**EXPERIENCE/SKILLS/EDUCATION** 
**Required** 
* **Education:** 
 BA/BS or MA/MS in Computer Science, Math, Engineering, Data Science, or a related quantitative field.
* **Experience:** 
 4\+ years of professional experience in data science or engineering, with a significant focus on cloud technology.
* **Programming:** 
 Mastery of one or more general\-purpose programming language (Python; Go/Rust/C\+\+ is a plus) and advanced skills in domain\-specific languages and frameworks for data manipulation and modeling (R, SQL, and Python).
* **Cloud Depth:** 
 Proven experience designing and deploying production\-grade analytical solutions across at least two major cloud providers (e.g., AWS and GCP).
* **Consulting \&amp; Communication** 
 : Proven ability to translate high\-level business or legal requirements into technical specifications and communicate complex findings to non\-technical stakeholders.
* **IaC:** 
 Working command of tools such as Terraform, CloudFormation, or Ansible.
* **Version Control:** 
 Working knowledge of Git, including branching strategies and collaborative workflows.
**Desirable** 
* **Cloud Specialization** 
 : Relevant professional\-level certifications that demonstrate engineering depth (e.g., AWS Certified Machine Learning Engineer, GCP Professional Data Engineer, AWS Certified Data Engineer, etc.).
* **AI:** 
 Experience architecting AI systems, orchestrating multi\-step agentic workflows, managing state, and implementing asynchronous API\-driven processes.
* **Finance/Economics Context** 
 : Prior experience engineering systems for financial datasets, high\-frequency trading data, or large\-scale econometric modeling.
* **Mentorship \&amp; Documentation** 
 : Experience providing technical oversight to junior team members, maintaining detailed documentation, and leading knowledge\-sharing workshops.
**APPLICATION REQUIREMENTS** 
* Resume
* Cover Letter
* Code Portfolio (
 *optional, if applicable please upload under “Additional Documents”* 
 )
**Cornerstone Research will provide visa support to full\-time candidates. If you are applying from within the US, candidates should have at least 12 months remaining of work authorization.** 
**ABOUT CORNERSTONE RESEARCH**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**ABOUT DATA SCIENCE CENTER** 
 The Data Science Center at Cornerstone Research is a tight knit but growing group of Data Scientists and Software Engineers. We are tasked with streamlining and innovating all data work at Cornerstone Research.
 As our
 **Cloud Specialist** 
 , you will be the engine behind examples like these:
* **Custom HPC Clusters:** 
 Building on\-demand compute clusters to process hundreds of millions of financial transactions in hours rather than days.
* **Bespoke API Pipelines:** 
 Engineering robust, fault\-tolerant collection systems for diverse economic and legal data sources.
* **Scalable AI Orchestration:** 
 Building agentic workflows to categorize and query millions of documents.
 Cornerstone Research offers a market\-leading compensation and benefits package. The base salary for the Data Scientist II (Cloud Specialist) role with a relevant education is $160,000\-$195,000\. In addition to the base salary, new Data Scientists will be eligible for a signing bonus depending on skills, education, and experience. Data Scientists are also eligible for discretionary bonuses based on case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is>
      </c>
    </row>
    <row r="90">
      <c r="A90" t="inlineStr">
        <is>
          <t>li-4331967617</t>
        </is>
      </c>
      <c r="B90" t="inlineStr">
        <is>
          <t>Staff Product Data Scientist</t>
        </is>
      </c>
      <c r="C90" t="inlineStr">
        <is>
          <t>Google</t>
        </is>
      </c>
      <c r="D90" t="inlineStr">
        <is>
          <t>linkedin</t>
        </is>
      </c>
      <c r="E90">
        <f>HYPERLINK("https://www.linkedin.com/jobs/view/4331967617", "https://www.linkedin.com/jobs/view/4331967617")</f>
        <v/>
      </c>
      <c r="F90" t="inlineStr"/>
      <c r="G90" t="inlineStr">
        <is>
          <t>Mountain View, CA</t>
        </is>
      </c>
      <c r="H90" t="inlineStr"/>
      <c r="I90" t="inlineStr">
        <is>
          <t>**Minimum qualifications:**
* Bachelor's degree in Statistics, Mathematics, Data Science, Engineering, Physics, Economics, or a related quantitative field.
* 10 years of work experience using analytics to solve product or business problems, performing statistical analysis, and coding (e.g., Python, R, SQL), or 8 years of work experience and a Master's degree.
**Preferred qualifications:**
* Master's degree in Statistics, Mathematics, Data Science, Engineering, Physics, Economics, or a related quantitative field.
* 12 years of work experience using analytics to solve product or business problems, performing statistical analysis,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Measurement is a cornerstone of performance advertising, driving the majority of Google Ads business growth. Accurate and unbiased measurement empowers bidding engines to maximize advertiser ROI, fostering growth for both advertisers and Google. The Product Analyst team applies advanced analytics to guide Google Ads strategy in this crucial area, ensuring that our advertising solutions effectively connect businesses with customers and deliver measurable results across our ad platforms.
 The AIM Data Science team provides quantitative support, market understanding, and a strategic perspective to our partners throughout the organization in close collaboration with the Ads and Commerce Finance team.
 As the Staff Product Data Scientist for Enterprise Platforms, you will help drive the vision of how large advertisers buy Google and third\-party advertising inventory efficiently. You will be responsible for setting the team's strategic direction, managing stakeholder relationships.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Provide analytical thought leadership through proactive and strategic contributions (e.g., suggest new analyses, infrastructure, or experiments to drive improvements in the business).
* Own outcomes for projects by covering problem definition, metrics development, data extraction and manipulation, visualization, creation, implementation of analytical/statistical models, and presentation to stakeholders.
* Develop solutions, lead, and manage problems that may be ambiguous and lacking clear precedent by framing them, generating hypotheses, and making recommendations from a perspective that combines both analytical and product\-specific expertise.
* Oversee the integration of cross\-functional and cross\-organizational project/process timelines, develop process improvements and recommendations, and help define operational goals and objectives.
* Directly or indirectly oversee the contributions of others and develop colleagues’ capabilities in the area of specialization.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li-4362180879</t>
        </is>
      </c>
      <c r="B91" t="inlineStr">
        <is>
          <t>Senior Data Scientist, Product, Consumer Shopping</t>
        </is>
      </c>
      <c r="C91" t="inlineStr">
        <is>
          <t>Google</t>
        </is>
      </c>
      <c r="D91" t="inlineStr">
        <is>
          <t>linkedin</t>
        </is>
      </c>
      <c r="E91">
        <f>HYPERLINK("https://www.linkedin.com/jobs/view/4362180879", "https://www.linkedin.com/jobs/view/4362180879")</f>
        <v/>
      </c>
      <c r="F91" t="inlineStr"/>
      <c r="G91" t="inlineStr">
        <is>
          <t>Mountain View, CA</t>
        </is>
      </c>
      <c r="H91" t="inlineStr"/>
      <c r="I91" t="inlineStr">
        <is>
          <t>Note: By applying to this position you will have an opportunity to share your preferred working location from the following:
 **Mountain View, CA, USA; New York, NY, USA** 
 .
 **Minimum qualifications:**
* Bachelor's degree in Statistics, Mathematics, Data Science, Engineering, Physics, Economics, or a related quantitative field.
* 8 years of work experience using analytics to solve product or business problems, performing statistical analysis, and coding (e.g., Python, R, SQL) or 5 years of work experience with a Master's degree.
**Preferred qualifications:**
* Master's degree in Statistics, Mathematics, Data Science, Engineering, Physics, Economics, or a related quantitative field.
* Experience with Gen AI Evaluation Science, ML and modern AI.
* Experience working with peers and more executive stakeholders.
* Ability to manage a product quality flywheel to inform iterations in model and product development.
**About The Job**
 Google Shopping is a comprehensive product search engine, a fast\-growing product ads business, and an everyday essentials marketplace. We aim to revolutionize shopping by building great user experiences that bring users, retailers, and manufacturers together. The Consumer Shopping Data Science team works on Shopping products on various surfaces including .com, AI Mode, and Gemini.
 We are a shopping feature data science (DS) team within the Consumer Shopping DS, focused on building and evaluating AI\-driven shopping experiences in Search (e.g., AI mode, AI Overview, etc.).
 As a Senior Data Scientist, you will lead analytics and measurement for key shopping features, working closely with Product and Engineering to shape development, experimentation strategy, and long\-term roadmap decisions. You will play a critical role in defining how we build and measure user experience within emerging AI\-powered features, delivering insights that directly influence product evolution. By applying advanced experimentation and analysis, you will drive data\-informed decisions across our AI\-driven shopping surfaces.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analysis to shape the direction of AI\-powered shopping features in Search and AI mode, including areas such as brand profile, user generated content and next\-generation shopping experiences.
* Design and analyze A/B experiments to evaluate shopping feature impact and tradeoffs.
* Develop and operationalize novel measurement methodologies to quantify user behavior, engagement, quality, long\-term user value for evolving shopping features.
* Conduct post\-launch and longitudinal analyses to understand the long\-term impact, identify growth opportunities, and inform future product development.
* Partner closely with Product, Engineering and User Experience (UX) to translate ambiguous product questions into clear frameworks and actionable insights.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2">
      <c r="A92" t="inlineStr">
        <is>
          <t>li-4346223164</t>
        </is>
      </c>
      <c r="B92" t="inlineStr">
        <is>
          <t>Research Data Scientist, Network and Machines Optimization, Cloud</t>
        </is>
      </c>
      <c r="C92" t="inlineStr">
        <is>
          <t>Google</t>
        </is>
      </c>
      <c r="D92" t="inlineStr">
        <is>
          <t>linkedin</t>
        </is>
      </c>
      <c r="E92">
        <f>HYPERLINK("https://www.linkedin.com/jobs/view/4346223164", "https://www.linkedin.com/jobs/view/4346223164")</f>
        <v/>
      </c>
      <c r="F92" t="inlineStr"/>
      <c r="G92" t="inlineStr">
        <is>
          <t>Sunnyvale, CA</t>
        </is>
      </c>
      <c r="H92" t="inlineStr"/>
      <c r="I92" t="inlineStr">
        <is>
          <t>**Minimum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 Experience with statistical and data analysis software (e.g., R, Python, MATLAB, pandas) and database languages (e.g., SQL).
**Preferred qualifications:**
* PhD degree in Data Science, Operations Research, Industrial Engineering, Statistics, or related field.
* 4 years of relevant work experience (e.g., as a data scientist), including experience applying advanced analytics to planning and infrastructure problems.
* Experience designing and building supply chain models.
* Experience designing and building time\-series forecasting, optimization, simulation, cost\-tradeoff and probabilistic decision\-making models.
* Knowledge of technical infrastructure for cloud computing.
* Excellent problem\-framing, problem\-solving, project management and team collaboration skills.
**About The Job**
 Operations Data Science is a team of Data Science (Analyst and Research) experts, who provide model\-based decision support to scale Google's Technical Infrastructure optimally.
 In this role, you will help Google deliver Artificial Intelligence (AI) and Infrastructure at unparalleled scale, efficiency, reliability and velocity by contributing to the development of critical forecasting and capacity planning tools for Google’s technical infrastructure. You will apply investigative methods (forecasting, optimization, simulation, probabilistic cost\-tradeoffs and decision\-making, operations research) to solve issues for Google’s internal services, Google Cloud Platform, and Google’s hardware supply chain. You will plan the machine\-learning, compute, storage machines that train and serve all of Google and its customers, as part of a team whose mission is to: “Drive optimal capacity planning for machines and cluster networking by providing forecasts, models, policies, metrics and insights.” You will think critically about Google’s cloud and AI as a technology, a business, and as an operation. You will be comfortable discussing total cost of ownership with hardware engineers, resource optimization with software engineers, and reviewing fleet plans and deployment policies with operations executives, all based upon the investigative models that you will be developing.
 Behind everything users see online is architecture built by AI and Infrastructure teams to keep it running. From developing and maintaining our data centers to building the next generation of Google platforms, we make Google's product portfolio possible.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cross\-functional stakeholder to understand their business needs and frame investigative problems.
* Develop, maintain, support, and enhance custom forecasting and capacity planning tools for Google’s machine and network infrastructure.
* Drive direct analysis and modeling, drawing from multiple investigative methods and choose the right method and level of complexity appropriate for the business issues.
* Engage broadly to identify, prioritize, frame, and structure ambiguous issues, where data science projects or tools can have the biggest impact. Articulate business questions and use mathematical techniques to arrive at an answer using data.
* Translate analysis results into actionable business recommendations supported by technical documentation and presentations. Measure business outcomes driven from the investigative recommendations. Identify and communicate the issues, opportunities, and automation that the group should be working 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li-4362510165</t>
        </is>
      </c>
      <c r="B93" t="inlineStr">
        <is>
          <t>Senior Data Scientist (remote)</t>
        </is>
      </c>
      <c r="C93" t="inlineStr">
        <is>
          <t>Clarios</t>
        </is>
      </c>
      <c r="D93" t="inlineStr">
        <is>
          <t>linkedin</t>
        </is>
      </c>
      <c r="E93">
        <f>HYPERLINK("https://www.linkedin.com/jobs/view/4362510165", "https://www.linkedin.com/jobs/view/4362510165")</f>
        <v/>
      </c>
      <c r="F93">
        <f>HYPERLINK("https://clarios.wd5.myworkdayjobs.com/en-US/clarioscareers/job/United-States-Wisconsin-Milwaukee/Senior-Data-Scientist\u002d\u002dremote-_WD47045?source=LinkedIn_Sponsored&amp;urlHash=yEmO", "https://clarios.wd5.myworkdayjobs.com/en-US/clarioscareers/job/United-States-Wisconsin-Milwaukee/Senior-Data-Scientist\u002d\u002dremote-_WD47045?source=LinkedIn_Sponsored&amp;urlHash=yEmO")</f>
        <v/>
      </c>
      <c r="G93" t="inlineStr">
        <is>
          <t>Milwaukee, WI</t>
        </is>
      </c>
      <c r="H93" t="inlineStr"/>
      <c r="I93" t="inlineStr">
        <is>
          <t>* If you are local to Milwaukee we require at minimum 3 days in office\*
**What You Will Do**
 In this exciting role you will lead the effort to build and maintain a digital twin of our mission critical North American closed\-loop critical minerals supply chain. This is not only a $2\.2B global network that represents over half of Clarios’ NA’s cost of goods sold, it also is a vital for the US economy – directly enabling consumers and business to stay on the road!
 This will require working with predictive, prescriptive analytics and decision\-intelligence across the US / Canada region at Clarios. You’ll apply modern statistics, machine learning and AI to real manufacturing and supply chain problems, working side\-by\-side with our business stakeholders and our global analytics team to deploy transformative solutions\- not just models.
**How You Will Do It**
* Build production\-ready ML/statistical models (regression/classification, clustering, time series, linear / non\-linear optimizations) to detect patterns, perform scenario and what if analytics and generate prescriptive insights / outcomes.
* Wrangle and analyze and model data with Python and SQL; perform feature engineering, data quality checks, and exploration analysis to validate hypotheses and model readiness.
* Develop digital solutions /visuals in Power BI and our decision intelligence platform to communicate results and monitor performance with business users.
* Partner with stakeholders to clarify use cases, translate needs into technical tasks/user stories, and iterate solutions in sprints.
* Manage model deployment (e.g., packaging models, basic MLOps) with guidance from Global Analytics
* Lead complex solution development, scoping and utilize design thinking principles for customer centric model delivery
* Document and communicate model methodology, assumptions, and results to non\-technical audiences; support troubleshooting and continuous improvement of delivered analytics.
* Deliver value realization as part of our business analytics team to drive positive business outcomes for our metals team.
* Potential travel up to 5\-10%
**Required**
**What we look for**
* Bachelor’s degree in Statistics, Mathematics, Computer Science, Engineering, or related field—or equivalent practical experience.
* 3\-5 years of applying ML/statistics on business data.
* Python proficiency (pandas, scikit\-learn, SciPy/statsmodels) and SQL across common platforms (e.g., SQL Server, Snowflake).
* Core math/stats fundamentals: probability, hypothesis testing/DoE basics, linear algebra, and the principles behind common ML methods.
* Data visualization experience with Power BI / Decision Intelligence Platforms for analysis and stakeholder storytelling.
* Ability to work in cross\-functional teams and explain technical work clearly to non\-technical partners. Candidates must be self\-driven, curious, and creative
**Preferred**
* Cloud \&amp; big data exposure: Azure (or AWS), Databricks/Spark; Snowpark is a plus.
* Understanding of ETL/ELT tools such as ADF, SSIS, Talend, Informatica, or Matillion.
* MLOps concepts (model validation, monitoring, packaging with Docker/Kubernetes).
* Deep learning basics (PyTorch/Keras) for the right use cases.
* Experience contributing to agile backlogs, user stories, and sprint delivery.
* 5\+ years of experience in data analytics
* Master’s Degree in Statistics, Economics, Data Science or Computer Science.
**How You Will Be Successful**
* Deliver incremental value quickly (first dashboards, baseline models) and iterate with stakeholder feedback.
* Balance rigor with practicality—choose the simplest model that solves the problem and can be supported in production.
* Keep data quality front\-and\-center; instrument checks to protect decisions from drift and bad inputs.
* This position is not eligible for sponsorship\*
 This position offers a competitive salary and a comprehensive benefits package including health, dental, and vision insurance as further described below. The position has a salary range of $100,000 to $145,000 per year. This role may also include opportunities for a bonus and premium pay based on performance.
**What you get:**
* Medical, dental and vision care coverage and a 401(k) savings plan with company matching – all starting on date of hire
* Tuition reimbursement, perks, and discounts
* Parental and caregiver leave programs
* All the usual benefits such as paid time off, flexible spending, short\-and long\-term disability, basic life insurance, business travel insurance, Employee Assistance Program, and domestic partner benefits
* Global market strength and worldwide market share leadership
* HQ location earns LEED certification for sustainability plus a full\-service cafeteria and workout facility
* Clarios has been recognized as one of 2025's Most Ethical Companies by Ethisphere. This prestigious recognition marks the third consecutive year Clarios has received this distinction.
**Who we are:**
 Clarios is the force behind the world’s most recognizable car battery brands, powering vehicles from leading automakers like Ford, General Motors, Toyota, Honda, and Nissan. With 18,000 employees worldwide, we develop, manufacture, and distribute energy storage solutions while recovering, recycling, and reusing up to 99% of battery materials—setting the standard for sustainability in our industry. At Clarios, we’re not just making batteries; we’re shaping the future of sustainable transportation. Join our mission to innovate, push boundaries, and make a real impact. Discover your potential at Clarios—where your power meets endless possibilities.
**Veterans/Military Spouses:**
 We value the leadership, adaptability, and technical expertise developed through military service. At Clarios, those capabilities thrive in an environment built on grit, ingenuity, and passion—where you can grow your career while helping to power progress worldwide. All qualified applicants will be considered without regard to protected characteristics.
 We recognize that people come with a wealth of experience and talent beyond just the technical requirements of a job. If your experience is close to what you see listed here, please apply. Diversity of experience and skills combined with passion is key to challenging the status quo. Therefore, we encourage people from all backgrounds to apply to our positions. All qualified applicants will receive consideration for employment without regard to race, color, religion, sex, sexual orientation, gender identity, national origin, disability, age, status as a protected veteran or other protected characteristics protected by law. As a federal contractor, we are committed to not discriminating against any applicant or employee based on these protected statuses. We will also take affirmative action to ensure equal employment opportunities. Please let us know if you require accommodations during the interview process by emailing Special.Accommodations@Clarios.com. We are an Equal Opportunity Employer and value diversity in our teams in terms of work experience, area of expertise, and all characteristics protected by laws in the countries where we operate. For more information on our commitment to sustainability, diversity, and equal opportunity, please read our latest report. We want you to know your rights because EEO is the law.
**A Note to Job Applicants:** 
 please be aware of scams being perpetrated through the Internet and social media platforms. Clarios will never require a job applicant to pay money as part of the application or hiring process.
**To all recruitment agencies** 
 : Clarios does not accept unsolicited agency resumes/CVs. Please do not forward resumes/CVs to our careers email addresses, Clarios employees or any other company location. Clarios is not responsible for any fees related to unsolicited resumes/CVs.</t>
        </is>
      </c>
    </row>
    <row r="94">
      <c r="A94" t="inlineStr">
        <is>
          <t>li-4365132166</t>
        </is>
      </c>
      <c r="B94" t="inlineStr">
        <is>
          <t>Research Data Scientist</t>
        </is>
      </c>
      <c r="C94" t="inlineStr">
        <is>
          <t>Texas A&amp;M University</t>
        </is>
      </c>
      <c r="D94" t="inlineStr">
        <is>
          <t>linkedin</t>
        </is>
      </c>
      <c r="E94">
        <f>HYPERLINK("https://www.linkedin.com/jobs/view/4365132166", "https://www.linkedin.com/jobs/view/4365132166")</f>
        <v/>
      </c>
      <c r="F94">
        <f>HYPERLINK("https://tamus.wd1.myworkdayjobs.com/TAMU_External/job/Houston-TX/Research-Data-Scientist_R-087106-2?source=LinkedIn&amp;urlHash=R_4V", "https://tamus.wd1.myworkdayjobs.com/TAMU_External/job/Houston-TX/Research-Data-Scientist_R-087106-2?source=LinkedIn&amp;urlHash=R_4V")</f>
        <v/>
      </c>
      <c r="G94" t="inlineStr">
        <is>
          <t>Houston, TX</t>
        </is>
      </c>
      <c r="H94" t="inlineStr"/>
      <c r="I94" t="inlineStr">
        <is>
          <t>**Job Title**
 Research Data Scientist
**Agency**
 Texas A\&amp;M University
**Department**
 Institute For A Disaster Resilient Texas
**Proposed Minimum Salary**
 Commensurate
**Job Location**
 Houston, Texas
**Job Type**
 Staff
**Job Description**
**Our Commitment**
 Texas A\&amp;M University is committed to enriching the learning and working environment by promoting a culture that respects all perspectives, talents \&amp; lived experiences. Embracing varying opinions and perspectives strengthens our core values which are: Respect, Excellence, Leadership, Loyalty, Integrity, and Selfless Service.
**Who We Are**
 The Institute for Disaster Resilient Texas, located at the Houston campus, works to facilitate and deliver critical research on disaster risk reduction, provide data analytics and decision\-making tools, and generate evidence\-based solutions that help Texas communities become more resilient over the longer term. To learn more, visit https://idrt.tamug.edu
**What We Want**
 We seek a highly skilled and collaborative Data Scientist to lead the development and implementation of advanced statistical and machine learning models, manage large\-scale geospatial and temporal datasets, and enhance data infrastructure to support research and applied projects focused on hazard risk, resilience, and mitigation. The ideal candidate will possess strong technical expertise in data science, cloud\-based platforms, and geospatial analysis, along with the ability to translate complex findings into accessible insights for stakeholders. This role requires a strategic thinker with experience in federal and state\-funded initiatives, a passion for data\-informed decision\-making, and the ability to foster interdisciplinary collaboration across academic, government, and public sectors.
 This position involves designing and implementing advanced statistical and machine learning models, developing interactive visualizations, and supporting data infrastructure to inform research and applied projects. The Data Scientist will collaborate with internal and external stakeholders to support federal\- and state\-funded initiatives focused on hazard risk, resilience, and mitigation.
**What You Need To Know**
 Compensation will be commensurate to the selected hire’s experience.
 A cover letter and resume are strongly recommended.
**Qualifications**
**Required Education and Experience**
* Bachelor’s degree in applicable field or equivalent combination of education and experience.
* Eight years of related experience.
**Required**
**Required Knowledge, Skills, and Abilities**
* Strong academic background in statistics, computer science, engineering, mathematics, or similar discipline.
* Significant knowledge in research and applications of Data Science in one or more operational domains and associated disciplines including but not limited to: transportation, mobility, facilities management, environmental sensing, image and video interpretation, geospatial data processing.
* Ability to multi\-task and work cooperatively with others.
* Strong interpersonal and communication skills.
* Proficiency in applying advanced statistical analyses and developing predictive models for natural hazard\-related data.
* Experience with data visualization tools and programming languages (e.g., R, Python, SQL).
* Experience with data management and data analytics in cloud\-based platforms (e.g., Microsoft Azure, Databricks, Amazon Web Service).
* Demonstrated ability to work collaboratively across teams, institutions, and agencies.
* Strong written communication, analytical, and organizational skills.
* Ability to train, validate, apply machine learning models to complex data sets.
**Preferred Qualifications**
* Masters or PhD in an area related to Data Science, Urban and Regional Sciences, Computer Science/Engineering, Statistics, or related field and significant experience in foundations and/or applications of Data Science in an academic, industrial, government on non\-profit setting, commensurate with level of appointment.
* Experience developing research proposals and developing collaborations with faculty and researchers across organizations. Significant ability to answer questions using advanced statistical methods.
* Significant knowledge of A/B testing, including test design, sampling, hypothesis testing, evaluation of evidence and measurement.
* Significant knowledge of querying data from relational databases using SQL.
* Significant knowledge and ability to use R or Python to develop analytical solutions.
* Significant knowledge of data wrangling, data cleaning and prep, dimensionality reduction.
* Significant knowledge of GIS tools and systems; Big Data concepts, tools, and architecture (e.g. Cloud, Hadoop, Pig, Hive, Spark).
* Data visualization skills and ability to present technical solutions to non\-technical audience.
* Ability to cultivate and maintain professional working relationships with people.
* Research experience related to meteorological risk, disaster mitigation, and/or hazard impacts.
* Experience working on federally and/or state\-funded research grants or contracts.
* Experience developing/supporting web\-based mapping applications and information systems.
* Knowledge of disaster resilience issues in Texas and the Gulf Coast region.
* Experience with geospatial analysis and spatial database management, and related tools and languages (e.g., GDAL; PostgreSQL/PostGIS).
**Responsibilities**
* Data Strategy and Management\- Develop and implement a research data and information management strategy to support applied and academic projects. Design and manage large\-scale research databases, incorporating geospatial and temporal data related to natural hazards. Select, install, and configure foundational database systems, visualization software, and cloud\-based infrastructure (e.g., Azure, AWS, Databricks). Develop tools and pipelines for cleaning, transforming, and integrating datasets from multiple sources. Establish standards and criteria for data quality, storage, and usage to enhance project efficiency and reproducibility.
* Consulting and Collaboration\- Serve as a point of contact for data requests, analytics consultations, and statistical modeling across internal and external teams. Guide stakeholders through data interpretation, predictive model outputs, and spatial insights. Document project needs, timelines, and deliverables while maintaining open communication with collaborators. Support proposal development and data\-driven strategy in state and federally funded initiatives.
* Website and Communication Enhancements\- Enhance the public\-facing website by integrating interactive dashboards, mapping tools, and visual analytics. Work with marketing and communications staff to promote tools and insights developed by the research team. Translate technical findings into accessible formats for stakeholders, policymakers, and public audiences.
* Budget and Resource Management\- Assist leadership in planning and allocating resources for research and data consulting efforts. Manage time\-tracking and documentation of consulting services to inform budgeting and reporting. Monitor consulting requests and coordinate intake and project assignment workflows. Discuss scope, pricing, and timelines with external partners and clients, as needed.
* Organizational Development\- Lead strategic planning around data infrastructure and analytics to improve organizational efficiency. Assess and enhance internal data workflows, ensuring alignment with research goals and stakeholder needs. Identify opportunities to acquire or generate new data assets and establish data partnerships with external agencies. Support a culture of data\-informed decision making within the institute.
**Required**
* This position is security sensitive.
* This position requires compliance with state and federal laws/codes and Texas A\&amp;M University System/TAMU policies, regulations, rules and procedures.
* All tasks and job responsibilities must be performed safely without injury to self or others in compliance with System and University safety requirements.
* The position is eligible to have supervisory responsibilities.
**Why Texas A\&amp;M University?**
 We are a prestigious university with strong traditions, Core Values, and a community of caring and collaboration.  Amenities associated with a major university, such as sporting and cultural events, state\-of\-the\-art recreation facilities, the Bush Library and Museum, and much more await you.  Experience all that a big city has to offer but with a reasonable cost\-of\-living and no long commutes.
* Health, dental, vision, life and long\-term disability insurance with Texas A\&amp;M contributing to employee health and basic life premiums
* 12\-15 days of annual paid holidays
* Up to eight hours of paid sick leave and at least eight hours of paid vacation each month
* Automatically enrollment in the Teacher Retirement System of Texas
* Health and Wellness: Free exercise programs and release time
* Professional Development: All employees have access to free LinkedIn Learning training, webinars, and limited financial support to attend conferences, workshops, and more
* Employee Tuition Assistance and Educational Release time for completing a degree while a Texas A\&amp;M employee
**Instructions to Applicants:** 
*Applications received by Texas A\&amp;M University must either have all job application data entered or a resume attached. Failure to provide all job application data or a complete resume could result in an invalid submission and a rejected application. We encourage all applicants to upload a resume or use a LinkedIn profile to pre\-populate the online application*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Opportunity/Veterans/Disability Employer.</t>
        </is>
      </c>
    </row>
    <row r="95">
      <c r="A95" t="inlineStr">
        <is>
          <t>li-4355231261</t>
        </is>
      </c>
      <c r="B95" t="inlineStr">
        <is>
          <t>Data Scientist</t>
        </is>
      </c>
      <c r="C95" t="inlineStr">
        <is>
          <t>Ztek Consulting</t>
        </is>
      </c>
      <c r="D95" t="inlineStr">
        <is>
          <t>linkedin</t>
        </is>
      </c>
      <c r="E95">
        <f>HYPERLINK("https://www.linkedin.com/jobs/view/4355231261", "https://www.linkedin.com/jobs/view/4355231261")</f>
        <v/>
      </c>
      <c r="F95" t="inlineStr"/>
      <c r="G95" t="inlineStr">
        <is>
          <t>Vienna, VA</t>
        </is>
      </c>
      <c r="H95" t="inlineStr"/>
      <c r="I95" t="inlineStr">
        <is>
          <t>**Job Title: Data Scientist** 
**Location: Vienna, VA** 
**Type of hire: Fulltime** 
**Job Description :**
 Required and Preferred Skillsets
 • Must be familiar with multiple types of data models including, but not limited to, generalized linear and multilinear regression, logistic and multinomial regression, and time series analysis.
 • Must have hand\-on experience with supervised (classification, regression) and unsupervised learning (clustering, dimension reduction).
 • 3\+ years of experience evaluating relationships in data using statistical modeling and leveraging analytics tools.
 • 3\+ years of experience in advanced Classification and Regression modeling.
 • 3\+ years of professional proficiency using R, or Python for data wrangling and model building.
 • Experience in SQL or Spark SQL, and basic database design.
 • Cloud project work using Google, AWS and/or Azure.
 • Demonstrated high proficiency in statistical analysis and data visualization.
 • Demonstrated high proficiency in data wrangling and documentation.
 • Solid technical skills across a wide variety of tools and data platforms.
 • Able to successfully prioritize and manage multiple project tasks simultaneously and complete them in a timely manner with a high degree of accuracy.
 • Strong record of applied data analysis.
 • Excellent writing and presentation skills with a successful track record of communicating complex concepts to diverse audiences.
 Preferred:
 • (Highly preferred) AWS or Google Cloud Professional or Specialty Certification or ability to obtain certification.
 • Top Secret security clearance.
 • Experience with supply chain management data systems and technology is desirable (e.g., ERP, Transportation Management and Warehouse Management systems).
 • Experience supporting DoD and/or VA missions.
 • Proficiency in integrating and interfacing with software development processes.
 • Consulting experience.</t>
        </is>
      </c>
    </row>
    <row r="96">
      <c r="A96" t="inlineStr">
        <is>
          <t>li-4365091915</t>
        </is>
      </c>
      <c r="B96" t="inlineStr">
        <is>
          <t>Data Scientist</t>
        </is>
      </c>
      <c r="C96" t="inlineStr">
        <is>
          <t>Nakupuna Companies</t>
        </is>
      </c>
      <c r="D96" t="inlineStr">
        <is>
          <t>linkedin</t>
        </is>
      </c>
      <c r="E96">
        <f>HYPERLINK("https://www.linkedin.com/jobs/view/4365091915", "https://www.linkedin.com/jobs/view/4365091915")</f>
        <v/>
      </c>
      <c r="F96">
        <f>HYPERLINK("https://careers-nakupuna.icims.com/jobs/6030/data-scientist/job?mode=apply&amp;iis=LinkedIn&amp;urlHash=LpgE", "https://careers-nakupuna.icims.com/jobs/6030/data-scientist/job?mode=apply&amp;iis=LinkedIn&amp;urlHash=LpgE")</f>
        <v/>
      </c>
      <c r="G96" t="inlineStr">
        <is>
          <t>Aberdeen Proving Ground, MD</t>
        </is>
      </c>
      <c r="H96" t="inlineStr"/>
      <c r="I96" t="inlineStr">
        <is>
          <t>**Overview**
 Nakupuna Solutions is looking for a Data Scientist. The data Scientist is a technical individual who utilize modeling tools for the purposes of creating, evaluating, deploying and managing models. They develop and refine predictive models, perform statistical analysis, and generate data visualizations to communicate findings.
**Responsibilities**
 The following reflects management’s definition of essential functions for this position. Management may assign additional duties and responsibilities to this job at any time due to reasonable accommodation or other reasons.
* Utilize Palantir Foundry's modeling tools to create, evaluate, deploy, and manage data models.
* Develop advanced analytics solutions to address complex data challenges.
* Collaborate with cross\-functional teams to integrate data\-driven insights into strategic decision\-making.
* Analyze large and diverse datasets to uncover trends and inform business strategies.
* Design and implement data integration and visualization solutions using Palantir's and platforms.
* Work closely with clients to understand their data needs and deliver tailored solutions.
* Ensure data quality and integrity throughout the analytics process.
**Qualifications**
**Skills/Qualifications:** 
 The ideal candidate is able to multi\-task, is highly organized, has great attention to detail.
* Proficiency in data analysis and modeling tools.
* Experience with data integration and visualization platforms (Preference given to Palantir Foundry).
* Advanced degree in Data Science, Statistics, or related fields.
* Strong problem\-solving skills and the ability to work with complex datasets.
* Excellent communication skills to convey data insights to stakeholders.
* Ability to work collaboratively in a fast\-paced, dynamic environment.
* Passion for using data to drive impactful solutions in various industries.
**Education/Experience:**
* 3\+ years of hands\-on experience within the Palantir Foundry (Code Workbooks, Code Authoring, and Model Objectives)
* Advanced degree in Data Science, Statistics, or related fields.
**Clearance Requirements:** 
 Active Secret security clearance required. Must be a U.S. citizen.
**Work Location:** 
 This position is 3 days onsite in Aberdeen Proving Grounds, Maryland
**Physical Requirements:** 
 The ideal candidate must at a minimum be able to meet the following physical requirements of the job with or without a reasonable accommodation:
* Ability to perform repetitive motions with the hands, wrists, and fingers.
* Ability to engage in and follow audible communications in emergency situations.
* Ability to sit for prolonged periods at a desk and working on a computer.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$125,000\.00 to $165,000\.00 (annualized USD). The salary range displayed represents the typical salary range for this position and is just one component of Nakupuna Companies total compensation package for employees.</t>
        </is>
      </c>
    </row>
    <row r="97">
      <c r="A97" t="inlineStr">
        <is>
          <t>li-4361231799</t>
        </is>
      </c>
      <c r="B97" t="inlineStr">
        <is>
          <t>Research Data Scientist III, Ads Insight and Measurement</t>
        </is>
      </c>
      <c r="C97" t="inlineStr">
        <is>
          <t>Google</t>
        </is>
      </c>
      <c r="D97" t="inlineStr">
        <is>
          <t>linkedin</t>
        </is>
      </c>
      <c r="E97">
        <f>HYPERLINK("https://www.linkedin.com/jobs/view/4361231799", "https://www.linkedin.com/jobs/view/4361231799")</f>
        <v/>
      </c>
      <c r="F97" t="inlineStr"/>
      <c r="G97" t="inlineStr">
        <is>
          <t>Mountain View, CA</t>
        </is>
      </c>
      <c r="H97" t="inlineStr"/>
      <c r="I97" t="inlineStr">
        <is>
          <t>Note: By applying to this position you will have an opportunity to share your preferred working location from the following:
 **New York, NY, USA; Mountain View,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 Experience with advanced optimization techniques.
* Experience with high dimensional statistics.
**About the job** 
 As a Data Scientist working on Ads Insights and Measurement, you will develop, evaluate and improve the entire range of Google's advertising products including Search, Display, Apps, TV and Video (YouTube). You will collaborate with a multi\-disciplinary team of engineers, analysts and product managers to develop new science and to translate it into deployed products at scale. You will also play a key role in developing new ideas and methods that drive ad measurement and business generation, including paradigm\-shifting ad\-measurement science and products for the privacy\-preserving future of digital advertising and will be a key part of building and driving impact on ad\-systems both at Google and in the ad\-tech and mar\-tech industry as a whole, globally.The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evaluate custom data infrastructure or existing data models using specialized knowledge to mathematically express and solve defined problems with limited precedent.
* Shape and support new data\-driven and privacy\-preserving advertising and marketing products in collaboration with engineering, product and customer\-facing teams.
* Define relevant questions about advertising effectiveness, incrementality assessment, the impact of privacy, user behavior, brand building, aiming, bidding and develop and implement quantitative methods to answer those questions through team collaboration.
* Solve difficult, non\-routine analysis problems with data sets, applying advanced problem\-solving methods as needed and conducting analyses that include data gathering and requirements specification, Exploratory Data Analysis (EDA), model development, and written and verbal delivery of results to business partners and executives.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8">
      <c r="A98" t="inlineStr">
        <is>
          <t>li-4354891779</t>
        </is>
      </c>
      <c r="B98" t="inlineStr">
        <is>
          <t>Senior Data Scientist Manager, Product, Health</t>
        </is>
      </c>
      <c r="C98" t="inlineStr">
        <is>
          <t>Google</t>
        </is>
      </c>
      <c r="D98" t="inlineStr">
        <is>
          <t>linkedin</t>
        </is>
      </c>
      <c r="E98">
        <f>HYPERLINK("https://www.linkedin.com/jobs/view/4354891779", "https://www.linkedin.com/jobs/view/4354891779")</f>
        <v/>
      </c>
      <c r="F98" t="inlineStr"/>
      <c r="G98" t="inlineStr">
        <is>
          <t>Mountain View, CA</t>
        </is>
      </c>
      <c r="H98" t="inlineStr"/>
      <c r="I98" t="inlineStr">
        <is>
          <t>**Minimum qualifications:**
* Bachelor's degree in Statistics, Mathematics, Data Science, Engineering, Physics, Economics, or a related quantitative field.
* 13 years of work experience using analytics to solve product or business problems, performing statistical analysis, and coding (e.g., Python, R, SQL) (or 10 years work experience plus a Master's degree).
* 5 years of experience as a people manager within a technical leadership role.
**Preferred qualifications:**
* Master's degree in Statistics, Mathematics, Data Science, Engineering, Physics, Economics, or a related quantitative field.
* 15 years of experience using analytics to solve product or business problems, performing statistical analysis, and coding (e.g., Python, R, SQL).
* 6 years of experience as a people manager within a technical leadership role.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Google for Health is a company\-wide effort to help billions of people be healthier. We work toward this vision by meeting people in their everyday moments and empowering them to stay healthy and partnering with care teams to provide more accurate and accessible care. Our teams are applying our expertise and technology to improve health outcomes globally – with high\-quality information and tools to help people manage their health and wellbeing, solutions to transform care delivery, research to catalyze the use of artificial intelligence for the screening and diagnosis of disease, and data and insights to the public health community.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Perform analysis utilizing relevant tools (e.g., SQL, R, Python). Direct projects that combine analytical and organizational complexity towards clear, sound, and actionable decisions.
* Own projects end\-to\-end, covering problem definition, metrics development, data extraction and manipulation, visualization, creation, and implementation of analytical/statistical models, and presentation to stakeholders.
* Address ambiguous or new problems by using the capabilities of existing systems and collaborate to turn broad problems into work for the team.
* Own relationship and serve as strategic partner to executive product leadership across the Health organization to ensure alignment on priorities, anticipate analytical needs, and guide strategic product and business decisions.
* Set DS strategy for the organization and lead cross\-functional initiatives across data engineering, strategy, and business operations that anticipate and develop the data sets, tools and processes to scale DS capabilities and efficiently drive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li-4330704045</t>
        </is>
      </c>
      <c r="B99" t="inlineStr">
        <is>
          <t>Business Data Scientist Manager, Forecasting and Science</t>
        </is>
      </c>
      <c r="C99" t="inlineStr">
        <is>
          <t>Google</t>
        </is>
      </c>
      <c r="D99" t="inlineStr">
        <is>
          <t>linkedin</t>
        </is>
      </c>
      <c r="E99">
        <f>HYPERLINK("https://www.linkedin.com/jobs/view/4330704045", "https://www.linkedin.com/jobs/view/4330704045")</f>
        <v/>
      </c>
      <c r="F99">
        <f>HYPERLINK("https://careers.google.com/jobs/results/89749176048329414-business-data-scientist-manager/?src=Online/LinkedIn/linkedin_us&amp;utm_source=linkedin&amp;utm_medium=jobposting&amp;utm_campaign=contract&amp;urlHash=gKLl", "https://careers.google.com/jobs/results/89749176048329414-business-data-scientist-manager/?src=Online/LinkedIn/linkedin_us&amp;utm_source=linkedin&amp;utm_medium=jobposting&amp;utm_campaign=contract&amp;urlHash=gKLl")</f>
        <v/>
      </c>
      <c r="G99" t="inlineStr">
        <is>
          <t>Atlanta, GA</t>
        </is>
      </c>
      <c r="H99" t="inlineStr"/>
      <c r="I99" t="inlineStr">
        <is>
          <t>The application window will be open until at least January 13, 2025\. This opportunity will remain online based on business needs which may be before or after the specified date.
 Note: By applying to this position you will have an opportunity to share your preferred working location from the following:
 **Boulder, CO, USA; Atlanta, GA, USA** 
 .
 **Minimum qualifications:**
* Master's degree in a quantitative discipline such as Statistics, Engineering, Sciences, or equivalent practical experience.
* 9 years of experience using analytics to solve product or business problems, coding (e.g., Python, R, SQL), querying databases or statistical analysis.
* 3 years of experience as a people manager within a technical leadership role.
**Preferred qualifications:**
* 11 years of experience using analytics to solve product or business problems, coding (e.g., Python, R, SQL), querying databases or statistical analysis.
* 6 years of experience as a people manager within a technical leadership role.
* Experience translating business questions into analyses, and using mathematical techniques to surface actionable insights from very large datasets.
* Excellent data analysis skills within a business context, with experience presenting statistical findings in a clear, compelling manner that drives action.
* Excellent written and verbal communication skills.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the Head of Forecasting and Science team, you will lead our data science team dedicated to supporting gTech Users and Prodcuts (gUP) wide multi\-year technical solution initiatives by co\-owning delivery of all phases of user success initiatives: opportunity sizing, recommendations generation, implementation, and success measurement.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Data Science team to deliver reporting, advanced analytics, and insights that drive business impact.
* Partner across Google User Product Operations (Workforce Management) and Engineering teams to deliver precise volume forecasting for 1:1 and Product Services businesses. Execute outcome\-based scenario modeling using business assumptions and inputs to project future requirements.
* Help the team to translate ambiguous business goals into effective analysis plans in collaboration with other Analytics subteams (e.g., Product analytics, Consumer Support analytics).
* Oversee analytical work, advise on statistical methodologies, influence executive decisions, and help set the direction and priorities of the overall team.
* Foster a collaborative culture where people grow and learn.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0">
      <c r="A100" t="inlineStr">
        <is>
          <t>li-4361171782</t>
        </is>
      </c>
      <c r="B100" t="inlineStr">
        <is>
          <t>Senior Staff Research Data Scientist, AI Data Intelligence</t>
        </is>
      </c>
      <c r="C100" t="inlineStr">
        <is>
          <t>Google</t>
        </is>
      </c>
      <c r="D100" t="inlineStr">
        <is>
          <t>linkedin</t>
        </is>
      </c>
      <c r="E100">
        <f>HYPERLINK("https://www.linkedin.com/jobs/view/4361171782", "https://www.linkedin.com/jobs/view/4361171782")</f>
        <v/>
      </c>
      <c r="F100">
        <f>HYPERLINK("https://careers.google.com/jobs/results/91536324825096902-senior-staff-research-data-scientist/?src=Online/LinkedIn/linkedin_us&amp;utm_source=linkedin&amp;utm_medium=jobposting&amp;utm_campaign=contract&amp;urlHash=YLBD", "https://careers.google.com/jobs/results/91536324825096902-senior-staff-research-data-scientist/?src=Online/LinkedIn/linkedin_us&amp;utm_source=linkedin&amp;utm_medium=jobposting&amp;utm_campaign=contract&amp;urlHash=YLBD")</f>
        <v/>
      </c>
      <c r="G100" t="inlineStr">
        <is>
          <t>Sunnyvale, CA</t>
        </is>
      </c>
      <c r="H100" t="inlineStr"/>
      <c r="I100" t="inlineStr">
        <is>
          <t>**Minimum qualifications:**
* Master's degree in Statistics, Data Science, Mathematics, Physics, Economics, Operations Research, Engineering, or a related quantitative field.
* 10 years of work experience using analytics to solve product or business problems, coding (e.g., Python, R, SQL), querying databases or statistical analysis, or 8 years of work experience with a PhD degree.
**Preferred qualifications:**
* 12 years of work experience using analytics to solve product or business problems, coding (e.g., Python, R, SQL), querying databases or statistical analysis, or 10 years of work experience with a PhD degree.
**About The Job**
 As a Senior Staff Data Scientist, you will serve as a key innovation driver within our AI data organization. You will leverage your expertise in the full life\-cycle of data for large\-scale AI models (specifically Large Language Models (LLMs) from collection and distillation to precision curation and refinement.
 In this role, you will be instrumental in conceiving, architecting, and deploying novel data solutions that directly enhance AI performance. You will translate complex and ambiguous data issues into strategic opportunities that deliver quantifiable business value. You will collaborate with executive engineering and product stakeholders.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Solve complex and ambiguous data science problems with particular focus on model evaluation and fine\-tuning data for Large Language Models (LLM).
* Design and deploy novel data acquisition and quality improvement techniques for foundational models.
* Utilize AI models and tools as integral components for evaluating, synthesizing, and understanding complex datasets.
* Act as a critical technical partner, collaborating closely with Research, Engineering, and Product teams (Cloud AI Data and Google DeepMind).
* Develop new methodologies to improve the performance of Google's models through better training data, including data acquisition, and insights.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1">
      <c r="A101" t="inlineStr">
        <is>
          <t>li-4329875694</t>
        </is>
      </c>
      <c r="B101" t="inlineStr">
        <is>
          <t>Staff Data Scientist, YouTube Shopping and Horizontal</t>
        </is>
      </c>
      <c r="C101" t="inlineStr">
        <is>
          <t>Google</t>
        </is>
      </c>
      <c r="D101" t="inlineStr">
        <is>
          <t>linkedin</t>
        </is>
      </c>
      <c r="E101">
        <f>HYPERLINK("https://www.linkedin.com/jobs/view/4329875694", "https://www.linkedin.com/jobs/view/4329875694")</f>
        <v/>
      </c>
      <c r="F101" t="inlineStr"/>
      <c r="G101" t="inlineStr">
        <is>
          <t>San Bruno, CA</t>
        </is>
      </c>
      <c r="H101" t="inlineStr"/>
      <c r="I101" t="inlineStr">
        <is>
          <t>**Minimum qualifications:**
* Master's degree in Statistics, Data Science, Mathematics, Physics, Economics, Operations Research, Engineering, or a related quantitative field.
* 8 years of work experience using analytics to solve product or business problems, coding (e.g., Python, R, SQL), querying databases or statistical analysis, or 6 years of work experience with a PhD degree.
**Preferred qualifications:**
* 10 years of work experience using analytics to solve product or business problems, coding (e.g., Python, R, SQL), querying databases or statistical analysis, or 8 years of work experience with a PhD degree.
* Experience with classifiers.
**About the job** 
 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providing feedback to translate and refine them into analysis, evaluation metrics, or mathematical models.
* Leverage custom data infrastructure or existing data models using specialized knowledge to design and evaluate models that mathematically express and solve defined problems.
* Gather information, business goals, priorities, and organizational context around the questions to answer, including the existing and upcoming data infrastructure.
* Own the process of gathering, extracting, and compiling data across sources via relevant tools (e.g., SQL, R, Python), formatting, re\-structuring, or validating data to ensure quality, and readiness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li-4330881131</t>
        </is>
      </c>
      <c r="B102" t="inlineStr">
        <is>
          <t>Business Data Scientist Manager, Forecasting and Science</t>
        </is>
      </c>
      <c r="C102" t="inlineStr">
        <is>
          <t>Google</t>
        </is>
      </c>
      <c r="D102" t="inlineStr">
        <is>
          <t>linkedin</t>
        </is>
      </c>
      <c r="E102">
        <f>HYPERLINK("https://www.linkedin.com/jobs/view/4330881131", "https://www.linkedin.com/jobs/view/4330881131")</f>
        <v/>
      </c>
      <c r="F102" t="inlineStr"/>
      <c r="G102" t="inlineStr">
        <is>
          <t>Boulder, CO</t>
        </is>
      </c>
      <c r="H102" t="inlineStr"/>
      <c r="I102" t="inlineStr">
        <is>
          <t>The application window will be open until at least January 13, 2025\. This opportunity will remain online based on business needs which may be before or after the specified date.
 Note: By applying to this position you will have an opportunity to share your preferred working location from the following:
 **Boulder, CO, USA; Atlanta, GA, USA** 
 .
 **Minimum qualifications:**
* Master's degree in a quantitative discipline such as Statistics, Engineering, Sciences, or equivalent practical experience.
* 9 years of experience using analytics to solve product or business problems, coding (e.g., Python, R, SQL), querying databases or statistical analysis.
* 3 years of experience as a people manager within a technical leadership role.
**Preferred qualifications:**
* 11 years of experience using analytics to solve product or business problems, coding (e.g., Python, R, SQL), querying databases or statistical analysis.
* 6 years of experience as a people manager within a technical leadership role.
* Experience translating business questions into analyses, and using mathematical techniques to surface actionable insights from very large datasets.
* Excellent data analysis skills within a business context, with experience presenting statistical findings in a clear, compelling manner that drives action.
* Excellent written and verbal communication skills.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As the Head of Forecasting and Science team, you will lead our data science team dedicated to supporting gTech Users and Prodcuts (gUP) wide multi\-year technical solution initiatives by co\-owning delivery of all phases of user success initiatives: opportunity sizing, recommendations generation, implementation, and success measurement.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Data Science team to deliver reporting, advanced analytics, and insights that drive business impact.
* Partner across Google User Product Operations (Workforce Management) and Engineering teams to deliver precise volume forecasting for 1:1 and Product Services businesses. Execute outcome\-based scenario modeling using business assumptions and inputs to project future requirements.
* Help the team to translate ambiguous business goals into effective analysis plans in collaboration with other Analytics subteams (e.g., Product analytics, Consumer Support analytics).
* Oversee analytical work, advise on statistical methodologies, influence executive decisions, and help set the direction and priorities of the overall team.
* Foster a collaborative culture where people grow and learn.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3">
      <c r="A103" t="inlineStr">
        <is>
          <t>li-4362163498</t>
        </is>
      </c>
      <c r="B103" t="inlineStr">
        <is>
          <t>Staff Data Scientist, Computational Biology</t>
        </is>
      </c>
      <c r="C103" t="inlineStr">
        <is>
          <t>Valo Health</t>
        </is>
      </c>
      <c r="D103" t="inlineStr">
        <is>
          <t>linkedin</t>
        </is>
      </c>
      <c r="E103">
        <f>HYPERLINK("https://www.linkedin.com/jobs/view/4362163498", "https://www.linkedin.com/jobs/view/4362163498")</f>
        <v/>
      </c>
      <c r="F103">
        <f>HYPERLINK("https://job-boards.greenhouse.io/valohealth/jobs/8376595002?gh_src=s0QptL&amp;urlHash=Y5qm", "https://job-boards.greenhouse.io/valohealth/jobs/8376595002?gh_src=s0QptL&amp;urlHash=Y5qm")</f>
        <v/>
      </c>
      <c r="G103" t="inlineStr">
        <is>
          <t>Lexington, MA</t>
        </is>
      </c>
      <c r="H103" t="inlineStr"/>
      <c r="I103" t="inlineStr">
        <is>
          <t>**About Us**
 Valo Health is a human\-centric, AI\-enabled biotechnology company working to make new drugs for patients faster. The company’s Opal Computational Platform transforms drug discovery and development through a unique combination of real\-world data, AI, human translational models and predictive chemistry.
 Our talented team of biologists, chemists and engineers, armed with advanced AI/ML tools, work together to break down traditional R\&amp;D silos and accelerate the speed and scale of drug discovery and development.
 Valo is committed to hiring diverse talent, prioritizing growth and development, fostering an inclusive environment, and creating opportunities to bring together a group of different experiences, backgrounds, and voices to work together. We embrace new ways of learning, solve complex problems and welcome diverse perspectives that can help us advance patient\-centric innovation.
 Valo is headquartered in Lexington, MA, with additional offices in New York, NY and Tel Aviv, Israel. To learn more, visit www.valohealth.com.
**About The Role**
 As a Staff Data Scientist in Computational Biology, you will be part of the target prioritization team responsible for delivering strong target candidates and accelerating drug preclinical programs. You will lead the strategy for data integration, target prioritization and execution in the immune\-cardio\-metabolic therapeutic area, applying innovative solutions to multi\-dimensional data to define the best targets, and move them forward. You will closely collaborate with discovery scientists, data scientists, epidemiologists, and engineers to maximize the generation of actionable insights and target hypotheses from our internal datasets, while applying creative computational approaches to address critical scientific questions while contributing to Valo’s platform.
 A successful candidate will have the ability to work and communicate with a diverse set of scientists, and domain experts in synergistic ways, closing the gap between experimental and data scientists, and across different teams. You will be driven by scientific curiosity and have a deep intuition and understanding of biological systems. You will be comfortable with the uncertainty inherent to scientific research and be willing to learn while paving the path to new approaches.
**What You'll Do...**
* Lead the development of target prioritization strategy and execution, incorporating cell\-specific information through interpretable machine learning models in the immune\-cardio\-metabolic therapeutic area.
* Contribute to the analyses and integration of scRNAseq datasets within interpretable machine learning models aimed at target discovery and prioritization.
* Collaborate with other data scientists to improve and expand the applications of our computational platform.
* Engage with discovery stakeholders to come up with novel approaches that better capture our scientific strategy, while supporting new hypotheses and/or research questions.
* Support external partnerships by aligning strategically with partners and meeting delivery expectations.
* Be a curious, agile and pro\-active team member, providing regular updates of your work and looking for new scientific opportunities within the team.
**What You Bring...**
* PhD \+ 5 years experience in computational sciences, computational biology, or related fields (e.g., systems biology, genetics, molecular biology, physics) in collaborative settings to unravel complex biological questions and communicate domain knowledge to non\-computational stakeholders \&amp; colleagues.
* Experience in scRNAseq analyses and computational approaches using modern computational methods towards understanding cellular pathways, cell transition states, and holistic disease processes.
* Strong analytical, problem\-solving, and communication skills.
* Demonstrated experience in modern data science toolkits, including python, R, github/gitlab towards building reproducible analytical processes.
* Ability to condense, summarize, and synthesize results into informative and actionable presentations to scientific audiences as demonstrated by original peer\-reviewed publications in respected journals, oral presentations at scientific meetings.
* Experience in documenting computational projects, code, data, and model versioning.
* Ability to multi\-task and work in fast\-paced environments.
**Nice To Have**
* Experience in systems biology approaches to derive insights from multi\-dimensional data.
* Experience in cellular mixture deconvolution approaches, with a focus on immune system.
* Experience in interpretable machine learning models.
* Experience in multi\-omics approaches and data (2 or more: genomic, transcriptomic, proteomic, and/or metabolomic) using computational biology methods towards understanding holistic disease processes.
* Domain knowledge in immune\-cardio\-metabolic therapeutic area.
 MA Salary Range
 $170,000—$200,000 USD
**Compensation for the role will depend on a number of factors, including a candidate’s qualifications, skills, competencies, and experience. Valo Health currently offers healthcare coverage, annual incentive program, retirement benefits and a broad range of other benefits. Compensation and benefits information is based on Valo Health's good faith estimate as of the date of publication and may be modified in the future.**
***Please note: At this time, we are only able to consider candidates who* 
**currently** 
*have permanent US work authorization without the need for immediate or future sponsorship.***</t>
        </is>
      </c>
    </row>
    <row r="104">
      <c r="A104" t="inlineStr">
        <is>
          <t>li-4365156264</t>
        </is>
      </c>
      <c r="B104" t="inlineStr">
        <is>
          <t>Lead Data Scientist – Agentic AI &amp; Decision Intelligence</t>
        </is>
      </c>
      <c r="C104" t="inlineStr">
        <is>
          <t>CVS Health</t>
        </is>
      </c>
      <c r="D104" t="inlineStr">
        <is>
          <t>linkedin</t>
        </is>
      </c>
      <c r="E104">
        <f>HYPERLINK("https://www.linkedin.com/jobs/view/4365156264", "https://www.linkedin.com/jobs/view/4365156264")</f>
        <v/>
      </c>
      <c r="F104">
        <f>HYPERLINK("https://jobs.cvshealth.com/us/en/job/CVSCHLUSR0809209EXTERNALENUS/Lead-Data-Scientist-Agentic-AI-Decision-Intelligence?utm_source=Linkedin&amp;utm_medium=phenom-feeds&amp;urlHash=0vN0", "https://jobs.cvshealth.com/us/en/job/CVSCHLUSR0809209EXTERNALENUS/Lead-Data-Scientist-Agentic-AI-Decision-Intelligence?utm_source=Linkedin&amp;utm_medium=phenom-feeds&amp;urlHash=0vN0")</f>
        <v/>
      </c>
      <c r="G104" t="inlineStr">
        <is>
          <t>Wellesley Hills, MA</t>
        </is>
      </c>
      <c r="H104" t="inlineStr"/>
      <c r="I10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We are seeking a
 **Lead – Agentic AI \&amp; Decision Intelligence** 
 to pioneer the next generation of analytics and decision\-making. This role will focus on
 **building and scaling agentic AI frameworks, conversational analytics, and decision intelligence systems** 
 that transform how our Pharmacy supply chain business interacts with data. You will design and execute a
 **customer\-centric analytics strategy** 
 powered by AI agents, LLMs, and generative AI, ensuring insights are not just delivered, but acted upon. This is a highly visible role where you will own the
 **vision, strategy, and execution of AI\-driven decision systems** 
 , positioning the organization at the forefront of intelligent business analytics.
**Required Qualifications**
* 5\+ years of experience in advanced analytics, decision science, applied AI/ML
* 5\+ years hands\-on experience with LLMs, generative AI, or conversational AI frameworks (e.g., LangChain, AutoGen, CrewAI, RAG).
* 5\+ years programming skills in Python and SQL, with experience deploying AI systems in cloud environments (GCP, AWS, or Azure).
* 5\+ years' experience in at least one area of advanced modeling: predictive analytics, reinforcement learning, NLP, or causal inference.
* 3\+ years' experience translating complex AI concepts into business impact, including stakeholder alignment and business value sizing.
* 3\+ years' experience leading end\-to\-end AI\-driven solution delivery: from data foundation to model orchestration to front\-end adoption.
* 3\+ years' experience exhibiting strong communication, storytelling, and customer engagement skills, with a passion for building solutions that are intuitive and impactful.
**Preferred Qualifications**
* Experience implementing agentic AI systems for conversational analytics, autonomous reporting, or decision support.
* Familiarity with Vertex AI and Google Cloud Platform, or equivalent enterprise AI platforms.
* Familiarity with BI tools (Tableau, Looker, Power BI) and analytics engineering (Snowflake, modern warehouses).
* Background in healthcare or pharmacy analytics, with a strong interest in improving outcomes through intelligent decision systems.
* Experience with UI/UX design, customer journey mapping, and design thinking (Figma experience is a plus).
* Knowledge of data observability, governance, and AI ethics to ensure trustworthy, transparent decision intelligence systems.
**Education Qualifications**
* Bachelor's degree or equivalent work experience in Mathematics, Statistics, Computer Science, Business Analytics, Economics, Physics, Engineering, or related discipline.
* Master’s degree or PhD preferred
**Pay Range**
**The Typical Pay Range For This Role Is**
 $130,295\.00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02/22/2026
 Qualified applicants with arrest or conviction records will be considered for employment in accordance with all federal, state and local laws.</t>
        </is>
      </c>
    </row>
    <row r="105">
      <c r="A105" t="inlineStr">
        <is>
          <t>li-4362530894</t>
        </is>
      </c>
      <c r="B105" t="inlineStr">
        <is>
          <t>Sr Data Scientist</t>
        </is>
      </c>
      <c r="C105" t="inlineStr">
        <is>
          <t>Kansas City National Security Campus</t>
        </is>
      </c>
      <c r="D105" t="inlineStr">
        <is>
          <t>linkedin</t>
        </is>
      </c>
      <c r="E105">
        <f>HYPERLINK("https://www.linkedin.com/jobs/view/4362530894", "https://www.linkedin.com/jobs/view/4362530894")</f>
        <v/>
      </c>
      <c r="F105">
        <f>HYPERLINK("https://career-hcm03.ns2cloud.com/career?career_ns=job_listing&amp;company=KCPHCM03&amp;navBarLevel=JOB_SEARCH&amp;rcm_site_locale=en_US&amp;career_job_req_id=4014&amp;urlHash=8yF5", "https://career-hcm03.ns2cloud.com/career?career_ns=job_listing&amp;company=KCPHCM03&amp;navBarLevel=JOB_SEARCH&amp;rcm_site_locale=en_US&amp;career_job_req_id=4014&amp;urlHash=8yF5")</f>
        <v/>
      </c>
      <c r="G105" t="inlineStr">
        <is>
          <t>Overland Park, KS</t>
        </is>
      </c>
      <c r="H105" t="inlineStr"/>
      <c r="I105" t="inlineStr">
        <is>
          <t>**Join the industry leader to design the next generation of breakthroughs.
 Innovate to solve the world's most important challenges.**
 Honeywell is a Fortune 100 company that invents and manufactures technologies to address critical challenges linked to global macrotrends such as safety, security, productivity, global urbanization and energy. With approximately 100,000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**Summary**
 The Sr Data Scientist leads highly complex problem analysis, customer interaction, solution design, front\-end and back\-end integration, maintenance, and support of data science and analytics solutions for manufacturing or business applications.
****Duties and Responsibilities****
* Independently develops data science models or algorithms using disciplined software development processes, making recommendations for developing new code or re\-using existing code, implementing version control and maintaining documentation of created applications.
* Interfaces with multiple stakeholders and team members to improve predictability of business or manufacturing operations.
* Collaborates with internal web application development team accessible throughout KCNSC to incorporate established models into stakeholder daily decision\-making processes.
* Partners with data science team to provide solutions to stakeholder challenges on a variety of topics.
* Stays current with relevant emerging technology to make recommendations on investment opportunities.
* Demonstrates project management skills, serving as project lead.
* Guides and produces information products, supporting visualization and data accessibility in a customer centric manner.
****You Must Have****
* At least five years relevant experience in data science or related technical activities.
* BS in engineering from ABET accredited institution or Bachelor of Science degree in data science or related field, OR two additional years of relevant experience.
* Ability to travel as determined by the needs of the business.
* Ability to work remote, hybrid, or on\-site as directed by management and is determined by the needs of the business.
* Regular and reliable attendance is an essential function of this job.
* United States Citizenship.
* Ability to obtain and maintain, if required for position, a U.S. Department of Energy (DOE) security clearance (some positions require additional DOE designations).
****We Value****
* Must be a team player who thrives off collaborating w/peers and ensuring successful deployment and execution of team goals.
* Experience with Linux or command line.
* Experience with Git, SQL, Hibernate/Entity Framework or similar, REST/GraphQL, Quarkus/Spring Boot or ASP.NET.
* Experience with frontend development in React or similar.
* Experience with design thinking, CSS, UI principles and UX philosophies.
* Experience with server/server management.
* Experience with managing multiple projects at same time (Project Management).
* Experience working with \&amp; supporting developers (SW 1 \&amp; 2\) supporting best practices including documentation, communication, \&amp; communicating with internal customers.
* Application of advanced engineering principles and technology related to highly complex technical assignments.
* Ability to provide technical guidance, mentoring, consultative services, and innovative solutions.
* Six Sigma certification preferred.
 This job description/job posting is not all inclusive and other duties may be assigned.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**If you require a reasonable accommodation to submit an application, please send an email to our Reasonable Accommodation Support Team at**
 To learn more about our benefits and culture follow the link below:
**Additional Information**
* Job ID: 4014
* Category: Engineering
* Level of Experience: Experienced Professional
* Posting Location: KCNSC West 6700 W 115th St Overland Park, KS, 66221
* Remote Eligibility: On\-Site
* Travel Required: 0\-10%
* Approved Work States: MO; KS
* Hourly/Salary: Salary</t>
        </is>
      </c>
    </row>
    <row r="106">
      <c r="A106" t="inlineStr">
        <is>
          <t>li-4361231796</t>
        </is>
      </c>
      <c r="B106" t="inlineStr">
        <is>
          <t>Senior Business Data Scientist, Trust and Safety</t>
        </is>
      </c>
      <c r="C106" t="inlineStr">
        <is>
          <t>Google</t>
        </is>
      </c>
      <c r="D106" t="inlineStr">
        <is>
          <t>linkedin</t>
        </is>
      </c>
      <c r="E106">
        <f>HYPERLINK("https://www.linkedin.com/jobs/view/4361231796", "https://www.linkedin.com/jobs/view/4361231796")</f>
        <v/>
      </c>
      <c r="F106" t="inlineStr"/>
      <c r="G106" t="inlineStr">
        <is>
          <t>Austin, TX</t>
        </is>
      </c>
      <c r="H106" t="inlineStr"/>
      <c r="I106" t="inlineStr">
        <is>
          <t>**Minimum qualifications:**
* Master's degree in a quantitative discipline such as Statistics, Engineering, Sciences, or equivalent practical experience.
* 4 years of experience using analytics to solve product or business problems, coding (e.g., Python, R, SQL), querying databases or statistical analysis.
**Preferred qualifications:**
* 6 years of experience using analytics to solve product or business problems, coding (e.g., Python, R, SQL), querying databases or statistical analysis.
* Experience in the field of Trust and Safety, content moderation, or risk analysis.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The Trust and Safety team reduces risk and protects the experience of our users and business partners in several languages and across Google's expanding base of products. We defend Google's integrity by fighting spam, fraud and abuse, and develop and communicate product policies. We work with a variety of teams from Engineering to Legal, Public Policy and Sales Engineering to set policies and combat fraud and abuse in a scalable way. Trust and Safety team members are motivated to find innovative solutions to pursue the highest possible quality and safety standards for users across Google products.
 As a Senior Business Data Scientist, you will be responsible for designing and developing metrics and measurements needed to support Trust and Safety across various Google products, including Search, Ads, Shopping, Publishers, and YouTube. You will ensure stakeholders have the product, support, and operations data they need to make crucial business decisions. You will have the opportunity to design innovative data solutions and solve test problems to drive business optimization and meet regulatory reporting requirements.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Acquire understanding of product, Trust and Safety manual and automated processes, tools and customer expectations and design and develop scalable measurements to support reporting needs.
* Lead the statistical design, definition, and implementation of metrics such as uncaught badness rate, creating standardized, and defensible measurements applicable across products and violation areas.
* Design, implement and own technical implementation of production\-level data pipelines, documentation, check\-in process, etc.
* Build and scale AI\-based content rating systems in partnership with Engineering teams, accurately measure the efficiency gain.
* Present findings and business recommendations to multiple levels of stakeholders and leadership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7">
      <c r="A107" t="inlineStr">
        <is>
          <t>li-4359194659</t>
        </is>
      </c>
      <c r="B107" t="inlineStr">
        <is>
          <t>Staff Research Data Scientist, Search</t>
        </is>
      </c>
      <c r="C107" t="inlineStr">
        <is>
          <t>Google</t>
        </is>
      </c>
      <c r="D107" t="inlineStr">
        <is>
          <t>linkedin</t>
        </is>
      </c>
      <c r="E107">
        <f>HYPERLINK("https://www.linkedin.com/jobs/view/4359194659", "https://www.linkedin.com/jobs/view/4359194659")</f>
        <v/>
      </c>
      <c r="F107" t="inlineStr"/>
      <c r="G107" t="inlineStr">
        <is>
          <t>Mountain View, CA</t>
        </is>
      </c>
      <c r="H107" t="inlineStr"/>
      <c r="I107" t="inlineStr">
        <is>
          <t>**Minimum qualifications:**
* Master's degree in Statistics, Data Science, Mathematics, Physics, Economics, Operations Research, Engineering, or a related quantitative field.
* 8 years of work experience using analytics to solve product or business problems, coding (e.g., Python, R, SQL), querying databases or statistical analysis, or 6 years of work experience with a PhD degree.
**Preferred qualifications:**
* 10 years of work experience using analytics to solve product or business problems, coding (e.g., Python, R, SQL), querying databases or statistical analysis, or 8 years of work experience with a PhD degree.
* Ability to apply appropriate quantitative/statistical models to real\-world business problems, and experience with effective experimental design, training and experience in areas such as data analysis, survey design, statistical modeling and machine learning algorithms.
**About the job** 
 As a data science team that supports Core Ranking, User Feedback, and Context Engineering (CRAFT), we are the energy for all of Google’s key products \- Search, AI Overview, and AI Mode . Working alongside experienced engineers and product managers, we address the issues, push the boundaries of AI quality, and architect novel ways for users to experience Google’s AI capabilities on a daily basis.
 As a Staff Data Scientist, you will interact cross\-functionally with a wide variety of teams, and working closely with Product Managers and Engineering leads to identify growth and quality opportunities. You will conduct analyses of datasets, applying statistical methods to solve problems, and presenting actionable insights and recommendations to various stakeholders. Your insights will influence product development, improve system architectures, and drive business outcomes and understand, evaluate and develop measurement methodologies for GenAI models to guide our hillclimbing and iterative improvements. You will work alongside Engineering and Product Manager (PM) to drive productionalization of such measurements and to impel system changes and launches.In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8">
      <c r="A108" t="inlineStr">
        <is>
          <t>li-4361949080</t>
        </is>
      </c>
      <c r="B108" t="inlineStr">
        <is>
          <t>AI &amp; GenAI Data Scientist – Senior Manager</t>
        </is>
      </c>
      <c r="C108" t="inlineStr">
        <is>
          <t>PwC</t>
        </is>
      </c>
      <c r="D108" t="inlineStr">
        <is>
          <t>linkedin</t>
        </is>
      </c>
      <c r="E108">
        <f>HYPERLINK("https://www.linkedin.com/jobs/view/4361949080", "https://www.linkedin.com/jobs/view/4361949080")</f>
        <v/>
      </c>
      <c r="F108">
        <f>HYPERLINK("https://ad.doubleclick.net/ddm/clk/438405794;254302458;m?https://jobs.us.pwc.com/job/-/-/932/90802548480?utm_source=linkedin.com&amp;utm_campaign=core_media&amp;utm_medium=social_media&amp;utm_content=job_posting&amp;ss=paid&amp;urlHash=6cCz", "https://ad.doubleclick.net/ddm/clk/438405794;254302458;m?https://jobs.us.pwc.com/job/-/-/932/90802548480?utm_source=linkedin.com&amp;utm_campaign=core_media&amp;utm_medium=social_media&amp;utm_content=job_posting&amp;ss=paid&amp;urlHash=6cCz")</f>
        <v/>
      </c>
      <c r="G108" t="inlineStr">
        <is>
          <t>San Diego, CA</t>
        </is>
      </c>
      <c r="H108" t="inlineStr"/>
      <c r="I10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9">
      <c r="A109" t="inlineStr">
        <is>
          <t>li-4360210767</t>
        </is>
      </c>
      <c r="B109" t="inlineStr">
        <is>
          <t>Staff Data Scientist</t>
        </is>
      </c>
      <c r="C109" t="inlineStr">
        <is>
          <t>Jobs via Dice</t>
        </is>
      </c>
      <c r="D109" t="inlineStr">
        <is>
          <t>linkedin</t>
        </is>
      </c>
      <c r="E109">
        <f>HYPERLINK("https://www.linkedin.com/jobs/view/4360210767", "https://www.linkedin.com/jobs/view/4360210767")</f>
        <v/>
      </c>
      <c r="F109">
        <f>HYPERLINK("https://click.appcast.io/t/jIfpx96jxwtvkLSBS1x6GRiVWiAttWMjY_kbh7XDmIk=&amp;urlHash=Slan", "https://click.appcast.io/t/jIfpx96jxwtvkLSBS1x6GRiVWiAttWMjY_kbh7XDmIk=&amp;urlHash=Slan")</f>
        <v/>
      </c>
      <c r="G109" t="inlineStr">
        <is>
          <t>New York, NY</t>
        </is>
      </c>
      <c r="H109" t="inlineStr"/>
      <c r="I109"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Join us to build the decision engine for better mental health outcomes.
 As a
 **Staff Data Scientist** 
 , you will be a senior technical and strategic leader for how Headway measures, learns, and improves. You will own the hardest and most ambiguous product questions, shape how we define success, and drive decisions that cut across multiple teams and product surfaces. You will not only run the analyses, you will influence what we build, how we evaluate it, and how we scale what works.
 This role is for someone who can zoom in to debug a metric definition and zoom out to design a measurement strategy for a major product area, then bring the organization along with them.
****What you will do****
* Be the analytics partner inside the pod. Work closely with Product, Engineering, Design, Ops, and Clinical stakeholders to define the questions, the metrics, the guardrails, and the decision rules.
* Run rigorous experiments. Design and analyze A/B tests and quasi\-experiments with clear hypotheses, power considerations, and pre\-defined success criteria.
* Connect behavior to strategy. Use funnel, cohort, segmentation, and lifecycle analysis to understand how people and providers experience Headway, and where product changes will have the biggest impact.
* Use causal inference when experiments are not possible. Apply approaches like diff\-in\-diff, matching, and regression\-based designs with principled uncertainty quantification.
* Build models when they should exist. Develop predictive models that operationalize vetted insights (feature development, validation, backtesting, calibration), with clear launch criteria and monitoring plans.
* Create decision\-ready work. Produce analysis and narratives that are crisp, honest about uncertainty, and drive action.
* Help raise the bar. Contribute to shared standards for metrics, experimentation, and analytical quality, so teams can move faster with confidence.
* Own a product measurement strategy. Define north star and input metrics for a major product area (or multiple surfaces), align stakeholders on definitions, and build conviction in what "good" looks like.
* Lead multi\-team initiatives. Drive cross\-functional work where the right answer is not obvious and the path is not linear, and ensure we land measurable outcomes.
* Set the experimentation standard. Establish frameworks for test design, guardrails, decision rules, and interpretation that improve both speed and rigor across teams.
* Develop evaluation systems for complex products. For areas like matching, ranking, or applied AI experiences, build measurement approaches that combine offline evaluation, online experiments, and human\-quality signals when needed.
* Build scalable analytical assets. Invest in durable measurement systems: semantic definitions, self\-serve dashboards, monitoring and alerts, and repeatable templates that reduce ad hoc work.
* Mentor and uplevel. Coach other data scientists and analytics partners, provide strong technical review, and model what great looks like.
* Be a thought leader. Proactively identify opportunities, shape roadmaps with an evidence\-based POV, and create clarity where teams feel stuck.
****What will make you successful****
* 10\+ years using data to drive product or business decisions in product, growth, engineering, or operations environments (or equivalent depth of experience and scope).
* Expert fluency in SQL and strong proficiency in Python or R, including building reliable, reusable analysis workflows.
* Deep expertise in Bayesian experimentation, causal inference, and measurement design, including common failure modes and how to prevent them.
* Strong applied modeling judgment: you know when a model is the right tool, and you can build, validate, and launch responsibly.
* A track record of leading ambiguous, cross\-team work and delivering measurable outcomes (not just insights).
* Excellent executive communication and influence: you earn trust, align stakeholders, and move decisions forward.
* Strong product sense and an instinct for decision leverage: you focus on what changes outcomes, not what is merely interesting.
* Motivation for our mission: improving access and affordability in mental healthcare.
 The expected base pay range for this position is $215,900 \- $254,000, based on a variety of factors including qualifications, experience, and geographic location. In addition to base salary, this role may be eligible for performance\-based variable compensation and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t>
        </is>
      </c>
    </row>
    <row r="110">
      <c r="A110" t="inlineStr">
        <is>
          <t>li-4362068950</t>
        </is>
      </c>
      <c r="B110" t="inlineStr">
        <is>
          <t>AI &amp; GenAI Data Scientist – Senior Manager</t>
        </is>
      </c>
      <c r="C110" t="inlineStr">
        <is>
          <t>PwC</t>
        </is>
      </c>
      <c r="D110" t="inlineStr">
        <is>
          <t>linkedin</t>
        </is>
      </c>
      <c r="E110">
        <f>HYPERLINK("https://www.linkedin.com/jobs/view/4362068950", "https://www.linkedin.com/jobs/view/4362068950")</f>
        <v/>
      </c>
      <c r="F110" t="inlineStr"/>
      <c r="G110" t="inlineStr">
        <is>
          <t>Chicago, IL</t>
        </is>
      </c>
      <c r="H110" t="inlineStr"/>
      <c r="I110"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1">
      <c r="A111" t="inlineStr">
        <is>
          <t>li-4362134037</t>
        </is>
      </c>
      <c r="B111" t="inlineStr">
        <is>
          <t>AI &amp; GenAI Data Scientist – Senior Manager</t>
        </is>
      </c>
      <c r="C111" t="inlineStr">
        <is>
          <t>PwC</t>
        </is>
      </c>
      <c r="D111" t="inlineStr">
        <is>
          <t>linkedin</t>
        </is>
      </c>
      <c r="E111">
        <f>HYPERLINK("https://www.linkedin.com/jobs/view/4362134037", "https://www.linkedin.com/jobs/view/4362134037")</f>
        <v/>
      </c>
      <c r="F111">
        <f>HYPERLINK("https://ad.doubleclick.net/ddm/clk/438405794;254302458;m?https://jobs.us.pwc.com/job/-/-/932/90802548480?utm_source=linkedin.com&amp;utm_campaign=core_media&amp;utm_medium=social_media&amp;utm_content=job_posting&amp;ss=paid&amp;urlHash=6cCz", "https://ad.doubleclick.net/ddm/clk/438405794;254302458;m?https://jobs.us.pwc.com/job/-/-/932/90802548480?utm_source=linkedin.com&amp;utm_campaign=core_media&amp;utm_medium=social_media&amp;utm_content=job_posting&amp;ss=paid&amp;urlHash=6cCz")</f>
        <v/>
      </c>
      <c r="G111" t="inlineStr">
        <is>
          <t>Philadelphia, PA</t>
        </is>
      </c>
      <c r="H111" t="inlineStr"/>
      <c r="I11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**Minimum Degree Required**
 Bachelor's Degree
**Minimum Year(s) Of Experience**
 9 year(s)
**Preferred Knowledge/Skills**
 Demonstrates intimate\-level abilities with, and/or a proven record of success directing efforts in the majority of the following areas:
* Managing development teams in building of GenAI solutions, including but not limited to prompt engineering, general all\-purpose programming (e.g., Python), testing, communication of results, front end and back end integration, and iterative development with clients;
* Leading a team to document and analyze business processes for Generative AI opportunities, including gathering of requirements, creation of initial GenAI hypotheses, and development of GenAI solution approach;
* Collaborating with client team to understand their business problem and select the appropriate models and approachesÊfor GenAI use cases;
* Managing teams to process unstructured and structured data to be consumed as context for LLMs, including but not limited to embedding of large text corpus, generative development of SQL queries, building connectors to structured databases;
* Directing architects to design and solution GenAI architectures for clients, specifically for plugin based solutions (i.e., ChatClient application with plugins) and custom GenAI application builds;
* Directing data engineers and other data scientists to deliver efficient solutions to meet client requirements;
* Managing daily operations of a global data and analytics team on client engagements, review developed models, provide feedback and assist in analysis;
* Facilitating and conducting executive level presentations to showcase GenAI solutions, development progress, and next steps;
* Managing associates and senior associates through coaching, providing feedback, and guiding work performance;
* Leading business development activities for clients, including but not limited to facilitating the sales cycle of GenAI proposals; and,
* Leading internal asset development to build foundational GenAI practice.
 Demonstrates Intimate Level Abilities And/or a Proven Record Of Success Learning And Performing In Functional And Technical Capacities, Including The Following Areas
* Managing GenAI application development teams including back\-end and front\-end integrations;
* Using Python (e.g., Pandas, NLTK, etc.), common LLM development frameworks (e.g., Langchain, Semantic Kernel), Relational storage (SQL), Non\-relational storage (NoSQL);
* Vectorization and embedding, prompt engineering, RAG (retrieval, augmented, generation) workflow dev;
* Possessing hands on experience with Azure, AWS, and / or Google Cloud platforms;
* Demonstrating experience with Git Version Control, Unit/Integration/End\-to\-End Testing, CI/CD, release management, etc.; and,
* Delivering successful technology creation, functional code, AI solutions and Data Platforms.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2">
      <c r="A112" t="inlineStr">
        <is>
          <t>li-4365110143</t>
        </is>
      </c>
      <c r="B112" t="inlineStr">
        <is>
          <t>Principal Data Scientist - AI Foundations, Specialist Models</t>
        </is>
      </c>
      <c r="C112" t="inlineStr">
        <is>
          <t>Capital One</t>
        </is>
      </c>
      <c r="D112" t="inlineStr">
        <is>
          <t>linkedin</t>
        </is>
      </c>
      <c r="E112">
        <f>HYPERLINK("https://www.linkedin.com/jobs/view/4365110143", "https://www.linkedin.com/jobs/view/4365110143")</f>
        <v/>
      </c>
      <c r="F112">
        <f>HYPERLINK("https://dsp.prng.co/KBVNiwb&amp;urlHash=bKzc", "https://dsp.prng.co/KBVNiwb&amp;urlHash=bKzc")</f>
        <v/>
      </c>
      <c r="G112" t="inlineStr">
        <is>
          <t>McLean, VA</t>
        </is>
      </c>
      <c r="H112" t="inlineStr"/>
      <c r="I11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for Data team builds and ships state of the art machine learning solutions to support data lifecycle within the enterprise. We partner with product, tech and design teams to deliver personalized experiences to our data and platform users to drive productivity and innovation. You will be the driving force to experiment, innovate and create next generation experiences powered by the latest emerging ML technologies.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 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or PhD in “STEM” field (Science, Technology, Engineering, or Mathematics)
*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3">
      <c r="A113" t="inlineStr">
        <is>
          <t>li-4360200819</t>
        </is>
      </c>
      <c r="B113" t="inlineStr">
        <is>
          <t>Sr. Data Scientist</t>
        </is>
      </c>
      <c r="C113" t="inlineStr">
        <is>
          <t>Jobs via Dice</t>
        </is>
      </c>
      <c r="D113" t="inlineStr">
        <is>
          <t>linkedin</t>
        </is>
      </c>
      <c r="E113">
        <f>HYPERLINK("https://www.linkedin.com/jobs/view/4360200819", "https://www.linkedin.com/jobs/view/4360200819")</f>
        <v/>
      </c>
      <c r="F113">
        <f>HYPERLINK("https://click.appcast.io/t/MNkzZbI8pvPnNcYvPoI2k-PU2tPz-shlJfBnDFG7JAg=&amp;urlHash=9jSn", "https://click.appcast.io/t/MNkzZbI8pvPnNcYvPoI2k-PU2tPz-shlJfBnDFG7JAg=&amp;urlHash=9jSn")</f>
        <v/>
      </c>
      <c r="G113" t="inlineStr">
        <is>
          <t>Huntsville, AL</t>
        </is>
      </c>
      <c r="H113" t="inlineStr"/>
      <c r="I113" t="inlineStr">
        <is>
          <t>The Aerospace Systems Group with the Leidos Defense System Sector currently has an opening for a Senior Data Scientist supporting the RF Engineering portfolio in Huntsville, AL. This is an exciting opportunity to use your experience in support of the operation and maintenance of advanced RF systems that provide critical information to customers.
**Primary Responsibilities:**
 Responsible for the design and development of methods and processes to analyze RF signal data. Will develop and use advanced statistical concepts, algorithms, querying and automated processes to model, integrate and evaluate complex data. The analyst must be able to develop Python and/or MATLAB scripts to perform digital signal processing; develop, validate, and document algorithms that define discovered behaviors; and present the algorithms to co\-workers and customers.
**Basic Qualifications:**
* Requires bachelor's degree in engineering, physics, or mathematics with minimum of 12 years of experience; Masters with 6 \- 10 years of prior relevant experience. May possess a Doctorate in technical domain.
* Current Top Secret clearance. (U.S. Citizenship is required)
* Requires experience with Python and/or MATLAB development.
* Experience in RF analysis.
* Ability and willingness to work onsite in Huntsville Alabama.
**Preferred Qualifications**
* Experience utilizing Agile methods for development
* C\+\+ programming experience
* Experience managing databases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January 13,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14">
      <c r="A114" t="inlineStr">
        <is>
          <t>li-4360300426</t>
        </is>
      </c>
      <c r="B114" t="inlineStr">
        <is>
          <t>Senior Data Scientist</t>
        </is>
      </c>
      <c r="C114" t="inlineStr">
        <is>
          <t>Jobs via Dice</t>
        </is>
      </c>
      <c r="D114" t="inlineStr">
        <is>
          <t>linkedin</t>
        </is>
      </c>
      <c r="E114">
        <f>HYPERLINK("https://www.linkedin.com/jobs/view/4360300426", "https://www.linkedin.com/jobs/view/4360300426")</f>
        <v/>
      </c>
      <c r="F114" t="inlineStr"/>
      <c r="G114" t="inlineStr">
        <is>
          <t>Chantilly, VA</t>
        </is>
      </c>
      <c r="H114" t="inlineStr"/>
      <c r="I114" t="inlineStr">
        <is>
          <t>Leidos is seeking a
 **Senior Data Scientist** 
 to provide technical leadership and advanced analytics expertise in support of mission\-critical national security programs. This role supports customers operating in classified environments and requires close collaboration with subject matter experts, designers, engineers, analysts, and mission stakeholders to deliver innovative, operationally relevant data science and AI solutions.
 The Senior Data Scientist will lead complex analytics efforts across the full solution lifecycle\-from problem definition and requirements development through design, implementation, deployment, and ongoing operations and maintenance (O\&amp;M). The ideal candidate brings deep technical expertise, strong mission awareness, and the ability to communicate analytic insights to senior decision\-makers.
**Primary Responsibilities**
* Serve as a senior technical contributor and analytic lead on complex, high\-impact national security programs
* Partner with government customers and subject matter experts to define mission problems and analytic objectives
* Translate ambiguous operational challenges into actionable data science requirements and solution designs
* Design, develop, and deploy advanced analytics, statistical models, and machine learning solutions
* Apply advanced data science techniques including exploratory data analysis, feature engineering, predictive modeling, hypothesis testing, and algorithm development
* Integrate structured and unstructured data from diverse sources across classified environments
* Communicate analytic findings, insights, and recommendations to senior technical and non\-technical stakeholders
* Support deployment, monitoring, and ongoing operations and maintenance (O\&amp;M) of analytic solutions
* Mentor and guide junior data scientists and contribute to analytic standards, best practices, and reusable frameworks
* Maintain awareness of emerging data science, AI, and big\-data technologies relevant to national security missions
**Basic Qualifications**
* Master's degree in Data Science, Computer Science, Statistics, Mathematics, Engineering, or a related quantitative field with 15\+ years of relevant experience, or Bachelor's degree with 18\+ years of relevant experience
* Extensive experience applying data science and advanced analytics to complex, mission\-focused problems
* Expert\-level proficiency in Python and/or R, including advanced data science and machine learning libraries
* Strong experience working with large, complex datasets from multiple sources
* Demonstrated ability to lead technical efforts and influence analytic direction on large or complex programs
* Strong written and verbal communication skills, including briefing senior leaders
* Must hold an active TS/SCI clearance with Polygraph
**Preferred Qualifications**
* Experience supporting intelligence community, Department of Defense, or other national security customers
* Experience operating in classified computing environments
* Expertise in one or more advanced domains such as machine learning, natural language processing, computer vision, graph analytics, or predictive modeling
* Experience with cloud\-based or enterprise analytics platforms
* Demonstrated experience mentoring technical staff or serving as a technical lead
* Demonstrated experience providing instruction, instructional design, or curriculum development
**Clearance Requirement**
 Active TS/SCI with Polygraph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14,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15">
      <c r="A115" t="inlineStr">
        <is>
          <t>li-4362079088</t>
        </is>
      </c>
      <c r="B115" t="inlineStr">
        <is>
          <t>Senior Data Scientist / MLOps Engineer- 10+ yrs- Minneapolis, MN (Hybrid). Local preferred</t>
        </is>
      </c>
      <c r="C115" t="inlineStr">
        <is>
          <t>Jobs via Dice</t>
        </is>
      </c>
      <c r="D115" t="inlineStr">
        <is>
          <t>linkedin</t>
        </is>
      </c>
      <c r="E115">
        <f>HYPERLINK("https://www.linkedin.com/jobs/view/4362079088", "https://www.linkedin.com/jobs/view/4362079088")</f>
        <v/>
      </c>
      <c r="F115" t="inlineStr"/>
      <c r="G115" t="inlineStr">
        <is>
          <t>Minneapolis, MN</t>
        </is>
      </c>
      <c r="H115" t="inlineStr"/>
      <c r="I115" t="inlineStr">
        <is>
          <t>**Job Description:**
 We are seeking a highly skilled Data Scientist with a strong background in
 **MLOps Engineering** 
 to lead the development and productionalization of complex optimization models. You will be responsible for not only designing the core models specifically focusing on
 **Simulated Annealing** 
 and transitioning toward
 **Quantum Annealing,** 
 but also building the automated pipelines required to move these models into a production environment.
**Key Responsibilities**
* Core Modeling: Design and develop advanced optimization models. You will lead the "journey" from classical optimization to simulated annealing, with a future\-state focus on quantum annealing.
* MLOps \&amp; Productionization: Bridge the gap between data science and DevOps by writing production\-grade code. Ensure models are scalable, reliable, and integrated into the broader ecosystem.
* Pipeline Construction: Design and maintain robust data and ML pipelines. You will determine what data is pushed through the system and how it is processed for maximum efficiency.
* Algorithm Selection: Lead the selection of algorithms and variables. You must understand how models "reason" and be able to justify the architectural choices for the optimization engine.
* Deployment: Take full ownership of the model deployment lifecycle, ensuring that the "Optimization Thing" (internal use case) is fully functional in a live environment.
**Technical Requirements**
* Advanced Optimization: Deep expertise in optimization algorithms, specifically Simulated Annealing. Familiarity or interest in Quantum Annealing/Quantum Computing is a significant plus.
* Engineering Excellence: Proven ability to write production\-ready code. This is not a research\-only role; you must be able to "conscribe" and deploy your own work.
* MLOps Frameworks: Strong experience in building and managing machine learning pipelines ( Azure preferred).
* Data Science Fundamentals: Mastery of variable selection, algorithm tuning, and model evaluation metrics.
**Preferred Qualifications**
* Experience with high\-stakes, confidential use cases involving complex data modeling.
* Local to Minnesota (Strongly preferred for onshore collaboration).
* Ability to work in an agile, fast\-paced environment with an "immediate" onboarding timeline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2026-01-21T23:42:31Z</dcterms:created>
  <dcterms:modified xsi:type="dcterms:W3CDTF">2026-01-21T23:42:31Z</dcterms:modified>
</cp:coreProperties>
</file>