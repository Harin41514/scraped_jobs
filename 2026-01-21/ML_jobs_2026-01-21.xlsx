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in-809c20d411e747a1</t>
        </is>
      </c>
      <c r="B2" t="inlineStr">
        <is>
          <t>Applied Scientist II, Prime Video - Personalization and Discovery Science, Personalization and Discovery Science</t>
        </is>
      </c>
      <c r="C2" t="inlineStr">
        <is>
          <t>Amazon.com</t>
        </is>
      </c>
      <c r="D2" t="inlineStr">
        <is>
          <t>indeed</t>
        </is>
      </c>
      <c r="E2" t="inlineStr"/>
      <c r="F2" t="inlineStr"/>
      <c r="G2" t="inlineStr">
        <is>
          <t>New York, NY, US</t>
        </is>
      </c>
      <c r="H2" s="2" t="n">
        <v>45930</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in-4cc16340d29f4123</t>
        </is>
      </c>
      <c r="B3" t="inlineStr">
        <is>
          <t>Applied Scientist II, Prime Video - Personalization and Discovery Science, Personalization and Discovery Science</t>
        </is>
      </c>
      <c r="C3" t="inlineStr">
        <is>
          <t>Amazon.com</t>
        </is>
      </c>
      <c r="D3" t="inlineStr">
        <is>
          <t>indeed</t>
        </is>
      </c>
      <c r="E3" t="inlineStr"/>
      <c r="F3" t="inlineStr"/>
      <c r="G3" t="inlineStr">
        <is>
          <t>Seattle, WA, US</t>
        </is>
      </c>
      <c r="H3" s="2" t="n">
        <v>45930</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in-db849254a1b1e28b</t>
        </is>
      </c>
      <c r="B4" t="inlineStr">
        <is>
          <t>Applied Scientist II, Prime Video - Personalization and Discovery Science, Personalization and Discovery Science</t>
        </is>
      </c>
      <c r="C4" t="inlineStr">
        <is>
          <t>Amazon.com</t>
        </is>
      </c>
      <c r="D4" t="inlineStr">
        <is>
          <t>indeed</t>
        </is>
      </c>
      <c r="E4" t="inlineStr"/>
      <c r="F4" t="inlineStr"/>
      <c r="G4" t="inlineStr">
        <is>
          <t>Sunnyvale, CA, US</t>
        </is>
      </c>
      <c r="H4" s="2"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in-2f58154f81875cd6</t>
        </is>
      </c>
      <c r="B5" t="inlineStr">
        <is>
          <t>Applied Scientist II, Prime Video - Personalization and Discovery Science</t>
        </is>
      </c>
      <c r="C5" t="inlineStr">
        <is>
          <t>Amazon.com</t>
        </is>
      </c>
      <c r="D5" t="inlineStr">
        <is>
          <t>indeed</t>
        </is>
      </c>
      <c r="E5" t="inlineStr"/>
      <c r="F5" t="inlineStr"/>
      <c r="G5" t="inlineStr">
        <is>
          <t>Sunnyvale, CA, US</t>
        </is>
      </c>
      <c r="H5" s="2" t="n">
        <v>45915</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in-c65db71113423289</t>
        </is>
      </c>
      <c r="B6" t="inlineStr">
        <is>
          <t>Applied Scientist II, Prime Video - Personalization and Discovery Science</t>
        </is>
      </c>
      <c r="C6" t="inlineStr">
        <is>
          <t>Amazon.com</t>
        </is>
      </c>
      <c r="D6" t="inlineStr">
        <is>
          <t>indeed</t>
        </is>
      </c>
      <c r="E6" t="inlineStr"/>
      <c r="F6" t="inlineStr"/>
      <c r="G6" t="inlineStr">
        <is>
          <t>New York, NY, US</t>
        </is>
      </c>
      <c r="H6" s="2" t="n">
        <v>45915</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in-1c70d93683efd769</t>
        </is>
      </c>
      <c r="B7" t="inlineStr">
        <is>
          <t>Applied Scientist II, Prime Video - Personalization and Discovery Science</t>
        </is>
      </c>
      <c r="C7" t="inlineStr">
        <is>
          <t>Amazon.com</t>
        </is>
      </c>
      <c r="D7" t="inlineStr">
        <is>
          <t>indeed</t>
        </is>
      </c>
      <c r="E7" t="inlineStr"/>
      <c r="F7" t="inlineStr"/>
      <c r="G7" t="inlineStr">
        <is>
          <t>Seattle, WA, US</t>
        </is>
      </c>
      <c r="H7" s="2" t="n">
        <v>45915</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in-be1009ed7d481d72</t>
        </is>
      </c>
      <c r="B8" t="inlineStr">
        <is>
          <t>Sr. Applied Scientist, Prime Video - Personalization and Discovery Science</t>
        </is>
      </c>
      <c r="C8" t="inlineStr">
        <is>
          <t>Amazon.com</t>
        </is>
      </c>
      <c r="D8" t="inlineStr">
        <is>
          <t>indeed</t>
        </is>
      </c>
      <c r="E8" t="inlineStr"/>
      <c r="F8" t="inlineStr"/>
      <c r="G8" t="inlineStr">
        <is>
          <t>New York, NY, US</t>
        </is>
      </c>
      <c r="H8" s="2" t="n">
        <v>45914</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in-2f3a4d48009fe57d</t>
        </is>
      </c>
      <c r="B9" t="inlineStr">
        <is>
          <t>Sr. Applied Scientist, Prime Video - Personalization and Discovery Science</t>
        </is>
      </c>
      <c r="C9" t="inlineStr">
        <is>
          <t>Amazon.com</t>
        </is>
      </c>
      <c r="D9" t="inlineStr">
        <is>
          <t>indeed</t>
        </is>
      </c>
      <c r="E9" t="inlineStr"/>
      <c r="F9" t="inlineStr"/>
      <c r="G9" t="inlineStr">
        <is>
          <t>Seattle, WA, US</t>
        </is>
      </c>
      <c r="H9" s="2" t="n">
        <v>45914</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in-12f91a9bebc0e425</t>
        </is>
      </c>
      <c r="B10" t="inlineStr">
        <is>
          <t>Sr. Applied Scientist, Prime Video - Personalization and Discovery Science</t>
        </is>
      </c>
      <c r="C10" t="inlineStr">
        <is>
          <t>Amazon.com</t>
        </is>
      </c>
      <c r="D10" t="inlineStr">
        <is>
          <t>indeed</t>
        </is>
      </c>
      <c r="E10" t="inlineStr"/>
      <c r="F10" t="inlineStr"/>
      <c r="G10" t="inlineStr">
        <is>
          <t>Sunnyvale, CA, US</t>
        </is>
      </c>
      <c r="H10" s="2" t="n">
        <v>45914</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in-dbb74a47f058626d</t>
        </is>
      </c>
      <c r="B11" t="inlineStr">
        <is>
          <t>Sr. Applied Scientist, Prime Video - Personalization and Discovery Science</t>
        </is>
      </c>
      <c r="C11" t="inlineStr">
        <is>
          <t>Amazon.com</t>
        </is>
      </c>
      <c r="D11" t="inlineStr">
        <is>
          <t>indeed</t>
        </is>
      </c>
      <c r="E11" t="inlineStr"/>
      <c r="F11" t="inlineStr"/>
      <c r="G11" t="inlineStr">
        <is>
          <t>New York, NY, US</t>
        </is>
      </c>
      <c r="H11" s="2" t="n">
        <v>45881</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in-c5d6c3a21e00015e</t>
        </is>
      </c>
      <c r="B12" t="inlineStr">
        <is>
          <t>Sr. Applied Scientist, Prime Video - Personalization and Discovery Science</t>
        </is>
      </c>
      <c r="C12" t="inlineStr">
        <is>
          <t>Amazon.com</t>
        </is>
      </c>
      <c r="D12" t="inlineStr">
        <is>
          <t>indeed</t>
        </is>
      </c>
      <c r="E12" t="inlineStr"/>
      <c r="F12" t="inlineStr"/>
      <c r="G12" t="inlineStr">
        <is>
          <t>Sunnyvale, CA, US</t>
        </is>
      </c>
      <c r="H12" s="2" t="n">
        <v>45881</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in-bd9fad0858ea0635</t>
        </is>
      </c>
      <c r="B13" t="inlineStr">
        <is>
          <t>Applied Scientist II, Prime Video - Personalization and Discovery Science</t>
        </is>
      </c>
      <c r="C13" t="inlineStr">
        <is>
          <t>Amazon.com</t>
        </is>
      </c>
      <c r="D13" t="inlineStr">
        <is>
          <t>indeed</t>
        </is>
      </c>
      <c r="E13" t="inlineStr"/>
      <c r="F13" t="inlineStr"/>
      <c r="G13" t="inlineStr">
        <is>
          <t>New York, NY, US</t>
        </is>
      </c>
      <c r="H13" s="2" t="n">
        <v>45881</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in-d72785267607ff12</t>
        </is>
      </c>
      <c r="B14" t="inlineStr">
        <is>
          <t>Sr. Applied Scientist, Prime Video - Personalization and Discovery Science</t>
        </is>
      </c>
      <c r="C14" t="inlineStr">
        <is>
          <t>Amazon.com</t>
        </is>
      </c>
      <c r="D14" t="inlineStr">
        <is>
          <t>indeed</t>
        </is>
      </c>
      <c r="E14" t="inlineStr"/>
      <c r="F14" t="inlineStr"/>
      <c r="G14" t="inlineStr">
        <is>
          <t>Seattle, WA,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in-f8eaa483e1902fb1</t>
        </is>
      </c>
      <c r="B15" t="inlineStr">
        <is>
          <t>Applied Scientist II, Prime Video - Personalization and Discovery Science</t>
        </is>
      </c>
      <c r="C15" t="inlineStr">
        <is>
          <t>Amazon.com</t>
        </is>
      </c>
      <c r="D15" t="inlineStr">
        <is>
          <t>indeed</t>
        </is>
      </c>
      <c r="E15" t="inlineStr"/>
      <c r="F15" t="inlineStr"/>
      <c r="G15" t="inlineStr">
        <is>
          <t>Seattle, WA,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in-e082b08e89f39314</t>
        </is>
      </c>
      <c r="B16" t="inlineStr">
        <is>
          <t>Applied Scientist II, Prime Video - Personalization and Discovery Science</t>
        </is>
      </c>
      <c r="C16" t="inlineStr">
        <is>
          <t>Amazon.com</t>
        </is>
      </c>
      <c r="D16" t="inlineStr">
        <is>
          <t>indeed</t>
        </is>
      </c>
      <c r="E16" t="inlineStr"/>
      <c r="F16" t="inlineStr"/>
      <c r="G16" t="inlineStr">
        <is>
          <t>Sunnyvale, CA,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in-50f437d7f55e7c15</t>
        </is>
      </c>
      <c r="B17" t="inlineStr">
        <is>
          <t>Principal Applied Scientist</t>
        </is>
      </c>
      <c r="C17" t="inlineStr">
        <is>
          <t>Microsoft</t>
        </is>
      </c>
      <c r="D17" t="inlineStr">
        <is>
          <t>indeed</t>
        </is>
      </c>
      <c r="E17" t="inlineStr"/>
      <c r="F17" t="inlineStr"/>
      <c r="G17" t="inlineStr">
        <is>
          <t>Redmond, WA, US</t>
        </is>
      </c>
      <c r="H17" s="2" t="n">
        <v>46006</v>
      </c>
      <c r="I17" t="inlineStr">
        <is>
          <t>**Overview**  
Join the Signals Modeling team, part of Microsoft AI Ads Engineering, to shape the future of advanced AI at web scale.
In this role, the **Principal Applied Scientist** will design and implement state\-of\-the\-art machine learning models and algorithms that power key systems within Microsoft Ads, Copilot, and beyond. The work will directly impact millions of users and advertisers by delivering scalable solutions that enhance ad relevance and optimize user and advertiser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deploy cutting\-edge machine learning models, including transformers, generative AI, and reinforcement learning, to optimize user interactions and ad relevance across Microsoft Ads and Copilot.
* Design scalable algorithms for online and offline systems, delivering innovative solutions for ads selection, ad generation and ad relevance.
* Drive experimentation through A/B testing and offline validation to evaluate model performance and refine user behavior predictions.
* Build robust data pipelines and frameworks for handling large\-scale, high\-dimensional datasets to support advanced AI applications.
* Stay at the forefront of AI research, incorporating the latest advancements to drive innovation and impact across Microsoft platforms.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Proven experience in programming and data analysis skills.
* Proven expertise in the areas of Generative AI, deep learning, Reinforcement learning, transformers or LLM.
* 6\+ years of experience in developing and deploying large\-scale machine learning models.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in-107c42e602264e66</t>
        </is>
      </c>
      <c r="B18" t="inlineStr">
        <is>
          <t>Applied Scientist, AGI</t>
        </is>
      </c>
      <c r="C18" t="inlineStr">
        <is>
          <t>Amazon.com</t>
        </is>
      </c>
      <c r="D18" t="inlineStr">
        <is>
          <t>indeed</t>
        </is>
      </c>
      <c r="E18" t="inlineStr"/>
      <c r="F18" t="inlineStr"/>
      <c r="G18" t="inlineStr">
        <is>
          <t>Bellevue, WA, US</t>
        </is>
      </c>
      <c r="H18" s="2" t="n">
        <v>45998</v>
      </c>
      <c r="I1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in-1d7572a0d8635d1f</t>
        </is>
      </c>
      <c r="B19" t="inlineStr">
        <is>
          <t>Applied Scientist, AGI</t>
        </is>
      </c>
      <c r="C19" t="inlineStr">
        <is>
          <t>Amazon.com</t>
        </is>
      </c>
      <c r="D19" t="inlineStr">
        <is>
          <t>indeed</t>
        </is>
      </c>
      <c r="E19" t="inlineStr"/>
      <c r="F19" t="inlineStr"/>
      <c r="G19" t="inlineStr">
        <is>
          <t>Cambridge, MA, US</t>
        </is>
      </c>
      <c r="H19" s="2" t="n">
        <v>45998</v>
      </c>
      <c r="I1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in-ba0f0c5896e2dbf5</t>
        </is>
      </c>
      <c r="B20" t="inlineStr">
        <is>
          <t>Applied Scientist, AGI</t>
        </is>
      </c>
      <c r="C20" t="inlineStr">
        <is>
          <t>Amazon.com</t>
        </is>
      </c>
      <c r="D20" t="inlineStr">
        <is>
          <t>indeed</t>
        </is>
      </c>
      <c r="E20" t="inlineStr"/>
      <c r="F20" t="inlineStr"/>
      <c r="G20" t="inlineStr">
        <is>
          <t>Sunnyvale, CA, US</t>
        </is>
      </c>
      <c r="H20" s="2" t="n">
        <v>45998</v>
      </c>
      <c r="I2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in-b0e43abf6a3b187d</t>
        </is>
      </c>
      <c r="B21" t="inlineStr">
        <is>
          <t>Applied Scientist, AGI</t>
        </is>
      </c>
      <c r="C21" t="inlineStr">
        <is>
          <t>Amazon.com</t>
        </is>
      </c>
      <c r="D21" t="inlineStr">
        <is>
          <t>indeed</t>
        </is>
      </c>
      <c r="E21" t="inlineStr"/>
      <c r="F21" t="inlineStr"/>
      <c r="G21" t="inlineStr">
        <is>
          <t>New York, NY, US</t>
        </is>
      </c>
      <c r="H21" s="2" t="n">
        <v>45998</v>
      </c>
      <c r="I2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in-b76d7f59985cb164</t>
        </is>
      </c>
      <c r="B22" t="inlineStr">
        <is>
          <t>Sr. Applied Scientist, Amazon Ads</t>
        </is>
      </c>
      <c r="C22" t="inlineStr">
        <is>
          <t>Amazon.com</t>
        </is>
      </c>
      <c r="D22" t="inlineStr">
        <is>
          <t>indeed</t>
        </is>
      </c>
      <c r="E22" t="inlineStr"/>
      <c r="F22" t="inlineStr"/>
      <c r="G22" t="inlineStr">
        <is>
          <t>Brooklyn, NY,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in-adfac2403e2de174</t>
        </is>
      </c>
      <c r="B23" t="inlineStr">
        <is>
          <t>Sr. Applied Scientist, Amazon Ads</t>
        </is>
      </c>
      <c r="C23" t="inlineStr">
        <is>
          <t>Amazon.com</t>
        </is>
      </c>
      <c r="D23" t="inlineStr">
        <is>
          <t>indeed</t>
        </is>
      </c>
      <c r="E23" t="inlineStr"/>
      <c r="F23" t="inlineStr"/>
      <c r="G23" t="inlineStr">
        <is>
          <t>Sunnyvale, CA,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in-bd8901712685d708</t>
        </is>
      </c>
      <c r="B24" t="inlineStr">
        <is>
          <t>Sr. Applied Scientist, Amazon Ads</t>
        </is>
      </c>
      <c r="C24" t="inlineStr">
        <is>
          <t>Amazon.com</t>
        </is>
      </c>
      <c r="D24" t="inlineStr">
        <is>
          <t>indeed</t>
        </is>
      </c>
      <c r="E24" t="inlineStr"/>
      <c r="F24" t="inlineStr"/>
      <c r="G24" t="inlineStr">
        <is>
          <t>Boston, MA, US</t>
        </is>
      </c>
      <c r="H24" s="2" t="n">
        <v>45998</v>
      </c>
      <c r="I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
      <c r="A25" t="inlineStr">
        <is>
          <t>in-eb8188ebcd8e23cf</t>
        </is>
      </c>
      <c r="B25" t="inlineStr">
        <is>
          <t>Sr. Applied Scientist, Amazon Ads</t>
        </is>
      </c>
      <c r="C25" t="inlineStr">
        <is>
          <t>Amazon.com</t>
        </is>
      </c>
      <c r="D25" t="inlineStr">
        <is>
          <t>indeed</t>
        </is>
      </c>
      <c r="E25" t="inlineStr"/>
      <c r="F25" t="inlineStr"/>
      <c r="G25" t="inlineStr">
        <is>
          <t>Boulder, CO, US</t>
        </is>
      </c>
      <c r="H25" s="2" t="n">
        <v>45998</v>
      </c>
      <c r="I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
      <c r="A26" t="inlineStr">
        <is>
          <t>in-5b0fac5c06c5ce61</t>
        </is>
      </c>
      <c r="B26" t="inlineStr">
        <is>
          <t>Sr. Applied Scientist, Amazon Ads</t>
        </is>
      </c>
      <c r="C26" t="inlineStr">
        <is>
          <t>Amazon.com</t>
        </is>
      </c>
      <c r="D26" t="inlineStr">
        <is>
          <t>indeed</t>
        </is>
      </c>
      <c r="E26" t="inlineStr"/>
      <c r="F26" t="inlineStr"/>
      <c r="G26" t="inlineStr">
        <is>
          <t>Palo Alto, CA, US</t>
        </is>
      </c>
      <c r="H26" s="2" t="n">
        <v>45998</v>
      </c>
      <c r="I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
      <c r="A27" t="inlineStr">
        <is>
          <t>in-57426af1ae488e5c</t>
        </is>
      </c>
      <c r="B27" t="inlineStr">
        <is>
          <t>Sr. Applied Scientist, Amazon Ads</t>
        </is>
      </c>
      <c r="C27" t="inlineStr">
        <is>
          <t>Amazon.com</t>
        </is>
      </c>
      <c r="D27" t="inlineStr">
        <is>
          <t>indeed</t>
        </is>
      </c>
      <c r="E27" t="inlineStr"/>
      <c r="F27" t="inlineStr"/>
      <c r="G27" t="inlineStr">
        <is>
          <t>Tukwila, WA, US</t>
        </is>
      </c>
      <c r="H27" s="2" t="n">
        <v>45998</v>
      </c>
      <c r="I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
      <c r="A28" t="inlineStr">
        <is>
          <t>in-a609fc9324f9c36c</t>
        </is>
      </c>
      <c r="B28" t="inlineStr">
        <is>
          <t>Sr. Applied Scientist, Amazon Ads</t>
        </is>
      </c>
      <c r="C28" t="inlineStr">
        <is>
          <t>Amazon.com</t>
        </is>
      </c>
      <c r="D28" t="inlineStr">
        <is>
          <t>indeed</t>
        </is>
      </c>
      <c r="E28" t="inlineStr"/>
      <c r="F28" t="inlineStr"/>
      <c r="G28" t="inlineStr">
        <is>
          <t>Seattle, WA, US</t>
        </is>
      </c>
      <c r="H28" s="2" t="n">
        <v>45998</v>
      </c>
      <c r="I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
      <c r="A29" t="inlineStr">
        <is>
          <t>in-6a7c29942f939577</t>
        </is>
      </c>
      <c r="B29" t="inlineStr">
        <is>
          <t>Sr. Applied Scientist, Amazon Ads</t>
        </is>
      </c>
      <c r="C29" t="inlineStr">
        <is>
          <t>Amazon.com</t>
        </is>
      </c>
      <c r="D29" t="inlineStr">
        <is>
          <t>indeed</t>
        </is>
      </c>
      <c r="E29" t="inlineStr"/>
      <c r="F29" t="inlineStr"/>
      <c r="G29" t="inlineStr">
        <is>
          <t>Santa Monica, CA,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in-53f1249832280f29</t>
        </is>
      </c>
      <c r="B30" t="inlineStr">
        <is>
          <t>Sr. Applied Scientist, Amazon Ads</t>
        </is>
      </c>
      <c r="C30" t="inlineStr">
        <is>
          <t>Amazon.com</t>
        </is>
      </c>
      <c r="D30" t="inlineStr">
        <is>
          <t>indeed</t>
        </is>
      </c>
      <c r="E30" t="inlineStr"/>
      <c r="F30" t="inlineStr"/>
      <c r="G30" t="inlineStr">
        <is>
          <t>Corvallis, OR,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in-93e3087af5dc546c</t>
        </is>
      </c>
      <c r="B31" t="inlineStr">
        <is>
          <t>Sr. Applied Scientist, Amazon Ads</t>
        </is>
      </c>
      <c r="C31" t="inlineStr">
        <is>
          <t>Amazon.com</t>
        </is>
      </c>
      <c r="D31" t="inlineStr">
        <is>
          <t>indeed</t>
        </is>
      </c>
      <c r="E31" t="inlineStr"/>
      <c r="F31" t="inlineStr"/>
      <c r="G31" t="inlineStr">
        <is>
          <t>New York, NY,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in-cbca35c0c7687aa6</t>
        </is>
      </c>
      <c r="B32" t="inlineStr">
        <is>
          <t>Applied Scientist, ML Compiler</t>
        </is>
      </c>
      <c r="C32" t="inlineStr">
        <is>
          <t>Amazon Web Services</t>
        </is>
      </c>
      <c r="D32" t="inlineStr">
        <is>
          <t>indeed</t>
        </is>
      </c>
      <c r="E32" t="inlineStr"/>
      <c r="F32" t="inlineStr"/>
      <c r="G32" t="inlineStr">
        <is>
          <t>Cupertino, CA, US</t>
        </is>
      </c>
      <c r="H32" s="2" t="n">
        <v>45993</v>
      </c>
      <c r="I3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in-5526e651899c3cdc</t>
        </is>
      </c>
      <c r="B33" t="inlineStr">
        <is>
          <t>Applied Scientist, ML Compiler</t>
        </is>
      </c>
      <c r="C33" t="inlineStr">
        <is>
          <t>Amazon Web Services</t>
        </is>
      </c>
      <c r="D33" t="inlineStr">
        <is>
          <t>indeed</t>
        </is>
      </c>
      <c r="E33" t="inlineStr"/>
      <c r="F33" t="inlineStr"/>
      <c r="G33" t="inlineStr">
        <is>
          <t>Seattle, WA, US</t>
        </is>
      </c>
      <c r="H33" s="2" t="n">
        <v>45993</v>
      </c>
      <c r="I3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in-5f1e278c37c57951</t>
        </is>
      </c>
      <c r="B34" t="inlineStr">
        <is>
          <t>Applied Scientist, Model Customization, Generative AI Innovation Center, Model Customization</t>
        </is>
      </c>
      <c r="C34" t="inlineStr">
        <is>
          <t>Amazon Web Services</t>
        </is>
      </c>
      <c r="D34" t="inlineStr">
        <is>
          <t>indeed</t>
        </is>
      </c>
      <c r="E34" t="inlineStr"/>
      <c r="F34" t="inlineStr"/>
      <c r="G34" t="inlineStr">
        <is>
          <t>New York, NY, US</t>
        </is>
      </c>
      <c r="H34" s="2" t="n">
        <v>45993</v>
      </c>
      <c r="I3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in-a7d268918888c63f</t>
        </is>
      </c>
      <c r="B35" t="inlineStr">
        <is>
          <t>Applied Scientist, Model Customization, Generative AI Innovation Center, Model Customization</t>
        </is>
      </c>
      <c r="C35" t="inlineStr">
        <is>
          <t>Amazon Web Services</t>
        </is>
      </c>
      <c r="D35" t="inlineStr">
        <is>
          <t>indeed</t>
        </is>
      </c>
      <c r="E35" t="inlineStr"/>
      <c r="F35" t="inlineStr"/>
      <c r="G35" t="inlineStr">
        <is>
          <t>Bellevue, WA, US</t>
        </is>
      </c>
      <c r="H35" s="2" t="n">
        <v>45993</v>
      </c>
      <c r="I3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in-2602a7ff0763eb8c</t>
        </is>
      </c>
      <c r="B36" t="inlineStr">
        <is>
          <t>Applied Scientist, Model Customization, Generative AI Innovation Center, Model Customization</t>
        </is>
      </c>
      <c r="C36" t="inlineStr">
        <is>
          <t>Amazon Web Services</t>
        </is>
      </c>
      <c r="D36" t="inlineStr">
        <is>
          <t>indeed</t>
        </is>
      </c>
      <c r="E36" t="inlineStr"/>
      <c r="F36" t="inlineStr"/>
      <c r="G36" t="inlineStr">
        <is>
          <t>Arlington, VA, US</t>
        </is>
      </c>
      <c r="H36" s="2" t="n">
        <v>45993</v>
      </c>
      <c r="I3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in-b852e9a3047ef826</t>
        </is>
      </c>
      <c r="B37" t="inlineStr">
        <is>
          <t>Sr. Applied Scientist, Sponsored Products and Brands Off-Search</t>
        </is>
      </c>
      <c r="C37" t="inlineStr">
        <is>
          <t>Amazon.com</t>
        </is>
      </c>
      <c r="D37" t="inlineStr">
        <is>
          <t>indeed</t>
        </is>
      </c>
      <c r="E37" t="inlineStr"/>
      <c r="F37" t="inlineStr"/>
      <c r="G37" t="inlineStr">
        <is>
          <t>Seattle, WA, US</t>
        </is>
      </c>
      <c r="H37" s="2" t="n">
        <v>45993</v>
      </c>
      <c r="I3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in-33f737d9e659088f</t>
        </is>
      </c>
      <c r="B38" t="inlineStr">
        <is>
          <t>AI Engineer</t>
        </is>
      </c>
      <c r="C38" t="inlineStr">
        <is>
          <t>Procter &amp; Gamble</t>
        </is>
      </c>
      <c r="D38" t="inlineStr">
        <is>
          <t>indeed</t>
        </is>
      </c>
      <c r="E38" t="inlineStr"/>
      <c r="F38" t="inlineStr"/>
      <c r="G38" t="inlineStr">
        <is>
          <t>Cincinnati, OH, US</t>
        </is>
      </c>
      <c r="H38" s="2" t="n">
        <v>45986</v>
      </c>
      <c r="I38" t="inlineStr">
        <is>
          <t>Are you a ML/AI Engineer experienced in Python and data processing who wants to work on scaling and operationalization of large\-scale AI use cases? Hoping to work in a highly innovative area, constantly challenging the status quo? Is simply applying best practices is not enough for you because you'd rather actively craft them? If, so come and join our AI Engineering organization as an Artificial Intelligence Engineer! Help us make use of the latest AI technology to solve some of the world’s most interesting problems.
Key Responsibilities:
* Works on advanced analytics use cases together with Data Scientists, Analysts, peer AI Engineers; engages in proof of concepts and experiments together to deliver new analytical algorithms and applications.
* Prepares data models and feature quality checks, optimizes analytical solutions at scale, prepares ETL pipelines, and distributed compute architectures.
* Participates in strategic effort to build and maintain P\&amp;G ecosystem of reusable code components through validating code quality, leading development \&amp; integration process and making crucial decisions on distribution strategy.
* Provides development governance, direction and consultations to business and engineering teams.
* Cooperates with the Data Science, Data Management, Platform and InfoSecurity teams on end\-to\-end AI and advanced analytics solutions.
* Influences stakeholders across the organization (decision makers, IT project teams, business partners, vendors) to promote the established software development direction.
* Deploys solutions in multi\-cloud environments and services – in Azure (e.g., Databricks, Azure ML, AKS, ADF) and/or in GCP (e.g., Composer, BigQuery, GKE, Kubeflow).
* Operates according to DevOps practices, Agile (Jira), uses CI/CD (GitHub Actions), increases reusability of code and design patterns from internal code libraries.
* Operationalizes Machine Learning models as integral element of IT solutions \&amp; business process.</t>
        </is>
      </c>
    </row>
    <row r="39">
      <c r="A39" t="inlineStr">
        <is>
          <t>in-d1e144506a9ed06d</t>
        </is>
      </c>
      <c r="B39" t="inlineStr">
        <is>
          <t>Principal Applied Scientist, Amazon Special Projects</t>
        </is>
      </c>
      <c r="C39" t="inlineStr">
        <is>
          <t>Amazon.com</t>
        </is>
      </c>
      <c r="D39" t="inlineStr">
        <is>
          <t>indeed</t>
        </is>
      </c>
      <c r="E39" t="inlineStr"/>
      <c r="F39" t="inlineStr"/>
      <c r="G39" t="inlineStr">
        <is>
          <t>Seattle, WA, US</t>
        </is>
      </c>
      <c r="H39" s="2" t="n">
        <v>45982</v>
      </c>
      <c r="I3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in-324f273757e4063a</t>
        </is>
      </c>
      <c r="B40" t="inlineStr">
        <is>
          <t>Principal Applied Scientist, Amazon Special Projects</t>
        </is>
      </c>
      <c r="C40" t="inlineStr">
        <is>
          <t>Amazon.com</t>
        </is>
      </c>
      <c r="D40" t="inlineStr">
        <is>
          <t>indeed</t>
        </is>
      </c>
      <c r="E40" t="inlineStr"/>
      <c r="F40" t="inlineStr"/>
      <c r="G40" t="inlineStr">
        <is>
          <t>Boston, MA, US</t>
        </is>
      </c>
      <c r="H40" s="2" t="n">
        <v>45982</v>
      </c>
      <c r="I4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in-5db2676ae619b008</t>
        </is>
      </c>
      <c r="B41" t="inlineStr">
        <is>
          <t>Senior Applied Scientist, Generative AI Innovation Center</t>
        </is>
      </c>
      <c r="C41" t="inlineStr">
        <is>
          <t>Amazon Web Services</t>
        </is>
      </c>
      <c r="D41" t="inlineStr">
        <is>
          <t>indeed</t>
        </is>
      </c>
      <c r="E41" t="inlineStr"/>
      <c r="F41" t="inlineStr"/>
      <c r="G41" t="inlineStr">
        <is>
          <t>New York, NY, US</t>
        </is>
      </c>
      <c r="H41" s="2" t="n">
        <v>45981</v>
      </c>
      <c r="I41"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in-0bf8c8349bad2706</t>
        </is>
      </c>
      <c r="B42" t="inlineStr">
        <is>
          <t>Senior Applied Scientist, Generative AI Innovation Center</t>
        </is>
      </c>
      <c r="C42" t="inlineStr">
        <is>
          <t>Amazon Web Services</t>
        </is>
      </c>
      <c r="D42" t="inlineStr">
        <is>
          <t>indeed</t>
        </is>
      </c>
      <c r="E42" t="inlineStr"/>
      <c r="F42" t="inlineStr"/>
      <c r="G42" t="inlineStr">
        <is>
          <t>Seattle, WA, US</t>
        </is>
      </c>
      <c r="H42" s="2" t="n">
        <v>45981</v>
      </c>
      <c r="I42"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in-57675858388a2861</t>
        </is>
      </c>
      <c r="B43" t="inlineStr">
        <is>
          <t>Senior Applied Scientist, Generative AI Innovation Center</t>
        </is>
      </c>
      <c r="C43" t="inlineStr">
        <is>
          <t>Amazon Web Services</t>
        </is>
      </c>
      <c r="D43" t="inlineStr">
        <is>
          <t>indeed</t>
        </is>
      </c>
      <c r="E43" t="inlineStr"/>
      <c r="F43" t="inlineStr"/>
      <c r="G43" t="inlineStr">
        <is>
          <t>Austin, TX, US</t>
        </is>
      </c>
      <c r="H43" s="2" t="n">
        <v>45981</v>
      </c>
      <c r="I43"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in-95567593d6ae1c63</t>
        </is>
      </c>
      <c r="B44" t="inlineStr">
        <is>
          <t>Senior Applied Scientist, Generative AI Innovation Center</t>
        </is>
      </c>
      <c r="C44" t="inlineStr">
        <is>
          <t>Amazon Web Services</t>
        </is>
      </c>
      <c r="D44" t="inlineStr">
        <is>
          <t>indeed</t>
        </is>
      </c>
      <c r="E44" t="inlineStr"/>
      <c r="F44" t="inlineStr"/>
      <c r="G44" t="inlineStr">
        <is>
          <t>Boston, MA, US</t>
        </is>
      </c>
      <c r="H44" s="2" t="n">
        <v>45981</v>
      </c>
      <c r="I44"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in-171f1867055cfd30</t>
        </is>
      </c>
      <c r="B45" t="inlineStr">
        <is>
          <t>Senior Applied Scientist, Generative AI Innovation Center</t>
        </is>
      </c>
      <c r="C45" t="inlineStr">
        <is>
          <t>Amazon Web Services</t>
        </is>
      </c>
      <c r="D45" t="inlineStr">
        <is>
          <t>indeed</t>
        </is>
      </c>
      <c r="E45" t="inlineStr"/>
      <c r="F45" t="inlineStr"/>
      <c r="G45" t="inlineStr">
        <is>
          <t>Houston, TX, US</t>
        </is>
      </c>
      <c r="H45" s="2" t="n">
        <v>45981</v>
      </c>
      <c r="I45"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in-73dd206e6322301f</t>
        </is>
      </c>
      <c r="B46" t="inlineStr">
        <is>
          <t>Senior Applied Scientist, Generative AI Innovation Center</t>
        </is>
      </c>
      <c r="C46" t="inlineStr">
        <is>
          <t>Amazon Web Services</t>
        </is>
      </c>
      <c r="D46" t="inlineStr">
        <is>
          <t>indeed</t>
        </is>
      </c>
      <c r="E46" t="inlineStr"/>
      <c r="F46" t="inlineStr"/>
      <c r="G46" t="inlineStr">
        <is>
          <t>Bellevue, WA, US</t>
        </is>
      </c>
      <c r="H46" s="2" t="n">
        <v>45981</v>
      </c>
      <c r="I46"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in-e3d90c1b58748474</t>
        </is>
      </c>
      <c r="B47" t="inlineStr">
        <is>
          <t>Sr. Applied Scientist, SPB Advertiser Guidance</t>
        </is>
      </c>
      <c r="C47" t="inlineStr">
        <is>
          <t>Amazon.com</t>
        </is>
      </c>
      <c r="D47" t="inlineStr">
        <is>
          <t>indeed</t>
        </is>
      </c>
      <c r="E47" t="inlineStr"/>
      <c r="F47" t="inlineStr"/>
      <c r="G47" t="inlineStr">
        <is>
          <t>Palo Alto, CA, US</t>
        </is>
      </c>
      <c r="H47" s="2" t="n">
        <v>45981</v>
      </c>
      <c r="I4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in-336df5168f733207</t>
        </is>
      </c>
      <c r="B48" t="inlineStr">
        <is>
          <t>Sr. Applied Scientist, SPB Advertiser Guidance</t>
        </is>
      </c>
      <c r="C48" t="inlineStr">
        <is>
          <t>Amazon.com</t>
        </is>
      </c>
      <c r="D48" t="inlineStr">
        <is>
          <t>indeed</t>
        </is>
      </c>
      <c r="E48" t="inlineStr"/>
      <c r="F48" t="inlineStr"/>
      <c r="G48" t="inlineStr">
        <is>
          <t>Seattle, WA, US</t>
        </is>
      </c>
      <c r="H48" s="2" t="n">
        <v>45981</v>
      </c>
      <c r="I4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in-f06ca2daf3b9292e</t>
        </is>
      </c>
      <c r="B49" t="inlineStr">
        <is>
          <t>Sr. Applied Scientist, SPB Advertiser Guidance</t>
        </is>
      </c>
      <c r="C49" t="inlineStr">
        <is>
          <t>Amazon.com</t>
        </is>
      </c>
      <c r="D49" t="inlineStr">
        <is>
          <t>indeed</t>
        </is>
      </c>
      <c r="E49" t="inlineStr"/>
      <c r="F49" t="inlineStr"/>
      <c r="G49" t="inlineStr">
        <is>
          <t>New York, NY, US</t>
        </is>
      </c>
      <c r="H49" s="2" t="n">
        <v>45981</v>
      </c>
      <c r="I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in-8e746e910512fc46</t>
        </is>
      </c>
      <c r="B50" t="inlineStr">
        <is>
          <t>Senior Applied Scientist, Artificial General Intelligence</t>
        </is>
      </c>
      <c r="C50" t="inlineStr">
        <is>
          <t>Amazon.com</t>
        </is>
      </c>
      <c r="D50" t="inlineStr">
        <is>
          <t>indeed</t>
        </is>
      </c>
      <c r="E50" t="inlineStr"/>
      <c r="F50" t="inlineStr"/>
      <c r="G50" t="inlineStr">
        <is>
          <t>Sunnyvale, CA, US</t>
        </is>
      </c>
      <c r="H50" s="2" t="n">
        <v>45980</v>
      </c>
      <c r="I5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in-27fd2abffd38e0ac</t>
        </is>
      </c>
      <c r="B51" t="inlineStr">
        <is>
          <t>Senior Applied Scientist, Artificial General Intelligence</t>
        </is>
      </c>
      <c r="C51" t="inlineStr">
        <is>
          <t>Amazon.com</t>
        </is>
      </c>
      <c r="D51" t="inlineStr">
        <is>
          <t>indeed</t>
        </is>
      </c>
      <c r="E51" t="inlineStr"/>
      <c r="F51" t="inlineStr"/>
      <c r="G51" t="inlineStr">
        <is>
          <t>Boston, MA, US</t>
        </is>
      </c>
      <c r="H51" s="2" t="n">
        <v>45980</v>
      </c>
      <c r="I5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in-50ec2cff26873060</t>
        </is>
      </c>
      <c r="B52" t="inlineStr">
        <is>
          <t>Senior Applied Scientist, Artificial General Intelligence</t>
        </is>
      </c>
      <c r="C52" t="inlineStr">
        <is>
          <t>Amazon.com</t>
        </is>
      </c>
      <c r="D52" t="inlineStr">
        <is>
          <t>indeed</t>
        </is>
      </c>
      <c r="E52" t="inlineStr"/>
      <c r="F52" t="inlineStr"/>
      <c r="G52" t="inlineStr">
        <is>
          <t>Seattle, WA, US</t>
        </is>
      </c>
      <c r="H52" s="2" t="n">
        <v>45980</v>
      </c>
      <c r="I5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in-6b2f6873b3c74e74</t>
        </is>
      </c>
      <c r="B53" t="inlineStr">
        <is>
          <t>Senior Applied Scientist, Artificial General Intelligence</t>
        </is>
      </c>
      <c r="C53" t="inlineStr">
        <is>
          <t>Amazon.com</t>
        </is>
      </c>
      <c r="D53" t="inlineStr">
        <is>
          <t>indeed</t>
        </is>
      </c>
      <c r="E53" t="inlineStr"/>
      <c r="F53" t="inlineStr"/>
      <c r="G53" t="inlineStr">
        <is>
          <t>New York, NY, US</t>
        </is>
      </c>
      <c r="H53" s="2" t="n">
        <v>45980</v>
      </c>
      <c r="I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in-2d0802a674a1887f</t>
        </is>
      </c>
      <c r="B54" t="inlineStr">
        <is>
          <t>Applied Scientist II, SPB Advertiser Guidance</t>
        </is>
      </c>
      <c r="C54" t="inlineStr">
        <is>
          <t>Amazon.com</t>
        </is>
      </c>
      <c r="D54" t="inlineStr">
        <is>
          <t>indeed</t>
        </is>
      </c>
      <c r="E54" t="inlineStr"/>
      <c r="F54" t="inlineStr"/>
      <c r="G54" t="inlineStr">
        <is>
          <t>Palo Alto, CA, US</t>
        </is>
      </c>
      <c r="H54" s="2" t="n">
        <v>45980</v>
      </c>
      <c r="I5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in-2bcd0a93252a674d</t>
        </is>
      </c>
      <c r="B55" t="inlineStr">
        <is>
          <t>Applied Scientist II, SPB Advertiser Guidance</t>
        </is>
      </c>
      <c r="C55" t="inlineStr">
        <is>
          <t>Amazon.com</t>
        </is>
      </c>
      <c r="D55" t="inlineStr">
        <is>
          <t>indeed</t>
        </is>
      </c>
      <c r="E55" t="inlineStr"/>
      <c r="F55" t="inlineStr"/>
      <c r="G55" t="inlineStr">
        <is>
          <t>New York, NY, US</t>
        </is>
      </c>
      <c r="H55" s="2" t="n">
        <v>45980</v>
      </c>
      <c r="I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in-ffc514da0b24f81b</t>
        </is>
      </c>
      <c r="B56" t="inlineStr">
        <is>
          <t>Applied Scientist II, SPB Advertiser Guidance</t>
        </is>
      </c>
      <c r="C56" t="inlineStr">
        <is>
          <t>Amazon.com</t>
        </is>
      </c>
      <c r="D56" t="inlineStr">
        <is>
          <t>indeed</t>
        </is>
      </c>
      <c r="E56" t="inlineStr"/>
      <c r="F56" t="inlineStr"/>
      <c r="G56" t="inlineStr">
        <is>
          <t>Seattle, WA, US</t>
        </is>
      </c>
      <c r="H56" s="2" t="n">
        <v>45980</v>
      </c>
      <c r="I5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in-34fa06bb51efbc21</t>
        </is>
      </c>
      <c r="B57" t="inlineStr">
        <is>
          <t>Principal Applied Scientist, Sponsored Products and Brands</t>
        </is>
      </c>
      <c r="C57" t="inlineStr">
        <is>
          <t>Amazon.com</t>
        </is>
      </c>
      <c r="D57" t="inlineStr">
        <is>
          <t>indeed</t>
        </is>
      </c>
      <c r="E57" t="inlineStr"/>
      <c r="F57" t="inlineStr"/>
      <c r="G57" t="inlineStr">
        <is>
          <t>New York, NY, US</t>
        </is>
      </c>
      <c r="H57" s="2" t="n">
        <v>45979</v>
      </c>
      <c r="I5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in-c4ee082bd863da29</t>
        </is>
      </c>
      <c r="B58" t="inlineStr">
        <is>
          <t>Principal Applied Scientist, Sponsored Products and Brands</t>
        </is>
      </c>
      <c r="C58" t="inlineStr">
        <is>
          <t>Amazon.com</t>
        </is>
      </c>
      <c r="D58" t="inlineStr">
        <is>
          <t>indeed</t>
        </is>
      </c>
      <c r="E58" t="inlineStr"/>
      <c r="F58" t="inlineStr"/>
      <c r="G58" t="inlineStr">
        <is>
          <t>Seattle, WA, US</t>
        </is>
      </c>
      <c r="H58" s="2" t="n">
        <v>45979</v>
      </c>
      <c r="I5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in-dd0bf8215c2eeff8</t>
        </is>
      </c>
      <c r="B59" t="inlineStr">
        <is>
          <t>Sr. Applied Scientist, AGI Foundations</t>
        </is>
      </c>
      <c r="C59" t="inlineStr">
        <is>
          <t>Amazon.com</t>
        </is>
      </c>
      <c r="D59" t="inlineStr">
        <is>
          <t>indeed</t>
        </is>
      </c>
      <c r="E59" t="inlineStr"/>
      <c r="F59" t="inlineStr"/>
      <c r="G59" t="inlineStr">
        <is>
          <t>New York, NY, US</t>
        </is>
      </c>
      <c r="H59" s="2" t="n">
        <v>45978</v>
      </c>
      <c r="I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in-2a503e5101f55a0b</t>
        </is>
      </c>
      <c r="B60" t="inlineStr">
        <is>
          <t>Sr. Applied Scientist, AGI Foundations</t>
        </is>
      </c>
      <c r="C60" t="inlineStr">
        <is>
          <t>Amazon.com</t>
        </is>
      </c>
      <c r="D60" t="inlineStr">
        <is>
          <t>indeed</t>
        </is>
      </c>
      <c r="E60" t="inlineStr"/>
      <c r="F60" t="inlineStr"/>
      <c r="G60" t="inlineStr">
        <is>
          <t>Boston, MA, US</t>
        </is>
      </c>
      <c r="H60" s="2" t="n">
        <v>45978</v>
      </c>
      <c r="I6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in-b649a6601616e32c</t>
        </is>
      </c>
      <c r="B61" t="inlineStr">
        <is>
          <t>Sr. Applied Scientist, AGI Foundations</t>
        </is>
      </c>
      <c r="C61" t="inlineStr">
        <is>
          <t>Amazon.com</t>
        </is>
      </c>
      <c r="D61" t="inlineStr">
        <is>
          <t>indeed</t>
        </is>
      </c>
      <c r="E61" t="inlineStr"/>
      <c r="F61" t="inlineStr"/>
      <c r="G61" t="inlineStr">
        <is>
          <t>Bellevue, WA, US</t>
        </is>
      </c>
      <c r="H61" s="2" t="n">
        <v>45978</v>
      </c>
      <c r="I6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in-1c0be8d76edb6676</t>
        </is>
      </c>
      <c r="B62" t="inlineStr">
        <is>
          <t>Sr. Applied Scientist, AGI Foundations</t>
        </is>
      </c>
      <c r="C62" t="inlineStr">
        <is>
          <t>Amazon.com</t>
        </is>
      </c>
      <c r="D62" t="inlineStr">
        <is>
          <t>indeed</t>
        </is>
      </c>
      <c r="E62" t="inlineStr"/>
      <c r="F62" t="inlineStr"/>
      <c r="G62" t="inlineStr">
        <is>
          <t>Sunnyvale, CA, US</t>
        </is>
      </c>
      <c r="H62" s="2" t="n">
        <v>45978</v>
      </c>
      <c r="I6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in-6ccddd987ba8f773</t>
        </is>
      </c>
      <c r="B63" t="inlineStr">
        <is>
          <t>Principal Applied Scientist, Amazon AGI</t>
        </is>
      </c>
      <c r="C63" t="inlineStr">
        <is>
          <t>Amazon.com</t>
        </is>
      </c>
      <c r="D63" t="inlineStr">
        <is>
          <t>indeed</t>
        </is>
      </c>
      <c r="E63" t="inlineStr"/>
      <c r="F63" t="inlineStr"/>
      <c r="G63" t="inlineStr">
        <is>
          <t>Boston, MA, US</t>
        </is>
      </c>
      <c r="H63" s="2" t="n">
        <v>45964</v>
      </c>
      <c r="I6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in-1b1858c712f41abe</t>
        </is>
      </c>
      <c r="B64" t="inlineStr">
        <is>
          <t>Principal Applied Scientist, Amazon AGI</t>
        </is>
      </c>
      <c r="C64" t="inlineStr">
        <is>
          <t>Amazon.com</t>
        </is>
      </c>
      <c r="D64" t="inlineStr">
        <is>
          <t>indeed</t>
        </is>
      </c>
      <c r="E64" t="inlineStr"/>
      <c r="F64" t="inlineStr"/>
      <c r="G64" t="inlineStr">
        <is>
          <t>San Francisco, CA, US</t>
        </is>
      </c>
      <c r="H64" s="2" t="n">
        <v>45964</v>
      </c>
      <c r="I6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in-7c512f04fb426b61</t>
        </is>
      </c>
      <c r="B65" t="inlineStr">
        <is>
          <t>Sr. Applied Scientist, AGI Foundations</t>
        </is>
      </c>
      <c r="C65" t="inlineStr">
        <is>
          <t>Amazon.com</t>
        </is>
      </c>
      <c r="D65" t="inlineStr">
        <is>
          <t>indeed</t>
        </is>
      </c>
      <c r="E65" t="inlineStr"/>
      <c r="F65" t="inlineStr"/>
      <c r="G65" t="inlineStr">
        <is>
          <t>New York, NY, US</t>
        </is>
      </c>
      <c r="H65" s="2" t="n">
        <v>45963</v>
      </c>
      <c r="I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in-8eeec3674407bf6c</t>
        </is>
      </c>
      <c r="B66" t="inlineStr">
        <is>
          <t>Sr. Applied Scientist, AGI Foundations</t>
        </is>
      </c>
      <c r="C66" t="inlineStr">
        <is>
          <t>Amazon.com</t>
        </is>
      </c>
      <c r="D66" t="inlineStr">
        <is>
          <t>indeed</t>
        </is>
      </c>
      <c r="E66" t="inlineStr"/>
      <c r="F66" t="inlineStr"/>
      <c r="G66" t="inlineStr">
        <is>
          <t>Bellevue, WA, US</t>
        </is>
      </c>
      <c r="H66" s="2" t="n">
        <v>45963</v>
      </c>
      <c r="I6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in-71765b7d338bf28f</t>
        </is>
      </c>
      <c r="B67" t="inlineStr">
        <is>
          <t>Sr. Applied Scientist, AGI Foundations</t>
        </is>
      </c>
      <c r="C67" t="inlineStr">
        <is>
          <t>Amazon.com</t>
        </is>
      </c>
      <c r="D67" t="inlineStr">
        <is>
          <t>indeed</t>
        </is>
      </c>
      <c r="E67" t="inlineStr"/>
      <c r="F67" t="inlineStr"/>
      <c r="G67" t="inlineStr">
        <is>
          <t>Boston, MA, US</t>
        </is>
      </c>
      <c r="H67" s="2" t="n">
        <v>45963</v>
      </c>
      <c r="I6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in-569c66a23dd28348</t>
        </is>
      </c>
      <c r="B68" t="inlineStr">
        <is>
          <t>Principal Applied Scientist, AWS Agentic AI Science</t>
        </is>
      </c>
      <c r="C68" t="inlineStr">
        <is>
          <t>Amazon Web Services</t>
        </is>
      </c>
      <c r="D68" t="inlineStr">
        <is>
          <t>indeed</t>
        </is>
      </c>
      <c r="E68" t="inlineStr"/>
      <c r="F68" t="inlineStr"/>
      <c r="G68" t="inlineStr">
        <is>
          <t>New York, NY, US</t>
        </is>
      </c>
      <c r="H68" s="2" t="n">
        <v>45963</v>
      </c>
      <c r="I68"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in-555513642301d20e</t>
        </is>
      </c>
      <c r="B69" t="inlineStr">
        <is>
          <t>Principal Applied Scientist, AWS Agentic AI Science</t>
        </is>
      </c>
      <c r="C69" t="inlineStr">
        <is>
          <t>Amazon Web Services</t>
        </is>
      </c>
      <c r="D69" t="inlineStr">
        <is>
          <t>indeed</t>
        </is>
      </c>
      <c r="E69" t="inlineStr"/>
      <c r="F69" t="inlineStr"/>
      <c r="G69" t="inlineStr">
        <is>
          <t>Santa Clara, CA, US</t>
        </is>
      </c>
      <c r="H69" s="2" t="n">
        <v>45963</v>
      </c>
      <c r="I69"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in-5da6a1a5f44df45d</t>
        </is>
      </c>
      <c r="B70" t="inlineStr">
        <is>
          <t>Applied Scientist, AWS Agentic AI</t>
        </is>
      </c>
      <c r="C70" t="inlineStr">
        <is>
          <t>Amazon Web Services</t>
        </is>
      </c>
      <c r="D70" t="inlineStr">
        <is>
          <t>indeed</t>
        </is>
      </c>
      <c r="E70" t="inlineStr"/>
      <c r="F70" t="inlineStr"/>
      <c r="G70" t="inlineStr">
        <is>
          <t>Seattle, WA, US</t>
        </is>
      </c>
      <c r="H70" s="2" t="n">
        <v>45962</v>
      </c>
      <c r="I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in-0697f61abc47001a</t>
        </is>
      </c>
      <c r="B71" t="inlineStr">
        <is>
          <t>Applied Scientist, AWS Agentic AI</t>
        </is>
      </c>
      <c r="C71" t="inlineStr">
        <is>
          <t>Amazon Web Services</t>
        </is>
      </c>
      <c r="D71" t="inlineStr">
        <is>
          <t>indeed</t>
        </is>
      </c>
      <c r="E71" t="inlineStr"/>
      <c r="F71" t="inlineStr"/>
      <c r="G71" t="inlineStr">
        <is>
          <t>Santa Clara, CA, US</t>
        </is>
      </c>
      <c r="H71" s="2" t="n">
        <v>45962</v>
      </c>
      <c r="I7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in-14a2dad4be19c424</t>
        </is>
      </c>
      <c r="B72" t="inlineStr">
        <is>
          <t>Applied Scientist, AWS Agentic AI</t>
        </is>
      </c>
      <c r="C72" t="inlineStr">
        <is>
          <t>Amazon Web Services</t>
        </is>
      </c>
      <c r="D72" t="inlineStr">
        <is>
          <t>indeed</t>
        </is>
      </c>
      <c r="E72" t="inlineStr"/>
      <c r="F72" t="inlineStr"/>
      <c r="G72" t="inlineStr">
        <is>
          <t>New York, NY, US</t>
        </is>
      </c>
      <c r="H72" s="2" t="n">
        <v>45962</v>
      </c>
      <c r="I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in-0c29c6a32fc8aed5</t>
        </is>
      </c>
      <c r="B73" t="inlineStr">
        <is>
          <t>Principal Applied Scientist, Advertiser Growth, Amazon Sponsored Products &amp; Brands</t>
        </is>
      </c>
      <c r="C73" t="inlineStr">
        <is>
          <t>Amazon.com</t>
        </is>
      </c>
      <c r="D73" t="inlineStr">
        <is>
          <t>indeed</t>
        </is>
      </c>
      <c r="E73" t="inlineStr"/>
      <c r="F73" t="inlineStr"/>
      <c r="G73" t="inlineStr">
        <is>
          <t>New York, NY,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in-09d80871214563a6</t>
        </is>
      </c>
      <c r="B74" t="inlineStr">
        <is>
          <t>Principal Applied Scientist, Advertiser Growth, Amazon Sponsored Products &amp; Brands</t>
        </is>
      </c>
      <c r="C74" t="inlineStr">
        <is>
          <t>Amazon.com</t>
        </is>
      </c>
      <c r="D74" t="inlineStr">
        <is>
          <t>indeed</t>
        </is>
      </c>
      <c r="E74" t="inlineStr"/>
      <c r="F74" t="inlineStr"/>
      <c r="G74" t="inlineStr">
        <is>
          <t>Palo Alto, CA,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in-358213a56ec210c3</t>
        </is>
      </c>
      <c r="B75" t="inlineStr">
        <is>
          <t>Principal Applied Scientist, Advertiser Growth, Amazon Sponsored Products &amp; Brands</t>
        </is>
      </c>
      <c r="C75" t="inlineStr">
        <is>
          <t>Amazon.com</t>
        </is>
      </c>
      <c r="D75" t="inlineStr">
        <is>
          <t>indeed</t>
        </is>
      </c>
      <c r="E75" t="inlineStr"/>
      <c r="F75" t="inlineStr"/>
      <c r="G75" t="inlineStr">
        <is>
          <t>Seattle, WA, US</t>
        </is>
      </c>
      <c r="H75" s="2"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in-834bdc02481c31bc</t>
        </is>
      </c>
      <c r="B76" t="inlineStr">
        <is>
          <t>Sr. Applied Scientist, SPB Advertiser Guidance</t>
        </is>
      </c>
      <c r="C76" t="inlineStr">
        <is>
          <t>Amazon.com</t>
        </is>
      </c>
      <c r="D76" t="inlineStr">
        <is>
          <t>indeed</t>
        </is>
      </c>
      <c r="E76" t="inlineStr"/>
      <c r="F76" t="inlineStr"/>
      <c r="G76" t="inlineStr">
        <is>
          <t>Seattle, WA, US</t>
        </is>
      </c>
      <c r="H76" s="2" t="n">
        <v>45939</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in-16bac04e4d2b6168</t>
        </is>
      </c>
      <c r="B77" t="inlineStr">
        <is>
          <t>Applied Scientist</t>
        </is>
      </c>
      <c r="C77" t="inlineStr">
        <is>
          <t>Amazon.com</t>
        </is>
      </c>
      <c r="D77" t="inlineStr">
        <is>
          <t>indeed</t>
        </is>
      </c>
      <c r="E77" t="inlineStr"/>
      <c r="F77" t="inlineStr"/>
      <c r="G77" t="inlineStr">
        <is>
          <t>New York, NY, US</t>
        </is>
      </c>
      <c r="H77" s="2" t="n">
        <v>45939</v>
      </c>
      <c r="I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in-8f4651bb1aba8faf</t>
        </is>
      </c>
      <c r="B78" t="inlineStr">
        <is>
          <t>Applied Scientist</t>
        </is>
      </c>
      <c r="C78" t="inlineStr">
        <is>
          <t>Amazon.com</t>
        </is>
      </c>
      <c r="D78" t="inlineStr">
        <is>
          <t>indeed</t>
        </is>
      </c>
      <c r="E78" t="inlineStr"/>
      <c r="F78" t="inlineStr"/>
      <c r="G78" t="inlineStr">
        <is>
          <t>Palo Alto, CA, US</t>
        </is>
      </c>
      <c r="H78" s="2" t="n">
        <v>45939</v>
      </c>
      <c r="I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in-27bb1760110dbe7f</t>
        </is>
      </c>
      <c r="B79" t="inlineStr">
        <is>
          <t>Sr. Applied Scientist, SPB Advertiser Guidance</t>
        </is>
      </c>
      <c r="C79" t="inlineStr">
        <is>
          <t>Amazon.com</t>
        </is>
      </c>
      <c r="D79" t="inlineStr">
        <is>
          <t>indeed</t>
        </is>
      </c>
      <c r="E79" t="inlineStr"/>
      <c r="F79" t="inlineStr"/>
      <c r="G79" t="inlineStr">
        <is>
          <t>Palo Alto, CA,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in-e05b33d54e2c7984</t>
        </is>
      </c>
      <c r="B80" t="inlineStr">
        <is>
          <t>Sr. Applied Scientist, SPB Advertiser Guidance</t>
        </is>
      </c>
      <c r="C80" t="inlineStr">
        <is>
          <t>Amazon.com</t>
        </is>
      </c>
      <c r="D80" t="inlineStr">
        <is>
          <t>indeed</t>
        </is>
      </c>
      <c r="E80" t="inlineStr"/>
      <c r="F80" t="inlineStr"/>
      <c r="G80" t="inlineStr">
        <is>
          <t>New York, NY,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in-6f2d2ed05cf37d28</t>
        </is>
      </c>
      <c r="B81" t="inlineStr">
        <is>
          <t>Applied Scientist</t>
        </is>
      </c>
      <c r="C81" t="inlineStr">
        <is>
          <t>Amazon.com</t>
        </is>
      </c>
      <c r="D81" t="inlineStr">
        <is>
          <t>indeed</t>
        </is>
      </c>
      <c r="E81" t="inlineStr"/>
      <c r="F81" t="inlineStr"/>
      <c r="G81" t="inlineStr">
        <is>
          <t>Seattle, WA,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in-98ffcda002235128</t>
        </is>
      </c>
      <c r="B82" t="inlineStr">
        <is>
          <t>Principal Applied Scientist, Amazon - Sponsored Products</t>
        </is>
      </c>
      <c r="C82" t="inlineStr">
        <is>
          <t>Amazon.com</t>
        </is>
      </c>
      <c r="D82" t="inlineStr">
        <is>
          <t>indeed</t>
        </is>
      </c>
      <c r="E82" t="inlineStr"/>
      <c r="F82" t="inlineStr"/>
      <c r="G82" t="inlineStr">
        <is>
          <t>New York, NY, US</t>
        </is>
      </c>
      <c r="H82" s="2" t="n">
        <v>45924</v>
      </c>
      <c r="I82"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in-93018635d5df2886</t>
        </is>
      </c>
      <c r="B83" t="inlineStr">
        <is>
          <t>Principal Applied Scientist, Amazon - Sponsored Products</t>
        </is>
      </c>
      <c r="C83" t="inlineStr">
        <is>
          <t>Amazon.com</t>
        </is>
      </c>
      <c r="D83" t="inlineStr">
        <is>
          <t>indeed</t>
        </is>
      </c>
      <c r="E83" t="inlineStr"/>
      <c r="F83" t="inlineStr"/>
      <c r="G83" t="inlineStr">
        <is>
          <t>Palo Alto, CA, US</t>
        </is>
      </c>
      <c r="H83" s="2" t="n">
        <v>45924</v>
      </c>
      <c r="I83"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in-7c29201edf7c896a</t>
        </is>
      </c>
      <c r="B84" t="inlineStr">
        <is>
          <t>Principal Applied Scientist, Amazon - Sponsored Products</t>
        </is>
      </c>
      <c r="C84" t="inlineStr">
        <is>
          <t>Amazon.com</t>
        </is>
      </c>
      <c r="D84" t="inlineStr">
        <is>
          <t>indeed</t>
        </is>
      </c>
      <c r="E84" t="inlineStr"/>
      <c r="F84" t="inlineStr"/>
      <c r="G84" t="inlineStr">
        <is>
          <t>Seattle, WA, US</t>
        </is>
      </c>
      <c r="H84" s="2" t="n">
        <v>45924</v>
      </c>
      <c r="I84"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in-575b76e74ae0fb26</t>
        </is>
      </c>
      <c r="B85" t="inlineStr">
        <is>
          <t>Applied Scientist II, Creative X - RAPID</t>
        </is>
      </c>
      <c r="C85" t="inlineStr">
        <is>
          <t>Amazon.com</t>
        </is>
      </c>
      <c r="D85" t="inlineStr">
        <is>
          <t>indeed</t>
        </is>
      </c>
      <c r="E85" t="inlineStr"/>
      <c r="F85" t="inlineStr"/>
      <c r="G85" t="inlineStr">
        <is>
          <t>New York, NY, US</t>
        </is>
      </c>
      <c r="H85" s="2" t="n">
        <v>45908</v>
      </c>
      <c r="I8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in-a8e0560cfd353de4</t>
        </is>
      </c>
      <c r="B86" t="inlineStr">
        <is>
          <t>Applied Scientist II, Creative X - RAPID</t>
        </is>
      </c>
      <c r="C86" t="inlineStr">
        <is>
          <t>Amazon.com</t>
        </is>
      </c>
      <c r="D86" t="inlineStr">
        <is>
          <t>indeed</t>
        </is>
      </c>
      <c r="E86" t="inlineStr"/>
      <c r="F86" t="inlineStr"/>
      <c r="G86" t="inlineStr">
        <is>
          <t>Seattle, WA, US</t>
        </is>
      </c>
      <c r="H86" s="2" t="n">
        <v>45908</v>
      </c>
      <c r="I8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in-2ff804799e2b0a36</t>
        </is>
      </c>
      <c r="B87" t="inlineStr">
        <is>
          <t>Senior Applied Scientist, Agentic AI for Data Analytics and Science, Speed Analytics and Science</t>
        </is>
      </c>
      <c r="C87" t="inlineStr">
        <is>
          <t>Amazon.com</t>
        </is>
      </c>
      <c r="D87" t="inlineStr">
        <is>
          <t>indeed</t>
        </is>
      </c>
      <c r="E87" t="inlineStr"/>
      <c r="F87" t="inlineStr"/>
      <c r="G87" t="inlineStr">
        <is>
          <t>Tempe, AZ, US</t>
        </is>
      </c>
      <c r="H87" s="2" t="n">
        <v>45880</v>
      </c>
      <c r="I87"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in-714421708b4192f2</t>
        </is>
      </c>
      <c r="B88" t="inlineStr">
        <is>
          <t>Sr. Applied Scientist, Amazon Advertising</t>
        </is>
      </c>
      <c r="C88" t="inlineStr">
        <is>
          <t>Amazon.com</t>
        </is>
      </c>
      <c r="D88" t="inlineStr">
        <is>
          <t>indeed</t>
        </is>
      </c>
      <c r="E88" t="inlineStr"/>
      <c r="F88" t="inlineStr"/>
      <c r="G88" t="inlineStr">
        <is>
          <t>Simi Valley, CA,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in-982f51f1cb31b9ef</t>
        </is>
      </c>
      <c r="B89" t="inlineStr">
        <is>
          <t>Sr. Applied Scientist, Amazon Advertising</t>
        </is>
      </c>
      <c r="C89" t="inlineStr">
        <is>
          <t>Amazon.com</t>
        </is>
      </c>
      <c r="D89" t="inlineStr">
        <is>
          <t>indeed</t>
        </is>
      </c>
      <c r="E89" t="inlineStr"/>
      <c r="F89" t="inlineStr"/>
      <c r="G89" t="inlineStr">
        <is>
          <t>West Hollywood, CA,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in-ad76e2e619cd739d</t>
        </is>
      </c>
      <c r="B90" t="inlineStr">
        <is>
          <t>Sr. Applied Scientist, Amazon Advertising</t>
        </is>
      </c>
      <c r="C90" t="inlineStr">
        <is>
          <t>Amazon.com</t>
        </is>
      </c>
      <c r="D90" t="inlineStr">
        <is>
          <t>indeed</t>
        </is>
      </c>
      <c r="E90" t="inlineStr"/>
      <c r="F90" t="inlineStr"/>
      <c r="G90" t="inlineStr">
        <is>
          <t>Arlington, VA,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in-3682a86be6068547</t>
        </is>
      </c>
      <c r="B91" t="inlineStr">
        <is>
          <t>Sr. Applied Scientist, Amazon Advertising</t>
        </is>
      </c>
      <c r="C91" t="inlineStr">
        <is>
          <t>Amazon.com</t>
        </is>
      </c>
      <c r="D91" t="inlineStr">
        <is>
          <t>indeed</t>
        </is>
      </c>
      <c r="E91" t="inlineStr"/>
      <c r="F91" t="inlineStr"/>
      <c r="G91" t="inlineStr">
        <is>
          <t>Los Angeles, CA,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in-33fed23dc788d717</t>
        </is>
      </c>
      <c r="B92" t="inlineStr">
        <is>
          <t>Sr. Applied Scientist, Amazon Advertising</t>
        </is>
      </c>
      <c r="C92" t="inlineStr">
        <is>
          <t>Amazon.com</t>
        </is>
      </c>
      <c r="D92" t="inlineStr">
        <is>
          <t>indeed</t>
        </is>
      </c>
      <c r="E92" t="inlineStr"/>
      <c r="F92" t="inlineStr"/>
      <c r="G92" t="inlineStr">
        <is>
          <t>Palo Alto, CA,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in-a78a61932b771e93</t>
        </is>
      </c>
      <c r="B93" t="inlineStr">
        <is>
          <t>Sr. Applied Scientist, Amazon Advertising</t>
        </is>
      </c>
      <c r="C93" t="inlineStr">
        <is>
          <t>Amazon.com</t>
        </is>
      </c>
      <c r="D93" t="inlineStr">
        <is>
          <t>indeed</t>
        </is>
      </c>
      <c r="E93" t="inlineStr"/>
      <c r="F93" t="inlineStr"/>
      <c r="G93" t="inlineStr">
        <is>
          <t>New York, NY,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in-4862bc92077972e8</t>
        </is>
      </c>
      <c r="B94" t="inlineStr">
        <is>
          <t>Sr. Applied Scientist, Amazon Advertising</t>
        </is>
      </c>
      <c r="C94" t="inlineStr">
        <is>
          <t>Amazon.com</t>
        </is>
      </c>
      <c r="D94" t="inlineStr">
        <is>
          <t>indeed</t>
        </is>
      </c>
      <c r="E94" t="inlineStr"/>
      <c r="F94" t="inlineStr"/>
      <c r="G94" t="inlineStr">
        <is>
          <t>Austin, TX,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in-052f84af22dc03c0</t>
        </is>
      </c>
      <c r="B95" t="inlineStr">
        <is>
          <t>Sr. Applied Scientist, Amazon Advertising</t>
        </is>
      </c>
      <c r="C95" t="inlineStr">
        <is>
          <t>Amazon.com</t>
        </is>
      </c>
      <c r="D95" t="inlineStr">
        <is>
          <t>indeed</t>
        </is>
      </c>
      <c r="E95" t="inlineStr"/>
      <c r="F95" t="inlineStr"/>
      <c r="G95" t="inlineStr">
        <is>
          <t>Seattle, WA,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in-cc304ecc0e525626</t>
        </is>
      </c>
      <c r="B96" t="inlineStr">
        <is>
          <t>Applied Scientist, Prime Video - Personalization and Discovery Science</t>
        </is>
      </c>
      <c r="C96" t="inlineStr">
        <is>
          <t>Amazon.com</t>
        </is>
      </c>
      <c r="D96" t="inlineStr">
        <is>
          <t>indeed</t>
        </is>
      </c>
      <c r="E96" t="inlineStr"/>
      <c r="F96" t="inlineStr"/>
      <c r="G96" t="inlineStr">
        <is>
          <t>New York, NY, US</t>
        </is>
      </c>
      <c r="H96" s="2" t="n">
        <v>45845</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in-16f7abe81056bf74</t>
        </is>
      </c>
      <c r="B97" t="inlineStr">
        <is>
          <t>Applied Scientist, Prime Video - Personalization and Discovery Science</t>
        </is>
      </c>
      <c r="C97" t="inlineStr">
        <is>
          <t>Amazon.com</t>
        </is>
      </c>
      <c r="D97" t="inlineStr">
        <is>
          <t>indeed</t>
        </is>
      </c>
      <c r="E97" t="inlineStr"/>
      <c r="F97" t="inlineStr"/>
      <c r="G97" t="inlineStr">
        <is>
          <t>Sunnyvale, CA, US</t>
        </is>
      </c>
      <c r="H97" s="2" t="n">
        <v>45845</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in-34c8578f492b2f64</t>
        </is>
      </c>
      <c r="B98" t="inlineStr">
        <is>
          <t>Applied Scientist, Prime Video - Personalization and Discovery Science</t>
        </is>
      </c>
      <c r="C98" t="inlineStr">
        <is>
          <t>Amazon.com</t>
        </is>
      </c>
      <c r="D98" t="inlineStr">
        <is>
          <t>indeed</t>
        </is>
      </c>
      <c r="E98" t="inlineStr"/>
      <c r="F98" t="inlineStr"/>
      <c r="G98" t="inlineStr">
        <is>
          <t>Seattle, WA, US</t>
        </is>
      </c>
      <c r="H98" s="2" t="n">
        <v>45845</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in-7a9ab93f3701fc45</t>
        </is>
      </c>
      <c r="B99" t="inlineStr">
        <is>
          <t>Senior Applied Scientist, Artificial General Intelligence</t>
        </is>
      </c>
      <c r="C99" t="inlineStr">
        <is>
          <t>Amazon.com</t>
        </is>
      </c>
      <c r="D99" t="inlineStr">
        <is>
          <t>indeed</t>
        </is>
      </c>
      <c r="E99" t="inlineStr"/>
      <c r="F99" t="inlineStr"/>
      <c r="G99" t="inlineStr">
        <is>
          <t>Boston, MA, US</t>
        </is>
      </c>
      <c r="H99" s="2" t="n">
        <v>45838</v>
      </c>
      <c r="I9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in-866d3b8463191c0c</t>
        </is>
      </c>
      <c r="B100" t="inlineStr">
        <is>
          <t>Senior Applied Scientist, Artificial General Intelligence</t>
        </is>
      </c>
      <c r="C100" t="inlineStr">
        <is>
          <t>Amazon.com</t>
        </is>
      </c>
      <c r="D100" t="inlineStr">
        <is>
          <t>indeed</t>
        </is>
      </c>
      <c r="E100" t="inlineStr"/>
      <c r="F100" t="inlineStr"/>
      <c r="G100" t="inlineStr">
        <is>
          <t>New York, NY, US</t>
        </is>
      </c>
      <c r="H100" s="2" t="n">
        <v>45838</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in-e1a2caeaa976bfa2</t>
        </is>
      </c>
      <c r="B101" t="inlineStr">
        <is>
          <t>Senior Applied Scientist, Artificial General Intelligence</t>
        </is>
      </c>
      <c r="C101" t="inlineStr">
        <is>
          <t>Amazon.com</t>
        </is>
      </c>
      <c r="D101" t="inlineStr">
        <is>
          <t>indeed</t>
        </is>
      </c>
      <c r="E101" t="inlineStr"/>
      <c r="F101" t="inlineStr"/>
      <c r="G101" t="inlineStr">
        <is>
          <t>Sunnyvale, CA, US</t>
        </is>
      </c>
      <c r="H101" s="2" t="n">
        <v>45838</v>
      </c>
      <c r="I1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in-a4f25196cec2d971</t>
        </is>
      </c>
      <c r="B102" t="inlineStr">
        <is>
          <t>Sr. Applied Scientist, Sales AI</t>
        </is>
      </c>
      <c r="C102" t="inlineStr">
        <is>
          <t>Amazon.com</t>
        </is>
      </c>
      <c r="D102" t="inlineStr">
        <is>
          <t>indeed</t>
        </is>
      </c>
      <c r="E102" t="inlineStr"/>
      <c r="F102" t="inlineStr"/>
      <c r="G102" t="inlineStr">
        <is>
          <t>Seattle, WA, US</t>
        </is>
      </c>
      <c r="H102" s="2" t="n">
        <v>45830</v>
      </c>
      <c r="I10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in-a0906a3e4eed97e4</t>
        </is>
      </c>
      <c r="B103" t="inlineStr">
        <is>
          <t>Sr. Applied Scientist, Sales AI</t>
        </is>
      </c>
      <c r="C103" t="inlineStr">
        <is>
          <t>Amazon.com</t>
        </is>
      </c>
      <c r="D103" t="inlineStr">
        <is>
          <t>indeed</t>
        </is>
      </c>
      <c r="E103" t="inlineStr"/>
      <c r="F103" t="inlineStr"/>
      <c r="G103" t="inlineStr">
        <is>
          <t>New York, NY, US</t>
        </is>
      </c>
      <c r="H103" s="2"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in-0d422324d20ab2c0</t>
        </is>
      </c>
      <c r="B104" t="inlineStr">
        <is>
          <t>Sr. Applied Scientist, Sales AI</t>
        </is>
      </c>
      <c r="C104" t="inlineStr">
        <is>
          <t>Amazon.com</t>
        </is>
      </c>
      <c r="D104" t="inlineStr">
        <is>
          <t>indeed</t>
        </is>
      </c>
      <c r="E104" t="inlineStr"/>
      <c r="F104" t="inlineStr"/>
      <c r="G104" t="inlineStr">
        <is>
          <t>Sunnyvale, CA, US</t>
        </is>
      </c>
      <c r="H104" s="2" t="n">
        <v>45830</v>
      </c>
      <c r="I1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in-d8ff55217aa151dc</t>
        </is>
      </c>
      <c r="B105" t="inlineStr">
        <is>
          <t>Sr. Applied Scientist, AGI Info</t>
        </is>
      </c>
      <c r="C105" t="inlineStr">
        <is>
          <t>Amazon.com</t>
        </is>
      </c>
      <c r="D105" t="inlineStr">
        <is>
          <t>indeed</t>
        </is>
      </c>
      <c r="E105" t="inlineStr"/>
      <c r="F105" t="inlineStr"/>
      <c r="G105" t="inlineStr">
        <is>
          <t>Bellevue, WA, US</t>
        </is>
      </c>
      <c r="H105" s="2" t="n">
        <v>45811</v>
      </c>
      <c r="I10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in-6ab5ae9b6fa954a5</t>
        </is>
      </c>
      <c r="B106" t="inlineStr">
        <is>
          <t>Sr. Applied Scientist, AGI Info</t>
        </is>
      </c>
      <c r="C106" t="inlineStr">
        <is>
          <t>Amazon.com</t>
        </is>
      </c>
      <c r="D106" t="inlineStr">
        <is>
          <t>indeed</t>
        </is>
      </c>
      <c r="E106" t="inlineStr"/>
      <c r="F106" t="inlineStr"/>
      <c r="G106" t="inlineStr">
        <is>
          <t>Sunnyvale, CA, US</t>
        </is>
      </c>
      <c r="H106" s="2" t="n">
        <v>45811</v>
      </c>
      <c r="I10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in-2fa57e5926ce3a81</t>
        </is>
      </c>
      <c r="B107" t="inlineStr">
        <is>
          <t>Principal Applied Scientist, Delivery Foundation Model</t>
        </is>
      </c>
      <c r="C107" t="inlineStr">
        <is>
          <t>Amazon.com</t>
        </is>
      </c>
      <c r="D107" t="inlineStr">
        <is>
          <t>indeed</t>
        </is>
      </c>
      <c r="E107" t="inlineStr"/>
      <c r="F107" t="inlineStr"/>
      <c r="G107" t="inlineStr">
        <is>
          <t>Bellevue, WA, US</t>
        </is>
      </c>
      <c r="H107" s="2" t="n">
        <v>45810</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in-458021f44bc17e58</t>
        </is>
      </c>
      <c r="B108" t="inlineStr">
        <is>
          <t>Principal Applied Scientist, Delivery Foundation Model</t>
        </is>
      </c>
      <c r="C108" t="inlineStr">
        <is>
          <t>Amazon.com</t>
        </is>
      </c>
      <c r="D108" t="inlineStr">
        <is>
          <t>indeed</t>
        </is>
      </c>
      <c r="E108" t="inlineStr"/>
      <c r="F108" t="inlineStr"/>
      <c r="G108" t="inlineStr">
        <is>
          <t>New York, NY, US</t>
        </is>
      </c>
      <c r="H108" s="2" t="n">
        <v>45810</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in-5970e68546f2ce68</t>
        </is>
      </c>
      <c r="B109" t="inlineStr">
        <is>
          <t>Principal Applied Scientist, Delivery Foundation Model</t>
        </is>
      </c>
      <c r="C109" t="inlineStr">
        <is>
          <t>Amazon.com</t>
        </is>
      </c>
      <c r="D109" t="inlineStr">
        <is>
          <t>indeed</t>
        </is>
      </c>
      <c r="E109" t="inlineStr"/>
      <c r="F109" t="inlineStr"/>
      <c r="G109" t="inlineStr">
        <is>
          <t>Santa Clara, CA, US</t>
        </is>
      </c>
      <c r="H109" s="2"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in-980c826ca0c6c7ac</t>
        </is>
      </c>
      <c r="B110" t="inlineStr">
        <is>
          <t>Principal Applied Scientist, Delivery Foundation Model</t>
        </is>
      </c>
      <c r="C110" t="inlineStr">
        <is>
          <t>Amazon.com</t>
        </is>
      </c>
      <c r="D110" t="inlineStr">
        <is>
          <t>indeed</t>
        </is>
      </c>
      <c r="E110" t="inlineStr"/>
      <c r="F110" t="inlineStr"/>
      <c r="G110" t="inlineStr">
        <is>
          <t>Austin, TX, US</t>
        </is>
      </c>
      <c r="H110" s="2"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in-d6db61f10c949181</t>
        </is>
      </c>
      <c r="B111" t="inlineStr">
        <is>
          <t>Principal Applied Scientist, Delivery Foundation Model</t>
        </is>
      </c>
      <c r="C111" t="inlineStr">
        <is>
          <t>Amazon.com</t>
        </is>
      </c>
      <c r="D111" t="inlineStr">
        <is>
          <t>indeed</t>
        </is>
      </c>
      <c r="E111" t="inlineStr"/>
      <c r="F111" t="inlineStr"/>
      <c r="G111" t="inlineStr">
        <is>
          <t>Bellevue, WA, US</t>
        </is>
      </c>
      <c r="H111" s="2" t="n">
        <v>45757</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in-aa71abb5b30db155</t>
        </is>
      </c>
      <c r="B112" t="inlineStr">
        <is>
          <t>Principal Applied Scientist, Delivery Foundation Model</t>
        </is>
      </c>
      <c r="C112" t="inlineStr">
        <is>
          <t>Amazon.com</t>
        </is>
      </c>
      <c r="D112" t="inlineStr">
        <is>
          <t>indeed</t>
        </is>
      </c>
      <c r="E112" t="inlineStr"/>
      <c r="F112" t="inlineStr"/>
      <c r="G112" t="inlineStr">
        <is>
          <t>New York, NY, US</t>
        </is>
      </c>
      <c r="H112" s="2" t="n">
        <v>45757</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in-04eaea5a693f96c7</t>
        </is>
      </c>
      <c r="B113" t="inlineStr">
        <is>
          <t>Principal Applied Scientist, Delivery Foundation Model</t>
        </is>
      </c>
      <c r="C113" t="inlineStr">
        <is>
          <t>Amazon.com</t>
        </is>
      </c>
      <c r="D113" t="inlineStr">
        <is>
          <t>indeed</t>
        </is>
      </c>
      <c r="E113" t="inlineStr"/>
      <c r="F113" t="inlineStr"/>
      <c r="G113" t="inlineStr">
        <is>
          <t>Santa Clara, CA, US</t>
        </is>
      </c>
      <c r="H113" s="2" t="n">
        <v>45757</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in-af471a1f62ed3c16</t>
        </is>
      </c>
      <c r="B114" t="inlineStr">
        <is>
          <t>Principal Applied Scientist, FAR (Frontier AI &amp; Robotics)</t>
        </is>
      </c>
      <c r="C114" t="inlineStr">
        <is>
          <t>Amazon.com</t>
        </is>
      </c>
      <c r="D114" t="inlineStr">
        <is>
          <t>indeed</t>
        </is>
      </c>
      <c r="E114" t="inlineStr"/>
      <c r="F114" t="inlineStr"/>
      <c r="G114" t="inlineStr">
        <is>
          <t>Seattle, WA, US</t>
        </is>
      </c>
      <c r="H114" s="2" t="n">
        <v>45740</v>
      </c>
      <c r="I11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in-b882b2f1302a48ad</t>
        </is>
      </c>
      <c r="B115" t="inlineStr">
        <is>
          <t>Principal Applied Scientist, FAR (Frontier AI &amp; Robotics)</t>
        </is>
      </c>
      <c r="C115" t="inlineStr">
        <is>
          <t>Amazon.com</t>
        </is>
      </c>
      <c r="D115" t="inlineStr">
        <is>
          <t>indeed</t>
        </is>
      </c>
      <c r="E115" t="inlineStr"/>
      <c r="F115" t="inlineStr"/>
      <c r="G115" t="inlineStr">
        <is>
          <t>San Francisco, CA, US</t>
        </is>
      </c>
      <c r="H115" s="2" t="n">
        <v>45740</v>
      </c>
      <c r="I11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in-6a815cd24c80f62a</t>
        </is>
      </c>
      <c r="B116" t="inlineStr">
        <is>
          <t>AI Engineer</t>
        </is>
      </c>
      <c r="C116" t="inlineStr">
        <is>
          <t>apexanalytix</t>
        </is>
      </c>
      <c r="D116" t="inlineStr">
        <is>
          <t>indeed</t>
        </is>
      </c>
      <c r="E116" t="inlineStr"/>
      <c r="F116" t="inlineStr"/>
      <c r="G116" t="inlineStr">
        <is>
          <t>Remote, US</t>
        </is>
      </c>
      <c r="H116" s="2" t="n">
        <v>46043</v>
      </c>
      <c r="I116" t="inlineStr">
        <is>
          <t>**About Us:**
At apexanalytix, we’re lifelong innovators! Since the date of our founding nearly four decades ago we’ve been consistently growing, profitable, and delivering the best procure\-to\-pay solutions to the world. We’re the perfect balance of established company and start\-up. You will find a unique home here.
And you’ll recognize the names of our clients. Most of them are on The Global 2000\. They trust us to give them the latest in controls, audit and analytics software every day. Industry analysts consistently rank us as a top supplier management solution, and you’ll be helping build that reputation.
Read more about apexanalytix \- https://www.apexanalytix.com/about/
 **Quick Take \-**
As an AI Engineer, you’ll drive the end\-to\-end development of advanced GenAI applications, including agentic AI agents with autonomous workflows, function calling, and LLM model fine\-tuning. This role is for an experienced engineer who excels at building robust, production\-grade AI systems and pushing the boundaries of what GenAI can accomplish. **This role can be done remotely from the United States. There is a strong preference for EST or CST location.**
 **The Work \-**
* Fine\-tune and deploy open\-source general purpose LLMs and code\-generation models (e.g. Llama 4, qwen2\.5\) using PEFT, LoRA, QLoRA, instruction tuning, RLHF, etc..
* Design GenAI applications with agentic capabilities—autonomous, goal\-driven agents that can plan, reason, and execute multi\-step workflows with minimal human input.
* Implement function calling in workflows, enabling models to invoke external tools, APIs, databases, and services to perform actions or access real\-time data.
* Build agentic RAG pipelines, where LLMs coordinate data retrieval and reasoning dynamically via retrieval\-augmented generation.
* Create and maintain scalable pipelines, including data ingestion, labeling, feature engineering, vector DB management, and MLOps frameworks (MLflow, Kubeflow).
* Containerize applications using Kubernetes and Docker.
* Optimize and monitor model performance, including latency, drift, bias, privacy, and security compliance.
* Collaborate cross\-functionally, mediating between data, product, and engineering teams to translate requirements into agentic GenAI solutions.
* Stay current with research trends like agentic RL frameworks (e.g., ARTIST), multi\-agent orchestration, MCP, and secure function calling.
 **The Must\-Haves \-**
* B.S or M.S. in Computer Science, Data Science, ML/AI or equivalent.
* 3\-5 years building and deploying AI/ML solutions with demonstrable production experience.
* Extensive experience fine\-tuning LLMs and code models with advanced techniques (PEFT/LoRA/QLoRa/RLHF).
* Proven track record designing or delivering agentic GenAI applications—function calling, autonomous workflows, RAG pipelines.
* Proficient in Python, PyTorch/TensorFlow, Hugging Face, LangChain, LangGraph or similar frameworks.
* Experience in Document and Image Analysis and extracting insights from unstructured data, including text documents and images.
* Strong infrastructure skills: Docker, Kubernetes, CI/CD, MLOps tooling.
* Sharp analytical mindset for system optimization, error mitigation, and security best practices.
* Excellent problem\-solving and ability to translate business needs into technical design.
Over the years, we’ve discovered that the most effective and successful associates at apexanalytix are people who have a specific combination of values, skills, and behaviors that we call “The apex Way”. Read more about The apex Way \- https://www.apexanalytix.com/careers/
 **We are currently unable to offer Visa Sponsorship; candidates must be authorized to work in the U.S. without sponsorship now as well as in the future.**
 **Benefits**
At apexanalytix we know that our associates are the reason behind our successes. We truly value you as an associate and part of our professional family. Our goal is to offer the very best benefits possible to you and your loved ones. When it comes to benefits, whether for yourself or your family the most important aspect is choice. And we get that. apexanalytix offers competitive benefits for the countries that we serve, in addition to our BeWell@apex initiative that encourages employees’ growth in six key wellness areas: Emotional, Physical, Community, Financial, Social, and Intelligence.
With resources such as a strong Mentor Program, Internal Training Portal, plus Education, Tuition, and Certification Assistance, we provide tools for our associates to grow and develop.</t>
        </is>
      </c>
    </row>
    <row r="117">
      <c r="A117" t="inlineStr">
        <is>
          <t>in-3acaadc5a3833434</t>
        </is>
      </c>
      <c r="B117" t="inlineStr">
        <is>
          <t>Senior Machine Learning Engineer – Generative AI &amp; Intelligent Agents</t>
        </is>
      </c>
      <c r="C117" t="inlineStr">
        <is>
          <t>Ensora Health</t>
        </is>
      </c>
      <c r="D117" t="inlineStr">
        <is>
          <t>indeed</t>
        </is>
      </c>
      <c r="E117" t="inlineStr"/>
      <c r="F117" t="inlineStr"/>
      <c r="G117" t="inlineStr">
        <is>
          <t>Atlanta, GA, US</t>
        </is>
      </c>
      <c r="H117" s="2" t="n">
        <v>46042</v>
      </c>
      <c r="I11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 highly skilled and visionary Senior Machine Learning Engineer to lead the design, development, and deployment of advanced AI solutions across our platform. This role involves building LLM\-powered systems, intelligent agents, and traditional ML/DL models that drive innovation in mental health care technology. You will mentor junior engineers, influence architectural decisions, and ensure scalability and performance of AI\-driven products. Your expertise will help shape the next generation of multimodal AI applications that deliver measurable business impact.* **Lead AI System Design:** Architect and implement scalable, production\-grade AI systems using Python and modern ML frameworks.
* **LLM \&amp; Agentic Systems:** Design and optimize **LLM\-powered workflows** and **autonomous AI agents** using orchestration frameworks (LangChain, LlamaIndex, CrewAI, Semantic Kernel).
* **Advanced Model Development:** Build, fine\-tune, and deploy **deep learning models** (PyTorch, TensorFlow, Keras) for NLP, vision, and multimodal tasks.
* **Data Engineering \&amp; Analytics:** Oversee data pipelines, perform advanced analytics, and create actionable insights through visualization.
* **Database Expertise:** Design and optimize data storage and retrieval using **SQL** and **PostgreSQL** for large\-scale AI workflows.
* **Integration \&amp; Deployment:** Drive seamless integration of AI models with APIs, microservices, and cloud infrastructure.
* **Mentorship \&amp; Leadership:** Guide junior engineers, review code, and enforce best practices in ML engineering and MLOps.
* **Innovation \&amp; Research:** Stay ahead of emerging trends in **Generative AI**, **agent architectures**, and **open\-source AI ecosystems**.
 **Required Qualifications**
* **E****ducation:** Bachelor’s or Master’s degree in Computer Science, AI, Engineering, or related field.
* **Experience:** 5\+ years of experience in ML engineering, with proven track record of deploying models in production.
* **LLM Expertise:** Hands\-on experience with **Large Language Models** (GPT series, Llama, Claude, Gemini) and orchestration frameworks.
* **Agent Architectures:** Deep understanding of **AI agent frameworks** and reasoning strategies (e.g., ReAct, planning\-based agents).
* **ML/DL Proficiency:** Advanced experience with **PyTorch**, **TensorFlow**, and **Keras** for model development and optimization.
* **Data \&amp; Database Skills:** Strong SQL and **PostgreSQL** expertise for data management and performance tuning.
* **Cloud \&amp;** **MLOps****:** Experience with **Azure OpenAI**, **Amazon Bedrock**, **Google Vertex AI**, and MLOps tools for CI/CD and monitoring.
* **Leadership:** Demonstrated ability to lead projects and mentor teams.
 **Preferred Qualifications**
* Expertise in **model quantization**, **distillation**, and optimization for large\-scale deployment.
* Experience with **microservices**, **Kubernetes**, and **GitOps** practices.
* Contributions to **open\-source AI/ML projects** or published research.
* Familiarity with **vector databases** (Pinecone, Weaviate, ChromaDB).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8">
      <c r="A118" t="inlineStr">
        <is>
          <t>in-f8616c0fcfcf1f9b</t>
        </is>
      </c>
      <c r="B118" t="inlineStr">
        <is>
          <t>AI Engineer - Mission Innovation Lab</t>
        </is>
      </c>
      <c r="C118" t="inlineStr">
        <is>
          <t>Carnegie Mellon University</t>
        </is>
      </c>
      <c r="D118" t="inlineStr">
        <is>
          <t>indeed</t>
        </is>
      </c>
      <c r="E118" t="inlineStr"/>
      <c r="F118" t="inlineStr"/>
      <c r="G118" t="inlineStr">
        <is>
          <t>Pittsburgh, PA, US</t>
        </is>
      </c>
      <c r="H118" s="2" t="n">
        <v>46042</v>
      </c>
      <c r="I118" t="inlineStr">
        <is>
          <t>At the SEI AI Division, we conduct research in applied artificial intelligence and the engineering questions related to the practical design and implementation of AI technologies and systems. We currently lead a community\-wide movement to mature the discipline of AI Engineering for Defense and National Security.
As our government customers adopt AI and machine learning to provide leap\-ahead mission capabilities, we
* build real\-world, mission\-scale AI capabilities through solving practical engineering problems
* discover and define the processes, practices, and tools to support operationalizing AI for robust, secure, scalable, and human\-centered mission capabilities
* prepare our customers to be ready for the unique challenges of adopting, deploying, using, and maintaining AI capabilities
* identify and investigate emerging AI and AI\-adjacent technologies that are rapidly transforming the technology landscape
Are you creative, curious, energetic, collaborative, technology\-focused, and hard\-working? Are you interested in making a difference by bringing innovation to government organizations and beyond? Apply to join our team.  
**Overview**
As an AI Engineer who thrives at the intersection of deep‑learning research and production‑grade software development, you will translate cutting‑edge AI concepts into robust, mission‑scale solutions for the warfighting community. You will work comfortably with large‑scale foundation models such as GPT and LLaMA , designing and deploying agentic workflows, as well as apply and advance traditional ML research and engineering across domains such as natural language processing, computer vision, time series forecasting, and other predictive analytics. You will collaborate closely with senior researchers, software engineers, and government sponsors to define problem statements, iterate on experimental designs, and deliver secure, reliable AI capabilities that meet stringent mission requirements.  
The Mission Innovation Lab within the SEI’s AI Division works with the defense and national security community to translate the “ recently possible” in AI into reliable mission and warfighting capabilities.  
**Key Responsibilities**
* De sign, de velop , and fine ‑ tune a variety of AI model s .
* Design autonomous agents and multi ‑ step pipelines using LangChain , ReAct , tool ‑ calling, or custom orchestration; employ the Model Context protocol to manage stateful interactions .
* Build Retrieval ‑ Augmented Generation pipelines that combine external knowledge bases with LLMs to improve factual accuracy for warfighting applications .
* Implement end ‑ to ‑ end data pipelines, ETL processes, and back ‑ end services (Python, C/C\+\+, Java) that feed data to models .
* Create CI/CD pipelines for model training, validation, containerized deployment (Docker/Kubernetes), and security scanning; maintain model registries, monitoring, and version control of context protocols .
* Produce rapid prototypes, run benchmarks, and conduct robustness/adversarial testing in realistic environments.
* Work closely with senior ML engineers, software developers, and government customers; mentor junior staff and contribute to design reviews and documentation .
* Stay current with emerging LLM architectures, agentic paradigms, PEFT/ LoRA methods, and AI ‑ safety techniques; translate new research into operational capabilities .
**Required Qualifications**
* Bachelor’s degree in Computer Science , Machine Learn ing, Statistics, Applied Mathematics, or a related field with at least four years of relevant experience (or an M.S. with two years).
* Ability to obtain and maintain an active Department of War ( Do W ) security clearance.
* You must be able and willing to work onsite 5 days per week at an SEI office in either Pittsburgh, PA or Arlington, VA.
* Proficiency in Python and at least one compiled language (C/C\+\+ or Java); experience with REST/ GraphQL APIs and containerization.
* Strong grasp of ML theory (supervised, unsupervised, reinforcement learning) and evaluation metrics.
* Hands ‑ on experience fine ‑ tuning LLMs and using frameworks such as Hugging Face Transformers, LangChain , or comparable agent tools.
* Familiarity with building RAG pipelines (vector stores, dense/sparse retrievers).
* Experience applying PEFT/ LoRA methods (e.g., LoRA , adapters) to large models.
* Understanding of Model Context protocols for managing model state across multi ‑ turn interactions.
* Experience building evaluation frameworks, benchmarks, or data quality pipelines
* Experience with TensorFlow, PyTorch , or JAX; knowledge of data ‑ pipeline tools (Airflow, Prefect, Ray) is a plus.
* Awareness of DevSecOps practices (CI/CD, GitOps , container security scanning, model ‑ registry concepts) is desirable.
**Desired Experience**
* Deploying LLM APIs ( FastAPI , gRPC ) at scale, handling latency and load balancing.
* Building multi ‑ tool agents, planner ‑ executor loops, or tool ‑ calling pipelines for complex decision ‑ making.
* Conducting adversarial testing, implementing input sanitization, and contributing to AI ‑ safety research.
* Utilizing GPU/TPU resources, mixed ‑ precision training, and distributed training frameworks such as DeepSpeed or ZeRO .
* Prior work on defense, intelligence, or government ‑ focused AI projects and familiarity with Do W acquisition or compliance processes.
* Contributing to open ‑ source AI and ML libraries, agentic frameworks, or context ‑ protocol implementations.
**Knowledge, Skills, \&amp; Abilities**
* Analytical thinking: decompose complex AI problems into tractable components and iterate rapidly.
* Strong written and verbal communication skills for documenting designs and presenting results to technical and non ‑ technical stakeholders.
* Proven teamwork: collaborate in interdisciplinary groups, mentor peers, and contribute to shared codebases.
* High curiosity and autonomy: proactively explore emerging technologies and integrate them into mission work.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 **Carnegie Mellon University is an Equal Opportunity** **Employer/Disability/Veteran** .
* **Statement of Assurance**</t>
        </is>
      </c>
    </row>
    <row r="119">
      <c r="A119" t="inlineStr">
        <is>
          <t>in-f8983b6d3bbbf2b0</t>
        </is>
      </c>
      <c r="B119" t="inlineStr">
        <is>
          <t>Senior Machine Learning Engineer - Mission Innovation Lab</t>
        </is>
      </c>
      <c r="C119" t="inlineStr">
        <is>
          <t>Carnegie Mellon University</t>
        </is>
      </c>
      <c r="D119" t="inlineStr">
        <is>
          <t>indeed</t>
        </is>
      </c>
      <c r="E119" t="inlineStr"/>
      <c r="F119" t="inlineStr"/>
      <c r="G119" t="inlineStr">
        <is>
          <t>Pittsburgh, PA, US</t>
        </is>
      </c>
      <c r="H119" s="2" t="n">
        <v>46042</v>
      </c>
      <c r="I119" t="inlineStr">
        <is>
          <t>**Senior Machine Learning Engineer** **(Full‑Stack / Applied‑Research)** **– Mission Innovation Lab**
At the SEI AI Division, we conduct research in applied artificial intelligence and the engineering questions related to the practical design and implementation of AI technologies and systems. We currently lead a community\-wide movement to mature the discipline of AI Engineering for Defense and National Security.
As our government customers adopt AI and machine learning to provide leap\-ahead mission capabilities, we
* build real\-world, mission\-scale AI capabilities through solving practical engineering problems
* discover and define the processes, practices, and tools to support operationalizing AI for robust, secure, scalable, and human\-centered mission capabilities
* prepare our customers to be ready for the unique challenges of adopting, deploying, using, and maintaining AI capabilities
* identify and investigate emerging AI and AI\-adjacent technologies that are rapidly transforming the technology landscape
Are you creative, curious, energetic, collaborative, technology\-focused, and hard\-working? Are you interested in making a difference by bringing innovation to government organizations and beyond? Apply to join our team.
**Overview**
As a Machine Learning Engineer who can take research ideas from concept to prototype , you will lead independent applied‑research projects for defense‑focused missions.  
The ideal candidate is comfortable across the full stack (data pipelines, model development, API services, and secure deployment) and eager to explore novel AI and ML theory while delivering mission‑scale capabilities.  
The Mission Innovation Lab within the SEI’s AI Division works with the defense and national security community to translate the “ recently possible” in AI into reliable mission and warfighting capabilities.  
**Key Responsibilities**
* Design, implement, and evaluate state‑of‑the‑art ML models (computer‑vision, NLP, planning, etc.) using frameworks such as TensorFlow, PyTorch , Torch, or Caffe .
* Build and maintain robust data pipelines, ETL processes, and backend services in Python, C/C\+\+, and Java .
* Lead rapid‑prototyping efforts, translate research results into operational prototypes, and test for performance, robustness, and security .
* Define and refine DevSecOps practices for ML (model registries, containerized deployment, continuous integration/continuous delivery, security scanning) .
* Mentor junior team members, collaborate with researchers, government customers, and other engineers, and contribute to technical strategy for the lab.
**Required Qualifications**
* B.S. in Computer Science, Electrical Engineering, Statistics, or related field with 10 years of experience ; OR M.S. with 8 years ; OR Ph.D. with 5 years of relevant experience.
* Ability to obtain and maintain an active Department of War security clearance.
* You must be able and willing to work onsite 5 days per week at an SEI office in either Pittsburgh, PA or Arlington, VA.
* Strong experience in one or more programming language such as Python, C/C\+\+, and Java; comfortable developing production‑grade code and APIs.
* Solid understanding of ML theory, statistical learning, and common algorithms.
* Hands‑on experience with TensorFlow, PyTorch , Torch, Caffe, or similar deep‑learning libraries.
* Familiarity with CI/CD pipelines, container orchestration (Docker/Kubernetes), model versioning, and security‑focused tooling.
**Desired Experience**
* Proven track record of independent applied‑research projects that resulted in demonstrable prototypes or operational capabilities.
* Publications or open‑source contributions in AI and ML , especially in adversarial or robust ML.
* Experience working on defense or other high‑impact government programs .
* Ability to quickly learn emerging AI and ML technologies and translate them into mission‑relevant solutions.
**Knowledge, Skills, \&amp; Abilities**
* Deep technical knowledge of modern ML methods and ability to extend them to novel domains.
* Excellent written and verbal communication skills ; capable of presenting complex ideas to technical and non‑technical audiences.
* Strong collaborative mindset; experience working in interdisciplinary teams and mentoring peers.
* High degree of scientific curiosity and a proactive, self‑directed work style.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 **Carnegie Mellon University is an Equal Opportunity** **Employer/Disability/Veteran** .
* **Statement of Assurance**</t>
        </is>
      </c>
    </row>
    <row r="120">
      <c r="A120" t="inlineStr">
        <is>
          <t>in-c14017b191282fe5</t>
        </is>
      </c>
      <c r="B120" t="inlineStr">
        <is>
          <t>Senior AI Engineer, AI.x</t>
        </is>
      </c>
      <c r="C120" t="inlineStr">
        <is>
          <t>Charles Schwab</t>
        </is>
      </c>
      <c r="D120" t="inlineStr">
        <is>
          <t>indeed</t>
        </is>
      </c>
      <c r="E120" t="inlineStr"/>
      <c r="F120" t="inlineStr"/>
      <c r="G120" t="inlineStr">
        <is>
          <t>San Francisco, CA, US</t>
        </is>
      </c>
      <c r="H120" s="2" t="n">
        <v>46042</v>
      </c>
      <c r="I120" t="inlineStr">
        <is>
          <t>**Your opportunity**
--------------------
At Schwab, your career is more than a job—it's an opportunity to impact the lives of millions. Innovation and creative problem solving thrive here, as we challenge conventional approaches and prioritize collaboration. We value in\-person teamwork, so this role is based on\-site at our San Francisco office.  
As part of Schwab’s AI Strategy \&amp; Transformation team (AI.x), you’ll join the central hub for Artificial Intelligence across the company. AI.x brings together product, engineering, strategy, and risk specialists to set enterprise AI vision, invest in transformative opportunities, and accelerate delivery organization\-wide. Our team builds the scalable core platform for AI and explores next\-generation GenAI initiatives that redefine client experiences.  
We’re seeking a Senior AI Engineer who will design and deliver cutting\-edge GenAI applications, enhancing the client journey and driving tangible business value. You’ll collaborate closely with architects, engineers, and business leaders to align solutions with Schwab’s strategic goals, and mentor junior team members—cultivating best engineering practices and a culture of continuous learning.  
In this pivotal role, you’ll not only advance technical standards and solve complex challenges, but also lead rapid iterations from concept to production. You will bring curiosity, creativity, and technical depth to help shape the next era of AI at Schwab, with a special emphasis on site reliability, monitoring, observability, and operations. You’ll ensure that the systems you build are robust, reliable, and well\-monitored, implementing best practices for observability and operational excellence to maintain high performance and uptime for mission\-critical AI applications.* Design, build, and deliver GenAI applications that elevate client experience and generate business impact.
* Champion reliability, monitoring, observability, and operational best practices for AI systems and data pipelines.
* Collaborate with cross\-functional teams to align solutions with enterprise strategy and technical standards.
* Mentor and coach junior engineers, fostering strong practices and continuous learning.
* Lead by example in solving complex technical challenges and driving rapid iteration from concept to deployment.
* Implement and maintain monitoring, alerting, and incident response frameworks to ensure system health and reliability.
* Advance engineering standards, focusing on operational excellence and quality across all deliverables.
**What you have**
-----------------
**Required Qualifications**
---------------------------
* 8\+ years of software development experience, with 4\+ years as a hands\-on senior engineer in startups and/or large organizations.
* Bachelor’s degree in Computer Science or related field.
* 5\+ years building complex products from scratch, running them in production, and ensuring operational reliability.
* 3\+ years building applications leveraging AI models for measurable business impact.
* 3\+ years developing applications and data pipelines interfacing with large datasets.
* 3\+ years working with containers and cloud\-native applications, operationalizing them in the public cloud with infrastructure as code.
**Preferred Qualifications**
----------------------------
* Strong computer science fundamentals and experience across the tech stack.
* Experience with proprietary or open\-source LLMs (e.g., Gemini, Claude, OpenAI) and deploying LLM\-powered applications to production.
* Commitment to quality—driving high standards and writing tests at all levels.
* Experience writing and running evaluations for quality and consistency in LLM\-generated output.
* Strong written and verbal communication skills to clearly convey ideas and feedback.
* Mentoring junior engineers and supporting their technical growth through code reviews and guidance.
* Mindset of continuous learning and improvement.
* Ability to solve complex problems with ambiguous or incomplete data in distributed systems.
* Demonstrated business domain knowledge relevant to previous products.
* Curiosity about new technologies and processes, proactively sharing knowledge and seeking improvement.
* Experience with Python and front\-end development preferred but not required.
* Master’s or advanced degree in Computer Science or related field.
In addition to the salary range, this role is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21">
      <c r="A121" t="inlineStr">
        <is>
          <t>in-9e77e3844f079fba</t>
        </is>
      </c>
      <c r="B121" t="inlineStr">
        <is>
          <t>Middle AI/ML Engineer</t>
        </is>
      </c>
      <c r="C121" t="inlineStr">
        <is>
          <t>Bitmedia Labs</t>
        </is>
      </c>
      <c r="D121" t="inlineStr">
        <is>
          <t>indeed</t>
        </is>
      </c>
      <c r="E121" t="inlineStr"/>
      <c r="F121" t="inlineStr"/>
      <c r="G121" t="inlineStr">
        <is>
          <t>Remote, US</t>
        </is>
      </c>
      <c r="H121" s="2" t="n">
        <v>46042</v>
      </c>
      <c r="I121" t="inlineStr">
        <is>
          <t>21 Jan 2026
Worldwide
Development
Bitmedia Labs is an international product IT company that has been building ambitious innovative products for millions of users worldwide since 2014 — combining deep tech expertise with a creative mindset.  
**Our ecosystem spans:*** Game Development — building the next generation of Web3 gaming, where gameplay comes first, players own their assets, and developers thrive within massive, engaged communities.
* Digital Marketing Ecosystem — building a unified ecosystem that combines a leading high\-performance advertising platform with emerging media and affiliate solutions.
 **Requirements:**  
* 2\+ years of experience with Python programming and software development;
* Hands\-on experience working with LLM models and APIs *(OpenAI, Claude, Gemini, LLaMA, etc.);*
* Practical knowledge of AI/ML libraries and frameworks *(LangChain, Hugging Face, PyTorch, TensorFlow);*
* Experience with vector databases *(Pinecone, Weaviate, Qdrant, etc.)* and embeddings;
* Demonstrated expertise in prompt engineering techniques and best practices;
* Basic experience with model fine\-tuning and training pipelines;
* Strong SQL skills and experience with relational/NoSQL databases;
* Proven experience building APIs and backend services *(RESTful APIs, background workers, task queues, data processing services)* and understanding of application architecture and system design principles;
* Strong problem\-solving skills, ability to work independently with minimal supervision, and capacity to research and learn new technologies autonomously;
* Experience with debugging, troubleshooting, and optimizing AI/ML solutions.
 **Nice\-to\-Have:**  
* Experience with cloud platforms *(AWS, GCP, Azure)* for AI/ML deployment and production implementation of AI solutions;
* Knowledge of Docker containerization, DevOps practices, MLOps, model monitoring, and CI/CD pipelines;
* Understanding of semantic search techniques, advanced embedding strategies, and experience processing unstructured data *(text, images, audio)* at scale;
* Proficiency with data visualization tools and techniques *(Plotly, D3\.js, Tableau);*
* Working knowledge of web technologies fundamentals *(HTML5, CSS3, JavaScript);*
* Knowledge of authentication, authorization, and security best practices for AI applications.
 **Hiring process:*** Intro call with a Recruiter — Interview with the Hiring team — Сollection of recommendations — Offer.
**Join Bitmedia Labs to evolve, explore, and make a real difference — together.**  
**Our culture** is built on openness, trust, and support. We value initiative, ownership, and results. We work as one team — helping each other, celebrating wins, and learning from challenges together.  
We offer **the freedom and space to grow:**  
* Professional growth and self\-realization through ambitious products;
* The opportunity to bring your ideas to life, experiment, and directly influence the product’s development;
* Collaboration with talented teammates united by a shared goal.
 **We also care about well\-being and balance:*** Flexible schedule and the option to work remotely or from our hubs in Kyiv, Warsaw, and Berlin;
* Competitive compensation, regular performance reviews, paid vacation, sick leave, and public holidays;
* Modern Apple equipment and thoughtful corporate gifts for holidays and personal milestones.
* Support for your growth: courses, workshops, and conferences.
* Through our charity foundation Bit Spilka, run by volunteers from our team, we support the military, medics, and civilians across Ukraine — already delivering over $500,000 in aid. Here, your work also drives social impact, and you can also join our volunteer initiatives.
 **If this resonates with you , send your CV and join us.**  
**Let’s foster the world together!**</t>
        </is>
      </c>
    </row>
    <row r="122">
      <c r="A122" t="inlineStr">
        <is>
          <t>in-388f1473943e4625</t>
        </is>
      </c>
      <c r="B122" t="inlineStr">
        <is>
          <t>AIML - Senior Machine Learning Engineer - ML Hub Core, Machine Learning Platform Technologies (MLPT)</t>
        </is>
      </c>
      <c r="C122" t="inlineStr">
        <is>
          <t>Apple</t>
        </is>
      </c>
      <c r="D122" t="inlineStr">
        <is>
          <t>indeed</t>
        </is>
      </c>
      <c r="E122" t="inlineStr"/>
      <c r="F122" t="inlineStr"/>
      <c r="G122" t="inlineStr">
        <is>
          <t>Cupertino, CA, US</t>
        </is>
      </c>
      <c r="H122" s="2" t="n">
        <v>46042</v>
      </c>
      <c r="I122" t="inlineStr">
        <is>
          <t>Imagine what you could do here. At Apple, great ideas have a way of becoming great products, services, and customer experiences very quickly. Join us in enabling the next generation of intelligent customer experiences in Apple’s products and services with the latest advancements in Generative AI and Large Language Models! We are seeking a Senior ML Engineer to join our dynamic team. The ideal candidate has extensive experience with ML frameworks, GenAI lifecycle, TPU/GPU/CPU workflows, and is knowledgeable of the Python ML ecosystem. This is a hands\-on individual contributor role ideal for an engineer who thrives in ambiguity, moves seamlessly between prototyping and production, and is excited to push the frontier of applied AI through practical, elegant engineering.  
**Description**  
As a Senior Machine Learning Engineer, you will:  
* Design and build infrastructure to support AI features that empowers billions of Apple customers
\-Develop tools used internally at Apple to build AI experiences through the entire lifecycle \- from experimentation to production inference emphasizing observability, reproducibility, and modularity  
* Work cross functionally with MLE, DS, Infra and others, staying on the cutting edge of tooling that supercharges ML/AI innovation at Apple
* Contribute to architectural direction for Apple’s broader AI ecosystem designing for flexibility across future projects
**Preferred Qualifications**  
Experience working with notebook ecosystems and web\-based IDEs. Experience with building and deploy ML software in production to a wide range of infrastructure (CPU/GPU/TPU).  
Big data experience such as Apache Spark, Apache Ray  
Familiarity with MLOps tools (e.g., MLflow, Weights \&amp; Biases, Ray, Airflow)  
Some frontend development experience with Javascript / React  
Prior experience building an Notebook solution in a large organization  
Experience with building customer facing SDKs in Python  
**Minimum Qualifications**  
8\+ years of experience in ML engineering, software engineering or applied AI roles  
Solid understanding of machine learning fundamentals, especially around large models, embeddings, and retrieval systems  
Proven experience building production\-grade ML systems or intelligent data\-driven products  
Proficiency in Python and advanced knowledge of the Python ML ecosystem  
Extensive experience building tools for ML lifecycle and launching ML\-powered experiences to production  
Strong background in distributed systems, APIs, and scalable data/compute infrastructure  
Solid understanding of software engineering principles and design patterns  
Excellent communication skills and ability to work in a collaborative environment  
Experience with building on top of AWS or GCP cloud services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3">
      <c r="A123" t="inlineStr">
        <is>
          <t>in-121caf1f08aaeb0e</t>
        </is>
      </c>
      <c r="B123" t="inlineStr">
        <is>
          <t>Sr. Machine Learning Engineer, AGIF | Finetuning</t>
        </is>
      </c>
      <c r="C123" t="inlineStr">
        <is>
          <t>Amazon.com</t>
        </is>
      </c>
      <c r="D123" t="inlineStr">
        <is>
          <t>indeed</t>
        </is>
      </c>
      <c r="E123" t="inlineStr"/>
      <c r="F123" t="inlineStr"/>
      <c r="G123" t="inlineStr">
        <is>
          <t>Sunnyvale, CA, US</t>
        </is>
      </c>
      <c r="H123" s="2" t="n">
        <v>45984</v>
      </c>
      <c r="I12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in-68adad4466e87975</t>
        </is>
      </c>
      <c r="B124" t="inlineStr">
        <is>
          <t>Sr. Machine Learning Engineer, AGIF | Finetuning</t>
        </is>
      </c>
      <c r="C124" t="inlineStr">
        <is>
          <t>Amazon.com</t>
        </is>
      </c>
      <c r="D124" t="inlineStr">
        <is>
          <t>indeed</t>
        </is>
      </c>
      <c r="E124" t="inlineStr"/>
      <c r="F124" t="inlineStr"/>
      <c r="G124" t="inlineStr">
        <is>
          <t>New York, NY, US</t>
        </is>
      </c>
      <c r="H124" s="2" t="n">
        <v>45984</v>
      </c>
      <c r="I12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in-e8fc24c16b12b4e0</t>
        </is>
      </c>
      <c r="B125" t="inlineStr">
        <is>
          <t>Sr. Machine Learning Engineer, AGIF | Finetuning</t>
        </is>
      </c>
      <c r="C125" t="inlineStr">
        <is>
          <t>Amazon.com</t>
        </is>
      </c>
      <c r="D125" t="inlineStr">
        <is>
          <t>indeed</t>
        </is>
      </c>
      <c r="E125" t="inlineStr"/>
      <c r="F125" t="inlineStr"/>
      <c r="G125" t="inlineStr">
        <is>
          <t>Bellevue, WA, US</t>
        </is>
      </c>
      <c r="H125" s="2" t="n">
        <v>45984</v>
      </c>
      <c r="I12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in-cd44264a3bde962b</t>
        </is>
      </c>
      <c r="B126" t="inlineStr">
        <is>
          <t>Staff Applied Machine Learning Engineer, LLMs</t>
        </is>
      </c>
      <c r="C126" t="inlineStr">
        <is>
          <t>Upstart</t>
        </is>
      </c>
      <c r="D126" t="inlineStr">
        <is>
          <t>indeed</t>
        </is>
      </c>
      <c r="E126">
        <f>HYPERLINK("https://www.indeed.com/viewjob?jk=cd44264a3bde962b", "https://www.indeed.com/viewjob?jk=cd44264a3bde962b")</f>
        <v/>
      </c>
      <c r="F126">
        <f>HYPERLINK("https://careers.upstart.com/jobs/staff-applied-machine-learning-engineer-llms", "https://careers.upstart.com/jobs/staff-applied-machine-learning-engineer-llms")</f>
        <v/>
      </c>
      <c r="G126" t="inlineStr">
        <is>
          <t>Remote, US</t>
        </is>
      </c>
      <c r="H126" s="3" t="n">
        <v>46042</v>
      </c>
      <c r="I126"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new **Applied LLM team** is building foundational infrastructure that democratizes access to generative AI for every product and engineering team across the company. This is a cross\-functional team at the intersection of machine learning, product, and engineering. Our mission is to bring the power of ML \- particularly large language models (LLMs) and generative AI \- to life in Upstart’s core products.
As a **Staff Applied Machine Learning Engineer** focused on building **LLM applications**, you'll work closely with researchers, product managers, platform engineers, and designers to ship intelligent features that elevate the user experience and expand the capabilities of our systems.
***Position Location \-*** This role is available in the following locations: San Mateo, Columbus, Austin, Remote
***Time Zone Requirements \-*** This team operates on the East/West Coast time zones.
***Travel Requirements \-*** This team has regular on\-site collaboration sessions. These occur 3\-4 days per Quarter at one of our offices. If you need to travel to make these meetups, Upstart will cover all travel related expenses.
**How you’ll make an impact:**
* Design and build user\-facing ML features that harness LLMs and generative AI to unlock new product capabilities
* Partner with product, design, and ML research to prototype and deliver high\-impact, ML\-powered experiences
* Own the technical architecture and implementation strategy for applied ML systems \- balancing latency, observability, and iteration speed
* Build scalable services and APIs that bring model outputs to users in trustworthy and intuitive ways
* Collaborate across platform, infra, and legal/compliance teams to ensure ML deployments meet standards for safety, fairness, and performance
* Establish and evangelize best practices for prompt design, model evaluation, and experimentation across the org
**What we’re looking for:**
* Minimum qualifications:
	+ 6\+ years of software engineering experience, with 2\+ years working directly on ML\-driven products or intelligent systems
	+ Proven ability to lead complex initiatives across engineering, product, and research stakeholders
	+ Strong backend development skills (e.g., Python with FastAPI or Flask), plus experience with cloud\-native tooling (e.g., Kubernetes, Docker, Terraform)
	+ Experience integrating LLMs or ML models into production systems, including APIs and user\-facing applications
	+ Excellent communication skills and a collaborative, product\-minded approach
	+ Ability to think rigorously about system design, latency tradeoffs, and user impact when working with ML features
* Preferred qualifications:
	+ Experience shipping GenAI or LLM\-powered features using frameworks like LangChain, LlamaIndex, or OpenAI APIs
	+ Familiarity with retrieval\-augmented generation (RAG), vector search (e.g., FAISS, Pinecone), and real\-time inference patterns
	+ Proficiency in full\-stack development, including front\-end work with React or similar frameworks
	+ Strong intuition for prompt engineering, model testing, and evaluation methodologies
	+ Experience navigating complex requirements around explainability, user trust, or compliance in ML applications
	+ Track record of influencing architecture or product direction at a team or org level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$178,400—$246,800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27">
      <c r="A127" t="inlineStr">
        <is>
          <t>in-4f8f8d6bdf04ec97</t>
        </is>
      </c>
      <c r="B127" t="inlineStr">
        <is>
          <t>Sr. Applied Scientist, AGI Foundations</t>
        </is>
      </c>
      <c r="C127" t="inlineStr">
        <is>
          <t>Amazon.com</t>
        </is>
      </c>
      <c r="D127" t="inlineStr">
        <is>
          <t>indeed</t>
        </is>
      </c>
      <c r="E127">
        <f>HYPERLINK("https://www.indeed.com/viewjob?jk=4f8f8d6bdf04ec97", "https://www.indeed.com/viewjob?jk=4f8f8d6bdf04ec97")</f>
        <v/>
      </c>
      <c r="F127">
        <f>HYPERLINK("https://www.amazon.jobs/jobs/3128807/sr-applied-scientist-agi-foundations?cmpid=DA_INAD200785B", "https://www.amazon.jobs/jobs/3128807/sr-applied-scientist-agi-foundations?cmpid=DA_INAD200785B")</f>
        <v/>
      </c>
      <c r="G127" t="inlineStr">
        <is>
          <t>New York, NY, US</t>
        </is>
      </c>
      <c r="H127" s="3" t="n">
        <v>45978</v>
      </c>
      <c r="I12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in-74fe6961e14ff2ed</t>
        </is>
      </c>
      <c r="B128" t="inlineStr">
        <is>
          <t>Sr. Applied Scientist, AGI Foundations</t>
        </is>
      </c>
      <c r="C128" t="inlineStr">
        <is>
          <t>Amazon.com</t>
        </is>
      </c>
      <c r="D128" t="inlineStr">
        <is>
          <t>indeed</t>
        </is>
      </c>
      <c r="E128">
        <f>HYPERLINK("https://www.indeed.com/viewjob?jk=74fe6961e14ff2ed", "https://www.indeed.com/viewjob?jk=74fe6961e14ff2ed")</f>
        <v/>
      </c>
      <c r="F128">
        <f>HYPERLINK("https://www.amazon.jobs/jobs/3123268/sr-applied-scientist-agi-foundations?cmpid=DA_INAD200785B", "https://www.amazon.jobs/jobs/3123268/sr-applied-scientist-agi-foundations?cmpid=DA_INAD200785B")</f>
        <v/>
      </c>
      <c r="G128" t="inlineStr">
        <is>
          <t>New York, NY, US</t>
        </is>
      </c>
      <c r="H128" s="3" t="n">
        <v>45963</v>
      </c>
      <c r="I12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in-3a7b1f71abe484c3</t>
        </is>
      </c>
      <c r="B129" t="inlineStr">
        <is>
          <t>Sr. Applied Scientist, AGI Foundations</t>
        </is>
      </c>
      <c r="C129" t="inlineStr">
        <is>
          <t>Amazon.com</t>
        </is>
      </c>
      <c r="D129" t="inlineStr">
        <is>
          <t>indeed</t>
        </is>
      </c>
      <c r="E129">
        <f>HYPERLINK("https://www.indeed.com/viewjob?jk=3a7b1f71abe484c3", "https://www.indeed.com/viewjob?jk=3a7b1f71abe484c3")</f>
        <v/>
      </c>
      <c r="F129">
        <f>HYPERLINK("https://www.amazon.jobs/jobs/3123268/sr-applied-scientist-agi-foundations?cmpid=DA_INAD200785B", "https://www.amazon.jobs/jobs/3123268/sr-applied-scientist-agi-foundations?cmpid=DA_INAD200785B")</f>
        <v/>
      </c>
      <c r="G129" t="inlineStr">
        <is>
          <t>Bellevue, WA, US</t>
        </is>
      </c>
      <c r="H129" s="3" t="n">
        <v>45963</v>
      </c>
      <c r="I12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in-099b96acf537da5d</t>
        </is>
      </c>
      <c r="B130" t="inlineStr">
        <is>
          <t>Sr. Applied Scientist, AGI Foundations</t>
        </is>
      </c>
      <c r="C130" t="inlineStr">
        <is>
          <t>Amazon.com</t>
        </is>
      </c>
      <c r="D130" t="inlineStr">
        <is>
          <t>indeed</t>
        </is>
      </c>
      <c r="E130">
        <f>HYPERLINK("https://www.indeed.com/viewjob?jk=099b96acf537da5d", "https://www.indeed.com/viewjob?jk=099b96acf537da5d")</f>
        <v/>
      </c>
      <c r="F130">
        <f>HYPERLINK("https://www.amazon.jobs/jobs/3123268/sr-applied-scientist-agi-foundations?cmpid=DA_INAD200785B", "https://www.amazon.jobs/jobs/3123268/sr-applied-scientist-agi-foundations?cmpid=DA_INAD200785B")</f>
        <v/>
      </c>
      <c r="G130" t="inlineStr">
        <is>
          <t>Boston, MA, US</t>
        </is>
      </c>
      <c r="H130" s="3" t="n">
        <v>45963</v>
      </c>
      <c r="I13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in-c3f717ac8eb1ae04</t>
        </is>
      </c>
      <c r="B131" t="inlineStr">
        <is>
          <t>Applied Scientist II, Prime Video - Personalization and Discovery Science, Personalization and Discovery Science</t>
        </is>
      </c>
      <c r="C131" t="inlineStr">
        <is>
          <t>Amazon.com</t>
        </is>
      </c>
      <c r="D131" t="inlineStr">
        <is>
          <t>indeed</t>
        </is>
      </c>
      <c r="E131">
        <f>HYPERLINK("https://www.indeed.com/viewjob?jk=c3f717ac8eb1ae04", "https://www.indeed.com/viewjob?jk=c3f717ac8eb1ae04")</f>
        <v/>
      </c>
      <c r="F13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1" t="inlineStr">
        <is>
          <t>Seattle, WA, US</t>
        </is>
      </c>
      <c r="H131" s="3" t="n">
        <v>45930</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in-b971a39e6d5a2c79</t>
        </is>
      </c>
      <c r="B132" t="inlineStr">
        <is>
          <t>Applied Scientist II, Prime Video - Personalization and Discovery Science, Personalization and Discovery Science</t>
        </is>
      </c>
      <c r="C132" t="inlineStr">
        <is>
          <t>Amazon.com</t>
        </is>
      </c>
      <c r="D132" t="inlineStr">
        <is>
          <t>indeed</t>
        </is>
      </c>
      <c r="E132">
        <f>HYPERLINK("https://www.indeed.com/viewjob?jk=b971a39e6d5a2c79", "https://www.indeed.com/viewjob?jk=b971a39e6d5a2c79")</f>
        <v/>
      </c>
      <c r="F13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2" t="inlineStr">
        <is>
          <t>New York, NY, US</t>
        </is>
      </c>
      <c r="H132" s="3" t="n">
        <v>45930</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in-9152b0b2b487b417</t>
        </is>
      </c>
      <c r="B133" t="inlineStr">
        <is>
          <t>Applied Scientist II, Prime Video - Personalization and Discovery Science, Personalization and Discovery Science</t>
        </is>
      </c>
      <c r="C133" t="inlineStr">
        <is>
          <t>Amazon.com</t>
        </is>
      </c>
      <c r="D133" t="inlineStr">
        <is>
          <t>indeed</t>
        </is>
      </c>
      <c r="E133">
        <f>HYPERLINK("https://www.indeed.com/viewjob?jk=9152b0b2b487b417", "https://www.indeed.com/viewjob?jk=9152b0b2b487b417")</f>
        <v/>
      </c>
      <c r="F13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3" t="inlineStr">
        <is>
          <t>Sunnyvale, CA, US</t>
        </is>
      </c>
      <c r="H133" s="3" t="n">
        <v>45930</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in-8ea44ccaa9d61a5f</t>
        </is>
      </c>
      <c r="B134" t="inlineStr">
        <is>
          <t>Applied Scientist II, Prime Video - Personalization and Discovery Science</t>
        </is>
      </c>
      <c r="C134" t="inlineStr">
        <is>
          <t>Amazon.com</t>
        </is>
      </c>
      <c r="D134" t="inlineStr">
        <is>
          <t>indeed</t>
        </is>
      </c>
      <c r="E134">
        <f>HYPERLINK("https://www.indeed.com/viewjob?jk=8ea44ccaa9d61a5f", "https://www.indeed.com/viewjob?jk=8ea44ccaa9d61a5f")</f>
        <v/>
      </c>
      <c r="F134">
        <f>HYPERLINK("https://www.amazon.jobs/jobs/3086060/applied-scientist-ii-prime-video--personalization-and-discovery-science?cmpid=DA_INAD200785B", "https://www.amazon.jobs/jobs/3086060/applied-scientist-ii-prime-video--personalization-and-discovery-science?cmpid=DA_INAD200785B")</f>
        <v/>
      </c>
      <c r="G134" t="inlineStr">
        <is>
          <t>New York, NY, US</t>
        </is>
      </c>
      <c r="H134" s="3" t="n">
        <v>45915</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in-765161e26baea606</t>
        </is>
      </c>
      <c r="B135" t="inlineStr">
        <is>
          <t>Applied Scientist II, Prime Video - Personalization and Discovery Science</t>
        </is>
      </c>
      <c r="C135" t="inlineStr">
        <is>
          <t>Amazon.com</t>
        </is>
      </c>
      <c r="D135" t="inlineStr">
        <is>
          <t>indeed</t>
        </is>
      </c>
      <c r="E135">
        <f>HYPERLINK("https://www.indeed.com/viewjob?jk=765161e26baea606", "https://www.indeed.com/viewjob?jk=765161e26baea606")</f>
        <v/>
      </c>
      <c r="F135">
        <f>HYPERLINK("https://www.amazon.jobs/jobs/3086060/applied-scientist-ii-prime-video--personalization-and-discovery-science?cmpid=DA_INAD200785B", "https://www.amazon.jobs/jobs/3086060/applied-scientist-ii-prime-video--personalization-and-discovery-science?cmpid=DA_INAD200785B")</f>
        <v/>
      </c>
      <c r="G135" t="inlineStr">
        <is>
          <t>Seattle, WA, US</t>
        </is>
      </c>
      <c r="H135" s="3" t="n">
        <v>45915</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in-a3b0ce846d3bf7e2</t>
        </is>
      </c>
      <c r="B136" t="inlineStr">
        <is>
          <t>Applied Scientist II, Prime Video - Personalization and Discovery Science</t>
        </is>
      </c>
      <c r="C136" t="inlineStr">
        <is>
          <t>Amazon.com</t>
        </is>
      </c>
      <c r="D136" t="inlineStr">
        <is>
          <t>indeed</t>
        </is>
      </c>
      <c r="E136">
        <f>HYPERLINK("https://www.indeed.com/viewjob?jk=a3b0ce846d3bf7e2", "https://www.indeed.com/viewjob?jk=a3b0ce846d3bf7e2")</f>
        <v/>
      </c>
      <c r="F136">
        <f>HYPERLINK("https://www.amazon.jobs/jobs/3086060/applied-scientist-ii-prime-video--personalization-and-discovery-science?cmpid=DA_INAD200785B", "https://www.amazon.jobs/jobs/3086060/applied-scientist-ii-prime-video--personalization-and-discovery-science?cmpid=DA_INAD200785B")</f>
        <v/>
      </c>
      <c r="G136" t="inlineStr">
        <is>
          <t>Sunnyvale, CA, US</t>
        </is>
      </c>
      <c r="H136" s="3" t="n">
        <v>45915</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in-31ebed1cf4eef2a7</t>
        </is>
      </c>
      <c r="B137" t="inlineStr">
        <is>
          <t>Sr. Applied Scientist, Prime Video - Personalization and Discovery Science</t>
        </is>
      </c>
      <c r="C137" t="inlineStr">
        <is>
          <t>Amazon.com</t>
        </is>
      </c>
      <c r="D137" t="inlineStr">
        <is>
          <t>indeed</t>
        </is>
      </c>
      <c r="E137">
        <f>HYPERLINK("https://www.indeed.com/viewjob?jk=31ebed1cf4eef2a7", "https://www.indeed.com/viewjob?jk=31ebed1cf4eef2a7")</f>
        <v/>
      </c>
      <c r="F137">
        <f>HYPERLINK("https://www.amazon.jobs/jobs/3083564/sr-applied-scientist-prime-video--personalization-and-discovery-science?cmpid=DA_INAD200785B", "https://www.amazon.jobs/jobs/3083564/sr-applied-scientist-prime-video--personalization-and-discovery-science?cmpid=DA_INAD200785B")</f>
        <v/>
      </c>
      <c r="G137" t="inlineStr">
        <is>
          <t>Sunnyvale, CA, US</t>
        </is>
      </c>
      <c r="H137" s="3" t="n">
        <v>45914</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in-e7949a662579e665</t>
        </is>
      </c>
      <c r="B138" t="inlineStr">
        <is>
          <t>Sr. Applied Scientist, Prime Video - Personalization and Discovery Science</t>
        </is>
      </c>
      <c r="C138" t="inlineStr">
        <is>
          <t>Amazon.com</t>
        </is>
      </c>
      <c r="D138" t="inlineStr">
        <is>
          <t>indeed</t>
        </is>
      </c>
      <c r="E138">
        <f>HYPERLINK("https://www.indeed.com/viewjob?jk=e7949a662579e665", "https://www.indeed.com/viewjob?jk=e7949a662579e665")</f>
        <v/>
      </c>
      <c r="F138">
        <f>HYPERLINK("https://www.amazon.jobs/jobs/3083564/sr-applied-scientist-prime-video--personalization-and-discovery-science?cmpid=DA_INAD200785B", "https://www.amazon.jobs/jobs/3083564/sr-applied-scientist-prime-video--personalization-and-discovery-science?cmpid=DA_INAD200785B")</f>
        <v/>
      </c>
      <c r="G138" t="inlineStr">
        <is>
          <t>New York, NY, US</t>
        </is>
      </c>
      <c r="H138" s="3" t="n">
        <v>45914</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in-f947873fcc072dbf</t>
        </is>
      </c>
      <c r="B139" t="inlineStr">
        <is>
          <t>Sr. Applied Scientist, Prime Video - Personalization and Discovery Science</t>
        </is>
      </c>
      <c r="C139" t="inlineStr">
        <is>
          <t>Amazon.com</t>
        </is>
      </c>
      <c r="D139" t="inlineStr">
        <is>
          <t>indeed</t>
        </is>
      </c>
      <c r="E139">
        <f>HYPERLINK("https://www.indeed.com/viewjob?jk=f947873fcc072dbf", "https://www.indeed.com/viewjob?jk=f947873fcc072dbf")</f>
        <v/>
      </c>
      <c r="F139">
        <f>HYPERLINK("https://www.amazon.jobs/jobs/3083564/sr-applied-scientist-prime-video--personalization-and-discovery-science?cmpid=DA_INAD200785B", "https://www.amazon.jobs/jobs/3083564/sr-applied-scientist-prime-video--personalization-and-discovery-science?cmpid=DA_INAD200785B")</f>
        <v/>
      </c>
      <c r="G139" t="inlineStr">
        <is>
          <t>Seattle, WA, US</t>
        </is>
      </c>
      <c r="H139" s="3" t="n">
        <v>45914</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in-124a3935a02199a2</t>
        </is>
      </c>
      <c r="B140" t="inlineStr">
        <is>
          <t>Sr. Applied Scientist, Prime Video - Personalization and Discovery Science</t>
        </is>
      </c>
      <c r="C140" t="inlineStr">
        <is>
          <t>Amazon.com</t>
        </is>
      </c>
      <c r="D140" t="inlineStr">
        <is>
          <t>indeed</t>
        </is>
      </c>
      <c r="E140">
        <f>HYPERLINK("https://www.indeed.com/viewjob?jk=124a3935a02199a2", "https://www.indeed.com/viewjob?jk=124a3935a02199a2")</f>
        <v/>
      </c>
      <c r="F140">
        <f>HYPERLINK("https://www.amazon.jobs/jobs/3059256/sr-applied-scientist-prime-video--personalization-and-discovery-science?cmpid=DA_INAD200785B", "https://www.amazon.jobs/jobs/3059256/sr-applied-scientist-prime-video--personalization-and-discovery-science?cmpid=DA_INAD200785B")</f>
        <v/>
      </c>
      <c r="G140" t="inlineStr">
        <is>
          <t>Seattle, WA, US</t>
        </is>
      </c>
      <c r="H140" s="3" t="n">
        <v>45881</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in-aa7b1718a66a692f</t>
        </is>
      </c>
      <c r="B141" t="inlineStr">
        <is>
          <t>Sr. Applied Scientist, Prime Video - Personalization and Discovery Science</t>
        </is>
      </c>
      <c r="C141" t="inlineStr">
        <is>
          <t>Amazon.com</t>
        </is>
      </c>
      <c r="D141" t="inlineStr">
        <is>
          <t>indeed</t>
        </is>
      </c>
      <c r="E141">
        <f>HYPERLINK("https://www.indeed.com/viewjob?jk=aa7b1718a66a692f", "https://www.indeed.com/viewjob?jk=aa7b1718a66a692f")</f>
        <v/>
      </c>
      <c r="F141">
        <f>HYPERLINK("https://www.amazon.jobs/jobs/3059256/sr-applied-scientist-prime-video--personalization-and-discovery-science?cmpid=DA_INAD200785B", "https://www.amazon.jobs/jobs/3059256/sr-applied-scientist-prime-video--personalization-and-discovery-science?cmpid=DA_INAD200785B")</f>
        <v/>
      </c>
      <c r="G141" t="inlineStr">
        <is>
          <t>New York, NY, US</t>
        </is>
      </c>
      <c r="H141" s="3" t="n">
        <v>45881</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in-538797108dab5f67</t>
        </is>
      </c>
      <c r="B142" t="inlineStr">
        <is>
          <t>Sr. Applied Scientist, Prime Video - Personalization and Discovery Science</t>
        </is>
      </c>
      <c r="C142" t="inlineStr">
        <is>
          <t>Amazon.com</t>
        </is>
      </c>
      <c r="D142" t="inlineStr">
        <is>
          <t>indeed</t>
        </is>
      </c>
      <c r="E142">
        <f>HYPERLINK("https://www.indeed.com/viewjob?jk=538797108dab5f67", "https://www.indeed.com/viewjob?jk=538797108dab5f67")</f>
        <v/>
      </c>
      <c r="F142">
        <f>HYPERLINK("https://www.amazon.jobs/jobs/3059256/sr-applied-scientist-prime-video--personalization-and-discovery-science?cmpid=DA_INAD200785B", "https://www.amazon.jobs/jobs/3059256/sr-applied-scientist-prime-video--personalization-and-discovery-science?cmpid=DA_INAD200785B")</f>
        <v/>
      </c>
      <c r="G142" t="inlineStr">
        <is>
          <t>Sunnyvale, CA, US</t>
        </is>
      </c>
      <c r="H142" s="3" t="n">
        <v>45881</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in-b124b04862166d89</t>
        </is>
      </c>
      <c r="B143" t="inlineStr">
        <is>
          <t>Applied Scientist II, Prime Video - Personalization and Discovery Science</t>
        </is>
      </c>
      <c r="C143" t="inlineStr">
        <is>
          <t>Amazon.com</t>
        </is>
      </c>
      <c r="D143" t="inlineStr">
        <is>
          <t>indeed</t>
        </is>
      </c>
      <c r="E143">
        <f>HYPERLINK("https://www.indeed.com/viewjob?jk=b124b04862166d89", "https://www.indeed.com/viewjob?jk=b124b04862166d89")</f>
        <v/>
      </c>
      <c r="F143">
        <f>HYPERLINK("https://www.amazon.jobs/jobs/3059253/applied-scientist-ii-prime-video--personalization-and-discovery-science?cmpid=DA_INAD200785B", "https://www.amazon.jobs/jobs/3059253/applied-scientist-ii-prime-video--personalization-and-discovery-science?cmpid=DA_INAD200785B")</f>
        <v/>
      </c>
      <c r="G143" t="inlineStr">
        <is>
          <t>Seattle, WA, US</t>
        </is>
      </c>
      <c r="H143" s="3" t="n">
        <v>45881</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in-9633590fa62f93e6</t>
        </is>
      </c>
      <c r="B144" t="inlineStr">
        <is>
          <t>Applied Scientist II, Prime Video - Personalization and Discovery Science</t>
        </is>
      </c>
      <c r="C144" t="inlineStr">
        <is>
          <t>Amazon.com</t>
        </is>
      </c>
      <c r="D144" t="inlineStr">
        <is>
          <t>indeed</t>
        </is>
      </c>
      <c r="E144">
        <f>HYPERLINK("https://www.indeed.com/viewjob?jk=9633590fa62f93e6", "https://www.indeed.com/viewjob?jk=9633590fa62f93e6")</f>
        <v/>
      </c>
      <c r="F144">
        <f>HYPERLINK("https://www.amazon.jobs/jobs/3059253/applied-scientist-ii-prime-video--personalization-and-discovery-science?cmpid=DA_INAD200785B", "https://www.amazon.jobs/jobs/3059253/applied-scientist-ii-prime-video--personalization-and-discovery-science?cmpid=DA_INAD200785B")</f>
        <v/>
      </c>
      <c r="G144" t="inlineStr">
        <is>
          <t>New York, NY, US</t>
        </is>
      </c>
      <c r="H144" s="3" t="n">
        <v>45881</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in-abef4699797d11d2</t>
        </is>
      </c>
      <c r="B145" t="inlineStr">
        <is>
          <t>Applied Scientist II, Prime Video - Personalization and Discovery Science</t>
        </is>
      </c>
      <c r="C145" t="inlineStr">
        <is>
          <t>Amazon.com</t>
        </is>
      </c>
      <c r="D145" t="inlineStr">
        <is>
          <t>indeed</t>
        </is>
      </c>
      <c r="E145">
        <f>HYPERLINK("https://www.indeed.com/viewjob?jk=abef4699797d11d2", "https://www.indeed.com/viewjob?jk=abef4699797d11d2")</f>
        <v/>
      </c>
      <c r="F145">
        <f>HYPERLINK("https://www.amazon.jobs/jobs/3059253/applied-scientist-ii-prime-video--personalization-and-discovery-science?cmpid=DA_INAD200785B", "https://www.amazon.jobs/jobs/3059253/applied-scientist-ii-prime-video--personalization-and-discovery-science?cmpid=DA_INAD200785B")</f>
        <v/>
      </c>
      <c r="G145" t="inlineStr">
        <is>
          <t>Sunnyvale, CA, US</t>
        </is>
      </c>
      <c r="H145" s="3" t="n">
        <v>45881</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in-b5f5f8aa2e9f036c</t>
        </is>
      </c>
      <c r="B146" t="inlineStr">
        <is>
          <t>Applied Scientist, Prime Video - Personalization and Discovery Science</t>
        </is>
      </c>
      <c r="C146" t="inlineStr">
        <is>
          <t>Amazon.com</t>
        </is>
      </c>
      <c r="D146" t="inlineStr">
        <is>
          <t>indeed</t>
        </is>
      </c>
      <c r="E146">
        <f>HYPERLINK("https://www.indeed.com/viewjob?jk=b5f5f8aa2e9f036c", "https://www.indeed.com/viewjob?jk=b5f5f8aa2e9f036c")</f>
        <v/>
      </c>
      <c r="F146">
        <f>HYPERLINK("https://www.amazon.jobs/jobs/3033050/applied-scientist-prime-video--personalization-and-discovery-science?cmpid=DA_INAD200785B", "https://www.amazon.jobs/jobs/3033050/applied-scientist-prime-video--personalization-and-discovery-science?cmpid=DA_INAD200785B")</f>
        <v/>
      </c>
      <c r="G146" t="inlineStr">
        <is>
          <t>New York, NY, US</t>
        </is>
      </c>
      <c r="H146" s="3" t="n">
        <v>45845</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in-55e8187fd5a9f9bd</t>
        </is>
      </c>
      <c r="B147" t="inlineStr">
        <is>
          <t>Applied Scientist, Prime Video - Personalization and Discovery Science</t>
        </is>
      </c>
      <c r="C147" t="inlineStr">
        <is>
          <t>Amazon.com</t>
        </is>
      </c>
      <c r="D147" t="inlineStr">
        <is>
          <t>indeed</t>
        </is>
      </c>
      <c r="E147">
        <f>HYPERLINK("https://www.indeed.com/viewjob?jk=55e8187fd5a9f9bd", "https://www.indeed.com/viewjob?jk=55e8187fd5a9f9bd")</f>
        <v/>
      </c>
      <c r="F147">
        <f>HYPERLINK("https://www.amazon.jobs/jobs/3033050/applied-scientist-prime-video--personalization-and-discovery-science?cmpid=DA_INAD200785B", "https://www.amazon.jobs/jobs/3033050/applied-scientist-prime-video--personalization-and-discovery-science?cmpid=DA_INAD200785B")</f>
        <v/>
      </c>
      <c r="G147" t="inlineStr">
        <is>
          <t>Seattle, WA, US</t>
        </is>
      </c>
      <c r="H147" s="3" t="n">
        <v>45845</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in-d3be87dc5f76c519</t>
        </is>
      </c>
      <c r="B148" t="inlineStr">
        <is>
          <t>Applied Scientist, Prime Video - Personalization and Discovery Science</t>
        </is>
      </c>
      <c r="C148" t="inlineStr">
        <is>
          <t>Amazon.com</t>
        </is>
      </c>
      <c r="D148" t="inlineStr">
        <is>
          <t>indeed</t>
        </is>
      </c>
      <c r="E148">
        <f>HYPERLINK("https://www.indeed.com/viewjob?jk=d3be87dc5f76c519", "https://www.indeed.com/viewjob?jk=d3be87dc5f76c519")</f>
        <v/>
      </c>
      <c r="F148">
        <f>HYPERLINK("https://www.amazon.jobs/jobs/3033050/applied-scientist-prime-video--personalization-and-discovery-science?cmpid=DA_INAD200785B", "https://www.amazon.jobs/jobs/3033050/applied-scientist-prime-video--personalization-and-discovery-science?cmpid=DA_INAD200785B")</f>
        <v/>
      </c>
      <c r="G148" t="inlineStr">
        <is>
          <t>Sunnyvale, CA, US</t>
        </is>
      </c>
      <c r="H148" s="3" t="n">
        <v>45845</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in-55a2c332c34b0769</t>
        </is>
      </c>
      <c r="B149" t="inlineStr">
        <is>
          <t>Sr Machine Learning Engineer</t>
        </is>
      </c>
      <c r="C149" t="inlineStr">
        <is>
          <t>The Marlin Alliance</t>
        </is>
      </c>
      <c r="D149" t="inlineStr">
        <is>
          <t>indeed</t>
        </is>
      </c>
      <c r="E149">
        <f>HYPERLINK("https://www.indeed.com/viewjob?jk=55a2c332c34b0769", "https://www.indeed.com/viewjob?jk=55a2c332c34b0769")</f>
        <v/>
      </c>
      <c r="F149">
        <f>HYPERLINK("https://themarlinalliance.hrmdirect.com/employment/view.php?req=3619965&amp;jbsrc=1014&amp;location=47969420-7717-1e7d-e0d2-954e163667f1", "https://themarlinalliance.hrmdirect.com/employment/view.php?req=3619965&amp;jbsrc=1014&amp;location=47969420-7717-1e7d-e0d2-954e163667f1")</f>
        <v/>
      </c>
      <c r="G149" t="inlineStr">
        <is>
          <t>San Diego, CA, US</t>
        </is>
      </c>
      <c r="H149" s="3" t="n">
        <v>46042</v>
      </c>
      <c r="I149" t="inlineStr">
        <is>
          <t>The Marlin Alliance, Inc. is seekinga talented and experienced **Senior Machine Learning Engineer** to join our team. The successful candidate will be expected to design, develop, and implement advanced machine learning models and algorithms in support of naval applications. This role requires deep technical expertise in modern machine learning methods, distributed systems, cloud\-native development, and software engineering best practices. The Senior ML Engineer will collaborate with multidisciplinary teams to deliver mission\-focused AI solutions that integrate into operational Navy environments.
Established in 2002, The Marlin Alliance is seeking to hire highly skilled individuals to support mission critical projects within the Navy. We are looking for motivated individuals to lead and support digital transformation, data science and analytics, and automation projects for variety of Navy clients. Individuals must be able to function in a fast\-paced work environment and able to adapt quickly to rapidly changing requirements and technologies. Using your comprehensive knowledge of various technologies, you will design, develop, and implement solutions to support Navy mission owners in their digital transformation journey.
**Location:**
* **San Diego, CA**
* **On site NAVWAR**
* **There will be some (15%) travel required to Arlington, VA; Colorado Springs, CO; Charleston, SC; Denver, CO; or other customer locations as needed.**
**Citizenship and Clearance requirements:**
* **US Citizenship is required**
* **No Dual Citizenship**
* **Active Secret clearance required; TS SCI clearance highly preferred**
**Responsibilities:**
* Design, develop, and implement machine learning models and algorithms for naval applications.
* Develop and deploy algorithms, mathematical models, and machine learning models into real\-world operational environments.
* Perform data preprocessing, feature engineering, model evaluation, and validation.
* Collaborate with engineers, data scientists, and mission stakeholders to align ML solutions with operational requirements.
* Develop cloud\-native ML pipelines using AWS, Azure, Docker, Kubernetes, or equivalent platforms.
* Implement ML solutions using frameworks such as TensorFlow, PyTorch, and scikit\-learn.
* Contribute to distributed computing and parallel processing approaches to optimize ML model performance.
* Participate in CI/CD pipeline development, automation, and DevSecOps workflows.
* Apply cybersecurity principles in the design and deployment of machine learning systems.
* Provide documentation, technical reports, and engineering artifacts consistent with PMAT and government standards.
* Stay current with advancements in machine learning, data science, and emerging technologies relevant to naval and DoD applications.
**Required Skills and Experience:**
* 10\+ years of experience as a data scientist, data engineer, geospatial engineer, machine learning engineer, or software engineer.
* Proven experience developing and deploying algorithms, mathematical models, or machine learning models in real\-world applications.
* Strong programming skills in Python.
* Familiarity with cloud platforms (e.g., AWS, Azure) or containerization technologies (e.g., Docker, Kubernetes).
* Familiarity with software engineering best practices, including Git.
* Experience with ML frameworks such as TensorFlow, PyTorch, or scikit\-learn.
* Strong programming skills in Java, C\+\+, Go, or Rust.
* Experience with distributed computing and parallel processing.
* Experience with CI/CD pipelines and automation tools (GitHub Actions, GitLab CI, Jenkins).
* Strong analytical, problem\-solving, and communication skills.
* Ability to work effectively in a collaborative team environment.
* Previous experience supporting government agencies or military organizations.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**Preferred Skills and Experience:**
* Experience with cloud\-native architecture and software API design.
* Experience integrating machine learning into operational DoD systems or edge computing environments.
* Familiarity with DoD AI strategies, MLOps, or data engineering in secure environments.
* Experience supporting NAVWAR, NIWC Pacific, or other Navy C2/ISR programs.
**Education and Certification Requirements:**
* Bachelor of Science degree in Artificial Intelligence, Data Science, Computer Science, Machine Learning, or Statistics.
* Advanced degrees (MS/PhD) in related fields are preferred but not required.
* Additional certifications in cloud, cybersecurity, AI/ML, or DevSecOps are a plus if required by contract.
**Work Environment and Mental/Physical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 Typical office environment with no unusual hazards.
* The noise level in the work environment is usually moderate.
* Constant sitting while using the computer terminal.
* Constant use of sight abilities while reviewing documents.
* Constant use of speech/hearing abilities for communication.
* Occasional reaching, stooping, kneeling, or crouching may be required.
* Occasional lifting up to 20 pounds.
* Constant use of mental alertness.
* Frequent work under deadlines.
***Job Classification:***  
Associate II  
$165,000 \- $195,000
***Disclaimer:***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relationship.*
*An Equal Opportunity Employer/Protected Veterans/Individuals with Disabilities*.</t>
        </is>
      </c>
    </row>
    <row r="150">
      <c r="A150" t="inlineStr">
        <is>
          <t>in-0a7684f77a5a1914</t>
        </is>
      </c>
      <c r="B150" t="inlineStr">
        <is>
          <t>Machine Learning Engineer III</t>
        </is>
      </c>
      <c r="C150" t="inlineStr">
        <is>
          <t>Electronic Arts</t>
        </is>
      </c>
      <c r="D150" t="inlineStr">
        <is>
          <t>indeed</t>
        </is>
      </c>
      <c r="E150">
        <f>HYPERLINK("https://www.indeed.com/viewjob?jk=0a7684f77a5a1914", "https://www.indeed.com/viewjob?jk=0a7684f77a5a1914")</f>
        <v/>
      </c>
      <c r="F150">
        <f>HYPERLINK("https://jobs.ea.com/en_US/careers/JobDetail/Machine-Learning-Engineer-III/212201", "https://jobs.ea.com/en_US/careers/JobDetail/Machine-Learning-Engineer-III/212201")</f>
        <v/>
      </c>
      <c r="G150" t="inlineStr">
        <is>
          <t>Kirkland, WA, US</t>
        </is>
      </c>
      <c r="H150" s="3" t="n">
        <v>46042</v>
      </c>
      <c r="I150" t="inlineStr">
        <is>
          <t>### **General Information**
**Locations**: Kirkland, Washington, United States of America
* Location: Kirkland
* Country: United States of America
Role ID
212201
Worker Type
Regular Employee
Studio/Department
CT \- Security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Senior Machine Learning Engineer
The Senior Machine Learning Engineer will report to the Senior Manager, EA Player Security Data Labs. You will follow a hybrid work model with a mix of remote work and in\-office collaboration. This role focuses on building and operating production\-grade data and machine learning infrastructure that enables data scientists and analysts to deliver fraud detection, anti\-cheat, and account security solutions across EA games.
Responsibilities
* Design, build, and maintain scalable data ingestion, transformation, and feature pipelines that support machine learning workflows for fraud and anti\-cheat systems.
* Own and operate production data and machine learning infrastructure, including batch and near\-real\-time data processing, feature generation, training workflows, and inference pipelines.
* Partner with data scientists to productionize machine learning models, with a strong focus on data consistency, data quality, and reliable offline and online feature computation.
* Ensure data and machine learning pipelines are reliable, repeatable, observable, and cloud agnostic across environments.
* Contribute to architectural standards, platform design decisions, and engineering best practices as a senior individual contributor within EA Player Security Data Labs.
Qualifications
* Five or more years of professional experience in data engineering, machine learning engineering, or a closely related role with production ownership.
* Strong proficiency in Python and SQL, with demonstrated experience building and maintaining large\-scale, production\-grade data pipelines.
* Experience designing and operating data\-intensive systems using modern programming languages, including Rust.
* Hands\-on experience supporting end\-to\-end machine learning workflows, with an emphasis on data preparation, feature pipelines, and model deployment infrastructure.
* Experience working in cloud environments such as AWS or GCP, including large\-scale data processing systems.
* Experience with containerization and orchestration technologies such as Docker and Kubernetes.
* Experience with CI/CD systems and production deployment workflows, including GitLab.
Why You Will Enjoy This Role
You will work on data and machine learning systems that protect millions of players from fraud and cheating.
You will operate as a senior individual contributor with strong technical ownership and autonomy.
You will design and build core data infrastructure that powers machine learning across EA Player Security.
Why We Are Excited About This Role
We build systems that directly protect player trust and fair play across EA games.
We value strong data engineering fundamentals and production\-focused machine learning.
We support senior engineers with autonomy and opportunities to shape long\-term technical direction.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Washington (depending on location e.g. Seattle vs. Spokane) \*$118,700 \- $154,100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51">
      <c r="A151" t="inlineStr">
        <is>
          <t>in-37f01f1ff444945d</t>
        </is>
      </c>
      <c r="B151" t="inlineStr">
        <is>
          <t>Staff Machine Learning Engineer</t>
        </is>
      </c>
      <c r="C151" t="inlineStr">
        <is>
          <t>Upstart</t>
        </is>
      </c>
      <c r="D151" t="inlineStr">
        <is>
          <t>indeed</t>
        </is>
      </c>
      <c r="E151">
        <f>HYPERLINK("https://www.indeed.com/viewjob?jk=37f01f1ff444945d", "https://www.indeed.com/viewjob?jk=37f01f1ff444945d")</f>
        <v/>
      </c>
      <c r="F151">
        <f>HYPERLINK("https://careers.upstart.com/jobs/staff-machine-learning-engineer", "https://careers.upstart.com/jobs/staff-machine-learning-engineer")</f>
        <v/>
      </c>
      <c r="G151" t="inlineStr">
        <is>
          <t>Remote, US</t>
        </is>
      </c>
      <c r="H151" s="3" t="n">
        <v>46042</v>
      </c>
      <c r="I151"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As a Staff Machine Learning Engineer at Upstart, you will collaborate closely with our Research Scientists, Data Scientists, and other engineering teams to increase ML productivity through better software and infrastructure, improving how we research, train, deploy, serve, and monitor our models. You’ll help reduce the time it takes to go from idea to production, enabling us to quickly test and iterate on new approaches so we can more effectively deliver on our mission of expanding access to credit. In addition, you’ll design and implement code and algorithms that directly improve our models’ predictive power.
**How you’ll make an impact**
* You will set engineering \&amp; coding standards for the team and set technical direction to identify investments necessary drive model quality, system reliability, and iteration velocity
* Build repeatable workflows and automation that enables scientists to spend more time on high leverage tasks (methodology, writing, analysis) and less on keeping the lights on or getting things to run
* Discover and develop a short and long\-term roadmap of engineering improvements Explore new algorithms and methodologies for our machine learning models
* Interface cross\-functionally with other engineering teams (data engineering, machine learning platform, pricing, and growth software engineering), to provide feedback and requirements, so that we can build high\-quality systems end\-to\-end
**Basic Qualifications**
* Advanced degree (MS, PhD, or equivalent experience) in Computer Science, Machine Learning, Operations Research, Statistics, or a related quantitative field.
* 4\+ years of industry experience as a Machine Learning Engineer or Research Scientist with a strong focus on implementation and tooling
* Proficiency in multiple object\-oriented programming languages (e.g. Python, C\+\+)
* Experience building and productionizing innovative end\-to\-end Machine Learning systems
* Experience in exploratory data analysis, statistical modeling, hypothesis testing, and experimental design
* Experience working with cross\-functional teams(product, science, product ops etc)
**Preferred Qualifications**
* PhD in Computer Science, Machine Learning, Operations Research, Statistics, or other related quantitative fields or related field
* Publications at industry recognized ML conferences
* Experience in modern deep learning architectures and probabilistic modeling
* Experience with optimization techniques, including reinforcement learning (RL), Bayesian methods, causal ML meta learners, genAI LLM
* Experience with CI/CD, data validation, and automation tools (e.g. metaflow)
* Expertise in the design and architecture of ML systems and workflows
**The Teams:**
***Personal Loans, Underwriting:***
This team is focused on leveraging machine learning to power Upstart’s underwriting models. This team is responsible for building the underwriting model which determines credit decisioning at Upstart. This model plays a central role in Upstart’s overall performance as a company and includes numerous challenging problems to solve.
***Growth Team:***
Upstart’s GrowthTeam engages in marketing and borrower acquisition through direct mail (DM) campaigns and targeted loan offers on partner sites, leveraging machine learning to drive growth. The Growth ML team develops models to optimize borrower targeting, predict conversion probabilities, and refine pricing strategies across these channels. Our team has an outsized impact on Upstart’s success; the majority of the loans we originate can be directly attributed to the growth team’s efforts. The Growth ML organization is currently growing rapidly and expanding our scope into new problem spaces.
***Partnerships Team:***
The ML Partnerships team is focused on expanding and scaling Upstart’s competitive rate offerings on partner sites. This team leverages machine learning to optimize the rates and offers shown to customers with the goal of maximizing conversions to Upstart. As the largest channel, Partnerships has an outsized impact on Upstart’s success, and we work closely with cross functional product, engineering, and partner teams to continue driving growth across our platform(s).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$199,500—$276,000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52">
      <c r="A152" t="inlineStr">
        <is>
          <t>in-c79af6bd2c65b22d</t>
        </is>
      </c>
      <c r="B152" t="inlineStr">
        <is>
          <t>Applied Scientist, AGI</t>
        </is>
      </c>
      <c r="C152" t="inlineStr">
        <is>
          <t>Amazon.com</t>
        </is>
      </c>
      <c r="D152" t="inlineStr">
        <is>
          <t>indeed</t>
        </is>
      </c>
      <c r="E152">
        <f>HYPERLINK("https://www.indeed.com/viewjob?jk=c79af6bd2c65b22d", "https://www.indeed.com/viewjob?jk=c79af6bd2c65b22d")</f>
        <v/>
      </c>
      <c r="F152">
        <f>HYPERLINK("https://www.amazon.jobs/jobs/3139033/applied-scientist-agi?cmpid=DA_INAD200785B", "https://www.amazon.jobs/jobs/3139033/applied-scientist-agi?cmpid=DA_INAD200785B")</f>
        <v/>
      </c>
      <c r="G152" t="inlineStr">
        <is>
          <t>Bellevue, WA, US</t>
        </is>
      </c>
      <c r="H152" s="3" t="n">
        <v>45998</v>
      </c>
      <c r="I15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in-db830bd58c9a1bf7</t>
        </is>
      </c>
      <c r="B153" t="inlineStr">
        <is>
          <t>Applied Scientist, AGI</t>
        </is>
      </c>
      <c r="C153" t="inlineStr">
        <is>
          <t>Amazon.com</t>
        </is>
      </c>
      <c r="D153" t="inlineStr">
        <is>
          <t>indeed</t>
        </is>
      </c>
      <c r="E153">
        <f>HYPERLINK("https://www.indeed.com/viewjob?jk=db830bd58c9a1bf7", "https://www.indeed.com/viewjob?jk=db830bd58c9a1bf7")</f>
        <v/>
      </c>
      <c r="F153">
        <f>HYPERLINK("https://www.amazon.jobs/jobs/3139033/applied-scientist-agi?cmpid=DA_INAD200785B", "https://www.amazon.jobs/jobs/3139033/applied-scientist-agi?cmpid=DA_INAD200785B")</f>
        <v/>
      </c>
      <c r="G153" t="inlineStr">
        <is>
          <t>New York, NY, US</t>
        </is>
      </c>
      <c r="H153" s="3" t="n">
        <v>45998</v>
      </c>
      <c r="I15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in-95b6124a23ea874e</t>
        </is>
      </c>
      <c r="B154" t="inlineStr">
        <is>
          <t>Applied Scientist, AGI</t>
        </is>
      </c>
      <c r="C154" t="inlineStr">
        <is>
          <t>Amazon.com</t>
        </is>
      </c>
      <c r="D154" t="inlineStr">
        <is>
          <t>indeed</t>
        </is>
      </c>
      <c r="E154">
        <f>HYPERLINK("https://www.indeed.com/viewjob?jk=95b6124a23ea874e", "https://www.indeed.com/viewjob?jk=95b6124a23ea874e")</f>
        <v/>
      </c>
      <c r="F154">
        <f>HYPERLINK("https://www.amazon.jobs/jobs/3139033/applied-scientist-agi?cmpid=DA_INAD200785B", "https://www.amazon.jobs/jobs/3139033/applied-scientist-agi?cmpid=DA_INAD200785B")</f>
        <v/>
      </c>
      <c r="G154" t="inlineStr">
        <is>
          <t>Sunnyvale, CA, US</t>
        </is>
      </c>
      <c r="H154" s="3" t="n">
        <v>45998</v>
      </c>
      <c r="I15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in-aca3da0f8720d493</t>
        </is>
      </c>
      <c r="B155" t="inlineStr">
        <is>
          <t>Applied Scientist, AGI</t>
        </is>
      </c>
      <c r="C155" t="inlineStr">
        <is>
          <t>Amazon.com</t>
        </is>
      </c>
      <c r="D155" t="inlineStr">
        <is>
          <t>indeed</t>
        </is>
      </c>
      <c r="E155">
        <f>HYPERLINK("https://www.indeed.com/viewjob?jk=aca3da0f8720d493", "https://www.indeed.com/viewjob?jk=aca3da0f8720d493")</f>
        <v/>
      </c>
      <c r="F155">
        <f>HYPERLINK("https://www.amazon.jobs/jobs/3139033/applied-scientist-agi?cmpid=DA_INAD200785B", "https://www.amazon.jobs/jobs/3139033/applied-scientist-agi?cmpid=DA_INAD200785B")</f>
        <v/>
      </c>
      <c r="G155" t="inlineStr">
        <is>
          <t>Cambridge, MA, US</t>
        </is>
      </c>
      <c r="H155" s="3" t="n">
        <v>45998</v>
      </c>
      <c r="I1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in-9790c39ea042d757</t>
        </is>
      </c>
      <c r="B156" t="inlineStr">
        <is>
          <t>Sr. Applied Scientist, Amazon Ads</t>
        </is>
      </c>
      <c r="C156" t="inlineStr">
        <is>
          <t>Amazon.com</t>
        </is>
      </c>
      <c r="D156" t="inlineStr">
        <is>
          <t>indeed</t>
        </is>
      </c>
      <c r="E156">
        <f>HYPERLINK("https://www.indeed.com/viewjob?jk=9790c39ea042d757", "https://www.indeed.com/viewjob?jk=9790c39ea042d757")</f>
        <v/>
      </c>
      <c r="F156">
        <f>HYPERLINK("https://www.amazon.jobs/jobs/3139328/sr-applied-scientist-amazon-ads?cmpid=DA_INAD200785B", "https://www.amazon.jobs/jobs/3139328/sr-applied-scientist-amazon-ads?cmpid=DA_INAD200785B")</f>
        <v/>
      </c>
      <c r="G156" t="inlineStr">
        <is>
          <t>Brooklyn, NY, US</t>
        </is>
      </c>
      <c r="H156" s="3"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in-4c90fb72e1bd7006</t>
        </is>
      </c>
      <c r="B157" t="inlineStr">
        <is>
          <t>Sr. Applied Scientist, Amazon Ads</t>
        </is>
      </c>
      <c r="C157" t="inlineStr">
        <is>
          <t>Amazon.com</t>
        </is>
      </c>
      <c r="D157" t="inlineStr">
        <is>
          <t>indeed</t>
        </is>
      </c>
      <c r="E157">
        <f>HYPERLINK("https://www.indeed.com/viewjob?jk=4c90fb72e1bd7006", "https://www.indeed.com/viewjob?jk=4c90fb72e1bd7006")</f>
        <v/>
      </c>
      <c r="F157">
        <f>HYPERLINK("https://www.amazon.jobs/jobs/3139328/sr-applied-scientist-amazon-ads?cmpid=DA_INAD200785B", "https://www.amazon.jobs/jobs/3139328/sr-applied-scientist-amazon-ads?cmpid=DA_INAD200785B")</f>
        <v/>
      </c>
      <c r="G157" t="inlineStr">
        <is>
          <t>Santa Monica, CA, US</t>
        </is>
      </c>
      <c r="H157" s="3"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in-263d377bb1cdcabc</t>
        </is>
      </c>
      <c r="B158" t="inlineStr">
        <is>
          <t>Sr. Applied Scientist, Amazon Ads</t>
        </is>
      </c>
      <c r="C158" t="inlineStr">
        <is>
          <t>Amazon.com</t>
        </is>
      </c>
      <c r="D158" t="inlineStr">
        <is>
          <t>indeed</t>
        </is>
      </c>
      <c r="E158">
        <f>HYPERLINK("https://www.indeed.com/viewjob?jk=263d377bb1cdcabc", "https://www.indeed.com/viewjob?jk=263d377bb1cdcabc")</f>
        <v/>
      </c>
      <c r="F158">
        <f>HYPERLINK("https://www.amazon.jobs/jobs/3139328/sr-applied-scientist-amazon-ads?cmpid=DA_INAD200785B", "https://www.amazon.jobs/jobs/3139328/sr-applied-scientist-amazon-ads?cmpid=DA_INAD200785B")</f>
        <v/>
      </c>
      <c r="G158" t="inlineStr">
        <is>
          <t>Boulder, CO, US</t>
        </is>
      </c>
      <c r="H158" s="3"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in-457b1a71b7c7dec6</t>
        </is>
      </c>
      <c r="B159" t="inlineStr">
        <is>
          <t>Sr. Applied Scientist, Amazon Ads</t>
        </is>
      </c>
      <c r="C159" t="inlineStr">
        <is>
          <t>Amazon.com</t>
        </is>
      </c>
      <c r="D159" t="inlineStr">
        <is>
          <t>indeed</t>
        </is>
      </c>
      <c r="E159">
        <f>HYPERLINK("https://www.indeed.com/viewjob?jk=457b1a71b7c7dec6", "https://www.indeed.com/viewjob?jk=457b1a71b7c7dec6")</f>
        <v/>
      </c>
      <c r="F159">
        <f>HYPERLINK("https://www.amazon.jobs/jobs/3139328/sr-applied-scientist-amazon-ads?cmpid=DA_INAD200785B", "https://www.amazon.jobs/jobs/3139328/sr-applied-scientist-amazon-ads?cmpid=DA_INAD200785B")</f>
        <v/>
      </c>
      <c r="G159" t="inlineStr">
        <is>
          <t>Tukwila, WA, US</t>
        </is>
      </c>
      <c r="H159" s="3"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in-1cd196abb999eb25</t>
        </is>
      </c>
      <c r="B160" t="inlineStr">
        <is>
          <t>Sr. Applied Scientist, Amazon Ads</t>
        </is>
      </c>
      <c r="C160" t="inlineStr">
        <is>
          <t>Amazon.com</t>
        </is>
      </c>
      <c r="D160" t="inlineStr">
        <is>
          <t>indeed</t>
        </is>
      </c>
      <c r="E160">
        <f>HYPERLINK("https://www.indeed.com/viewjob?jk=1cd196abb999eb25", "https://www.indeed.com/viewjob?jk=1cd196abb999eb25")</f>
        <v/>
      </c>
      <c r="F160">
        <f>HYPERLINK("https://www.amazon.jobs/jobs/3139328/sr-applied-scientist-amazon-ads?cmpid=DA_INAD200785B", "https://www.amazon.jobs/jobs/3139328/sr-applied-scientist-amazon-ads?cmpid=DA_INAD200785B")</f>
        <v/>
      </c>
      <c r="G160" t="inlineStr">
        <is>
          <t>New York, NY,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in-4dbce6a35777de4c</t>
        </is>
      </c>
      <c r="B161" t="inlineStr">
        <is>
          <t>Sr. Applied Scientist, Amazon Ads</t>
        </is>
      </c>
      <c r="C161" t="inlineStr">
        <is>
          <t>Amazon.com</t>
        </is>
      </c>
      <c r="D161" t="inlineStr">
        <is>
          <t>indeed</t>
        </is>
      </c>
      <c r="E161">
        <f>HYPERLINK("https://www.indeed.com/viewjob?jk=4dbce6a35777de4c", "https://www.indeed.com/viewjob?jk=4dbce6a35777de4c")</f>
        <v/>
      </c>
      <c r="F161">
        <f>HYPERLINK("https://www.amazon.jobs/jobs/3139328/sr-applied-scientist-amazon-ads?cmpid=DA_INAD200785B", "https://www.amazon.jobs/jobs/3139328/sr-applied-scientist-amazon-ads?cmpid=DA_INAD200785B")</f>
        <v/>
      </c>
      <c r="G161" t="inlineStr">
        <is>
          <t>Palo Alto, CA, US</t>
        </is>
      </c>
      <c r="H161" s="3"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in-e9d58eff121fed96</t>
        </is>
      </c>
      <c r="B162" t="inlineStr">
        <is>
          <t>Sr. Applied Scientist, Amazon Ads</t>
        </is>
      </c>
      <c r="C162" t="inlineStr">
        <is>
          <t>Amazon.com</t>
        </is>
      </c>
      <c r="D162" t="inlineStr">
        <is>
          <t>indeed</t>
        </is>
      </c>
      <c r="E162">
        <f>HYPERLINK("https://www.indeed.com/viewjob?jk=e9d58eff121fed96", "https://www.indeed.com/viewjob?jk=e9d58eff121fed96")</f>
        <v/>
      </c>
      <c r="F162">
        <f>HYPERLINK("https://www.amazon.jobs/jobs/3139328/sr-applied-scientist-amazon-ads?cmpid=DA_INAD200785B", "https://www.amazon.jobs/jobs/3139328/sr-applied-scientist-amazon-ads?cmpid=DA_INAD200785B")</f>
        <v/>
      </c>
      <c r="G162" t="inlineStr">
        <is>
          <t>Corvallis, OR, US</t>
        </is>
      </c>
      <c r="H162" s="3"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in-b9f8ba467730cc06</t>
        </is>
      </c>
      <c r="B163" t="inlineStr">
        <is>
          <t>Sr. Applied Scientist, Amazon Ads</t>
        </is>
      </c>
      <c r="C163" t="inlineStr">
        <is>
          <t>Amazon.com</t>
        </is>
      </c>
      <c r="D163" t="inlineStr">
        <is>
          <t>indeed</t>
        </is>
      </c>
      <c r="E163">
        <f>HYPERLINK("https://www.indeed.com/viewjob?jk=b9f8ba467730cc06", "https://www.indeed.com/viewjob?jk=b9f8ba467730cc06")</f>
        <v/>
      </c>
      <c r="F163">
        <f>HYPERLINK("https://www.amazon.jobs/jobs/3139328/sr-applied-scientist-amazon-ads?cmpid=DA_INAD200785B", "https://www.amazon.jobs/jobs/3139328/sr-applied-scientist-amazon-ads?cmpid=DA_INAD200785B")</f>
        <v/>
      </c>
      <c r="G163" t="inlineStr">
        <is>
          <t>Boston, MA, US</t>
        </is>
      </c>
      <c r="H163" s="3"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in-620cdd14d42af480</t>
        </is>
      </c>
      <c r="B164" t="inlineStr">
        <is>
          <t>Sr. Applied Scientist, Amazon Ads</t>
        </is>
      </c>
      <c r="C164" t="inlineStr">
        <is>
          <t>Amazon.com</t>
        </is>
      </c>
      <c r="D164" t="inlineStr">
        <is>
          <t>indeed</t>
        </is>
      </c>
      <c r="E164">
        <f>HYPERLINK("https://www.indeed.com/viewjob?jk=620cdd14d42af480", "https://www.indeed.com/viewjob?jk=620cdd14d42af480")</f>
        <v/>
      </c>
      <c r="F164">
        <f>HYPERLINK("https://www.amazon.jobs/jobs/3139328/sr-applied-scientist-amazon-ads?cmpid=DA_INAD200785B", "https://www.amazon.jobs/jobs/3139328/sr-applied-scientist-amazon-ads?cmpid=DA_INAD200785B")</f>
        <v/>
      </c>
      <c r="G164" t="inlineStr">
        <is>
          <t>Seattle, WA, US</t>
        </is>
      </c>
      <c r="H164" s="3"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in-61839769934c8637</t>
        </is>
      </c>
      <c r="B165" t="inlineStr">
        <is>
          <t>Sr. Applied Scientist, Amazon Ads</t>
        </is>
      </c>
      <c r="C165" t="inlineStr">
        <is>
          <t>Amazon.com</t>
        </is>
      </c>
      <c r="D165" t="inlineStr">
        <is>
          <t>indeed</t>
        </is>
      </c>
      <c r="E165">
        <f>HYPERLINK("https://www.indeed.com/viewjob?jk=61839769934c8637", "https://www.indeed.com/viewjob?jk=61839769934c8637")</f>
        <v/>
      </c>
      <c r="F165">
        <f>HYPERLINK("https://www.amazon.jobs/jobs/3139328/sr-applied-scientist-amazon-ads?cmpid=DA_INAD200785B", "https://www.amazon.jobs/jobs/3139328/sr-applied-scientist-amazon-ads?cmpid=DA_INAD200785B")</f>
        <v/>
      </c>
      <c r="G165" t="inlineStr">
        <is>
          <t>Sunnyvale, CA, US</t>
        </is>
      </c>
      <c r="H165" s="3"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in-d1472ae829b650cb</t>
        </is>
      </c>
      <c r="B166" t="inlineStr">
        <is>
          <t>Applied Scientist, ML Compiler</t>
        </is>
      </c>
      <c r="C166" t="inlineStr">
        <is>
          <t>Amazon Web Services</t>
        </is>
      </c>
      <c r="D166" t="inlineStr">
        <is>
          <t>indeed</t>
        </is>
      </c>
      <c r="E166">
        <f>HYPERLINK("https://www.indeed.com/viewjob?jk=d1472ae829b650cb", "https://www.indeed.com/viewjob?jk=d1472ae829b650cb")</f>
        <v/>
      </c>
      <c r="F166">
        <f>HYPERLINK("https://www.amazon.jobs/jobs/3136884/applied-scientist-ml-compiler?cmpid=DA_INAD200785B", "https://www.amazon.jobs/jobs/3136884/applied-scientist-ml-compiler?cmpid=DA_INAD200785B")</f>
        <v/>
      </c>
      <c r="G166" t="inlineStr">
        <is>
          <t>Seattle, WA, US</t>
        </is>
      </c>
      <c r="H166" s="3" t="n">
        <v>45993</v>
      </c>
      <c r="I166"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in-e1ed2c4fae5ceadf</t>
        </is>
      </c>
      <c r="B167" t="inlineStr">
        <is>
          <t>Applied Scientist, ML Compiler</t>
        </is>
      </c>
      <c r="C167" t="inlineStr">
        <is>
          <t>Amazon Web Services</t>
        </is>
      </c>
      <c r="D167" t="inlineStr">
        <is>
          <t>indeed</t>
        </is>
      </c>
      <c r="E167">
        <f>HYPERLINK("https://www.indeed.com/viewjob?jk=e1ed2c4fae5ceadf", "https://www.indeed.com/viewjob?jk=e1ed2c4fae5ceadf")</f>
        <v/>
      </c>
      <c r="F167">
        <f>HYPERLINK("https://www.amazon.jobs/jobs/3136884/applied-scientist-ml-compiler?cmpid=DA_INAD200785B", "https://www.amazon.jobs/jobs/3136884/applied-scientist-ml-compiler?cmpid=DA_INAD200785B")</f>
        <v/>
      </c>
      <c r="G167" t="inlineStr">
        <is>
          <t>Cupertino, CA, US</t>
        </is>
      </c>
      <c r="H167" s="3" t="n">
        <v>45993</v>
      </c>
      <c r="I167"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in-718732feaaefd006</t>
        </is>
      </c>
      <c r="B168" t="inlineStr">
        <is>
          <t>Sr. Applied Scientist, Sponsored Products and Brands Off-Search</t>
        </is>
      </c>
      <c r="C168" t="inlineStr">
        <is>
          <t>Amazon.com</t>
        </is>
      </c>
      <c r="D168" t="inlineStr">
        <is>
          <t>indeed</t>
        </is>
      </c>
      <c r="E168">
        <f>HYPERLINK("https://www.indeed.com/viewjob?jk=718732feaaefd006", "https://www.indeed.com/viewjob?jk=718732feaaefd006")</f>
        <v/>
      </c>
      <c r="F168">
        <f>HYPERLINK("https://www.amazon.jobs/jobs/3136934/sr-applied-scientist-sponsored-products-and-brands-offsearch?cmpid=DA_INAD200785B", "https://www.amazon.jobs/jobs/3136934/sr-applied-scientist-sponsored-products-and-brands-offsearch?cmpid=DA_INAD200785B")</f>
        <v/>
      </c>
      <c r="G168" t="inlineStr">
        <is>
          <t>New York, NY, US</t>
        </is>
      </c>
      <c r="H168" s="3" t="n">
        <v>45993</v>
      </c>
      <c r="I16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in-ec3310e1dfd5f28b</t>
        </is>
      </c>
      <c r="B169" t="inlineStr">
        <is>
          <t>Sr. Applied Scientist, Sponsored Products and Brands Off-Search</t>
        </is>
      </c>
      <c r="C169" t="inlineStr">
        <is>
          <t>Amazon.com</t>
        </is>
      </c>
      <c r="D169" t="inlineStr">
        <is>
          <t>indeed</t>
        </is>
      </c>
      <c r="E169">
        <f>HYPERLINK("https://www.indeed.com/viewjob?jk=ec3310e1dfd5f28b", "https://www.indeed.com/viewjob?jk=ec3310e1dfd5f28b")</f>
        <v/>
      </c>
      <c r="F169">
        <f>HYPERLINK("https://www.amazon.jobs/jobs/3136934/sr-applied-scientist-sponsored-products-and-brands-offsearch?cmpid=DA_INAD200785B", "https://www.amazon.jobs/jobs/3136934/sr-applied-scientist-sponsored-products-and-brands-offsearch?cmpid=DA_INAD200785B")</f>
        <v/>
      </c>
      <c r="G169" t="inlineStr">
        <is>
          <t>Seattle, WA, US</t>
        </is>
      </c>
      <c r="H169" s="3" t="n">
        <v>45993</v>
      </c>
      <c r="I16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in-bb107bd7ca87587e</t>
        </is>
      </c>
      <c r="B170" t="inlineStr">
        <is>
          <t>Sr. Machine Learning Engineer, AGIF | Finetuning</t>
        </is>
      </c>
      <c r="C170" t="inlineStr">
        <is>
          <t>Amazon.com</t>
        </is>
      </c>
      <c r="D170" t="inlineStr">
        <is>
          <t>indeed</t>
        </is>
      </c>
      <c r="E170">
        <f>HYPERLINK("https://www.indeed.com/viewjob?jk=bb107bd7ca87587e", "https://www.indeed.com/viewjob?jk=bb107bd7ca87587e")</f>
        <v/>
      </c>
      <c r="F170">
        <f>HYPERLINK("https://www.amazon.jobs/jobs/3145989/sr-machine-learning-engineer-agif--finetuning?cmpid=DA_INAD200785B", "https://www.amazon.jobs/jobs/3145989/sr-machine-learning-engineer-agif--finetuning?cmpid=DA_INAD200785B")</f>
        <v/>
      </c>
      <c r="G170" t="inlineStr">
        <is>
          <t>New York, NY, US</t>
        </is>
      </c>
      <c r="H170" s="3" t="n">
        <v>45984</v>
      </c>
      <c r="I17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in-4358cd0134a16202</t>
        </is>
      </c>
      <c r="B171" t="inlineStr">
        <is>
          <t>Sr. Machine Learning Engineer, AGIF | Finetuning</t>
        </is>
      </c>
      <c r="C171" t="inlineStr">
        <is>
          <t>Amazon.com</t>
        </is>
      </c>
      <c r="D171" t="inlineStr">
        <is>
          <t>indeed</t>
        </is>
      </c>
      <c r="E171">
        <f>HYPERLINK("https://www.indeed.com/viewjob?jk=4358cd0134a16202", "https://www.indeed.com/viewjob?jk=4358cd0134a16202")</f>
        <v/>
      </c>
      <c r="F171">
        <f>HYPERLINK("https://www.amazon.jobs/jobs/3145989/sr-machine-learning-engineer-agif--finetuning?cmpid=DA_INAD200785B", "https://www.amazon.jobs/jobs/3145989/sr-machine-learning-engineer-agif--finetuning?cmpid=DA_INAD200785B")</f>
        <v/>
      </c>
      <c r="G171" t="inlineStr">
        <is>
          <t>Sunnyvale, CA, US</t>
        </is>
      </c>
      <c r="H171" s="3" t="n">
        <v>45984</v>
      </c>
      <c r="I17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in-6677a485160a5017</t>
        </is>
      </c>
      <c r="B172" t="inlineStr">
        <is>
          <t>Sr. Machine Learning Engineer, AGIF | Finetuning</t>
        </is>
      </c>
      <c r="C172" t="inlineStr">
        <is>
          <t>Amazon.com</t>
        </is>
      </c>
      <c r="D172" t="inlineStr">
        <is>
          <t>indeed</t>
        </is>
      </c>
      <c r="E172">
        <f>HYPERLINK("https://www.indeed.com/viewjob?jk=6677a485160a5017", "https://www.indeed.com/viewjob?jk=6677a485160a5017")</f>
        <v/>
      </c>
      <c r="F172">
        <f>HYPERLINK("https://www.amazon.jobs/jobs/3145989/sr-machine-learning-engineer-agif--finetuning?cmpid=DA_INAD200785B", "https://www.amazon.jobs/jobs/3145989/sr-machine-learning-engineer-agif--finetuning?cmpid=DA_INAD200785B")</f>
        <v/>
      </c>
      <c r="G172" t="inlineStr">
        <is>
          <t>Bellevue, WA, US</t>
        </is>
      </c>
      <c r="H172" s="3" t="n">
        <v>45984</v>
      </c>
      <c r="I17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in-70108fbf14377aa2</t>
        </is>
      </c>
      <c r="B173" t="inlineStr">
        <is>
          <t>Principal Applied Scientist, Amazon Special Projects</t>
        </is>
      </c>
      <c r="C173" t="inlineStr">
        <is>
          <t>Amazon.com</t>
        </is>
      </c>
      <c r="D173" t="inlineStr">
        <is>
          <t>indeed</t>
        </is>
      </c>
      <c r="E173">
        <f>HYPERLINK("https://www.indeed.com/viewjob?jk=70108fbf14377aa2", "https://www.indeed.com/viewjob?jk=70108fbf14377aa2")</f>
        <v/>
      </c>
      <c r="F173">
        <f>HYPERLINK("https://www.amazon.jobs/jobs/3132566/principal-applied-scientist-amazon-special-projects?cmpid=DA_INAD200785B", "https://www.amazon.jobs/jobs/3132566/principal-applied-scientist-amazon-special-projects?cmpid=DA_INAD200785B")</f>
        <v/>
      </c>
      <c r="G173" t="inlineStr">
        <is>
          <t>Seattle, WA, US</t>
        </is>
      </c>
      <c r="H173" s="3" t="n">
        <v>45982</v>
      </c>
      <c r="I17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in-dc867e1f1f2e0a0a</t>
        </is>
      </c>
      <c r="B174" t="inlineStr">
        <is>
          <t>Principal Applied Scientist, Amazon Special Projects</t>
        </is>
      </c>
      <c r="C174" t="inlineStr">
        <is>
          <t>Amazon.com</t>
        </is>
      </c>
      <c r="D174" t="inlineStr">
        <is>
          <t>indeed</t>
        </is>
      </c>
      <c r="E174">
        <f>HYPERLINK("https://www.indeed.com/viewjob?jk=dc867e1f1f2e0a0a", "https://www.indeed.com/viewjob?jk=dc867e1f1f2e0a0a")</f>
        <v/>
      </c>
      <c r="F174">
        <f>HYPERLINK("https://www.amazon.jobs/jobs/3132566/principal-applied-scientist-amazon-special-projects?cmpid=DA_INAD200785B", "https://www.amazon.jobs/jobs/3132566/principal-applied-scientist-amazon-special-projects?cmpid=DA_INAD200785B")</f>
        <v/>
      </c>
      <c r="G174" t="inlineStr">
        <is>
          <t>Boston, MA, US</t>
        </is>
      </c>
      <c r="H174" s="3" t="n">
        <v>45982</v>
      </c>
      <c r="I17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in-ec183bbdc93c6874</t>
        </is>
      </c>
      <c r="B175" t="inlineStr">
        <is>
          <t>Sr. Applied Scientist, SPB Advertiser Guidance</t>
        </is>
      </c>
      <c r="C175" t="inlineStr">
        <is>
          <t>Amazon.com</t>
        </is>
      </c>
      <c r="D175" t="inlineStr">
        <is>
          <t>indeed</t>
        </is>
      </c>
      <c r="E175">
        <f>HYPERLINK("https://www.indeed.com/viewjob?jk=ec183bbdc93c6874", "https://www.indeed.com/viewjob?jk=ec183bbdc93c6874")</f>
        <v/>
      </c>
      <c r="F175">
        <f>HYPERLINK("https://www.amazon.jobs/jobs/3132336/sr-applied-scientist-spb-advertiser-guidance?cmpid=DA_INAD200785B", "https://www.amazon.jobs/jobs/3132336/sr-applied-scientist-spb-advertiser-guidance?cmpid=DA_INAD200785B")</f>
        <v/>
      </c>
      <c r="G175" t="inlineStr">
        <is>
          <t>Palo Alto, CA, US</t>
        </is>
      </c>
      <c r="H175" s="3" t="n">
        <v>45981</v>
      </c>
      <c r="I1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in-a2715c9130b20671</t>
        </is>
      </c>
      <c r="B176" t="inlineStr">
        <is>
          <t>Sr. Applied Scientist, SPB Advertiser Guidance</t>
        </is>
      </c>
      <c r="C176" t="inlineStr">
        <is>
          <t>Amazon.com</t>
        </is>
      </c>
      <c r="D176" t="inlineStr">
        <is>
          <t>indeed</t>
        </is>
      </c>
      <c r="E176">
        <f>HYPERLINK("https://www.indeed.com/viewjob?jk=a2715c9130b20671", "https://www.indeed.com/viewjob?jk=a2715c9130b20671")</f>
        <v/>
      </c>
      <c r="F176">
        <f>HYPERLINK("https://www.amazon.jobs/jobs/3132336/sr-applied-scientist-spb-advertiser-guidance?cmpid=DA_INAD200785B", "https://www.amazon.jobs/jobs/3132336/sr-applied-scientist-spb-advertiser-guidance?cmpid=DA_INAD200785B")</f>
        <v/>
      </c>
      <c r="G176" t="inlineStr">
        <is>
          <t>New York, NY, US</t>
        </is>
      </c>
      <c r="H176" s="3" t="n">
        <v>45981</v>
      </c>
      <c r="I1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in-36e35e750babc251</t>
        </is>
      </c>
      <c r="B177" t="inlineStr">
        <is>
          <t>Sr. Applied Scientist, SPB Advertiser Guidance</t>
        </is>
      </c>
      <c r="C177" t="inlineStr">
        <is>
          <t>Amazon.com</t>
        </is>
      </c>
      <c r="D177" t="inlineStr">
        <is>
          <t>indeed</t>
        </is>
      </c>
      <c r="E177">
        <f>HYPERLINK("https://www.indeed.com/viewjob?jk=36e35e750babc251", "https://www.indeed.com/viewjob?jk=36e35e750babc251")</f>
        <v/>
      </c>
      <c r="F177">
        <f>HYPERLINK("https://www.amazon.jobs/jobs/3132336/sr-applied-scientist-spb-advertiser-guidance?cmpid=DA_INAD200785B", "https://www.amazon.jobs/jobs/3132336/sr-applied-scientist-spb-advertiser-guidance?cmpid=DA_INAD200785B")</f>
        <v/>
      </c>
      <c r="G177" t="inlineStr">
        <is>
          <t>Seattle, WA, US</t>
        </is>
      </c>
      <c r="H177" s="3" t="n">
        <v>45981</v>
      </c>
      <c r="I1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in-6cf1e572214860c3</t>
        </is>
      </c>
      <c r="B178" t="inlineStr">
        <is>
          <t>Senior Applied Scientist, Artificial General Intelligence</t>
        </is>
      </c>
      <c r="C178" t="inlineStr">
        <is>
          <t>Amazon.com</t>
        </is>
      </c>
      <c r="D178" t="inlineStr">
        <is>
          <t>indeed</t>
        </is>
      </c>
      <c r="E178">
        <f>HYPERLINK("https://www.indeed.com/viewjob?jk=6cf1e572214860c3", "https://www.indeed.com/viewjob?jk=6cf1e572214860c3")</f>
        <v/>
      </c>
      <c r="F178">
        <f>HYPERLINK("https://www.amazon.jobs/jobs/3131971/senior-applied-scientist-artificial-general-intelligence?cmpid=DA_INAD200785B", "https://www.amazon.jobs/jobs/3131971/senior-applied-scientist-artificial-general-intelligence?cmpid=DA_INAD200785B")</f>
        <v/>
      </c>
      <c r="G178" t="inlineStr">
        <is>
          <t>Boston, MA, US</t>
        </is>
      </c>
      <c r="H178" s="3" t="n">
        <v>45980</v>
      </c>
      <c r="I17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in-6a478c0ff481e1eb</t>
        </is>
      </c>
      <c r="B179" t="inlineStr">
        <is>
          <t>Senior Applied Scientist, Artificial General Intelligence</t>
        </is>
      </c>
      <c r="C179" t="inlineStr">
        <is>
          <t>Amazon.com</t>
        </is>
      </c>
      <c r="D179" t="inlineStr">
        <is>
          <t>indeed</t>
        </is>
      </c>
      <c r="E179">
        <f>HYPERLINK("https://www.indeed.com/viewjob?jk=6a478c0ff481e1eb", "https://www.indeed.com/viewjob?jk=6a478c0ff481e1eb")</f>
        <v/>
      </c>
      <c r="F179">
        <f>HYPERLINK("https://www.amazon.jobs/jobs/3131971/senior-applied-scientist-artificial-general-intelligence?cmpid=DA_INAD200785B", "https://www.amazon.jobs/jobs/3131971/senior-applied-scientist-artificial-general-intelligence?cmpid=DA_INAD200785B")</f>
        <v/>
      </c>
      <c r="G179" t="inlineStr">
        <is>
          <t>Seattle, WA, US</t>
        </is>
      </c>
      <c r="H179" s="3" t="n">
        <v>45980</v>
      </c>
      <c r="I17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in-ce1a32ffe528c8e4</t>
        </is>
      </c>
      <c r="B180" t="inlineStr">
        <is>
          <t>Senior Applied Scientist, Artificial General Intelligence</t>
        </is>
      </c>
      <c r="C180" t="inlineStr">
        <is>
          <t>Amazon.com</t>
        </is>
      </c>
      <c r="D180" t="inlineStr">
        <is>
          <t>indeed</t>
        </is>
      </c>
      <c r="E180">
        <f>HYPERLINK("https://www.indeed.com/viewjob?jk=ce1a32ffe528c8e4", "https://www.indeed.com/viewjob?jk=ce1a32ffe528c8e4")</f>
        <v/>
      </c>
      <c r="F180">
        <f>HYPERLINK("https://www.amazon.jobs/jobs/3131971/senior-applied-scientist-artificial-general-intelligence?cmpid=DA_INAD200785B", "https://www.amazon.jobs/jobs/3131971/senior-applied-scientist-artificial-general-intelligence?cmpid=DA_INAD200785B")</f>
        <v/>
      </c>
      <c r="G180" t="inlineStr">
        <is>
          <t>Sunnyvale, CA, US</t>
        </is>
      </c>
      <c r="H180" s="3" t="n">
        <v>45980</v>
      </c>
      <c r="I18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in-9009e90f30a49eb5</t>
        </is>
      </c>
      <c r="B181" t="inlineStr">
        <is>
          <t>Senior Applied Scientist, Artificial General Intelligence</t>
        </is>
      </c>
      <c r="C181" t="inlineStr">
        <is>
          <t>Amazon.com</t>
        </is>
      </c>
      <c r="D181" t="inlineStr">
        <is>
          <t>indeed</t>
        </is>
      </c>
      <c r="E181">
        <f>HYPERLINK("https://www.indeed.com/viewjob?jk=9009e90f30a49eb5", "https://www.indeed.com/viewjob?jk=9009e90f30a49eb5")</f>
        <v/>
      </c>
      <c r="F181">
        <f>HYPERLINK("https://www.amazon.jobs/jobs/3131971/senior-applied-scientist-artificial-general-intelligence?cmpid=DA_INAD200785B", "https://www.amazon.jobs/jobs/3131971/senior-applied-scientist-artificial-general-intelligence?cmpid=DA_INAD200785B")</f>
        <v/>
      </c>
      <c r="G181" t="inlineStr">
        <is>
          <t>New York, NY, US</t>
        </is>
      </c>
      <c r="H181" s="3" t="n">
        <v>45980</v>
      </c>
      <c r="I18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in-2c4d65c767991060</t>
        </is>
      </c>
      <c r="B182" t="inlineStr">
        <is>
          <t>Applied Scientist II, SPB Advertiser Guidance</t>
        </is>
      </c>
      <c r="C182" t="inlineStr">
        <is>
          <t>Amazon.com</t>
        </is>
      </c>
      <c r="D182" t="inlineStr">
        <is>
          <t>indeed</t>
        </is>
      </c>
      <c r="E182">
        <f>HYPERLINK("https://www.indeed.com/viewjob?jk=2c4d65c767991060", "https://www.indeed.com/viewjob?jk=2c4d65c767991060")</f>
        <v/>
      </c>
      <c r="F182">
        <f>HYPERLINK("https://www.amazon.jobs/jobs/3131876/applied-scientist-ii-spb-advertiser-guidance?cmpid=DA_INAD200785B", "https://www.amazon.jobs/jobs/3131876/applied-scientist-ii-spb-advertiser-guidance?cmpid=DA_INAD200785B")</f>
        <v/>
      </c>
      <c r="G182" t="inlineStr">
        <is>
          <t>New York, NY, US</t>
        </is>
      </c>
      <c r="H182" s="3" t="n">
        <v>45980</v>
      </c>
      <c r="I1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in-543f3a6889909d92</t>
        </is>
      </c>
      <c r="B183" t="inlineStr">
        <is>
          <t>Applied Scientist II, SPB Advertiser Guidance</t>
        </is>
      </c>
      <c r="C183" t="inlineStr">
        <is>
          <t>Amazon.com</t>
        </is>
      </c>
      <c r="D183" t="inlineStr">
        <is>
          <t>indeed</t>
        </is>
      </c>
      <c r="E183">
        <f>HYPERLINK("https://www.indeed.com/viewjob?jk=543f3a6889909d92", "https://www.indeed.com/viewjob?jk=543f3a6889909d92")</f>
        <v/>
      </c>
      <c r="F183">
        <f>HYPERLINK("https://www.amazon.jobs/jobs/3131876/applied-scientist-ii-spb-advertiser-guidance?cmpid=DA_INAD200785B", "https://www.amazon.jobs/jobs/3131876/applied-scientist-ii-spb-advertiser-guidance?cmpid=DA_INAD200785B")</f>
        <v/>
      </c>
      <c r="G183" t="inlineStr">
        <is>
          <t>Palo Alto, CA, US</t>
        </is>
      </c>
      <c r="H183" s="3" t="n">
        <v>45980</v>
      </c>
      <c r="I1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in-70ace315ca86dae3</t>
        </is>
      </c>
      <c r="B184" t="inlineStr">
        <is>
          <t>Applied Scientist II, SPB Advertiser Guidance</t>
        </is>
      </c>
      <c r="C184" t="inlineStr">
        <is>
          <t>Amazon.com</t>
        </is>
      </c>
      <c r="D184" t="inlineStr">
        <is>
          <t>indeed</t>
        </is>
      </c>
      <c r="E184">
        <f>HYPERLINK("https://www.indeed.com/viewjob?jk=70ace315ca86dae3", "https://www.indeed.com/viewjob?jk=70ace315ca86dae3")</f>
        <v/>
      </c>
      <c r="F184">
        <f>HYPERLINK("https://www.amazon.jobs/jobs/3131876/applied-scientist-ii-spb-advertiser-guidance?cmpid=DA_INAD200785B", "https://www.amazon.jobs/jobs/3131876/applied-scientist-ii-spb-advertiser-guidance?cmpid=DA_INAD200785B")</f>
        <v/>
      </c>
      <c r="G184" t="inlineStr">
        <is>
          <t>Seattle, WA, US</t>
        </is>
      </c>
      <c r="H184" s="3" t="n">
        <v>45980</v>
      </c>
      <c r="I1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in-6925fc4a87492bee</t>
        </is>
      </c>
      <c r="B185" t="inlineStr">
        <is>
          <t>Principal Applied Scientist, Sponsored Products and Brands</t>
        </is>
      </c>
      <c r="C185" t="inlineStr">
        <is>
          <t>Amazon.com</t>
        </is>
      </c>
      <c r="D185" t="inlineStr">
        <is>
          <t>indeed</t>
        </is>
      </c>
      <c r="E185">
        <f>HYPERLINK("https://www.indeed.com/viewjob?jk=6925fc4a87492bee", "https://www.indeed.com/viewjob?jk=6925fc4a87492bee")</f>
        <v/>
      </c>
      <c r="F185">
        <f>HYPERLINK("https://www.amazon.jobs/jobs/3130855/principal-applied-scientist-sponsored-products-and-brands?cmpid=DA_INAD200785B", "https://www.amazon.jobs/jobs/3130855/principal-applied-scientist-sponsored-products-and-brands?cmpid=DA_INAD200785B")</f>
        <v/>
      </c>
      <c r="G185" t="inlineStr">
        <is>
          <t>New York, NY, US</t>
        </is>
      </c>
      <c r="H185" s="3" t="n">
        <v>45979</v>
      </c>
      <c r="I18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in-efbae194cf61d0b7</t>
        </is>
      </c>
      <c r="B186" t="inlineStr">
        <is>
          <t>Principal Applied Scientist, Sponsored Products and Brands</t>
        </is>
      </c>
      <c r="C186" t="inlineStr">
        <is>
          <t>Amazon.com</t>
        </is>
      </c>
      <c r="D186" t="inlineStr">
        <is>
          <t>indeed</t>
        </is>
      </c>
      <c r="E186">
        <f>HYPERLINK("https://www.indeed.com/viewjob?jk=efbae194cf61d0b7", "https://www.indeed.com/viewjob?jk=efbae194cf61d0b7")</f>
        <v/>
      </c>
      <c r="F186">
        <f>HYPERLINK("https://www.amazon.jobs/jobs/3130855/principal-applied-scientist-sponsored-products-and-brands?cmpid=DA_INAD200785B", "https://www.amazon.jobs/jobs/3130855/principal-applied-scientist-sponsored-products-and-brands?cmpid=DA_INAD200785B")</f>
        <v/>
      </c>
      <c r="G186" t="inlineStr">
        <is>
          <t>Seattle, WA, US</t>
        </is>
      </c>
      <c r="H186" s="3" t="n">
        <v>45979</v>
      </c>
      <c r="I18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in-86c9e5e3443bc33b</t>
        </is>
      </c>
      <c r="B187" t="inlineStr">
        <is>
          <t>Sr. Applied Scientist, AGI Foundations</t>
        </is>
      </c>
      <c r="C187" t="inlineStr">
        <is>
          <t>Amazon.com</t>
        </is>
      </c>
      <c r="D187" t="inlineStr">
        <is>
          <t>indeed</t>
        </is>
      </c>
      <c r="E187">
        <f>HYPERLINK("https://www.indeed.com/viewjob?jk=86c9e5e3443bc33b", "https://www.indeed.com/viewjob?jk=86c9e5e3443bc33b")</f>
        <v/>
      </c>
      <c r="F187">
        <f>HYPERLINK("https://www.amazon.jobs/jobs/3128807/sr-applied-scientist-agi-foundations?cmpid=DA_INAD200785B", "https://www.amazon.jobs/jobs/3128807/sr-applied-scientist-agi-foundations?cmpid=DA_INAD200785B")</f>
        <v/>
      </c>
      <c r="G187" t="inlineStr">
        <is>
          <t>Boston, MA, US</t>
        </is>
      </c>
      <c r="H187" s="3" t="n">
        <v>45978</v>
      </c>
      <c r="I18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in-840f425e6be7ce91</t>
        </is>
      </c>
      <c r="B188" t="inlineStr">
        <is>
          <t>Sr. Applied Scientist, AGI Foundations</t>
        </is>
      </c>
      <c r="C188" t="inlineStr">
        <is>
          <t>Amazon.com</t>
        </is>
      </c>
      <c r="D188" t="inlineStr">
        <is>
          <t>indeed</t>
        </is>
      </c>
      <c r="E188">
        <f>HYPERLINK("https://www.indeed.com/viewjob?jk=840f425e6be7ce91", "https://www.indeed.com/viewjob?jk=840f425e6be7ce91")</f>
        <v/>
      </c>
      <c r="F188">
        <f>HYPERLINK("https://www.amazon.jobs/jobs/3128807/sr-applied-scientist-agi-foundations?cmpid=DA_INAD200785B", "https://www.amazon.jobs/jobs/3128807/sr-applied-scientist-agi-foundations?cmpid=DA_INAD200785B")</f>
        <v/>
      </c>
      <c r="G188" t="inlineStr">
        <is>
          <t>Bellevue, WA, US</t>
        </is>
      </c>
      <c r="H188" s="3" t="n">
        <v>45978</v>
      </c>
      <c r="I18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in-5943b0cc557a4c1a</t>
        </is>
      </c>
      <c r="B189" t="inlineStr">
        <is>
          <t>Sr. Applied Scientist, AGI Foundations</t>
        </is>
      </c>
      <c r="C189" t="inlineStr">
        <is>
          <t>Amazon.com</t>
        </is>
      </c>
      <c r="D189" t="inlineStr">
        <is>
          <t>indeed</t>
        </is>
      </c>
      <c r="E189">
        <f>HYPERLINK("https://www.indeed.com/viewjob?jk=5943b0cc557a4c1a", "https://www.indeed.com/viewjob?jk=5943b0cc557a4c1a")</f>
        <v/>
      </c>
      <c r="F189">
        <f>HYPERLINK("https://www.amazon.jobs/jobs/3128807/sr-applied-scientist-agi-foundations?cmpid=DA_INAD200785B", "https://www.amazon.jobs/jobs/3128807/sr-applied-scientist-agi-foundations?cmpid=DA_INAD200785B")</f>
        <v/>
      </c>
      <c r="G189" t="inlineStr">
        <is>
          <t>Sunnyvale, CA, US</t>
        </is>
      </c>
      <c r="H189" s="3" t="n">
        <v>45978</v>
      </c>
      <c r="I18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in-cd43de8af5a68b02</t>
        </is>
      </c>
      <c r="B190" t="inlineStr">
        <is>
          <t>Sr. Applied Scientist, Prime Video - Personalization and Discovery Science</t>
        </is>
      </c>
      <c r="C190" t="inlineStr">
        <is>
          <t>Amazon.com</t>
        </is>
      </c>
      <c r="D190" t="inlineStr">
        <is>
          <t>indeed</t>
        </is>
      </c>
      <c r="E190">
        <f>HYPERLINK("https://www.indeed.com/viewjob?jk=cd43de8af5a68b02", "https://www.indeed.com/viewjob?jk=cd43de8af5a68b02")</f>
        <v/>
      </c>
      <c r="F190">
        <f>HYPERLINK("https://www.amazon.jobs/jobs/3134486/sr-applied-scientist-prime-video--personalization-and-discovery-science?cmpid=DA_INAD200785B", "https://www.amazon.jobs/jobs/3134486/sr-applied-scientist-prime-video--personalization-and-discovery-science?cmpid=DA_INAD200785B")</f>
        <v/>
      </c>
      <c r="G190" t="inlineStr">
        <is>
          <t>Seattle, WA, US</t>
        </is>
      </c>
      <c r="H190" s="3" t="n">
        <v>45969</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in-ba908f15a43b3aeb</t>
        </is>
      </c>
      <c r="B191" t="inlineStr">
        <is>
          <t>Sr. Applied Scientist, Prime Video - Personalization and Discovery Science</t>
        </is>
      </c>
      <c r="C191" t="inlineStr">
        <is>
          <t>Amazon.com</t>
        </is>
      </c>
      <c r="D191" t="inlineStr">
        <is>
          <t>indeed</t>
        </is>
      </c>
      <c r="E191">
        <f>HYPERLINK("https://www.indeed.com/viewjob?jk=ba908f15a43b3aeb", "https://www.indeed.com/viewjob?jk=ba908f15a43b3aeb")</f>
        <v/>
      </c>
      <c r="F191">
        <f>HYPERLINK("https://www.amazon.jobs/jobs/3134486/sr-applied-scientist-prime-video--personalization-and-discovery-science?cmpid=DA_INAD200785B", "https://www.amazon.jobs/jobs/3134486/sr-applied-scientist-prime-video--personalization-and-discovery-science?cmpid=DA_INAD200785B")</f>
        <v/>
      </c>
      <c r="G191" t="inlineStr">
        <is>
          <t>New York, NY, US</t>
        </is>
      </c>
      <c r="H191" s="3" t="n">
        <v>45969</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in-ef0a52c33e5f35af</t>
        </is>
      </c>
      <c r="B192" t="inlineStr">
        <is>
          <t>Sr. Applied Scientist, Prime Video - Personalization and Discovery Science</t>
        </is>
      </c>
      <c r="C192" t="inlineStr">
        <is>
          <t>Amazon.com</t>
        </is>
      </c>
      <c r="D192" t="inlineStr">
        <is>
          <t>indeed</t>
        </is>
      </c>
      <c r="E192">
        <f>HYPERLINK("https://www.indeed.com/viewjob?jk=ef0a52c33e5f35af", "https://www.indeed.com/viewjob?jk=ef0a52c33e5f35af")</f>
        <v/>
      </c>
      <c r="F192">
        <f>HYPERLINK("https://www.amazon.jobs/jobs/3134486/sr-applied-scientist-prime-video--personalization-and-discovery-science?cmpid=DA_INAD200785B", "https://www.amazon.jobs/jobs/3134486/sr-applied-scientist-prime-video--personalization-and-discovery-science?cmpid=DA_INAD200785B")</f>
        <v/>
      </c>
      <c r="G192" t="inlineStr">
        <is>
          <t>Sunnyvale, CA, US</t>
        </is>
      </c>
      <c r="H192" s="3" t="n">
        <v>45969</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in-0ce6e0fef04891fa</t>
        </is>
      </c>
      <c r="B193" t="inlineStr">
        <is>
          <t>Principal Applied Scientist, Amazon AGI</t>
        </is>
      </c>
      <c r="C193" t="inlineStr">
        <is>
          <t>Amazon.com</t>
        </is>
      </c>
      <c r="D193" t="inlineStr">
        <is>
          <t>indeed</t>
        </is>
      </c>
      <c r="E193">
        <f>HYPERLINK("https://www.indeed.com/viewjob?jk=0ce6e0fef04891fa", "https://www.indeed.com/viewjob?jk=0ce6e0fef04891fa")</f>
        <v/>
      </c>
      <c r="F193">
        <f>HYPERLINK("https://www.amazon.jobs/jobs/3128808/principal-applied-scientist-amazon-agi?cmpid=DA_INAD200785B", "https://www.amazon.jobs/jobs/3128808/principal-applied-scientist-amazon-agi?cmpid=DA_INAD200785B")</f>
        <v/>
      </c>
      <c r="G193" t="inlineStr">
        <is>
          <t>San Francisco, CA, US</t>
        </is>
      </c>
      <c r="H193" s="3" t="n">
        <v>45964</v>
      </c>
      <c r="I19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in-7864f8bcb7a7bef2</t>
        </is>
      </c>
      <c r="B194" t="inlineStr">
        <is>
          <t>Principal Applied Scientist, Amazon AGI</t>
        </is>
      </c>
      <c r="C194" t="inlineStr">
        <is>
          <t>Amazon.com</t>
        </is>
      </c>
      <c r="D194" t="inlineStr">
        <is>
          <t>indeed</t>
        </is>
      </c>
      <c r="E194">
        <f>HYPERLINK("https://www.indeed.com/viewjob?jk=7864f8bcb7a7bef2", "https://www.indeed.com/viewjob?jk=7864f8bcb7a7bef2")</f>
        <v/>
      </c>
      <c r="F194">
        <f>HYPERLINK("https://www.amazon.jobs/jobs/3128808/principal-applied-scientist-amazon-agi?cmpid=DA_INAD200785B", "https://www.amazon.jobs/jobs/3128808/principal-applied-scientist-amazon-agi?cmpid=DA_INAD200785B")</f>
        <v/>
      </c>
      <c r="G194" t="inlineStr">
        <is>
          <t>Boston, MA, US</t>
        </is>
      </c>
      <c r="H194" s="3" t="n">
        <v>45964</v>
      </c>
      <c r="I19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in-826eb2c184f177c0</t>
        </is>
      </c>
      <c r="B195" t="inlineStr">
        <is>
          <t>Principal Applied Scientist, AWS Agentic AI Science</t>
        </is>
      </c>
      <c r="C195" t="inlineStr">
        <is>
          <t>Amazon Web Services</t>
        </is>
      </c>
      <c r="D195" t="inlineStr">
        <is>
          <t>indeed</t>
        </is>
      </c>
      <c r="E195">
        <f>HYPERLINK("https://www.indeed.com/viewjob?jk=826eb2c184f177c0", "https://www.indeed.com/viewjob?jk=826eb2c184f177c0")</f>
        <v/>
      </c>
      <c r="F195">
        <f>HYPERLINK("https://www.amazon.jobs/jobs/3132887/principal-applied-scientist-aws-agentic-ai-science?cmpid=DA_INAD200785B", "https://www.amazon.jobs/jobs/3132887/principal-applied-scientist-aws-agentic-ai-science?cmpid=DA_INAD200785B")</f>
        <v/>
      </c>
      <c r="G195" t="inlineStr">
        <is>
          <t>New York, NY, US</t>
        </is>
      </c>
      <c r="H195" s="3" t="n">
        <v>45963</v>
      </c>
      <c r="I195"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in-b2644bf2e0c48024</t>
        </is>
      </c>
      <c r="B196" t="inlineStr">
        <is>
          <t>Principal Applied Scientist, AWS Agentic AI Science</t>
        </is>
      </c>
      <c r="C196" t="inlineStr">
        <is>
          <t>Amazon Web Services</t>
        </is>
      </c>
      <c r="D196" t="inlineStr">
        <is>
          <t>indeed</t>
        </is>
      </c>
      <c r="E196">
        <f>HYPERLINK("https://www.indeed.com/viewjob?jk=b2644bf2e0c48024", "https://www.indeed.com/viewjob?jk=b2644bf2e0c48024")</f>
        <v/>
      </c>
      <c r="F196">
        <f>HYPERLINK("https://www.amazon.jobs/jobs/3132887/principal-applied-scientist-aws-agentic-ai-science?cmpid=DA_INAD200785B", "https://www.amazon.jobs/jobs/3132887/principal-applied-scientist-aws-agentic-ai-science?cmpid=DA_INAD200785B")</f>
        <v/>
      </c>
      <c r="G196" t="inlineStr">
        <is>
          <t>Santa Clara, CA, US</t>
        </is>
      </c>
      <c r="H196" s="3" t="n">
        <v>45963</v>
      </c>
      <c r="I19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in-23e4318a2208a3a3</t>
        </is>
      </c>
      <c r="B197" t="inlineStr">
        <is>
          <t>Sr. Applied Scientist, Sponsored Product Off-Search</t>
        </is>
      </c>
      <c r="C197" t="inlineStr">
        <is>
          <t>Amazon.com</t>
        </is>
      </c>
      <c r="D197" t="inlineStr">
        <is>
          <t>indeed</t>
        </is>
      </c>
      <c r="E197">
        <f>HYPERLINK("https://www.indeed.com/viewjob?jk=23e4318a2208a3a3", "https://www.indeed.com/viewjob?jk=23e4318a2208a3a3")</f>
        <v/>
      </c>
      <c r="F197">
        <f>HYPERLINK("https://www.amazon.jobs/jobs/3120815/sr-applied-scientist-sponsored-product-offsearch-?cmpid=DA_INAD200785B", "https://www.amazon.jobs/jobs/3120815/sr-applied-scientist-sponsored-product-offsearch-?cmpid=DA_INAD200785B")</f>
        <v/>
      </c>
      <c r="G197" t="inlineStr">
        <is>
          <t>New York, NY, US</t>
        </is>
      </c>
      <c r="H197" s="3" t="n">
        <v>45963</v>
      </c>
      <c r="I19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in-fe6e156cd247e79a</t>
        </is>
      </c>
      <c r="B198" t="inlineStr">
        <is>
          <t>Sr. Applied Scientist, Sponsored Product Off-Search</t>
        </is>
      </c>
      <c r="C198" t="inlineStr">
        <is>
          <t>Amazon.com</t>
        </is>
      </c>
      <c r="D198" t="inlineStr">
        <is>
          <t>indeed</t>
        </is>
      </c>
      <c r="E198">
        <f>HYPERLINK("https://www.indeed.com/viewjob?jk=fe6e156cd247e79a", "https://www.indeed.com/viewjob?jk=fe6e156cd247e79a")</f>
        <v/>
      </c>
      <c r="F198">
        <f>HYPERLINK("https://www.amazon.jobs/jobs/3120815/sr-applied-scientist-sponsored-product-offsearch-?cmpid=DA_INAD200785B", "https://www.amazon.jobs/jobs/3120815/sr-applied-scientist-sponsored-product-offsearch-?cmpid=DA_INAD200785B")</f>
        <v/>
      </c>
      <c r="G198" t="inlineStr">
        <is>
          <t>Seattle, WA, US</t>
        </is>
      </c>
      <c r="H198" s="3" t="n">
        <v>45963</v>
      </c>
      <c r="I19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in-681730deff99a9de</t>
        </is>
      </c>
      <c r="B199" t="inlineStr">
        <is>
          <t>Applied Scientist, AWS Agentic AI</t>
        </is>
      </c>
      <c r="C199" t="inlineStr">
        <is>
          <t>Amazon Web Services</t>
        </is>
      </c>
      <c r="D199" t="inlineStr">
        <is>
          <t>indeed</t>
        </is>
      </c>
      <c r="E199">
        <f>HYPERLINK("https://www.indeed.com/viewjob?jk=681730deff99a9de", "https://www.indeed.com/viewjob?jk=681730deff99a9de")</f>
        <v/>
      </c>
      <c r="F199">
        <f>HYPERLINK("https://www.amazon.jobs/jobs/3141517/applied-scientist-aws-agentic-ai-?cmpid=DA_INAD200785B", "https://www.amazon.jobs/jobs/3141517/applied-scientist-aws-agentic-ai-?cmpid=DA_INAD200785B")</f>
        <v/>
      </c>
      <c r="G199" t="inlineStr">
        <is>
          <t>Santa Clara, CA, US</t>
        </is>
      </c>
      <c r="H199" s="3" t="n">
        <v>45962</v>
      </c>
      <c r="I19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in-78b1774df11d8e7a</t>
        </is>
      </c>
      <c r="B200" t="inlineStr">
        <is>
          <t>Applied Scientist, AWS Agentic AI</t>
        </is>
      </c>
      <c r="C200" t="inlineStr">
        <is>
          <t>Amazon Web Services</t>
        </is>
      </c>
      <c r="D200" t="inlineStr">
        <is>
          <t>indeed</t>
        </is>
      </c>
      <c r="E200">
        <f>HYPERLINK("https://www.indeed.com/viewjob?jk=78b1774df11d8e7a", "https://www.indeed.com/viewjob?jk=78b1774df11d8e7a")</f>
        <v/>
      </c>
      <c r="F200">
        <f>HYPERLINK("https://www.amazon.jobs/jobs/3141517/applied-scientist-aws-agentic-ai-?cmpid=DA_INAD200785B", "https://www.amazon.jobs/jobs/3141517/applied-scientist-aws-agentic-ai-?cmpid=DA_INAD200785B")</f>
        <v/>
      </c>
      <c r="G200" t="inlineStr">
        <is>
          <t>Seattle, WA, US</t>
        </is>
      </c>
      <c r="H200" s="3" t="n">
        <v>45962</v>
      </c>
      <c r="I20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in-bb7c8fddc0eb3300</t>
        </is>
      </c>
      <c r="B201" t="inlineStr">
        <is>
          <t>Applied Scientist, AWS Agentic AI</t>
        </is>
      </c>
      <c r="C201" t="inlineStr">
        <is>
          <t>Amazon Web Services</t>
        </is>
      </c>
      <c r="D201" t="inlineStr">
        <is>
          <t>indeed</t>
        </is>
      </c>
      <c r="E201">
        <f>HYPERLINK("https://www.indeed.com/viewjob?jk=bb7c8fddc0eb3300", "https://www.indeed.com/viewjob?jk=bb7c8fddc0eb3300")</f>
        <v/>
      </c>
      <c r="F201">
        <f>HYPERLINK("https://www.amazon.jobs/jobs/3141517/applied-scientist-aws-agentic-ai-?cmpid=DA_INAD200785B", "https://www.amazon.jobs/jobs/3141517/applied-scientist-aws-agentic-ai-?cmpid=DA_INAD200785B")</f>
        <v/>
      </c>
      <c r="G201" t="inlineStr">
        <is>
          <t>New York, NY, US</t>
        </is>
      </c>
      <c r="H201" s="3" t="n">
        <v>45962</v>
      </c>
      <c r="I20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in-d1105dd8485ca33e</t>
        </is>
      </c>
      <c r="B202" t="inlineStr">
        <is>
          <t>Principal Applied Scientist, Advertiser Growth, Amazon Sponsored Products &amp; Brands</t>
        </is>
      </c>
      <c r="C202" t="inlineStr">
        <is>
          <t>Amazon.com</t>
        </is>
      </c>
      <c r="D202" t="inlineStr">
        <is>
          <t>indeed</t>
        </is>
      </c>
      <c r="E202">
        <f>HYPERLINK("https://www.indeed.com/viewjob?jk=d1105dd8485ca33e", "https://www.indeed.com/viewjob?jk=d1105dd8485ca33e")</f>
        <v/>
      </c>
      <c r="F202">
        <f>HYPERLINK("https://www.amazon.jobs/jobs/3115279/principal-applied-scientist-advertiser-growth-amazon-sponsored-products--brands?cmpid=DA_INAD200785B", "https://www.amazon.jobs/jobs/3115279/principal-applied-scientist-advertiser-growth-amazon-sponsored-products--brands?cmpid=DA_INAD200785B")</f>
        <v/>
      </c>
      <c r="G202" t="inlineStr">
        <is>
          <t>Seattle, WA, US</t>
        </is>
      </c>
      <c r="H202" s="3" t="n">
        <v>45942</v>
      </c>
      <c r="I20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in-abc459d5142cd91a</t>
        </is>
      </c>
      <c r="B203" t="inlineStr">
        <is>
          <t>Principal Applied Scientist, Advertiser Growth, Amazon Sponsored Products &amp; Brands</t>
        </is>
      </c>
      <c r="C203" t="inlineStr">
        <is>
          <t>Amazon.com</t>
        </is>
      </c>
      <c r="D203" t="inlineStr">
        <is>
          <t>indeed</t>
        </is>
      </c>
      <c r="E203">
        <f>HYPERLINK("https://www.indeed.com/viewjob?jk=abc459d5142cd91a", "https://www.indeed.com/viewjob?jk=abc459d5142cd91a")</f>
        <v/>
      </c>
      <c r="F203">
        <f>HYPERLINK("https://www.amazon.jobs/jobs/3115279/principal-applied-scientist-advertiser-growth-amazon-sponsored-products--brands?cmpid=DA_INAD200785B", "https://www.amazon.jobs/jobs/3115279/principal-applied-scientist-advertiser-growth-amazon-sponsored-products--brands?cmpid=DA_INAD200785B")</f>
        <v/>
      </c>
      <c r="G203" t="inlineStr">
        <is>
          <t>New York, NY, US</t>
        </is>
      </c>
      <c r="H203" s="3" t="n">
        <v>45942</v>
      </c>
      <c r="I2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in-16a43f603c8656ef</t>
        </is>
      </c>
      <c r="B204" t="inlineStr">
        <is>
          <t>Principal Applied Scientist, Advertiser Growth, Amazon Sponsored Products &amp; Brands</t>
        </is>
      </c>
      <c r="C204" t="inlineStr">
        <is>
          <t>Amazon.com</t>
        </is>
      </c>
      <c r="D204" t="inlineStr">
        <is>
          <t>indeed</t>
        </is>
      </c>
      <c r="E204">
        <f>HYPERLINK("https://www.indeed.com/viewjob?jk=16a43f603c8656ef", "https://www.indeed.com/viewjob?jk=16a43f603c8656ef")</f>
        <v/>
      </c>
      <c r="F204">
        <f>HYPERLINK("https://www.amazon.jobs/jobs/3115279/principal-applied-scientist-advertiser-growth-amazon-sponsored-products--brands?cmpid=DA_INAD200785B", "https://www.amazon.jobs/jobs/3115279/principal-applied-scientist-advertiser-growth-amazon-sponsored-products--brands?cmpid=DA_INAD200785B")</f>
        <v/>
      </c>
      <c r="G204" t="inlineStr">
        <is>
          <t>Palo Alto, CA, US</t>
        </is>
      </c>
      <c r="H204" s="3" t="n">
        <v>45942</v>
      </c>
      <c r="I20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in-51a919c20802678f</t>
        </is>
      </c>
      <c r="B205" t="inlineStr">
        <is>
          <t>Applied Scientist</t>
        </is>
      </c>
      <c r="C205" t="inlineStr">
        <is>
          <t>Amazon.com</t>
        </is>
      </c>
      <c r="D205" t="inlineStr">
        <is>
          <t>indeed</t>
        </is>
      </c>
      <c r="E205">
        <f>HYPERLINK("https://www.indeed.com/viewjob?jk=51a919c20802678f", "https://www.indeed.com/viewjob?jk=51a919c20802678f")</f>
        <v/>
      </c>
      <c r="F205">
        <f>HYPERLINK("https://www.amazon.jobs/jobs/3106501/applied-scientist?cmpid=DA_INAD200785B", "https://www.amazon.jobs/jobs/3106501/applied-scientist?cmpid=DA_INAD200785B")</f>
        <v/>
      </c>
      <c r="G205" t="inlineStr">
        <is>
          <t>New York, NY, US</t>
        </is>
      </c>
      <c r="H205" s="3" t="n">
        <v>45939</v>
      </c>
      <c r="I20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in-0419ebebb0cab061</t>
        </is>
      </c>
      <c r="B206" t="inlineStr">
        <is>
          <t>Sr. Applied Scientist, SPB Advertiser Guidance</t>
        </is>
      </c>
      <c r="C206" t="inlineStr">
        <is>
          <t>Amazon.com</t>
        </is>
      </c>
      <c r="D206" t="inlineStr">
        <is>
          <t>indeed</t>
        </is>
      </c>
      <c r="E206">
        <f>HYPERLINK("https://www.indeed.com/viewjob?jk=0419ebebb0cab061", "https://www.indeed.com/viewjob?jk=0419ebebb0cab061")</f>
        <v/>
      </c>
      <c r="F206">
        <f>HYPERLINK("https://www.amazon.jobs/jobs/3106497/sr-applied-scientist-spb-advertiser-guidance?cmpid=DA_INAD200785B", "https://www.amazon.jobs/jobs/3106497/sr-applied-scientist-spb-advertiser-guidance?cmpid=DA_INAD200785B")</f>
        <v/>
      </c>
      <c r="G206" t="inlineStr">
        <is>
          <t>Seattle, WA, US</t>
        </is>
      </c>
      <c r="H206" s="3" t="n">
        <v>45939</v>
      </c>
      <c r="I20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in-95925d112b91430e</t>
        </is>
      </c>
      <c r="B207" t="inlineStr">
        <is>
          <t>Applied Scientist</t>
        </is>
      </c>
      <c r="C207" t="inlineStr">
        <is>
          <t>Amazon.com</t>
        </is>
      </c>
      <c r="D207" t="inlineStr">
        <is>
          <t>indeed</t>
        </is>
      </c>
      <c r="E207">
        <f>HYPERLINK("https://www.indeed.com/viewjob?jk=95925d112b91430e", "https://www.indeed.com/viewjob?jk=95925d112b91430e")</f>
        <v/>
      </c>
      <c r="F207">
        <f>HYPERLINK("https://www.amazon.jobs/jobs/3106501/applied-scientist?cmpid=DA_INAD200785B", "https://www.amazon.jobs/jobs/3106501/applied-scientist?cmpid=DA_INAD200785B")</f>
        <v/>
      </c>
      <c r="G207" t="inlineStr">
        <is>
          <t>Palo Alto, CA, US</t>
        </is>
      </c>
      <c r="H207" s="3" t="n">
        <v>45939</v>
      </c>
      <c r="I20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in-e27f5cd889ea88bc</t>
        </is>
      </c>
      <c r="B208" t="inlineStr">
        <is>
          <t>Sr. Applied Scientist, SPB Advertiser Guidance</t>
        </is>
      </c>
      <c r="C208" t="inlineStr">
        <is>
          <t>Amazon.com</t>
        </is>
      </c>
      <c r="D208" t="inlineStr">
        <is>
          <t>indeed</t>
        </is>
      </c>
      <c r="E208">
        <f>HYPERLINK("https://www.indeed.com/viewjob?jk=e27f5cd889ea88bc", "https://www.indeed.com/viewjob?jk=e27f5cd889ea88bc")</f>
        <v/>
      </c>
      <c r="F208">
        <f>HYPERLINK("https://www.amazon.jobs/jobs/3106497/sr-applied-scientist-spb-advertiser-guidance?cmpid=DA_INAD200785B", "https://www.amazon.jobs/jobs/3106497/sr-applied-scientist-spb-advertiser-guidance?cmpid=DA_INAD200785B")</f>
        <v/>
      </c>
      <c r="G208" t="inlineStr">
        <is>
          <t>Palo Alto, CA, US</t>
        </is>
      </c>
      <c r="H208" s="3" t="n">
        <v>45939</v>
      </c>
      <c r="I20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in-406440a971a14b1f</t>
        </is>
      </c>
      <c r="B209" t="inlineStr">
        <is>
          <t>Applied Scientist</t>
        </is>
      </c>
      <c r="C209" t="inlineStr">
        <is>
          <t>Amazon.com</t>
        </is>
      </c>
      <c r="D209" t="inlineStr">
        <is>
          <t>indeed</t>
        </is>
      </c>
      <c r="E209">
        <f>HYPERLINK("https://www.indeed.com/viewjob?jk=406440a971a14b1f", "https://www.indeed.com/viewjob?jk=406440a971a14b1f")</f>
        <v/>
      </c>
      <c r="F209">
        <f>HYPERLINK("https://www.amazon.jobs/jobs/3106501/applied-scientist?cmpid=DA_INAD200785B", "https://www.amazon.jobs/jobs/3106501/applied-scientist?cmpid=DA_INAD200785B")</f>
        <v/>
      </c>
      <c r="G209" t="inlineStr">
        <is>
          <t>Seattle, WA, US</t>
        </is>
      </c>
      <c r="H209" s="3" t="n">
        <v>45939</v>
      </c>
      <c r="I20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in-531d97a79065e5c8</t>
        </is>
      </c>
      <c r="B210" t="inlineStr">
        <is>
          <t>Sr. Applied Scientist, SPB Advertiser Guidance</t>
        </is>
      </c>
      <c r="C210" t="inlineStr">
        <is>
          <t>Amazon.com</t>
        </is>
      </c>
      <c r="D210" t="inlineStr">
        <is>
          <t>indeed</t>
        </is>
      </c>
      <c r="E210">
        <f>HYPERLINK("https://www.indeed.com/viewjob?jk=531d97a79065e5c8", "https://www.indeed.com/viewjob?jk=531d97a79065e5c8")</f>
        <v/>
      </c>
      <c r="F210">
        <f>HYPERLINK("https://www.amazon.jobs/jobs/3106497/sr-applied-scientist-spb-advertiser-guidance?cmpid=DA_INAD200785B", "https://www.amazon.jobs/jobs/3106497/sr-applied-scientist-spb-advertiser-guidance?cmpid=DA_INAD200785B")</f>
        <v/>
      </c>
      <c r="G210" t="inlineStr">
        <is>
          <t>New York, NY, US</t>
        </is>
      </c>
      <c r="H210" s="3" t="n">
        <v>45939</v>
      </c>
      <c r="I21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in-087d594e9e237534</t>
        </is>
      </c>
      <c r="B211" t="inlineStr">
        <is>
          <t>Principal Applied Scientist, Amazon - Sponsored Products</t>
        </is>
      </c>
      <c r="C211" t="inlineStr">
        <is>
          <t>Amazon.com</t>
        </is>
      </c>
      <c r="D211" t="inlineStr">
        <is>
          <t>indeed</t>
        </is>
      </c>
      <c r="E211">
        <f>HYPERLINK("https://www.indeed.com/viewjob?jk=087d594e9e237534", "https://www.indeed.com/viewjob?jk=087d594e9e237534")</f>
        <v/>
      </c>
      <c r="F211">
        <f>HYPERLINK("https://www.amazon.jobs/jobs/3094885/principal-applied-scientist-amazon--sponsored-products-?cmpid=DA_INAD200785B", "https://www.amazon.jobs/jobs/3094885/principal-applied-scientist-amazon--sponsored-products-?cmpid=DA_INAD200785B")</f>
        <v/>
      </c>
      <c r="G211" t="inlineStr">
        <is>
          <t>New York, NY, US</t>
        </is>
      </c>
      <c r="H211" s="3" t="n">
        <v>45924</v>
      </c>
      <c r="I211"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in-8c22287b328bc2d7</t>
        </is>
      </c>
      <c r="B212" t="inlineStr">
        <is>
          <t>Principal Applied Scientist, Amazon - Sponsored Products</t>
        </is>
      </c>
      <c r="C212" t="inlineStr">
        <is>
          <t>Amazon.com</t>
        </is>
      </c>
      <c r="D212" t="inlineStr">
        <is>
          <t>indeed</t>
        </is>
      </c>
      <c r="E212">
        <f>HYPERLINK("https://www.indeed.com/viewjob?jk=8c22287b328bc2d7", "https://www.indeed.com/viewjob?jk=8c22287b328bc2d7")</f>
        <v/>
      </c>
      <c r="F212">
        <f>HYPERLINK("https://www.amazon.jobs/jobs/3094885/principal-applied-scientist-amazon--sponsored-products-?cmpid=DA_INAD200785B", "https://www.amazon.jobs/jobs/3094885/principal-applied-scientist-amazon--sponsored-products-?cmpid=DA_INAD200785B")</f>
        <v/>
      </c>
      <c r="G212" t="inlineStr">
        <is>
          <t>Palo Alto, CA, US</t>
        </is>
      </c>
      <c r="H212" s="3" t="n">
        <v>45924</v>
      </c>
      <c r="I212"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in-1843d07217afd38d</t>
        </is>
      </c>
      <c r="B213" t="inlineStr">
        <is>
          <t>Principal Applied Scientist, Amazon - Sponsored Products</t>
        </is>
      </c>
      <c r="C213" t="inlineStr">
        <is>
          <t>Amazon.com</t>
        </is>
      </c>
      <c r="D213" t="inlineStr">
        <is>
          <t>indeed</t>
        </is>
      </c>
      <c r="E213">
        <f>HYPERLINK("https://www.indeed.com/viewjob?jk=1843d07217afd38d", "https://www.indeed.com/viewjob?jk=1843d07217afd38d")</f>
        <v/>
      </c>
      <c r="F213">
        <f>HYPERLINK("https://www.amazon.jobs/jobs/3094885/principal-applied-scientist-amazon--sponsored-products-?cmpid=DA_INAD200785B", "https://www.amazon.jobs/jobs/3094885/principal-applied-scientist-amazon--sponsored-products-?cmpid=DA_INAD200785B")</f>
        <v/>
      </c>
      <c r="G213" t="inlineStr">
        <is>
          <t>Seattle, WA, US</t>
        </is>
      </c>
      <c r="H213" s="3" t="n">
        <v>45924</v>
      </c>
      <c r="I213"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in-2204cbb17ee257ed</t>
        </is>
      </c>
      <c r="B214" t="inlineStr">
        <is>
          <t>Senior Applied Scientist, Sponsored Products and Brands</t>
        </is>
      </c>
      <c r="C214" t="inlineStr">
        <is>
          <t>Amazon.com</t>
        </is>
      </c>
      <c r="D214" t="inlineStr">
        <is>
          <t>indeed</t>
        </is>
      </c>
      <c r="E214">
        <f>HYPERLINK("https://www.indeed.com/viewjob?jk=2204cbb17ee257ed", "https://www.indeed.com/viewjob?jk=2204cbb17ee257ed")</f>
        <v/>
      </c>
      <c r="F214">
        <f>HYPERLINK("https://www.amazon.jobs/jobs/3094886/senior-applied-scientist-sponsored-products-and-brands?cmpid=DA_INAD200785B", "https://www.amazon.jobs/jobs/3094886/senior-applied-scientist-sponsored-products-and-brands?cmpid=DA_INAD200785B")</f>
        <v/>
      </c>
      <c r="G214" t="inlineStr">
        <is>
          <t>Seattle, WA, US</t>
        </is>
      </c>
      <c r="H214" s="3" t="n">
        <v>45922</v>
      </c>
      <c r="I21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in-51463f06495a5bb9</t>
        </is>
      </c>
      <c r="B215" t="inlineStr">
        <is>
          <t>Senior Applied Scientist, Sponsored Products and Brands</t>
        </is>
      </c>
      <c r="C215" t="inlineStr">
        <is>
          <t>Amazon.com</t>
        </is>
      </c>
      <c r="D215" t="inlineStr">
        <is>
          <t>indeed</t>
        </is>
      </c>
      <c r="E215">
        <f>HYPERLINK("https://www.indeed.com/viewjob?jk=51463f06495a5bb9", "https://www.indeed.com/viewjob?jk=51463f06495a5bb9")</f>
        <v/>
      </c>
      <c r="F215">
        <f>HYPERLINK("https://www.amazon.jobs/jobs/3094886/senior-applied-scientist-sponsored-products-and-brands?cmpid=DA_INAD200785B", "https://www.amazon.jobs/jobs/3094886/senior-applied-scientist-sponsored-products-and-brands?cmpid=DA_INAD200785B")</f>
        <v/>
      </c>
      <c r="G215" t="inlineStr">
        <is>
          <t>New York, NY, US</t>
        </is>
      </c>
      <c r="H215" s="3" t="n">
        <v>45922</v>
      </c>
      <c r="I21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in-7f1b2bac110f32e0</t>
        </is>
      </c>
      <c r="B216" t="inlineStr">
        <is>
          <t>Applied Scientist, Workplace Health &amp; Safety</t>
        </is>
      </c>
      <c r="C216" t="inlineStr">
        <is>
          <t>Amazon.com</t>
        </is>
      </c>
      <c r="D216" t="inlineStr">
        <is>
          <t>indeed</t>
        </is>
      </c>
      <c r="E216">
        <f>HYPERLINK("https://www.indeed.com/viewjob?jk=7f1b2bac110f32e0", "https://www.indeed.com/viewjob?jk=7f1b2bac110f32e0")</f>
        <v/>
      </c>
      <c r="F216">
        <f>HYPERLINK("https://www.amazon.jobs/jobs/3144886/applied-scientist-workplace-health--safety-?cmpid=DA_INAD200785B", "https://www.amazon.jobs/jobs/3144886/applied-scientist-workplace-health--safety-?cmpid=DA_INAD200785B")</f>
        <v/>
      </c>
      <c r="G216" t="inlineStr">
        <is>
          <t>Bellevue, WA, US</t>
        </is>
      </c>
      <c r="H216" s="3" t="n">
        <v>45917</v>
      </c>
      <c r="I21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in-7d529fb4737ff1bd</t>
        </is>
      </c>
      <c r="B217" t="inlineStr">
        <is>
          <t>Applied Scientist, Workplace Health &amp; Safety</t>
        </is>
      </c>
      <c r="C217" t="inlineStr">
        <is>
          <t>Amazon.com</t>
        </is>
      </c>
      <c r="D217" t="inlineStr">
        <is>
          <t>indeed</t>
        </is>
      </c>
      <c r="E217">
        <f>HYPERLINK("https://www.indeed.com/viewjob?jk=7d529fb4737ff1bd", "https://www.indeed.com/viewjob?jk=7d529fb4737ff1bd")</f>
        <v/>
      </c>
      <c r="F217">
        <f>HYPERLINK("https://www.amazon.jobs/jobs/3144886/applied-scientist-workplace-health--safety-?cmpid=DA_INAD200785B", "https://www.amazon.jobs/jobs/3144886/applied-scientist-workplace-health--safety-?cmpid=DA_INAD200785B")</f>
        <v/>
      </c>
      <c r="G217" t="inlineStr">
        <is>
          <t>Nashville, TN, US</t>
        </is>
      </c>
      <c r="H217" s="3" t="n">
        <v>45917</v>
      </c>
      <c r="I21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in-0de96102de87194c</t>
        </is>
      </c>
      <c r="B218" t="inlineStr">
        <is>
          <t>Sr. Applied Scientist, Amazon Advertising</t>
        </is>
      </c>
      <c r="C218" t="inlineStr">
        <is>
          <t>Amazon.com</t>
        </is>
      </c>
      <c r="D218" t="inlineStr">
        <is>
          <t>indeed</t>
        </is>
      </c>
      <c r="E218">
        <f>HYPERLINK("https://www.indeed.com/viewjob?jk=0de96102de87194c", "https://www.indeed.com/viewjob?jk=0de96102de87194c")</f>
        <v/>
      </c>
      <c r="F218">
        <f>HYPERLINK("https://www.amazon.jobs/jobs/3035686/sr-applied-scientist-amazon-advertising?cmpid=DA_INAD200785B", "https://www.amazon.jobs/jobs/3035686/sr-applied-scientist-amazon-advertising?cmpid=DA_INAD200785B")</f>
        <v/>
      </c>
      <c r="G218" t="inlineStr">
        <is>
          <t>New York, NY, US</t>
        </is>
      </c>
      <c r="H218" s="3"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in-dd438a9458b7cf00</t>
        </is>
      </c>
      <c r="B219" t="inlineStr">
        <is>
          <t>Sr. Applied Scientist, Amazon Advertising</t>
        </is>
      </c>
      <c r="C219" t="inlineStr">
        <is>
          <t>Amazon.com</t>
        </is>
      </c>
      <c r="D219" t="inlineStr">
        <is>
          <t>indeed</t>
        </is>
      </c>
      <c r="E219">
        <f>HYPERLINK("https://www.indeed.com/viewjob?jk=dd438a9458b7cf00", "https://www.indeed.com/viewjob?jk=dd438a9458b7cf00")</f>
        <v/>
      </c>
      <c r="F219">
        <f>HYPERLINK("https://www.amazon.jobs/jobs/3035686/sr-applied-scientist-amazon-advertising?cmpid=DA_INAD200785B", "https://www.amazon.jobs/jobs/3035686/sr-applied-scientist-amazon-advertising?cmpid=DA_INAD200785B")</f>
        <v/>
      </c>
      <c r="G219" t="inlineStr">
        <is>
          <t>Los Angeles, CA, US</t>
        </is>
      </c>
      <c r="H219" s="3"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in-ef5366607064b724</t>
        </is>
      </c>
      <c r="B220" t="inlineStr">
        <is>
          <t>Sr. Applied Scientist, Amazon Advertising</t>
        </is>
      </c>
      <c r="C220" t="inlineStr">
        <is>
          <t>Amazon.com</t>
        </is>
      </c>
      <c r="D220" t="inlineStr">
        <is>
          <t>indeed</t>
        </is>
      </c>
      <c r="E220">
        <f>HYPERLINK("https://www.indeed.com/viewjob?jk=ef5366607064b724", "https://www.indeed.com/viewjob?jk=ef5366607064b724")</f>
        <v/>
      </c>
      <c r="F220">
        <f>HYPERLINK("https://www.amazon.jobs/jobs/3035686/sr-applied-scientist-amazon-advertising?cmpid=DA_INAD200785B", "https://www.amazon.jobs/jobs/3035686/sr-applied-scientist-amazon-advertising?cmpid=DA_INAD200785B")</f>
        <v/>
      </c>
      <c r="G220" t="inlineStr">
        <is>
          <t>Arlington, VA, US</t>
        </is>
      </c>
      <c r="H220" s="3"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in-3a59becb443e7d96</t>
        </is>
      </c>
      <c r="B221" t="inlineStr">
        <is>
          <t>Sr. Applied Scientist, Amazon Advertising</t>
        </is>
      </c>
      <c r="C221" t="inlineStr">
        <is>
          <t>Amazon.com</t>
        </is>
      </c>
      <c r="D221" t="inlineStr">
        <is>
          <t>indeed</t>
        </is>
      </c>
      <c r="E221">
        <f>HYPERLINK("https://www.indeed.com/viewjob?jk=3a59becb443e7d96", "https://www.indeed.com/viewjob?jk=3a59becb443e7d96")</f>
        <v/>
      </c>
      <c r="F221">
        <f>HYPERLINK("https://www.amazon.jobs/jobs/3035686/sr-applied-scientist-amazon-advertising?cmpid=DA_INAD200785B", "https://www.amazon.jobs/jobs/3035686/sr-applied-scientist-amazon-advertising?cmpid=DA_INAD200785B")</f>
        <v/>
      </c>
      <c r="G221" t="inlineStr">
        <is>
          <t>Simi Valley, CA, US</t>
        </is>
      </c>
      <c r="H221" s="3"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in-58fccefb587b785e</t>
        </is>
      </c>
      <c r="B222" t="inlineStr">
        <is>
          <t>Sr. Applied Scientist, Amazon Advertising</t>
        </is>
      </c>
      <c r="C222" t="inlineStr">
        <is>
          <t>Amazon.com</t>
        </is>
      </c>
      <c r="D222" t="inlineStr">
        <is>
          <t>indeed</t>
        </is>
      </c>
      <c r="E222">
        <f>HYPERLINK("https://www.indeed.com/viewjob?jk=58fccefb587b785e", "https://www.indeed.com/viewjob?jk=58fccefb587b785e")</f>
        <v/>
      </c>
      <c r="F222">
        <f>HYPERLINK("https://www.amazon.jobs/jobs/3035686/sr-applied-scientist-amazon-advertising?cmpid=DA_INAD200785B", "https://www.amazon.jobs/jobs/3035686/sr-applied-scientist-amazon-advertising?cmpid=DA_INAD200785B")</f>
        <v/>
      </c>
      <c r="G222" t="inlineStr">
        <is>
          <t>Palo Alto, CA, US</t>
        </is>
      </c>
      <c r="H222" s="3" t="n">
        <v>45851</v>
      </c>
      <c r="I2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in-09797a098183940f</t>
        </is>
      </c>
      <c r="B223" t="inlineStr">
        <is>
          <t>Sr. Applied Scientist, Amazon Advertising</t>
        </is>
      </c>
      <c r="C223" t="inlineStr">
        <is>
          <t>Amazon.com</t>
        </is>
      </c>
      <c r="D223" t="inlineStr">
        <is>
          <t>indeed</t>
        </is>
      </c>
      <c r="E223">
        <f>HYPERLINK("https://www.indeed.com/viewjob?jk=09797a098183940f", "https://www.indeed.com/viewjob?jk=09797a098183940f")</f>
        <v/>
      </c>
      <c r="F223">
        <f>HYPERLINK("https://www.amazon.jobs/jobs/3035686/sr-applied-scientist-amazon-advertising?cmpid=DA_INAD200785B", "https://www.amazon.jobs/jobs/3035686/sr-applied-scientist-amazon-advertising?cmpid=DA_INAD200785B")</f>
        <v/>
      </c>
      <c r="G223" t="inlineStr">
        <is>
          <t>West Hollywood, CA, US</t>
        </is>
      </c>
      <c r="H223" s="3" t="n">
        <v>45851</v>
      </c>
      <c r="I2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in-b2f1a312b1f3d448</t>
        </is>
      </c>
      <c r="B224" t="inlineStr">
        <is>
          <t>Sr. Applied Scientist, Amazon Advertising</t>
        </is>
      </c>
      <c r="C224" t="inlineStr">
        <is>
          <t>Amazon.com</t>
        </is>
      </c>
      <c r="D224" t="inlineStr">
        <is>
          <t>indeed</t>
        </is>
      </c>
      <c r="E224">
        <f>HYPERLINK("https://www.indeed.com/viewjob?jk=b2f1a312b1f3d448", "https://www.indeed.com/viewjob?jk=b2f1a312b1f3d448")</f>
        <v/>
      </c>
      <c r="F224">
        <f>HYPERLINK("https://www.amazon.jobs/jobs/3035686/sr-applied-scientist-amazon-advertising?cmpid=DA_INAD200785B", "https://www.amazon.jobs/jobs/3035686/sr-applied-scientist-amazon-advertising?cmpid=DA_INAD200785B")</f>
        <v/>
      </c>
      <c r="G224" t="inlineStr">
        <is>
          <t>Seattle, WA, US</t>
        </is>
      </c>
      <c r="H224" s="3" t="n">
        <v>45851</v>
      </c>
      <c r="I2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in-e3017a6e6d3ebd29</t>
        </is>
      </c>
      <c r="B225" t="inlineStr">
        <is>
          <t>Sr. Applied Scientist, Amazon Advertising</t>
        </is>
      </c>
      <c r="C225" t="inlineStr">
        <is>
          <t>Amazon.com</t>
        </is>
      </c>
      <c r="D225" t="inlineStr">
        <is>
          <t>indeed</t>
        </is>
      </c>
      <c r="E225">
        <f>HYPERLINK("https://www.indeed.com/viewjob?jk=e3017a6e6d3ebd29", "https://www.indeed.com/viewjob?jk=e3017a6e6d3ebd29")</f>
        <v/>
      </c>
      <c r="F225">
        <f>HYPERLINK("https://www.amazon.jobs/jobs/3035686/sr-applied-scientist-amazon-advertising?cmpid=DA_INAD200785B", "https://www.amazon.jobs/jobs/3035686/sr-applied-scientist-amazon-advertising?cmpid=DA_INAD200785B")</f>
        <v/>
      </c>
      <c r="G225" t="inlineStr">
        <is>
          <t>Austin, TX, US</t>
        </is>
      </c>
      <c r="H225" s="3" t="n">
        <v>45851</v>
      </c>
      <c r="I2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in-0dcc215591e0f867</t>
        </is>
      </c>
      <c r="B226" t="inlineStr">
        <is>
          <t>Senior Applied Scientist, Artificial General Intelligence</t>
        </is>
      </c>
      <c r="C226" t="inlineStr">
        <is>
          <t>Amazon.com</t>
        </is>
      </c>
      <c r="D226" t="inlineStr">
        <is>
          <t>indeed</t>
        </is>
      </c>
      <c r="E226">
        <f>HYPERLINK("https://www.indeed.com/viewjob?jk=0dcc215591e0f867", "https://www.indeed.com/viewjob?jk=0dcc215591e0f867")</f>
        <v/>
      </c>
      <c r="F226">
        <f>HYPERLINK("https://www.amazon.jobs/jobs/3032183/senior-applied-scientist-artificial-general-intelligence?cmpid=DA_INAD200785B", "https://www.amazon.jobs/jobs/3032183/senior-applied-scientist-artificial-general-intelligence?cmpid=DA_INAD200785B")</f>
        <v/>
      </c>
      <c r="G226" t="inlineStr">
        <is>
          <t>Sunnyvale, CA, US</t>
        </is>
      </c>
      <c r="H226" s="3" t="n">
        <v>45838</v>
      </c>
      <c r="I22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in-7be73e867fb2b9ca</t>
        </is>
      </c>
      <c r="B227" t="inlineStr">
        <is>
          <t>Senior Applied Scientist, Artificial General Intelligence</t>
        </is>
      </c>
      <c r="C227" t="inlineStr">
        <is>
          <t>Amazon.com</t>
        </is>
      </c>
      <c r="D227" t="inlineStr">
        <is>
          <t>indeed</t>
        </is>
      </c>
      <c r="E227">
        <f>HYPERLINK("https://www.indeed.com/viewjob?jk=7be73e867fb2b9ca", "https://www.indeed.com/viewjob?jk=7be73e867fb2b9ca")</f>
        <v/>
      </c>
      <c r="F227">
        <f>HYPERLINK("https://www.amazon.jobs/jobs/3032183/senior-applied-scientist-artificial-general-intelligence?cmpid=DA_INAD200785B", "https://www.amazon.jobs/jobs/3032183/senior-applied-scientist-artificial-general-intelligence?cmpid=DA_INAD200785B")</f>
        <v/>
      </c>
      <c r="G227" t="inlineStr">
        <is>
          <t>New York, NY, US</t>
        </is>
      </c>
      <c r="H227" s="3" t="n">
        <v>45838</v>
      </c>
      <c r="I22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in-4b24210cfda344b7</t>
        </is>
      </c>
      <c r="B228" t="inlineStr">
        <is>
          <t>Senior Applied Scientist, Artificial General Intelligence</t>
        </is>
      </c>
      <c r="C228" t="inlineStr">
        <is>
          <t>Amazon.com</t>
        </is>
      </c>
      <c r="D228" t="inlineStr">
        <is>
          <t>indeed</t>
        </is>
      </c>
      <c r="E228">
        <f>HYPERLINK("https://www.indeed.com/viewjob?jk=4b24210cfda344b7", "https://www.indeed.com/viewjob?jk=4b24210cfda344b7")</f>
        <v/>
      </c>
      <c r="F228">
        <f>HYPERLINK("https://www.amazon.jobs/jobs/3032183/senior-applied-scientist-artificial-general-intelligence?cmpid=DA_INAD200785B", "https://www.amazon.jobs/jobs/3032183/senior-applied-scientist-artificial-general-intelligence?cmpid=DA_INAD200785B")</f>
        <v/>
      </c>
      <c r="G228" t="inlineStr">
        <is>
          <t>Boston, MA, US</t>
        </is>
      </c>
      <c r="H228" s="3" t="n">
        <v>45838</v>
      </c>
      <c r="I22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in-44de1c56ebff5b70</t>
        </is>
      </c>
      <c r="B229" t="inlineStr">
        <is>
          <t>Sr. Applied Scientist, Sales AI</t>
        </is>
      </c>
      <c r="C229" t="inlineStr">
        <is>
          <t>Amazon.com</t>
        </is>
      </c>
      <c r="D229" t="inlineStr">
        <is>
          <t>indeed</t>
        </is>
      </c>
      <c r="E229">
        <f>HYPERLINK("https://www.indeed.com/viewjob?jk=44de1c56ebff5b70", "https://www.indeed.com/viewjob?jk=44de1c56ebff5b70")</f>
        <v/>
      </c>
      <c r="F229">
        <f>HYPERLINK("https://www.amazon.jobs/jobs/3020528/sr-applied-scientist-sales-ai?cmpid=DA_INAD200785B", "https://www.amazon.jobs/jobs/3020528/sr-applied-scientist-sales-ai?cmpid=DA_INAD200785B")</f>
        <v/>
      </c>
      <c r="G229" t="inlineStr">
        <is>
          <t>New York, NY, US</t>
        </is>
      </c>
      <c r="H229" s="3" t="n">
        <v>45830</v>
      </c>
      <c r="I22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in-560e3ee49e2b5507</t>
        </is>
      </c>
      <c r="B230" t="inlineStr">
        <is>
          <t>Sr. Applied Scientist, Sales AI</t>
        </is>
      </c>
      <c r="C230" t="inlineStr">
        <is>
          <t>Amazon.com</t>
        </is>
      </c>
      <c r="D230" t="inlineStr">
        <is>
          <t>indeed</t>
        </is>
      </c>
      <c r="E230">
        <f>HYPERLINK("https://www.indeed.com/viewjob?jk=560e3ee49e2b5507", "https://www.indeed.com/viewjob?jk=560e3ee49e2b5507")</f>
        <v/>
      </c>
      <c r="F230">
        <f>HYPERLINK("https://www.amazon.jobs/jobs/3020528/sr-applied-scientist-sales-ai?cmpid=DA_INAD200785B", "https://www.amazon.jobs/jobs/3020528/sr-applied-scientist-sales-ai?cmpid=DA_INAD200785B")</f>
        <v/>
      </c>
      <c r="G230" t="inlineStr">
        <is>
          <t>Sunnyvale, CA, US</t>
        </is>
      </c>
      <c r="H230" s="3" t="n">
        <v>45830</v>
      </c>
      <c r="I23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in-733cdc6fc41f4fc8</t>
        </is>
      </c>
      <c r="B231" t="inlineStr">
        <is>
          <t>Sr. Applied Scientist, Sales AI</t>
        </is>
      </c>
      <c r="C231" t="inlineStr">
        <is>
          <t>Amazon.com</t>
        </is>
      </c>
      <c r="D231" t="inlineStr">
        <is>
          <t>indeed</t>
        </is>
      </c>
      <c r="E231">
        <f>HYPERLINK("https://www.indeed.com/viewjob?jk=733cdc6fc41f4fc8", "https://www.indeed.com/viewjob?jk=733cdc6fc41f4fc8")</f>
        <v/>
      </c>
      <c r="F231">
        <f>HYPERLINK("https://www.amazon.jobs/jobs/3020528/sr-applied-scientist-sales-ai?cmpid=DA_INAD200785B", "https://www.amazon.jobs/jobs/3020528/sr-applied-scientist-sales-ai?cmpid=DA_INAD200785B")</f>
        <v/>
      </c>
      <c r="G231" t="inlineStr">
        <is>
          <t>Seattle, WA, US</t>
        </is>
      </c>
      <c r="H231" s="3" t="n">
        <v>45830</v>
      </c>
      <c r="I23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in-8dab13b758cf53c5</t>
        </is>
      </c>
      <c r="B232" t="inlineStr">
        <is>
          <t>Sr. Applied Scientist, AGI Info</t>
        </is>
      </c>
      <c r="C232" t="inlineStr">
        <is>
          <t>Amazon.com</t>
        </is>
      </c>
      <c r="D232" t="inlineStr">
        <is>
          <t>indeed</t>
        </is>
      </c>
      <c r="E232">
        <f>HYPERLINK("https://www.indeed.com/viewjob?jk=8dab13b758cf53c5", "https://www.indeed.com/viewjob?jk=8dab13b758cf53c5")</f>
        <v/>
      </c>
      <c r="F232">
        <f>HYPERLINK("https://www.amazon.jobs/jobs/2999351/sr-applied-scientist-agi-info?cmpid=DA_INAD200785B", "https://www.amazon.jobs/jobs/2999351/sr-applied-scientist-agi-info?cmpid=DA_INAD200785B")</f>
        <v/>
      </c>
      <c r="G232" t="inlineStr">
        <is>
          <t>Bellevue, WA, US</t>
        </is>
      </c>
      <c r="H232" s="3" t="n">
        <v>45811</v>
      </c>
      <c r="I23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in-df7fa453a6da11b8</t>
        </is>
      </c>
      <c r="B233" t="inlineStr">
        <is>
          <t>Sr. Applied Scientist, AGI Info</t>
        </is>
      </c>
      <c r="C233" t="inlineStr">
        <is>
          <t>Amazon.com</t>
        </is>
      </c>
      <c r="D233" t="inlineStr">
        <is>
          <t>indeed</t>
        </is>
      </c>
      <c r="E233">
        <f>HYPERLINK("https://www.indeed.com/viewjob?jk=df7fa453a6da11b8", "https://www.indeed.com/viewjob?jk=df7fa453a6da11b8")</f>
        <v/>
      </c>
      <c r="F233">
        <f>HYPERLINK("https://www.amazon.jobs/jobs/2999351/sr-applied-scientist-agi-info?cmpid=DA_INAD200785B", "https://www.amazon.jobs/jobs/2999351/sr-applied-scientist-agi-info?cmpid=DA_INAD200785B")</f>
        <v/>
      </c>
      <c r="G233" t="inlineStr">
        <is>
          <t>Sunnyvale, CA, US</t>
        </is>
      </c>
      <c r="H233" s="3" t="n">
        <v>45811</v>
      </c>
      <c r="I23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in-4e0a29a8ad243f1f</t>
        </is>
      </c>
      <c r="B234" t="inlineStr">
        <is>
          <t>Principal Applied Scientist, Delivery Foundation Model</t>
        </is>
      </c>
      <c r="C234" t="inlineStr">
        <is>
          <t>Amazon.com</t>
        </is>
      </c>
      <c r="D234" t="inlineStr">
        <is>
          <t>indeed</t>
        </is>
      </c>
      <c r="E234">
        <f>HYPERLINK("https://www.indeed.com/viewjob?jk=4e0a29a8ad243f1f", "https://www.indeed.com/viewjob?jk=4e0a29a8ad243f1f")</f>
        <v/>
      </c>
      <c r="F234">
        <f>HYPERLINK("https://www.amazon.jobs/jobs/3006938/principal-applied-scientist-delivery-foundation-model-?cmpid=DA_INAD200785B", "https://www.amazon.jobs/jobs/3006938/principal-applied-scientist-delivery-foundation-model-?cmpid=DA_INAD200785B")</f>
        <v/>
      </c>
      <c r="G234" t="inlineStr">
        <is>
          <t>Bellevue, WA, US</t>
        </is>
      </c>
      <c r="H234" s="3" t="n">
        <v>45810</v>
      </c>
      <c r="I2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in-d54be26c762e621e</t>
        </is>
      </c>
      <c r="B235" t="inlineStr">
        <is>
          <t>Principal Applied Scientist, Delivery Foundation Model</t>
        </is>
      </c>
      <c r="C235" t="inlineStr">
        <is>
          <t>Amazon.com</t>
        </is>
      </c>
      <c r="D235" t="inlineStr">
        <is>
          <t>indeed</t>
        </is>
      </c>
      <c r="E235">
        <f>HYPERLINK("https://www.indeed.com/viewjob?jk=d54be26c762e621e", "https://www.indeed.com/viewjob?jk=d54be26c762e621e")</f>
        <v/>
      </c>
      <c r="F235">
        <f>HYPERLINK("https://www.amazon.jobs/jobs/3006938/principal-applied-scientist-delivery-foundation-model-?cmpid=DA_INAD200785B", "https://www.amazon.jobs/jobs/3006938/principal-applied-scientist-delivery-foundation-model-?cmpid=DA_INAD200785B")</f>
        <v/>
      </c>
      <c r="G235" t="inlineStr">
        <is>
          <t>Santa Clara, CA, US</t>
        </is>
      </c>
      <c r="H235" s="3" t="n">
        <v>45810</v>
      </c>
      <c r="I2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in-afba20e37cce9abf</t>
        </is>
      </c>
      <c r="B236" t="inlineStr">
        <is>
          <t>Principal Applied Scientist, Delivery Foundation Model</t>
        </is>
      </c>
      <c r="C236" t="inlineStr">
        <is>
          <t>Amazon.com</t>
        </is>
      </c>
      <c r="D236" t="inlineStr">
        <is>
          <t>indeed</t>
        </is>
      </c>
      <c r="E236">
        <f>HYPERLINK("https://www.indeed.com/viewjob?jk=afba20e37cce9abf", "https://www.indeed.com/viewjob?jk=afba20e37cce9abf")</f>
        <v/>
      </c>
      <c r="F236">
        <f>HYPERLINK("https://www.amazon.jobs/jobs/3006938/principal-applied-scientist-delivery-foundation-model-?cmpid=DA_INAD200785B", "https://www.amazon.jobs/jobs/3006938/principal-applied-scientist-delivery-foundation-model-?cmpid=DA_INAD200785B")</f>
        <v/>
      </c>
      <c r="G236" t="inlineStr">
        <is>
          <t>New York, NY, US</t>
        </is>
      </c>
      <c r="H236" s="3" t="n">
        <v>45810</v>
      </c>
      <c r="I2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in-4a76045706b8306c</t>
        </is>
      </c>
      <c r="B237" t="inlineStr">
        <is>
          <t>Principal Applied Scientist, Delivery Foundation Model</t>
        </is>
      </c>
      <c r="C237" t="inlineStr">
        <is>
          <t>Amazon.com</t>
        </is>
      </c>
      <c r="D237" t="inlineStr">
        <is>
          <t>indeed</t>
        </is>
      </c>
      <c r="E237">
        <f>HYPERLINK("https://www.indeed.com/viewjob?jk=4a76045706b8306c", "https://www.indeed.com/viewjob?jk=4a76045706b8306c")</f>
        <v/>
      </c>
      <c r="F237">
        <f>HYPERLINK("https://www.amazon.jobs/jobs/3006938/principal-applied-scientist-delivery-foundation-model-?cmpid=DA_INAD200785B", "https://www.amazon.jobs/jobs/3006938/principal-applied-scientist-delivery-foundation-model-?cmpid=DA_INAD200785B")</f>
        <v/>
      </c>
      <c r="G237" t="inlineStr">
        <is>
          <t>Austin, TX, US</t>
        </is>
      </c>
      <c r="H237" s="3" t="n">
        <v>45810</v>
      </c>
      <c r="I2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in-661a758db804c26b</t>
        </is>
      </c>
      <c r="B238" t="inlineStr">
        <is>
          <t>Principal Applied Scientist, Delivery Foundation Model</t>
        </is>
      </c>
      <c r="C238" t="inlineStr">
        <is>
          <t>Amazon.com</t>
        </is>
      </c>
      <c r="D238" t="inlineStr">
        <is>
          <t>indeed</t>
        </is>
      </c>
      <c r="E238">
        <f>HYPERLINK("https://www.indeed.com/viewjob?jk=661a758db804c26b", "https://www.indeed.com/viewjob?jk=661a758db804c26b")</f>
        <v/>
      </c>
      <c r="F238">
        <f>HYPERLINK("https://www.amazon.jobs/jobs/2998635/principal-applied-scientist-delivery-foundation-model-?cmpid=DA_INAD200785B", "https://www.amazon.jobs/jobs/2998635/principal-applied-scientist-delivery-foundation-model-?cmpid=DA_INAD200785B")</f>
        <v/>
      </c>
      <c r="G238" t="inlineStr">
        <is>
          <t>Santa Clara, CA, US</t>
        </is>
      </c>
      <c r="H238" s="3" t="n">
        <v>45757</v>
      </c>
      <c r="I2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in-9ec9561a9a568225</t>
        </is>
      </c>
      <c r="B239" t="inlineStr">
        <is>
          <t>Principal Applied Scientist, Delivery Foundation Model</t>
        </is>
      </c>
      <c r="C239" t="inlineStr">
        <is>
          <t>Amazon.com</t>
        </is>
      </c>
      <c r="D239" t="inlineStr">
        <is>
          <t>indeed</t>
        </is>
      </c>
      <c r="E239">
        <f>HYPERLINK("https://www.indeed.com/viewjob?jk=9ec9561a9a568225", "https://www.indeed.com/viewjob?jk=9ec9561a9a568225")</f>
        <v/>
      </c>
      <c r="F239">
        <f>HYPERLINK("https://www.amazon.jobs/jobs/2998635/principal-applied-scientist-delivery-foundation-model-?cmpid=DA_INAD200785B", "https://www.amazon.jobs/jobs/2998635/principal-applied-scientist-delivery-foundation-model-?cmpid=DA_INAD200785B")</f>
        <v/>
      </c>
      <c r="G239" t="inlineStr">
        <is>
          <t>Bellevue, WA, US</t>
        </is>
      </c>
      <c r="H239" s="3" t="n">
        <v>45757</v>
      </c>
      <c r="I2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in-d662d53624c98ec5</t>
        </is>
      </c>
      <c r="B240" t="inlineStr">
        <is>
          <t>Principal Applied Scientist, Delivery Foundation Model</t>
        </is>
      </c>
      <c r="C240" t="inlineStr">
        <is>
          <t>Amazon.com</t>
        </is>
      </c>
      <c r="D240" t="inlineStr">
        <is>
          <t>indeed</t>
        </is>
      </c>
      <c r="E240">
        <f>HYPERLINK("https://www.indeed.com/viewjob?jk=d662d53624c98ec5", "https://www.indeed.com/viewjob?jk=d662d53624c98ec5")</f>
        <v/>
      </c>
      <c r="F240">
        <f>HYPERLINK("https://www.amazon.jobs/jobs/2998635/principal-applied-scientist-delivery-foundation-model-?cmpid=DA_INAD200785B", "https://www.amazon.jobs/jobs/2998635/principal-applied-scientist-delivery-foundation-model-?cmpid=DA_INAD200785B")</f>
        <v/>
      </c>
      <c r="G240" t="inlineStr">
        <is>
          <t>New York, NY, US</t>
        </is>
      </c>
      <c r="H240" s="3" t="n">
        <v>45757</v>
      </c>
      <c r="I24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in-1f97f4eaf7e0c75b</t>
        </is>
      </c>
      <c r="B241" t="inlineStr">
        <is>
          <t>Principal Applied Scientist, FAR (Frontier AI &amp; Robotics)</t>
        </is>
      </c>
      <c r="C241" t="inlineStr">
        <is>
          <t>Amazon.com</t>
        </is>
      </c>
      <c r="D241" t="inlineStr">
        <is>
          <t>indeed</t>
        </is>
      </c>
      <c r="E241">
        <f>HYPERLINK("https://www.indeed.com/viewjob?jk=1f97f4eaf7e0c75b", "https://www.indeed.com/viewjob?jk=1f97f4eaf7e0c75b")</f>
        <v/>
      </c>
      <c r="F241">
        <f>HYPERLINK("https://www.amazon.jobs/jobs/2938625/principal-applied-scientist-far-frontier-ai--robotics?cmpid=DA_INAD200785B", "https://www.amazon.jobs/jobs/2938625/principal-applied-scientist-far-frontier-ai--robotics?cmpid=DA_INAD200785B")</f>
        <v/>
      </c>
      <c r="G241" t="inlineStr">
        <is>
          <t>San Francisco, CA, US</t>
        </is>
      </c>
      <c r="H241" s="3" t="n">
        <v>45740</v>
      </c>
      <c r="I24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in-4725270f60446dfa</t>
        </is>
      </c>
      <c r="B242" t="inlineStr">
        <is>
          <t>Principal Applied Scientist, FAR (Frontier AI &amp; Robotics)</t>
        </is>
      </c>
      <c r="C242" t="inlineStr">
        <is>
          <t>Amazon.com</t>
        </is>
      </c>
      <c r="D242" t="inlineStr">
        <is>
          <t>indeed</t>
        </is>
      </c>
      <c r="E242">
        <f>HYPERLINK("https://www.indeed.com/viewjob?jk=4725270f60446dfa", "https://www.indeed.com/viewjob?jk=4725270f60446dfa")</f>
        <v/>
      </c>
      <c r="F242">
        <f>HYPERLINK("https://www.amazon.jobs/jobs/2938625/principal-applied-scientist-far-frontier-ai--robotics?cmpid=DA_INAD200785B", "https://www.amazon.jobs/jobs/2938625/principal-applied-scientist-far-frontier-ai--robotics?cmpid=DA_INAD200785B")</f>
        <v/>
      </c>
      <c r="G242" t="inlineStr">
        <is>
          <t>Seattle, WA, US</t>
        </is>
      </c>
      <c r="H242" s="3" t="n">
        <v>45740</v>
      </c>
      <c r="I24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in-dd19c6b4b6d9510c</t>
        </is>
      </c>
      <c r="B243" t="inlineStr">
        <is>
          <t>Fullstack AI Engineer (Vue/Python)</t>
        </is>
      </c>
      <c r="C243" t="inlineStr">
        <is>
          <t>Fastechnowiz Solutions Inc</t>
        </is>
      </c>
      <c r="D243" t="inlineStr">
        <is>
          <t>indeed</t>
        </is>
      </c>
      <c r="E243">
        <f>HYPERLINK("https://www.indeed.com/viewjob?jk=dd19c6b4b6d9510c", "https://www.indeed.com/viewjob?jk=dd19c6b4b6d9510c")</f>
        <v/>
      </c>
      <c r="F243">
        <f>HYPERLINK("http://www.indeed.com/job/fullstack-ai-engineer-vuepython-dd19c6b4b6d9510c", "http://www.indeed.com/job/fullstack-ai-engineer-vuepython-dd19c6b4b6d9510c")</f>
        <v/>
      </c>
      <c r="G243" t="inlineStr">
        <is>
          <t>San Francisco, CA, US</t>
        </is>
      </c>
      <c r="H243" s="3" t="n">
        <v>46043</v>
      </c>
      <c r="I243" t="inlineStr">
        <is>
          <t>Role and Responsiblities:
\-Role will develop clinical software which interacts with cutting\-edge generative AImodels and applications.
\-Must Haves:
a)4\-yr Technical Degree (Computer Science, Engineering, Mathematics, or a related field), Masters preferred
b)10\+ yrs of IT/Engineering (US\-based)
c)3\+ yrs of frontend Vue.js
d)3\+ yrs of backend Python
e)2\+ yrs of AI/ML Solutions for applications
f)2\+ yrs implementing chatbots, retrieval\-augmented generation (RAG)systems, and integrating LLMs into applications (AI\-assisted automation)
g)2\+ yrs building AI agents, fine\-tuning LLM models, and evaluating bias and fairness with LLM systems
f)Proficiency with Containerized workflows/architecture (Podman, Docker,Kubernetes)
Job Type: Contract
Pay: $60\.58 per hour
Expected hours: 40 per week
Work Location: In person</t>
        </is>
      </c>
    </row>
    <row r="244">
      <c r="A244" t="inlineStr">
        <is>
          <t>in-bb376a2bad624bde</t>
        </is>
      </c>
      <c r="B244" t="inlineStr">
        <is>
          <t>Machine Learning Engineer I</t>
        </is>
      </c>
      <c r="C244" t="inlineStr">
        <is>
          <t>Harris</t>
        </is>
      </c>
      <c r="D244" t="inlineStr">
        <is>
          <t>indeed</t>
        </is>
      </c>
      <c r="E244">
        <f>HYPERLINK("https://www.indeed.com/viewjob?jk=bb376a2bad624bde", "https://www.indeed.com/viewjob?jk=bb376a2bad624bde")</f>
        <v/>
      </c>
      <c r="F244">
        <f>HYPERLINK("https://recruiting2.ultipro.com/ONE1016OHINC/JobBoard/71350453-e4a5-4859-b196-5d0c56c9190e/OpportunityDetail?opportunityId=238045cb-5963-4fd8-9be6-b948eddf4814&amp;postingId=4cb7de90-0a88-40bb-8d5f-302a536ea77b", "https://recruiting2.ultipro.com/ONE1016OHINC/JobBoard/71350453-e4a5-4859-b196-5d0c56c9190e/OpportunityDetail?opportunityId=238045cb-5963-4fd8-9be6-b948eddf4814&amp;postingId=4cb7de90-0a88-40bb-8d5f-302a536ea77b")</f>
        <v/>
      </c>
      <c r="G244" t="inlineStr">
        <is>
          <t>Saint Paul, MN, US</t>
        </is>
      </c>
      <c r="H244" s="3" t="n">
        <v>46043</v>
      </c>
      <c r="I244" t="inlineStr">
        <is>
          <t>**The purpose of your role as a Machine Learning Engineer I**
We are seeking a Machine Learning Engineer I (MLE) to join our Business Intelligence team. In this entry\-level role, the MLE will primarily assist with building and maintaining data structures to support ongoing AI initiatives and related administrative tasks. The MLE will work under the guidance of the Data Scientist and peer Database Developer, helping with the organization and management of databases, preparation of data for analytics, and routine administrative responsibilities. As part of the team, the MLE will gain hands\-on experience in modern data systems and cloud environments while supporting broader digital transformation objectives.
This is a hybrid\-remote position, which may be based out of our corporate headquarters in St. Paul, MN, or one of our regional offices. Fully remote work arrangement may be considered for highly qualified candidates.
System and Business Knowledge
* Build and maintain strong technical knowledge of enterprise software platforms, including CMiC, WennSoft, Adaptive, and Salesforce  
 o Work with front\-end user interfaces to improve usability and workflows  
 o Understand back\-end database structures, including schemas and ERDs
Machine Learning and AI Engineering
* Contribute to the design, development, and ongoing enhancement of machine learning models  
 o Perform feature engineering on data from multiple sources  
 o Train, evaluate, and deploy models for real\-world business applications  
 o Develop visualizations and dashboards to effectively communicate insights to stakeholders
* Implement and integrate generative AI solutions  
 o Fine\-tune generative AI models using domain\-specific data  
 o Build systems and pipelines that connect AI outputs to internal applications, such as chatbots
Custom Development
* Write and maintain code under the direction of a Data Scientist and peer Database Developer
* Identify and resolve bugs, and complete break/fix tasks promptly
* Follow established software development lifecycle methodologies
* Adhere to company coding standards and industry best practices
* Collaborate within a version\-controlled development environment
* Continuously enhance coding skills and technical knowledge
Data Administration
* Maintain large relational data sets across SQL and other databases  
 o Perform SQL Server and SSMS DBA administration, including permissions, backups, and other maintenance tasks
* Work with data warehouse and data lake platforms, including Snowflake and Azure
* Monitor and audit data flows between databases and other applications
* Assist with data migration efforts
* Troubleshoot and resolve data quality and performance issues
Emerging Trends
* Stay current on process improvement and technology trends that could enhance company operations
* Recommend practical solutions to leadership to improve efficiency and effectiveness
Continuing Education
* Maintain relevant knowledge through seminars, trade shows, industry publications, certifications, and other learning opportunities
* Keep up\-to\-date on project management, process improvement, and change management methodologies and best practices
**What we’re looking for in you**
* Bachelor’s degree in Computer Science or a related technology (required); advanced degree preferred
* Hands\-on experience with at least one ERP system, such as CMIC, COINS OA, IFS, SAP, or Microsoft Dynamics
* Strong experience with vector databases, big data tools (e.g., Spark), and data visualization and reporting platforms including Power BI and SSRS
* Demonstrated competency in LLM and Retrieval\-Augmented Generation (RAG) development
* Solid understanding of Azure resources and Azure SQL administration
* Proficiency in programming and data querying, including SQL and Python
* Proven knowledge of data structures and advanced SQL concepts
* Experience with ETL processes and pipelines, including data ingestion, transformation, and integration across enterprise systems
* Track record of diagnosing, analyzing, and resolving business process issues and translating technical solutions into meaningful business outcomes
Authorization to work in the US without sponsorship is required.
**Your life at Harris**
As one of the country's leading mechanical contractors, Harris offers the stability, resources, and opportunities of a national company along with the team culture, creative spirit, and customer loyalty of a local business. If you thrive on variety and enjoy new challenges, we want to meet you. From stadiums to manufacturing facilities, power plants to hospitals, and concert halls to classrooms, we handle projects of all sizes and complexity across multiple regional locations throughout the country.
**Harris Benefits \+ Compensation**
* Medical, dental, vision, and life insurance
* 401K with company match
* Vacation time, sick time, and paid holidays
* Paid parental leave
* Short\-Term Incentive Plan
Visit our Careers Page for additional benefits details: https://www.harriscompany.com/careers/employee\-benefits\-at\-a\-glance
**Pay Range:** $71,079 to $106,618 per year
The actual salary offer will vary by candidate based on a wide range of factors, including skills, qualifications, experience, and location</t>
        </is>
      </c>
    </row>
    <row r="245">
      <c r="A245" t="inlineStr">
        <is>
          <t>in-80500119dffcaa73</t>
        </is>
      </c>
      <c r="B245" t="inlineStr">
        <is>
          <t>Sr. Bioinformatics ML/AI Engineer</t>
        </is>
      </c>
      <c r="C245" t="inlineStr">
        <is>
          <t>Baylor Miraca Genetics Laboratories LLC</t>
        </is>
      </c>
      <c r="D245" t="inlineStr">
        <is>
          <t>indeed</t>
        </is>
      </c>
      <c r="E245">
        <f>HYPERLINK("https://www.indeed.com/viewjob?jk=80500119dffcaa73", "https://www.indeed.com/viewjob?jk=80500119dffcaa73")</f>
        <v/>
      </c>
      <c r="F245">
        <f>HYPERLINK("https://recruiting2.ultipro.com/BAY1006BML/JobBoard/0669eed3-5441-4f8e-a7b1-c5df596a4dfe/OpportunityDetail?opportunityId=b65faac6-f280-475d-81a0-b64e6569d034&amp;postingId=7b7b6525-00f9-4d7a-b1de-ce86e75f48c8", "https://recruiting2.ultipro.com/BAY1006BML/JobBoard/0669eed3-5441-4f8e-a7b1-c5df596a4dfe/OpportunityDetail?opportunityId=b65faac6-f280-475d-81a0-b64e6569d034&amp;postingId=7b7b6525-00f9-4d7a-b1de-ce86e75f48c8")</f>
        <v/>
      </c>
      <c r="G245" t="inlineStr">
        <is>
          <t>Houston, TX, US</t>
        </is>
      </c>
      <c r="H245" s="3" t="n">
        <v>46043</v>
      </c>
      <c r="I245" t="inlineStr">
        <is>
          <t>A seasoned machine learning and AI application engineer with strong knowledge and hands\-on experience in bioinformatics, genomic/clinical data modeling, AI/GenAI application development, data engineering, and cloud computing.
**QUALIFICATIONS:**
* **Education:**
* + Master's or higher degree in Computer Engineering, Data Science, Bioinformatics, Machine Learning, and Data modeling, or related field with five (5\) years of experience in genomic data analysis and application development.
* **Experience:**
* + Hands\-on experience in clinical bioinformatics pipeline development, including secondary/tertiary analysis, variant interpretation and classification pipeline R\&amp;D, and automated report generation
	+ Hands\-on experience in human genetics/multi\-omics data modeling and application development, especially in next\-generation sequencing data
	+ Hands\-on experience in machine learning framework (such as Huggingface, TensorFlow)
	+ Hands\-on experience in automated and scalable AI/GenAI application evaluation, development, and deployment.
	+ Hands\-on experience in RAG AI framework
	+ Hands\-on experience with scripting languages, such as Bash and Python
	+ Strong experience in cloud platform (Azure) and data services (data lakehouse/data warehouse)
	+ Experience in context\-aware OCR
	+ Experience in databases, including SQL and NoSQL
	+ Familiarity with advanced data visualization techniques
	+ DevOps experience such as unit testing, CI/CD is a plus.
	+ Strong curiosity and the ability to learn quickly and adapt to a fast\-changing environment
**DUTIES AND RESPONSIBILITIES:**
* Serves as the SME in Bioinformatics ML/AI application development in a clinical genetic testing setting. Provides hands\-on support towards building the company’s next\-generation bioinformatics ML/AI platform
* Designs, develops, evaluates, and deploys state\-of\-the\-art ML/AI solutions to gain valuable data insights based on the genetical, phenotypical, and clinical datasets
* Evaluates, adopts, and customizes GenAI models based on both internal and external datasets to enhance the overall performance of the genetic testing workflow
* Supports both internal and external data requirements by leveraging AI/ML and GenAI capabilities to keep up with the increasing demands of the business
* Collaborates in a multidisciplinary and regulated clinical diagnostics environment with geneticists, bioinformaticians, software engineers, and IT infrastructure professionals
**PHYSICAL DEMANDS AND WORK ENVIRONMENT:**
* Frequently required to sit
* Frequently required to stand
* Frequently required to utilize hand and finger dexterity
* Frequently required to talk or hear
* Frequently required to utilize visual acuity to operate equipment, read technical information, and/or use a keyboard
* Occasionally exposed to bloodborne and airborne pathogens or infectious materials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 **Summary:**
The Director, Corporate Financial Planning \&amp; Analysis is responsible for leading Baylor Genetics’ strategic financial planning, budgeting, forecasting, FP\&amp;A process improvement. This role plays a critical part in aligning financial strategy with long\-term business goals. The Director will provide executive\-level insights to leadership and external stakeholders while ensuring financial models and projections reflect the organization’s growth trajectory and performance.
#### **Qualifications and Experience:**
* **Education:**
	+ Bachelor's degree in Finance, Accounting, or a related field; MBA or relevant advanced degree preferred.
#### **Experience:**
* Minimum of 10 years of experience in financial planning and analysis or corporate finance
* At least 3 years in a financial leadership role
* Proven success in FP\&amp;A process improvement, experience in Adaptive planning platform implementation required
* Strong background in financial modeling, budgeting, and strategic forecasting
#### **Duties and Responsibilities:**
* **Strategic Financial Planning \&amp; Forecasting:**
	+ Lead the development of company\-wide financial models and long\-term forecasts
	+ Translate strategic objectives into detailed financial plans aligned with organizational priorities
	+ Collaborate with executive leadership to assess financial performance, risks, and growth opportunities
#### **Budget and Forecast Management:**
* Oversee the annual budgeting process and rolling forecasts
* Ensure alignment between actual results and forecasts, identifying key trends and drivers
* Partner with department heads to develop financially sound operational plans
#### **Revenue Analysis \&amp; Decision Support:**
* Lead revenue and margin analysis to support strategic decision\-making
* Drive business performance by analyzing sales trends, pricing strategies, and market dynamics
* Provide financial insights that support resource allocation and investment decisions
#### **Dashboards, Planning and Reporting:**
* Develop and maintain dashboards, planning and reporting tools for executive and departmental use including Adaptive planning platform
* Provide timely and actionable financial insights to guide company performance
#### **Team Leadership:**
* Build and lead a high\-performing FP\&amp;A team
* Foster a culture of collaboration, continuous improvement, and accountability
#### **Physical Demands and Work Environment:**
* Frequently required to
* Frequently required to utilize hand and finger
* Frequently required to talk or
####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**Note to Recruiters:**
**We value building direct relationships with our candidates and prefer to manage our hiring process internally. While we occasionally partner with select recruitment agencies for specialized roles, we do not accept unsolicited resumes from recruiters or agencies without a written agreement executed by the authorized signatory for Baylor Genetics ("Agreement"). Any resumes submitted to Baylor Genetics in the absence of an Agreement executed by Baylor Genetics' authorized signatory will be considered the property of Baylor Genetics, and Baylor Genetics will not be obligated to pay any associated recruitment fees.**</t>
        </is>
      </c>
    </row>
    <row r="246">
      <c r="A246" t="inlineStr">
        <is>
          <t>in-250b26e0e8021187</t>
        </is>
      </c>
      <c r="B246" t="inlineStr">
        <is>
          <t>AI/ML Engineer</t>
        </is>
      </c>
      <c r="C246" t="inlineStr">
        <is>
          <t>BridgeNexus Technologies Inc</t>
        </is>
      </c>
      <c r="D246" t="inlineStr">
        <is>
          <t>indeed</t>
        </is>
      </c>
      <c r="E246">
        <f>HYPERLINK("https://www.indeed.com/viewjob?jk=250b26e0e8021187", "https://www.indeed.com/viewjob?jk=250b26e0e8021187")</f>
        <v/>
      </c>
      <c r="F246">
        <f>HYPERLINK("http://www.indeed.com/job/aiml-engineer-250b26e0e8021187", "http://www.indeed.com/job/aiml-engineer-250b26e0e8021187")</f>
        <v/>
      </c>
      <c r="G246" t="inlineStr">
        <is>
          <t>Woodland Hills, CA, US</t>
        </is>
      </c>
      <c r="H246" s="3" t="n">
        <v>46043</v>
      </c>
      <c r="I246" t="inlineStr">
        <is>
          <t>**Mandatory onsite presence 3 days per week at our Woodland Hills, CA location.**
Key Responsibilities
* Design, develop, and implement scalable AI/ML models for healthcare use cases.
* Lead end\-to\-end machine learning lifecycle including data preparation, feature engineering, model development, validation, deployment, and monitoring.
* Collaborate with product, clinical, data, and engineering teams to translate healthcare requirements into technical solutions.
* Ensure compliance with healthcare regulations and data privacy standards (HIPAA, PHI).
* Optimize model performance, scalability, and reliability in production environments.
* Guide best practices for ML architecture, tooling, and MLOps.
* Mentor and provide technical guidance to junior engineers.
* Communicate complex AI/ML concepts to technical and non\-technical stakeholders.
Required Qualifications
* 15\+ years of overall experience in AI, Machine Learning, Data Science, or Software Engineering.
* Strong healthcare domain experience (mandatory).
* Hands\-on experience with ML frameworks and tools such as TensorFlow, PyTorch, Scikit\-learn.
* Proficiency in Python and experience working with large datasets.
* Experience deploying ML models into production environments.
* Solid understanding of statistics, machine learning algorithms, and model evaluation.
* Experience with cloud platforms (AWS, Azure, or GCP).
* Ability to work onsite 3 days per week in Woodland Hills, CA.
* Must be local to Los Angeles or within commutable distance (no relocation).
Job Types: Full\-time, Contract
Pay: $70\.00 \- $75\.00 per hour
Expected hours: 40 per week
Benefits:
* 401(k)
* Dental insurance
* Health insurance
* Vision insurance
Work Location: Hybrid remote in Woodland Hills, CA 91303</t>
        </is>
      </c>
    </row>
    <row r="247">
      <c r="A247" t="inlineStr">
        <is>
          <t>in-683151098d349266</t>
        </is>
      </c>
      <c r="B247" t="inlineStr">
        <is>
          <t>AI Engineer - Senior</t>
        </is>
      </c>
      <c r="C247" t="inlineStr">
        <is>
          <t xml:space="preserve">LorganTech </t>
        </is>
      </c>
      <c r="D247" t="inlineStr">
        <is>
          <t>indeed</t>
        </is>
      </c>
      <c r="E247">
        <f>HYPERLINK("https://www.indeed.com/viewjob?jk=683151098d349266", "https://www.indeed.com/viewjob?jk=683151098d349266")</f>
        <v/>
      </c>
      <c r="F247">
        <f>HYPERLINK("http://www.indeed.com/job/ai-engineer-senior-683151098d349266", "http://www.indeed.com/job/ai-engineer-senior-683151098d349266")</f>
        <v/>
      </c>
      <c r="G247" t="inlineStr">
        <is>
          <t>Richardson, TX, US</t>
        </is>
      </c>
      <c r="H247" s="3" t="n">
        <v>46043</v>
      </c>
      <c r="I247" t="inlineStr">
        <is>
          <t>**IBM Watson Conversational AI Engineer familiar with developing chatbots**
Location \- Richardson Tx / Hartford CT / Remote
Visa : Visa independent is preferred
Rate : Depends on Experience
Position Summary
My Client IT Delivery organization is seeking a Conversational AI Engineer specializing in IBM Watson Orchestrate AI technologies. You will drive the end\-to\-end user experience for a next\-generation Conversational AI platform designed to support members and providers by accessing timely, accurate health insurance answers across digital channels.
In this role, you will architect, implement, and optimize rich conversational flows using IBM’s Conversational AI stack, while integrating enterprise data sources to deliver context\-aware, trustworthy responses. You’ll collaborate with product, UI/UX, and backend teams to define requirements, influence features, and ensure scalable, user\-centric solutions.
Key Responsibilities
Ability to design and develop AI conversations with responses coming from outside APIs via cloud function or integration with other systems.
Applying clean coding skills and best practices.
Collaborating with user interface designers and backend application integration teams to understand the mechanisms through which the conversational AI solution will be used and what is needed to fulfill intents.
Collaborating with teams and other developers to design, develop, test, deploy and maintain a chatbot.
Troubleshoot bots, debug, and deploy chatbots on various channels (voice/chat).
Leveraging AI, NLP Technologies and cognitive machine learning to develop chatbot applications.
Integrate chatbot solutions with multiple platforms.
Enhancing user effectiveness of the conversational agents with the help of advanced technologies.
Continuously develop knowledge of emerging technologies and analytics techniques and support the pursuit of business development opportunities.
Tuning and enhancing Speech to Text models.
Required Qualifications
5\+ years software delivery experience
3\+ years of Chatbot development experience with IBM Watson Orchestrate, or any other similar chatbot conversational AI tool (i.e. Google Dialogflow CX, LivePerson, Amazon Lex, Kore. AI
3\+ years training and improving intent recognition by curating the appropriate training data sets
3\+ years applying Conversational AI best practices (e.g. NLP and training data best practices)
1\+ years of experience in CICD, Git, unit\-testing and source code management
1\+ years of knowledge of cloud development and deployment principles
1\+ years of Backend (server\-side) development experience in Java, Node.js, or Python
1\+ years of Multi\-language experience in Javascript/Typescript
1\+ years of working in an Agile environment, with knowledge in DevOps approaches, end\-to\-end software development processes and business requirements
Pay: From $60\.00 per hour
Work Location: Hybrid remote in Richardson, TX</t>
        </is>
      </c>
    </row>
    <row r="248">
      <c r="A248" t="inlineStr">
        <is>
          <t>in-3d18428091edcb79</t>
        </is>
      </c>
      <c r="B248" t="inlineStr">
        <is>
          <t>Agentic AI Engineer</t>
        </is>
      </c>
      <c r="C248" t="inlineStr">
        <is>
          <t>Capgemini</t>
        </is>
      </c>
      <c r="D248" t="inlineStr">
        <is>
          <t>indeed</t>
        </is>
      </c>
      <c r="E248">
        <f>HYPERLINK("https://www.indeed.com/viewjob?jk=3d18428091edcb79", "https://www.indeed.com/viewjob?jk=3d18428091edcb79")</f>
        <v/>
      </c>
      <c r="F248">
        <f>HYPERLINK("https://www.capgemini.com/jobs/391038-en_US+sap_btp/", "https://www.capgemini.com/jobs/391038-en_US+sap_btp/")</f>
        <v/>
      </c>
      <c r="G248" t="inlineStr">
        <is>
          <t>New York, NY, US</t>
        </is>
      </c>
      <c r="H248" s="3" t="n">
        <v>46042</v>
      </c>
      <c r="I248" t="inlineStr">
        <is>
          <t>New York, NY
Agentic AI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 strong passion for staying at the cutting edge of emerging technologies, with the ability to quickly understand complex scientific literature and thoughtfully translate innovative techniques into practical, real‑world applications.
Deep enthusiasm for agentic AI, backed by demonstrated expertise in applying it creatively and effectively across a wide range of domains. Broad technical capabilities spanning frontend and backend development, large language models (LLMs), machine learning, retrieval‑augmented generation (RAG), and agentic AI solutions.
Proven experience designing, developing, integrating, deploying, and maintaining sophisticated AI‑driven systems at scale.  
**Required Qualifications**  
Agentic AI Construction  
Experience building agentic AI multi‑node decision systems, including RAG pipelines, semantic search, state graphs, agentic memory, and API‑driven workflows.  
Agentic AI Guidance  
Skilled in implementing guardrails, human‑in‑the‑loop designs, multi‑agent coordination, reflection techniques, source citation, response verification, and other methods to enhance accuracy and minimize hallucinations.  
Hands‑on experience with LangChain, LangGraph, LangSmith, Google Gemini, OpenAI APIs, OpenAI Swarm/Agents SDK, vector databases, fine‑tuning, SageMaker/SageWorks, Bedrock, and Docker.  
AI‑Centered Development Workflow  
Proficient in research, systems architecture, code analysis, debugging, and code generation using LLM‑powered tools such as Cursor, AI Copilot, and similar platforms.  
Proof‑of‑Concept Development  
Full‑stack and DevOps capabilities to design and deliver high‑quality proof‑of‑concepts for agentic AI solutions.  
**Nice to Have**
Strong full‑stack development background for AI‑driven applications  
Familiarity with Docker, Kubernetes, and broader DevOps methodologies  
Experience in AI research and experimental prototyping
**Skills \&amp; Mindset**
Excellent problem‑solving skills and strong analytical thinking  
Entrepreneurial, adaptable mindset suited for fast‑paced environments  
Clear and effective communication abilities for translating AI concepts to non‑technical stakeholders  
Capable of working both independently and collaboratively within an agile team
The base compensation range for this role in the posted location is $100,000 \- $130,000/annum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391038\-en\_US
Posted on
21 Jan 2026
Experience level
Experienced Professionals
Contract type
Permanent
Location
New York, NY
Business unit
FS
Brand
Capgemini
Professional communities
Software Engineering</t>
        </is>
      </c>
    </row>
    <row r="249">
      <c r="A249" t="inlineStr">
        <is>
          <t>in-fae960e85745280c</t>
        </is>
      </c>
      <c r="B249" t="inlineStr">
        <is>
          <t>Senior Machine Learning Engineer, Cybersecurity / Threat Detection</t>
        </is>
      </c>
      <c r="C249" t="inlineStr">
        <is>
          <t>Keeper Security, Inc.</t>
        </is>
      </c>
      <c r="D249" t="inlineStr">
        <is>
          <t>indeed</t>
        </is>
      </c>
      <c r="E249">
        <f>HYPERLINK("https://www.indeed.com/viewjob?jk=fae960e85745280c", "https://www.indeed.com/viewjob?jk=fae960e85745280c")</f>
        <v/>
      </c>
      <c r="F249">
        <f>HYPERLINK("https://job-boards.greenhouse.io/keepersecurity/jobs/4105214009", "https://job-boards.greenhouse.io/keepersecurity/jobs/4105214009")</f>
        <v/>
      </c>
      <c r="G249" t="inlineStr">
        <is>
          <t>El Dorado Hills, CA, US</t>
        </is>
      </c>
      <c r="H249" s="3" t="n">
        <v>46042</v>
      </c>
      <c r="I249" t="inlineStr">
        <is>
          <t>**Description**
We are seeking a highly motivated and experienced Machine Learning Engineer to join our AI \&amp; Threat Analytics team. This is a 100% remote position with an opportunity to work a hybrid schedule for candidates based in the El Dorado Hills, CA or Chicago, IL metro area!
Keeper’s cybersecurity software is trusted by millions of people and thousands of organizations globally. Keeper is published in 23 languages and sold in over 150 countries. Join one of the fastest\-growing cybersecurity companies and play a critical part in advancing Keeper’s AI\-driven threat detection capabilities for our Privileged Access Management (PAM) platform.
**About Keeper**
Keeper Security is transforming cybersecurity for people and organizations around the world. Keeper’s affordable and easy\-to\-use solutions are built on a foundation of zero\-trust and zero\-knowledge security to protect every user on every device. Our award\-winning, zero\-trust, privileged access management platform deploys in minutes and seamlessly integrates with any tech stack and identity application to provide visibility, security, control, reporting and compliance across an entire enterprise. Trusted by millions of individuals and thousands of organizations, Keeper is an innovator of best\-in\-class password management, secrets management, privileged access, secure remote access and encrypted messaging. Learn more at KeeperSecurity.com.
**About the Role**
You will tackle one of the most critical challenges in cybersecurity: detecting threats within privileged access sessions with high accuracy and low latency. Privileged accounts are prime targets for attackers, and the ML systems you build will serve as a first line of defense against anomalous and malicious behavior across SSH, RDP, VNC, and database connections. This role focuses on a hybrid detection approach combining vision\-language models (VLMs) and domain\-adapted ML models. You will work in a Python\-based environment processing real\-time session data via WebSocket, WebRTC, and protocol\-level interfaces. The role is well\-suited for engineers who enjoy both research\-oriented work (datasets, evaluation, model training) and applied production engineering (inference systems, integration, and optimization).
**Responsibilities**
* Design, curate, and maintain datasets for training and evaluating threat detection models
* Build custom ML models for domain\-specific threat classification and risk assessment
* Engineer and optimize prompts for vision\-language models to analyze session behavior
* Create evaluation frameworks and benchmarks to measure accuracy, robustness, and reliability
* Develop Python\-based inference services within Dockerized environments
* Integrate AI/ML capabilities with WebSocket, WebRTC, and low\-level system interfaces for real\-time analysis
* Write clean, maintainable code and produce clear technical documentation
* Monitor, troubleshoot, and optimize models in production for performance, scalability, and reliability
**Requirements**
* 5\+ years of professional experience in machine learning research or development
* Strong proficiency in Python
* Hands\-on experience with dataset collection, curation, and labeling for ML training
* Experience designing model evaluation frameworks and performance benchmarks
* Experience working with vision\-language models or large language models (e.g., GPT, Claude, Gemini, Qwen)
* Familiarity with prompt engineering techniques and LLM frameworks
* Experience building and deploying ML inference systems using Docker
* Working knowledge of graph data structures and their practical applications
* Familiarity with Git\-based workflows and model repositories (e.g., Hugging Face)
* Experience using cloud platforms for ML deployment and inference (AWS, GCP, and/or Azure)
* Bachelor’s or Master’s degree in Computer Science, Machine Learning, Cybersecurity, or equivalent practical experience
* U.S. Person status required due to GovCloud involvement
Preferred Qualifications
* Experience with security, fraud, abuse detection, or anomaly detection systems
* Familiarity with PAM, identity, or privileged access environments
* Exposure to AWS Bedrock or similar managed AI services
* Knowledge of network protocols and low\-level system interfaces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250">
      <c r="A250" t="inlineStr">
        <is>
          <t>in-a5763482d26280fc</t>
        </is>
      </c>
      <c r="B250" t="inlineStr">
        <is>
          <t>Junior AI Engineer</t>
        </is>
      </c>
      <c r="C250" t="inlineStr">
        <is>
          <t>RBC</t>
        </is>
      </c>
      <c r="D250" t="inlineStr">
        <is>
          <t>indeed</t>
        </is>
      </c>
      <c r="E250">
        <f>HYPERLINK("https://www.indeed.com/viewjob?jk=a5763482d26280fc", "https://www.indeed.com/viewjob?jk=a5763482d26280fc")</f>
        <v/>
      </c>
      <c r="F250">
        <f>HYPERLINK("https://jsv3.recruitics.com/redirect?rx_cid=3618&amp;rx_jobId=R-0000155923&amp;rx_url=https%3A%2F%2Fjobs.rbc.com%2Fca%2Fen%2Fjob%2FR-0000155923%3Frx_a%3D0%26rx_c%3D%26rx_ch%3Djobp4p%26rx_group%3D300081%26rx_id%3Da7ca1301-f6ef-11f0-965c-65c0c818a306%26rx_job%3DR-0000155923%26rx_medium%3Dcpc%26rx_r%3Dnone%26rx_source%3Dindeed%26rx_ts%3D20260121T220404Z%26rx_vp%3Dcpc%26source%3DAPPLICANT_SOURCE_INDEEDORGANIC%26utm_medium%3Dcpc%26utm_source%3Dindeedorganic", "https://jsv3.recruitics.com/redirect?rx_cid=3618&amp;rx_jobId=R-0000155923&amp;rx_url=https%3A%2F%2Fjobs.rbc.com%2Fca%2Fen%2Fjob%2FR-0000155923%3Frx_a%3D0%26rx_c%3D%26rx_ch%3Djobp4p%26rx_group%3D300081%26rx_id%3Da7ca1301-f6ef-11f0-965c-65c0c818a306%26rx_job%3DR-0000155923%26rx_medium%3Dcpc%26rx_r%3Dnone%26rx_source%3Dindeed%26rx_ts%3D20260121T220404Z%26rx_vp%3Dcpc%26source%3DAPPLICANT_SOURCE_INDEEDORGANIC%26utm_medium%3Dcpc%26utm_source%3Dindeedorganic")</f>
        <v/>
      </c>
      <c r="G250" t="inlineStr">
        <is>
          <t>New York, NY, US</t>
        </is>
      </c>
      <c r="H250" s="3" t="n">
        <v>46042</v>
      </c>
      <c r="I250" t="inlineStr">
        <is>
          <t>**Job Description**
**What is the opportunity?**
Join RBC Capital Markets’ AI \&amp; Digital Engineering team as a Junior AI Engineer and contribute to shaping the strategic direction of artificial intelligence and emerging technologies. In this dynamic, hands\-on role, you’ll support innovation across global financial markets, collaborate with high\-performing teams, and gain exposure to executive stakeholders.
**What will you do?**
* Assist in designing, developing, and deploying AI/ML models to solve business challenges in financial markets, including tasks like data preprocessing, model training, validation, and monitoring.
* Work closely with senior engineers and business stakeholders to integrate AI capabilities into existing systems and workflows.
* Contribute to proof\-of\-concept projects and rapid prototyping to explore emerging technologies (e.g., Generative AI, blockchain).
* Support documentation, testing, and performance tuning of AI models to ensure scalability, robustness, and compliance with financial industry standards.
* Participate in team discussions to refine AI strategies, ensuring solutions align with business objectives and regulatory requirements.
* Stay updated on industry trends, share insights, and propose improvements to enhance the team’s AI capabilities.
**What do you need to succeed?**
**Must\-have**
* Bachelor’s Degree (or higher) in Computer Science, Engineering, Data Science, or related Quantitative field
* 1 – 5 years of coding in Python; including experience with libraries such as Pandas or NumPy for data manipulation and visualization
* Familiarity with building and training machine learning models (e.g., regression, classification, clustering) using frameworks like Scikit\-learn, TensorFlow, or PyTorch
* Exposure to natural language processing (NLP) concepts, such as text preprocessing, sentiment analysis, or basic chatbot implementations
* Understanding of image processing techniques (e.g., OpenCV) or document parsing (e.g., OCR tools) for tasks like data extraction
* Awareness of cloud platforms (AWS, Azure, GCP) and their AI/ML services
**Nice\-to\-have**
* Advanced degree in Computer Science, Engineering, Data Science, or related Quantitative field
* Familiarity with Blockchain, AWS SageMaker, or Azure ML
* Exposure to the Financial Industry or background in applying AI/ML for financial uses cases such as forecasting or fraud detection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Flexible work/life balance options
* Opportunities to do challenging work
* Opportunities to take on progressively greater accountabilities
* Access to a variety of job opportunities across business
*The good\-faith expected salary range for the above position is* ***$110,000 to $200,000*** *depending on factors including but not limited to the candidate’s experience, skills, registration status; market conditions; and business needs. This salary range does not include other elements that comprise our total compensation package, which includes the following: commission sharing eligibility for select roles, a discretionary bonus, a paid time\-off plan, our 401(k) program with company\-matching contributions, and our health, dental, vision, life and disability insurance.*
*RBC’s compensation philosophy and principles recognize the importance of a highly qualified global workforce and plays a critical role in attracting, engaging and retaining talent that:*
* *Drives RBC’s high performance culture*
* *Enables collective achievement of our strategic goals*
* *Generates sustainable shareholder returns and above market shareholder value*
**Job Skills**
Big Data Management, Data Mining, Data Science, Deep Learning, Machine Learning (ML), Predictive Analytics, Programming Languages**Additional Job Details**
**Address:**
BROOKFIELD PLACE FKA 3 WORLD FINANCIAL CENTER, 200 VESEY STREET:NEW YORK**City:**
New York**Country:**
United States of America**Work hours/week:**
40**Employment Type:**
Full time**Platform:**
CAPITAL MARKETS**Job Type:**
Regular**Pay Type:**
Salaried**Posted Date:**
2026\-01\-20**Application Deadline:**
2026\-02\-20**Note****:** *Applications will be accepted until 11:59 PM on the day prior to the application deadline date above*
**I****nclusion**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
RBC is presently inviting candidates to apply for this existing vacancy. Applying to this posting allows you to express your interest in this current career opportunity at RBC. Qualified applicants may be contacted to review their resume in more detail.</t>
        </is>
      </c>
    </row>
    <row r="251">
      <c r="A251" t="inlineStr">
        <is>
          <t>in-54fb106141522eb2</t>
        </is>
      </c>
      <c r="B251" t="inlineStr">
        <is>
          <t>Sr. Machine Learning Engineer</t>
        </is>
      </c>
      <c r="C251" t="inlineStr">
        <is>
          <t>Ouro</t>
        </is>
      </c>
      <c r="D251" t="inlineStr">
        <is>
          <t>indeed</t>
        </is>
      </c>
      <c r="E251">
        <f>HYPERLINK("https://www.indeed.com/viewjob?jk=54fb106141522eb2", "https://www.indeed.com/viewjob?jk=54fb106141522eb2")</f>
        <v/>
      </c>
      <c r="F251">
        <f>HYPERLINK("https://jobs.ashbyhq.com/Ouro%20Careers%20Page/0e5df34c-5424-4404-a239-8866eea2a088?utm_source=lZWqVZ96k6", "https://jobs.ashbyhq.com/Ouro%20Careers%20Page/0e5df34c-5424-4404-a239-8866eea2a088?utm_source=lZWqVZ96k6")</f>
        <v/>
      </c>
      <c r="G251" t="inlineStr">
        <is>
          <t>Austin, TX, US</t>
        </is>
      </c>
      <c r="H251" s="3" t="n">
        <v>46042</v>
      </c>
      <c r="I251" t="inlineStr">
        <is>
          <t>**About the Company:**
Ouro is a global, vertically\-integrated financial services and technology company dedicated to the delivery of innovative financial empowerment solutions to consumers worldwide. Ouro’s financial products and services span prepaid, debit, cross\-border payments, and loyalty solutions for consumers and enterprise partners.
Ouro's flagship product Netspend provides prepaid and debit account solutions that connect customers with secure, convenient access to global payment networks so they can manage their money and make everyday purchases. With a nationwide U.S. retail network, customers can purchase and reload Netspend products at 130,000 reload points and over 100,000 distributing locations.
Since Ouro's founding in 1999 by industry pioneers Roy and Bertrand Sosa, Ouro products have processed billions of dollars in transaction volume and served millions of customers worldwide. The company is headquartered in Austin, Texas with regional offices around the world. Learn more at www.ouro.com.
**DUTIES:**
* Analyze transaction and customer data to develop fraud and other risk control strategies needed to deliver on portfolio performance goals.
* Prepare analytics and reports for ongoing monitoring of risk strategy performance. Prepare clear and concise reports and presentations summarizing findings, insights, and recommendations.
* Partner with the Risk Decision Engine and Product/Engineering teams to implement changes in risk strategies/rules: provide clear requirements and test cases, execute user testing, review and sign\-off on SDET test results, execute post\-release validation in the production environment.
* Partner with and provide requirements to the Strategic Platform team that will develop Risk models and tools that require use of the ML/AI platforms or other new platform features.
* Engage on both strategic ad\-hoc requests and projects, conducting independent research to propose rules and strategies to help mitigate risks across all products.
* Be the SME on the risk function that you own. Represent Risk Strategy in cross\-functional teams to implement risk mitigation strategies for new products or feature enhancements.
* Proactively stay updated on industry trends, best practices, and regulatory requirements related to risk management and fraud prevention.
* Use SQL, Python, R, Snowflake for data analysis.
* Build reports in BI platforms such as QliQ, like Power BI, Tableau.
**REQUIREMENTS**:
* Bachelor’s degree in Statistics, or a related field plus two (2\) years of relevant experience.
* Telecommuting permitted from anywhere in the U.S. Relocation may be required. Domestic travel up to 5% may be required.</t>
        </is>
      </c>
    </row>
    <row r="252">
      <c r="A252" t="inlineStr">
        <is>
          <t>in-aa133ab58674367a</t>
        </is>
      </c>
      <c r="B252" t="inlineStr">
        <is>
          <t>Machine Learning Engineer - Data Pipelines, Analyst</t>
        </is>
      </c>
      <c r="C252" t="inlineStr">
        <is>
          <t>MUFG</t>
        </is>
      </c>
      <c r="D252" t="inlineStr">
        <is>
          <t>indeed</t>
        </is>
      </c>
      <c r="E252">
        <f>HYPERLINK("https://www.indeed.com/viewjob?jk=aa133ab58674367a", "https://www.indeed.com/viewjob?jk=aa133ab58674367a")</f>
        <v/>
      </c>
      <c r="F252">
        <f>HYPERLINK("https://mufgub.wd3.myworkdayjobs.com/MUFG-Careers/job/Jersey-City-NJ/Machine-Learning-Engineer---Data-Pipelines--Analyst_10074067-WD", "https://mufgub.wd3.myworkdayjobs.com/MUFG-Careers/job/Jersey-City-NJ/Machine-Learning-Engineer---Data-Pipelines--Analyst_10074067-WD")</f>
        <v/>
      </c>
      <c r="G252" t="inlineStr">
        <is>
          <t>Jersey City, NJ, US</t>
        </is>
      </c>
      <c r="H252" s="3" t="n">
        <v>46042</v>
      </c>
      <c r="I252"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Summary**
The Data Management Engineering team is embarking on a transformative journey to define, enable, and drive our data strategy. We aim to engage with partners across technology, data, business, and operations to develop and deliver business outcomes.
Our team is seeking a motivated and detail\-oriented Entry\-Level Machine Learning Engineer to join our growing team. As a key contributor, you will help build, test, and deploy machine learning models that solve real\-world problems and enhance our data\-driven decision\-making. This is a great opportunity for someone eager to apply their academic knowledge in a practical, fast\-paced environment.
**Major Responsibilities**
* Assist in designing, training, and validating machine learning models using structured and unstructured data
* Collaborate with data scientists, analysts, and software engineers to develop production\-ready ML solutions
* Preprocess and clean large datasets to prepare for modeling
* Conduct experiments, evaluate model performance, and tune hyperparameters
* Write reusable, well\-documented code in Python (or similar languages)
* Contribute to model deployment pipelines and MLOps infrastructure
* Stay current with the latest research, tools, and trends in machine learning and AI
**Qualifications**
* Bachelor’s degree in computer science, Data Science, Engineering, Mathematics, Statistics, or a related field
* 1 to 2 years of foundational knowledge of machine learning concepts and algorithms (e.g., regression, classification, clustering)
* Proficiency in Python and ML libraries such as Scikit\-learn, Pandas, NumPy, TensorFlow, or PyTorch
* Familiarity with data manipulation, feature engineering, and exploratory data analysis
* Understanding of model evaluation metrics and techniques
* Good communication and teamwork skills
Preferred Qualifications
* Internship or project experience involving machine learning or data science
* Familiarity with version control (e.g., Git), Jupyter notebooks, and cloud platforms (e.g., AWS, GCP, or Azure)
* Exposure to LLM and Agentic AI
* Exposure to SQL and basic database concepts
* Enthusiastic about learning and growing in the field of AI/ML
***Visa sponsorship/support is based on business needs. We do not anticipate providing visa sponsorship/support for this position.***
The typical base pay range for this role is between $82K \- $121K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253">
      <c r="A253" t="inlineStr">
        <is>
          <t>in-7db6388c18f32bb0</t>
        </is>
      </c>
      <c r="B253" t="inlineStr">
        <is>
          <t>Machine Learning Engineer</t>
        </is>
      </c>
      <c r="C253" t="inlineStr">
        <is>
          <t>eMaestro Technologies Inc.</t>
        </is>
      </c>
      <c r="D253" t="inlineStr">
        <is>
          <t>indeed</t>
        </is>
      </c>
      <c r="E253">
        <f>HYPERLINK("https://www.indeed.com/viewjob?jk=7db6388c18f32bb0", "https://www.indeed.com/viewjob?jk=7db6388c18f32bb0")</f>
        <v/>
      </c>
      <c r="F253">
        <f>HYPERLINK("https://www.emaestrotech.com/Jobs/machine-learning-engineer/", "https://www.emaestrotech.com/Jobs/machine-learning-engineer/")</f>
        <v/>
      </c>
      <c r="G253" t="inlineStr">
        <is>
          <t>US</t>
        </is>
      </c>
      <c r="H253" s="3" t="n">
        <v>46042</v>
      </c>
      <c r="I253" t="inlineStr">
        <is>
          <t>Machine Learning Engineer
Machine Learning Engineer**Must have skills :** 5\+ years
 Developing / deploying ML modules
Ø Python – 3\+ years of relevant exp (Mandate)
Ø SQL – 3\+ years of relevant exp (Mandate)
Ø 4\+ years of Very strong ML project experience
AWS
**Requirements :**  
* 4\+ years of industry experience in building machine learning applications.
* Experience in building large\-scale machine learning infrastructure for online recommendation, ads ranking, personalization, search, NLP, etc.
* Experience with Big Data and distributed technologies such as Spark, EMR, Kafka a plus
* Practical experience in object\-oriented design, data structures, algorithm designs, run\-time analysis and code quality verification.
* Proficiency in at least one modern programming language such as Python (preferred), Scala, Java, Go.
* Experience working hands\-on developing and deploying ML solutions with software engineering rigor on cloud\-based ecosystems such as AWS
* Preferred to have knowledge of machine learning, data mining, information retrieval, statistics or natural language processing.
* Prior exposure to internal PayPal micro\-services or infrastructure a plus
* Passion and intellectual curiosity for the FinTech domain.
* Comfortable in working in an ambiguous, fast\-paced and high\-growth dynamic environment.
* Excellent written and verbal communication, and ability to take ownership of meeting with cross\-functional team leads on a regular basis
**Job Category:** software engineer**Job Type:** Full Time**Job Location:** USA</t>
        </is>
      </c>
    </row>
    <row r="254">
      <c r="A254" t="inlineStr">
        <is>
          <t>in-1b2e19dbb9762eff</t>
        </is>
      </c>
      <c r="B254" t="inlineStr">
        <is>
          <t>AI Engineer - Platform</t>
        </is>
      </c>
      <c r="C254" t="inlineStr">
        <is>
          <t>RJW Logistics</t>
        </is>
      </c>
      <c r="D254" t="inlineStr">
        <is>
          <t>indeed</t>
        </is>
      </c>
      <c r="E254">
        <f>HYPERLINK("https://www.indeed.com/viewjob?jk=1b2e19dbb9762eff", "https://www.indeed.com/viewjob?jk=1b2e19dbb9762eff")</f>
        <v/>
      </c>
      <c r="F254">
        <f>HYPERLINK("https://recruiting.adp.com/srccsh/public/RTI.home?r=5001174830306&amp;c=2213039&amp;d=ExternalCareerSite&amp;rb=INDEED&amp;idUnique=5001174830306", "https://recruiting.adp.com/srccsh/public/RTI.home?r=5001174830306&amp;c=2213039&amp;d=ExternalCareerSite&amp;rb=INDEED&amp;idUnique=5001174830306")</f>
        <v/>
      </c>
      <c r="G254" t="inlineStr">
        <is>
          <t>Chicago, IL, US</t>
        </is>
      </c>
      <c r="H254" s="3" t="n">
        <v>46042</v>
      </c>
      <c r="I254" t="inlineStr">
        <is>
          <t>The AI Engineer serves as the technical steward of RJW's enterprise AI platform, responsible for its correctness, reliability, and long\-term scalability. This role focuses on deeply understanding how large language models, retrieval systems, and enterprise content interact, and ensuring the platform consistently delivers accurate and trustworthy answers aligned with organizational intent.
Reporting to the Director, IT Automation, this individual will own the technical configuration, evaluation, and evolution of the AI platform—ensuring information is indexed appropriately, responses behave as expected, and integrations are designed responsibly. While not directly responsible for business transformation or change management, this role maintains a strong awareness of why the platform exists and ensures technical decisions support real operational needs.
**Essential Duties and Responsibilities**
* Own the technical configuration, governance, and ongoing optimization of the enterprise AI platform.
* Develop and maintain a deep understanding of LLM behavior, retrieval mechanisms, ranking, and prompt interpretation as they apply to enterprise knowledge and data access.
* Evaluate AI\-generated responses for accuracy, completeness, grounding, and alignment with expected intent, identifying patterns of failure or degradation.
* Establish processes for reviewing prompt behavior and response quality across both knowledge\-based and data\-oriented queries.
* Define and maintain content indexing strategies, including inclusion/exclusion criteria and structural considerations for sources such as SharePoint, Teams, Jira, Confluence, and email.
* Design and oversee ingestion and refresh processes to ensure indexed content remains current, relevant, and well\-governed.
* Support and implement technical integrations that improve platform accessibility and usability, such as Microsoft Teams or other internal tools.
* Assess the technical feasibility and implications of integrating additional systems over time (e.g., CRM platforms, financial systems, analytics platforms like Microsoft Fabric).
* Evaluate new platform features, model updates, and vendor capabilities, documenting impact and recommending adoption or mitigation strategies.
* Create and maintain technical documentation, platform standards, and operational runbooks related to AI behavior, indexing, and governance.
* Support enablement efforts by providing technical guidance and reference materials for users building low/no\-code agents within the platform.
**Knowledge, Skills, and Abilities**
* Strong working knowledge of large language models, retrieval\-augmented systems, and common enterprise AI failure modes (hallucinations, overgeneralization, stale context).
* Ability to reason why an AI system produces a given answer and how changes in data, prompts, or configuration affect outcomes.
* Experience working with enterprise content systems and a solid understanding of structured vs. unstructured data tradeoffs.
* Technical comfort with APIs, integrations, authentication, and data flows, even when working within vendor\-managed platforms.
* Detail\-oriented mindset with a strong bias toward correctness, consistency, and repeatability.
* Clear written communication skills, particularly for documenting technical behavior and constraints in an understandable way.
* Comfortable operating in an evolving platform environment where the “right” answer may change as models and features evolve.
* Sound judgment in balancing platform capability, risk, and operational practicality.
**Education and Experience**
* Bachelor's degree in Computer Science, Information Systems, Data Science, or a related field required.
* 3–6 years of experience in software engineering, data engineering, analytics platforms, or AI\-adjacent technical roles.
* Experience working with enterprise search, knowledge platforms, analytics tools, or AI\-powered systems preferred.
* Prior exposure to evaluating or supporting LLM\-based solutions in production environments strongly preferred.
* Experience in Warehousing, Logistics, or other operationally complex domains is a plus.
**Work Environment:**
* While performing the duties of this Job, the employee is occasionally exposed to moving mechanical parts, and fumes or airborne particles. The noise level in the work environment will range from quiet to moderately loud.
**Employer Rights:**
This job description is intended to provide general information about the **AI Engineer** position. The above does not constitute an exhaustive list of the job duties to be performed by an associate holding the position of **AI Engineer**, nor are the lists of the physical requirements and environmental conditions exhaustive. You may be asked by your supervisor or managers to perform other duties. Your performance will be evaluated in part based upon your performance of the job duties listed in this job description, as well as any job duties not specifically listed above that you may be asked from time to time to perform.
As with all positions, the duties and responsibilities are subject to change at any time as needs arise and at the discretion of RJW Transport, Inc. The Company has the right to revise this job description at any time.
**Employment\-At\-Will:**
It is the Company's policy that all associates, other than those covered by a written individual employment or labor agreement with the Company that has been authorized in writing by the Company's Chief Executive Officer or Board of Directors, are not employed for any fixed term and are employed at the will of the Company for an indefinite period. Just as our associates reserve the right to resign their employment at any time for any reason the Company reserves its right to terminate an associate at any time for any reason either with or without cause.
Neither this Job Description nor any of its individual terms constitute commitments between the Company and its associates as to the terms, conditions, or duration of employment, nor does it modify the prevailing Employment\-At\-Will relationship.
Req Benefits: We offer a competitive benefits package that includes health, dental, and vision insurance, life and disability, paid holidays, time off, retirement savings plan participation, and additional employee programs. Pay Transparency In order to support the Fair Compensation Strategy by the US Govt., HR Dept., clients are required to adhere to "Pay Transparency Law"; in the impacted states; that have mandated the employers to list the salary ranges in Job advertisements or postings for job opportunities and Job promotions.</t>
        </is>
      </c>
    </row>
    <row r="255">
      <c r="A255" t="inlineStr">
        <is>
          <t>in-f9c041ca760cd060</t>
        </is>
      </c>
      <c r="B255" t="inlineStr">
        <is>
          <t>Junior AI Engineer</t>
        </is>
      </c>
      <c r="C255" t="inlineStr">
        <is>
          <t>ModusLink</t>
        </is>
      </c>
      <c r="D255" t="inlineStr">
        <is>
          <t>indeed</t>
        </is>
      </c>
      <c r="E255">
        <f>HYPERLINK("https://www.indeed.com/viewjob?jk=f9c041ca760cd060", "https://www.indeed.com/viewjob?jk=f9c041ca760cd060")</f>
        <v/>
      </c>
      <c r="F255">
        <f>HYPERLINK("https://recruiting.adp.com/srccsh/public/RTI.home?r=5001174668806&amp;c=2190731&amp;d=ExternalCareerSite-ModusLink&amp;rb=INDEED&amp;idUnique=5001174668806", "https://recruiting.adp.com/srccsh/public/RTI.home?r=5001174668806&amp;c=2190731&amp;d=ExternalCareerSite-ModusLink&amp;rb=INDEED&amp;idUnique=5001174668806")</f>
        <v/>
      </c>
      <c r="G255" t="inlineStr">
        <is>
          <t>US</t>
        </is>
      </c>
      <c r="H255" s="3" t="n">
        <v>46042</v>
      </c>
      <c r="I255" t="inlineStr">
        <is>
          <t>**GENERAL DESCRIPTION**
We are seeking a recent graduate who can design and implement the integration of AI\-driven solutions and digital workplace technologies across the organization. This role combines expertise in M365 CoPilot or chatgpt adoption with hands\-on development of AI and automation systems to enhance productivity, streamline operations, and drive innovation.
**ESSENTIAL JOB FUNCTIONS**
**Digital Workplace Solutions**
* Work under the guidance of the ERP/AI Director in delivery of AI\-powered productivity features.
* Provide ongoing support and troubleshooting.
**AI \&amp; Automation Development**
* Optimize and deploy AI/ML models for tasks such as invoice processing, inventory tracking, order fulfillment, and demand forecasting.
* Integrate AI solutions with ERP, WMS, and digital workplace platforms.
**Collaboration \&amp; Governance**
* Ensure compliance with data governance, security, and AI ethics standards.
* Monitor and continuously improve AI model performance and user adoption metrics.
* Partner with cross\-functional teams (IT, finance, logistics, procurement) to align AI and digital initiatives with business goals.
Requirements:
**Required Qualifications**
* Bachelor's in Computer Science, Information Technology, Data Science, or related field.
* 1\+ years of experience in AI/ML engineering and digital workplace technologies is preferred.
* Working knowledge of Python or SQL or ML frameworks.
**Preferred Skills**
* M365 Copilot certification
* Ability deliver training
* Strong problem\-solving skills and attention to detail.
* Ability to work independently and as part of a team.
**DISCLAIMER:** *The above information is intended to describe the general nature of this position and is not to be considered a complete statement of all duties, responsibilities, and requirements.*
***EOE STATEMENT****: We are an equal employment opportunity employer. All qualified applicants will receive consideration for employment without regard to race, color, religion, sex, national origin, disability status, protected veteran status or any other characteristic protected by law.*
*ModusLink participates in the federal E\-Verify program to confirm the identity and employment authorization of all newly hired employees. For further information about the E\-Verify program, please click here: http://www.uscis.gov/e\-verify/employees.*
Compensation: TBD</t>
        </is>
      </c>
    </row>
    <row r="256">
      <c r="A256" t="inlineStr">
        <is>
          <t>in-8553cc213665a74f</t>
        </is>
      </c>
      <c r="B256" t="inlineStr">
        <is>
          <t>AI / ML Engineer</t>
        </is>
      </c>
      <c r="C256" t="inlineStr">
        <is>
          <t>Accenture Federal Services</t>
        </is>
      </c>
      <c r="D256" t="inlineStr">
        <is>
          <t>indeed</t>
        </is>
      </c>
      <c r="E256">
        <f>HYPERLINK("https://www.indeed.com/viewjob?jk=8553cc213665a74f", "https://www.indeed.com/viewjob?jk=8553cc213665a74f")</f>
        <v/>
      </c>
      <c r="F256">
        <f>HYPERLINK("https://grnh.se/czhq2ys36us", "https://grnh.se/czhq2ys36us")</f>
        <v/>
      </c>
      <c r="G256" t="inlineStr">
        <is>
          <t>Tampa, FL, US</t>
        </is>
      </c>
      <c r="H256" s="3" t="n">
        <v>46042</v>
      </c>
      <c r="I256"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**Job Description:**
Accenture Federal Services is seeking an AI /ML Engineer. As a machine learning engineer, you will be focused on solving challenging data problems with state\-of\-the\-art AI/ML models for our federal clients. You will also be working closely with data owners, data scientists, and software engineers to build MLOps pipelines to allow for easy integration of data and AI services into the final product. You will have great influence on the foundational data and model architecture for the final product and you will play a large part in deciding which data will be used for the AI/ML capabilities.
**Here's what you need:**
* Bachelor's degree in engineering, Computer Science, Physics, Applied Mathematics, Statistics, Economics, Quantitative Analysis or related fields
* Experience of demonstrated results in Data Science with federal clients
* Experience designing, implementing, and deploying a prototype generative NLP large language model (LLM)
**Bonus points if you have:**
* Master's degree in Engineering, Computer Science, Physics, Applied Mathematics, Statistics, Economics, Quantitative Analysis or related fields
* Minimum of 3 years of expertise with advanced statistical modeling, AI, machine learning, optimization modeling, data mining, unstructured data analytics in corporate and/or academic research environments
* Minimum of 3 years of experience developing machine learning methods, including familiarity with techniques in clustering, regression, optimization, recommendation, neural networks, and others
* Experience with MLOps frameworks (BentoML, MLFlow) Strong Data Science background, tools, and skillsets DevOps (Docker) and Cloud experience (AWS, Azure)
* 2 years of prior experience in model validation or model audit
* 2 years of prior experience in the Department of Defense in a quantitative or analytical supervision role
* 3 years of experience working in a consulting capacity
* Experience managing and leading teams
* Business development experience
* Familiarity with using cloud services (AWS, Google, Azure) or Big Data tools (Hadoop, Hive, Spark) in data science solutions
* Familiarity with emerging technologies and recommended use cases and requirements.
* Demonstrable knowledge in artificial intelligence, machine learning, data science, and other relevant technical domains; and possess a blend of advanced analytical capabilities and consulting expertise that will create value and insights for our clients
**Security Clearance:**
* An active Secret federal security clearance is required and must be able to obtain TS/SCI
\#clearancejobs
***What We Believe****As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257">
      <c r="A257" t="inlineStr">
        <is>
          <t>in-63ba329197636ae1</t>
        </is>
      </c>
      <c r="B257" t="inlineStr">
        <is>
          <t>Machine Learning Engineer</t>
        </is>
      </c>
      <c r="C257" t="inlineStr">
        <is>
          <t>Twilio</t>
        </is>
      </c>
      <c r="D257" t="inlineStr">
        <is>
          <t>indeed</t>
        </is>
      </c>
      <c r="E257">
        <f>HYPERLINK("https://www.indeed.com/viewjob?jk=63ba329197636ae1", "https://www.indeed.com/viewjob?jk=63ba329197636ae1")</f>
        <v/>
      </c>
      <c r="F257">
        <f>HYPERLINK("https://grnh.se/n5rtm5q41us", "https://grnh.se/n5rtm5q41us")</f>
        <v/>
      </c>
      <c r="G257" t="inlineStr">
        <is>
          <t>Denver, CO, US</t>
        </is>
      </c>
      <c r="H257" s="3" t="n">
        <v>46042</v>
      </c>
      <c r="I25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Machine Learning Engineer.
**About the job**
Join Twilio's rapidly\-growing AI \&amp; Data Platform team as an Machine Learning Engineer. You will design, build, and operate the cloud\-native data and ML infrastructure that powers every customer interaction, enabling Twilio's product teams and customers to move from raw events to real\-time intelligence. This is a hands\-on, builder\-focused role that offers clear technical ownership, mentoring, and growth inside a company defining the future of communications with AI.
**Responsibilities**
In this role, you'll:
* Architect, implement, and maintain scalable data pipelines and feature stores for batch and real\-time workloads.
* Build reproducible ML training, evaluation, and inference workflows using modern orchestration and MLOps tooling.
* Integrate event streams from Twilio products (e.g., Messaging, Voice, Segment) into unified, analytics\-ready datasets.
* Monitor, test, and improve data quality, model performance, latency, and cost.
* Partner with product, data science, and security teams to ship resilient, compliant services.
* Automate deployment with CI/CD, infrastructure\-as\-code, and container orchestration best practices.
* Produce clear documentation, dashboards, and runbooks; share knowledge through code reviews and brown\-bag sessions.
* Embrace Twilio's "We are Builders" values by taking ownership of problems and driving them to completion.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B.S. in Computer Science, Data Engineering, Electrical Engineering, Mathematics, or related field—or equivalent practical experience.
* 3–5 years building and operating data or ML systems in production.
* Proficient in Python and SQL; comfortable with software engineering fundamentals (testing, version control, code reviews).
* Hands\-on experience with ETL/ELT orchestration tools (e.g., Airflow, Dagster) and cloud data warehouses (Snowflake, BigQuery, or Redshift).
* Familiarity with ML lifecycle tooling such as MLflow, SageMaker, Vertex AI, or similar.
* Working knowledge of Docker and Kubernetes and at least one major cloud platform (AWS, GCP, or Azure).
* Understanding of data modeling, distributed computing concepts, and streaming frameworks (Spark, Flink, or Kafka Streams).
* Strong analytical thinking, communication skills, and a demonstrated sense of ownership, curiosity, and continuous learning.
**Desired:**
* Experience with Twilio Segment, Kafka/Kinesis, or other high\-throughput event buses.
* Exposure to infrastructure\-as\-code (Terraform, Pulumi) and GitHub\-based CI/CD pipelines.
* Practical knowledge of generative AI workflows, foundation\-model fine\-tuning, or vector databases.
* Contributions to open\-source data/ML projects or published technical presentations/blogs.
* Domain experience in communications, marketing automation, or customer engagement analytics.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$138,700 \- $173,400\.
* Based in New York, New Jersey, Washington State, or California (outside of the San Francisco Bay area): $146,800 \- $183,600\.
* Based in the San Francisco Bay area, California: $163,100 \- 203,900\.
* This role may be eligible to participate in Twilio's equity plan and corporate bonus plan. All roles are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May 20,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58">
      <c r="A258" t="inlineStr">
        <is>
          <t>in-11f25855b9b57355</t>
        </is>
      </c>
      <c r="B258" t="inlineStr">
        <is>
          <t>Senior Machine Learning Engineer</t>
        </is>
      </c>
      <c r="C258" t="inlineStr">
        <is>
          <t>Integral Ad Science</t>
        </is>
      </c>
      <c r="D258" t="inlineStr">
        <is>
          <t>indeed</t>
        </is>
      </c>
      <c r="E258">
        <f>HYPERLINK("https://www.indeed.com/viewjob?jk=11f25855b9b57355", "https://www.indeed.com/viewjob?jk=11f25855b9b57355")</f>
        <v/>
      </c>
      <c r="F258">
        <f>HYPERLINK("https://integralads.wd1.myworkdayjobs.com/IAScareers/job/US---San-Francisco-CA/Senior-Machine-Learning-Engineer_R-101128-1", "https://integralads.wd1.myworkdayjobs.com/IAScareers/job/US---San-Francisco-CA/Senior-Machine-Learning-Engineer_R-101128-1")</f>
        <v/>
      </c>
      <c r="G258" t="inlineStr">
        <is>
          <t>New York, NY, US</t>
        </is>
      </c>
      <c r="H258" s="3" t="n">
        <v>46042</v>
      </c>
      <c r="I258" t="inlineStr">
        <is>
          <t>**Job Description:**
Integral Ad Science (IAS) is a global technology and data company that builds verification, optimization, and analytics solutions for the advertising industry and we’re looking for a Senior Machine Learning Engineer on the Data Sciences Team. If you are excited by technology that has the power to handle hundreds of thousands of transactions per second; collect tens of billions of events each day; and evaluate thousands of data points in real\-time all while responding in just a few milliseconds, then IAS is the place for you!
As a Machine Learning Engineer at IAS, you will be part of a team that is at the center of innovation for the company and a major contributor to our core products. You will be responsible for overseeing a sophisticated suite of data science systems making large scale business predictions in advertising inventory across open web, social networks, video/CTV, and mobile apps. As part of the data science group at IAS, you will push the boundaries of applications of machine learning (ML) and deliver best\-in\-class solutions for our clients. Innovation is at the heart of our competitive advantage, and innovation starts with people and culture. You will manage a group of data scientists and cultivate innovation in their work, developing high performing talent, ultimately producing a lasting impact on the IAS business.
The types of challenges we solve have attracted people from industry and academia with diverse backgrounds, ranging from ML, mathematics, physics, biology, neuroscience, and computer science to finance and economics. We’re passionate about maintaining an open and collaborative environment, where team members bring their own unique style of thinking and tools to the table.
**What you’ll get to do****:**
* Contribute to the system design for our AI/ML\-based services.
* Design and develop testing and monitoring tools for ML models.
* Design and build data pipelines (from storage to monitoring/telemetry).
* Design, develop and support our CI/CD pipeline for AI/ML\-based services.
* Provide and maintain experimenting tools for our ML scientists
* Evaluate the technical tradeoffs of every decision
* Perform code reviews and ensure exceptional code quality
* Build robust, lasting, and scalable products Iterate quickly without compromising quality
**You should apply if you have most of this experience:**
* PhD/Master’s degree in technical field such as computer science, mathematics, statistics or equivalent years of experience
* 5\+ years machine learning experience in industry
* Experience working with machine learning frameworks such as TensorFlow, Caffe2, PyTorch, Spark ML, scikit\-learn, or related frameworks
* Experience working with machine learning, ranking infrastructures, and system design
* Strong understanding of machine learning approaches and algorithms
* Able to prioritize duties and work well on your own
* Ability to work with both internal and external partners
* Skilled at solving open ambiguous problems
* Strong collaboration and mentorship skills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San Francisco, CA**Primary Location Base Pay Range:**
$116,900\.00 \- $200,400\.00 Annual**Additional Locations:**
US \- New York, NY**Additional Locations Pay Range:**
116,900\.00 \- 200,400\.00 USD Annual**About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
\#LI\-Hybrid</t>
        </is>
      </c>
    </row>
    <row r="259">
      <c r="A259" t="inlineStr">
        <is>
          <t>in-c50c3b8a41fd413e</t>
        </is>
      </c>
      <c r="B259" t="inlineStr">
        <is>
          <t>Senior Machine Learning Engineer</t>
        </is>
      </c>
      <c r="C259" t="inlineStr">
        <is>
          <t>Integral Ad Science</t>
        </is>
      </c>
      <c r="D259" t="inlineStr">
        <is>
          <t>indeed</t>
        </is>
      </c>
      <c r="E259">
        <f>HYPERLINK("https://www.indeed.com/viewjob?jk=c50c3b8a41fd413e", "https://www.indeed.com/viewjob?jk=c50c3b8a41fd413e")</f>
        <v/>
      </c>
      <c r="F259">
        <f>HYPERLINK("https://integralads.wd1.myworkdayjobs.com/IAScareers/job/US---San-Francisco-CA/Senior-Machine-Learning-Engineer_R-101128-1", "https://integralads.wd1.myworkdayjobs.com/IAScareers/job/US---San-Francisco-CA/Senior-Machine-Learning-Engineer_R-101128-1")</f>
        <v/>
      </c>
      <c r="G259" t="inlineStr">
        <is>
          <t>San Francisco, CA, US</t>
        </is>
      </c>
      <c r="H259" s="3" t="n">
        <v>46042</v>
      </c>
      <c r="I259" t="inlineStr">
        <is>
          <t>**Job Description:**
Integral Ad Science (IAS) is a global technology and data company that builds verification, optimization, and analytics solutions for the advertising industry and we’re looking for a Senior Machine Learning Engineer on the Data Sciences Team. If you are excited by technology that has the power to handle hundreds of thousands of transactions per second; collect tens of billions of events each day; and evaluate thousands of data points in real\-time all while responding in just a few milliseconds, then IAS is the place for you!
As a Machine Learning Engineer at IAS, you will be part of a team that is at the center of innovation for the company and a major contributor to our core products. You will be responsible for overseeing a sophisticated suite of data science systems making large scale business predictions in advertising inventory across open web, social networks, video/CTV, and mobile apps. As part of the data science group at IAS, you will push the boundaries of applications of machine learning (ML) and deliver best\-in\-class solutions for our clients. Innovation is at the heart of our competitive advantage, and innovation starts with people and culture. You will manage a group of data scientists and cultivate innovation in their work, developing high performing talent, ultimately producing a lasting impact on the IAS business.
The types of challenges we solve have attracted people from industry and academia with diverse backgrounds, ranging from ML, mathematics, physics, biology, neuroscience, and computer science to finance and economics. We’re passionate about maintaining an open and collaborative environment, where team members bring their own unique style of thinking and tools to the table.
**What you’ll get to do****:**
* Contribute to the system design for our AI/ML\-based services.
* Design and develop testing and monitoring tools for ML models.
* Design and build data pipelines (from storage to monitoring/telemetry).
* Design, develop and support our CI/CD pipeline for AI/ML\-based services.
* Provide and maintain experimenting tools for our ML scientists
* Evaluate the technical tradeoffs of every decision
* Perform code reviews and ensure exceptional code quality
* Build robust, lasting, and scalable products Iterate quickly without compromising quality
**You should apply if you have most of this experience:**
* PhD/Master’s degree in technical field such as computer science, mathematics, statistics or equivalent years of experience
* 5\+ years machine learning experience in industry
* Experience working with machine learning frameworks such as TensorFlow, Caffe2, PyTorch, Spark ML, scikit\-learn, or related frameworks
* Experience working with machine learning, ranking infrastructures, and system design
* Strong understanding of machine learning approaches and algorithms
* Able to prioritize duties and work well on your own
* Ability to work with both internal and external partners
* Skilled at solving open ambiguous problems
* Strong collaboration and mentorship skills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San Francisco, CA**Primary Location Base Pay Range:**
$116,900\.00 \- $200,400\.00 Annual**Additional Locations:**
US \- New York, NY**Additional Locations Pay Range:**
116,900\.00 \- 200,400\.00 USD Annual**About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
\#LI\-Hybrid</t>
        </is>
      </c>
    </row>
    <row r="260">
      <c r="A260" t="inlineStr">
        <is>
          <t>in-45d5f9ab9a5f3f3b</t>
        </is>
      </c>
      <c r="B260" t="inlineStr">
        <is>
          <t>Senior Machine Learning Engineer – Model Training and Customization</t>
        </is>
      </c>
      <c r="C260" t="inlineStr">
        <is>
          <t>Red Hat</t>
        </is>
      </c>
      <c r="D260" t="inlineStr">
        <is>
          <t>indeed</t>
        </is>
      </c>
      <c r="E260">
        <f>HYPERLINK("https://www.indeed.com/viewjob?jk=45d5f9ab9a5f3f3b", "https://www.indeed.com/viewjob?jk=45d5f9ab9a5f3f3b")</f>
        <v/>
      </c>
      <c r="F260">
        <f>HYPERLINK("https://redhat.wd5.myworkdayjobs.com/en-US/jobs/job/Boston/Senior-Machine-Learning-Engineer---Model-Training-and-Customization_R-050020-1", "https://redhat.wd5.myworkdayjobs.com/en-US/jobs/job/Boston/Senior-Machine-Learning-Engineer---Model-Training-and-Customization_R-050020-1")</f>
        <v/>
      </c>
      <c r="G260" t="inlineStr">
        <is>
          <t>Boston, MA, US</t>
        </is>
      </c>
      <c r="H260" s="3" t="n">
        <v>46042</v>
      </c>
      <c r="I260" t="inlineStr">
        <is>
          <t>Senior Machine Learning Engineer – Model Training and Customization  
Job Summary  
Come be a part of Red Hat's charge to democratize AI with open source! Red Hat's Global Engineering Team is looking for a Senior Machine Learning Engineer to join our newly formed AI Engineering organization. This role will be located within the AI Innovation team, which conducts customer\- and science\-driven research to drive innovation for Red Hat's customers. The team focuses on a pattern of "research open\-source software product" as the way we operate our engineering work. This role will be focused on building the core logic and enhancements for our model fine\-tuning and post\-training libraries.  
In this role, you will work directly with research scientists and open source AI communities to build and improve implementations of novel training methods, ranging from SFT, continual learning, and offline preference tuning to online reinforcement learning methods like GRPO and RLHF. You will develop working relationships across multiple teams, contributing to both upstream open source projects and our internal Training Hub.  
The ideal candidate will be a highly collaborative individual with a passion for working on complex ML projects in an open organization where contributions are valued and expected from all levels. As this is a fast\-moving area of opportunity for Red Hat, the ability to communicate productively and effectively with team members, stakeholders, and Red Hat leadership is critical. Success in this role would be delivering robust, scalable training libraries that bridge cutting\-edge research with production needs.  
This position reports directly to the Manager of AI Innovation. This position may require occasional travel to partner collaboratively in our Boston, MA office multiple times per quarter. Successful applicants must reside in a state where Red Hat is registered to do business.  
Primary Job Responsibilities (what you’ll do)  
Develop core libraries for various model post\-training methods and innovations.  
Work directly on upstream, open source projects and engage with community needs and contributions.  
Contribute to core post\-training algorithm research and engineering, introducing new methods both to community efforts and our own Training Hub.  
Understand and adapt novel architectures and techniques to work with various post\-training algorithms, across distributed training frameworks.  
Optimize, enhance, and improve robustness and usability of both existing and in\-flight projects, working closely with researchers to validate prototype logic.  
Maintain and expand library feature pool, and address core algorithm bugs and blockers.  
Work closely with software engineers on interface and testing designs.  
Participate in code reviews and collaborate on best practices within the engineering team.  
Document system designs, processes, and model performance for transparency and future reference.  
Report on project status, challenges, and results to stakeholders.  
Required Skills (what you’ll bring)  
Bachelor's degree in computer science or equivalent.  
3\+ years of experience in Python development.  
Significant background in AI/ML projects or coursework (neural networks, deep learning, language models, reinforcement learning).  
Experience in research engineering, machine learning engineering, or applied ML roles.  
Strong experience with common model architecture development and adapter frameworks (e.g. PyTorch, Transformers, PEFT, etc.).  
Familiarity with distributed training frameworks (e.g. FSDP, DeepSpeed) and inference runtimes (e.g. vLLM).  
Experience in open\-source projects and collaborative development workflows.  
Existing background in software development or engineering, building robust and consumable libraries and implementations.  
Experience with unit testing, integration testing, and performance testing.  
Strong self\-motivation and organizational skills.  
Excellent written and verbal communication skills.  
Positive attitude and willingness to share ideas openly.  
Bonus qualifications  
Masters or PhD in Machine Learning (ML) / Natural Language Processing (NLP).  
Experience with MLOps and deployment systems (e.g., Kubeflow, MLflow, Kubernetes, CI/CD pipelines).  
Experience writing functional, end\-to\-end or coverage tests in Python.  
Experience with GitHub Actions, GitHub automation, or CI/CD practices.  
Experience reading/writing, publishing, and/or implementing research papers.  
Experience in Red Hat products.  
Experience in large language models.
\#LI\-JC2
\#AI\-Hiring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61">
      <c r="A261" t="inlineStr">
        <is>
          <t>in-f9ea12317cb7abe4</t>
        </is>
      </c>
      <c r="B261" t="inlineStr">
        <is>
          <t>Machine Learning Engineer</t>
        </is>
      </c>
      <c r="C261" t="inlineStr">
        <is>
          <t>AGW</t>
        </is>
      </c>
      <c r="D261" t="inlineStr">
        <is>
          <t>indeed</t>
        </is>
      </c>
      <c r="E261">
        <f>HYPERLINK("https://www.indeed.com/viewjob?jk=f9ea12317cb7abe4", "https://www.indeed.com/viewjob?jk=f9ea12317cb7abe4")</f>
        <v/>
      </c>
      <c r="F261">
        <f>HYPERLINK("https://www2.jobdiva.com/candidates/myjobs/openjob_outside.jsp?a=48jdnwfh8vhzflv7zcdp76mde2du7o006c79o0fir46s6a2nlffdcojc2myqww0k&amp;SearchString=&amp;StatesString=&amp;source=indeed.com&amp;id=27146234&amp;compid=3", "https://www2.jobdiva.com/candidates/myjobs/openjob_outside.jsp?a=48jdnwfh8vhzflv7zcdp76mde2du7o006c79o0fir46s6a2nlffdcojc2myqww0k&amp;SearchString=&amp;StatesString=&amp;source=indeed.com&amp;id=27146234&amp;compid=3")</f>
        <v/>
      </c>
      <c r="G261" t="inlineStr">
        <is>
          <t>Menlo Park, CA, US</t>
        </is>
      </c>
      <c r="H261" s="3" t="n">
        <v>46040</v>
      </c>
      <c r="I261" t="inlineStr">
        <is>
          <t>**Aptask Global Workforce (AGW) is currently seeking a Machine Learning Engineer for a 6\+ month remote contract position. This opportunity can pay between $106\.00 and $128\.00 per hour.**
In this role, you will apply expertise in Machine Learning, AI, statistics, and data exploration and analysis in leveraging internal operations data to solve critical problems for multiple legal teams.
**Requirements:**
* Master's/Bachelor's in Computer Science, Math, Physics, Engineering, Statistics or a related quantitative field.
* 5\+ years of experience in the design, deployment and maintenance of Machine learning pipelines and systems.
* Demonstrable experience in applying Machine Learning algorithms to solve real\-world problems.
* 5\+ years of experience in design, deployment and maintenance of large data pipelines.
* Only candidates available and ready to work directly as Aptask Global Workforce (AGW) employees will be considered for this position.
**If you have the described qualifications and are interested in this exciting opportunity, please apply!**  
**Aptask Global Workforce (AGW)**  
ApTask Global Workforce (AGW) is a certified Minority and Veteran workforce solutions company. AGW delivers operational, clinical, lab and professional talent with a strong focus on healthcare and life sciences. The company supports clients with reliable staffing, program expertise and a commitment to quality, speed and consistent delivery.  
**Benefits of working with ApTask Global Workforce include:**
* Medical
* Dental
* Vision
* Sick Pay (for applicable states/municipalities)
Our team stays close to the process and is here to guide you every step of the way. To learn more, please visit our website https://www.agwtalent.com/.  
ApTask Global Workforce is an Equal Opportunity Employer. Candidates will receive consideration without regard to their race, color, religion, sex, sexual orientation, gender identity, national origin, disability or status as a protected veteran.</t>
        </is>
      </c>
    </row>
    <row r="262">
      <c r="A262" t="inlineStr">
        <is>
          <t>in-f1222ac5f5c4ce68</t>
        </is>
      </c>
      <c r="B262" t="inlineStr">
        <is>
          <t>Full Stack + AI Engineer</t>
        </is>
      </c>
      <c r="C262" t="inlineStr">
        <is>
          <t>GESTURE</t>
        </is>
      </c>
      <c r="D262" t="inlineStr">
        <is>
          <t>indeed</t>
        </is>
      </c>
      <c r="E262">
        <f>HYPERLINK("https://www.indeed.com/viewjob?jk=f1222ac5f5c4ce68", "https://www.indeed.com/viewjob?jk=f1222ac5f5c4ce68")</f>
        <v/>
      </c>
      <c r="F262">
        <f>HYPERLINK("https://gesture-us-inc.breezy.hr/p/3c09198869a6-full-stack-ai-engineer?source=indeed", "https://gesture-us-inc.breezy.hr/p/3c09198869a6-full-stack-ai-engineer?source=indeed")</f>
        <v/>
      </c>
      <c r="G262" t="inlineStr">
        <is>
          <t>New York, NY, US</t>
        </is>
      </c>
      <c r="H262" s="3" t="n">
        <v>46022</v>
      </c>
      <c r="I262" t="inlineStr">
        <is>
          <t>**Full Stack \+ AI Engineer**
=============================
**Location:** New York, NY (Hybrid / Onsite Preferred)
**Department:** Product \&amp; Engineering
**Reports to:** VP of Engineering
**About Gesture**
Gesture is where technology meets humanity — a place where innovation, emotion, and impact collide. We're a fast\-growing tech company using AI, machine learning, and intelligent logistics to power a first\-of\-its\-kind platform that connects people and brands through real\-world, tangible experiences. From our mobile app to our B2B Reach360 platform, Gesture blends data, emotion, and automation to build the future of human connection — at scale.
Inside our NYC headquarters, you'll find an environment that moves with the pace and precision of Silicon Valley but with the heart of something far greater.
We run on cutting\-edge tools, creative experimentation, and raw ambition. Every project, every campaign, every moment you work on here matters — because it's seen, felt, and experienced by real people around the world. At Gesture, you'll work alongside some of the smartest, most driven operators, engineers, and creatives in the industry — people who think big, move fast, and care deeply about the work they do.
This is a front\-row seat to the future of connection. If you want to help build something that's changing how the world interacts, welcome to Gesture.
**Where We're Headed**  
Gesture is investing aggressively in AI\-driven intelligence to power the next generation of marketing and commerce using a gift\-centric approach. Our roadmap focuses on:  
We're building intelligence that anticipates, adapts, and compounds—predicting intent, optimizing campaigns in real time, and delivering deeply personalized experiences driven by real\-world behavior, all through systems that continuously learn and improve with every interaction.  
This is not surface\-level automation. We're building intelligence directly into the core of how campaigns are planned, executed, and measured—at scale.  
At Gesture, you're not joining a static MarTech company. You're joining a team building the infrastructure for how brands will compete in a post\-digital\-fatigue world.
**About the Role**
We're now seeking a **Full Stack \+ AI Engineer** to help us launch the next phase of our app ecosystem: REAL.AI personalization, gesture\-based loyalty experiences, and advanced in\-app features that merge consumer data, behavioral prediction, and emotional intelligence.
**What You'll Do**
* **Lead the technical implementation** of **REAL.AI**, Gesture's consumer intelligence engine \- including data modeling, predictive algorithms, and personalized recommendation pipelines.
* Architect and build **loyalty program infrastructure** that ties user behaviors (send frequency, engagement, referrals, redemption patterns) to tangible rewards and predictive engagement cycles.
* Collaborate with the **mobile team (React Native)** to implement AI\-driven personalization across feeds, notifications, and product recommendations.
* Develop and integrate **API layers** between Firebase, Zoho CRM, Segment, Voucherify, and Gesture's internal data warehouse (GCP).
Build scalable backend services that support dynamic campaigns, A/B tests, and loyalty redemptions.  
* 
Partner cross\-functionally with data science, marketing, and product design to translate consumer behavior into actionable features.  
* 
* Optimize performance, ensure data integrity, and design systems for scalability across millions of users and transactions.
**The Tech Stack You'll Work With**
* **Frontend:** React / React Native (TypeScript preferred)
* **Backend:** Node.js / Python (FastAPI, Express)
* **Database:** Firestore, BigQuery, PostgreSQL
* **Cloud Infrastructure:** Google Cloud Platform (Firebase, Cloud Functions, Pub/Sub, Cloud Run), AWS
* **AI / Data:** TensorFlow, PyTorch, scikit\-learn, OpenAI / LangChain API integration
* **CRM / Marketing Tools:** Twilio Segment, Zoho CRM, Voucherify, OneSignal
* **Version Control:** Git, GitHub Actions, Docker
* **CI/CD:**Automated Docker pipelines via GitHub Actions for testing (Jest), linting, type\-checking, and deploying to Firebase Hosting and Cloud Run with zero\-downtime releases.
**Hard Skills We Look For**
**Category**
 **Skill**
 **Importance**
 **AI/ML Engineering**
Predictive modeling, personalization algorithms, recommendation systems
Prompt engineering \&amp; LLM integration (OpenAI, LangChain)
Experience with first\-party data segmentation and behavior scoring
 **Full Stack Development**
React / React Native (TypeScript)
Node.js / Python backend services
Firebase \&amp; GCP (auth, messaging, analytics)
 **Data Architecture**
ETL pipelines, API integrations (Segment, Zoho, Voucherify)
 **DevOps**
Docker, CI/CD, serverless deployment
 **Security / Privacy**
Familiarity with GDPR/CCPA for first\-party data handling
**Soft Skills \&amp; Behavioral Traits**
**Trait**
 **Description**
 **Customer\-Obsessed Mindset**
Thinks from the user's perspective \- builds features that drive joy and connection, not vanity metrics.
 **Builder Mentality**
Thrives in startup velocity; takes ownership from ideation to production.
 **Creative Problem Solver**
Balances speed and scalability, experimenting quickly but building with longevity in mind.
 **Curious \&amp; Adaptive**
Learns new tools (AI APIs, frameworks, SDKs) fast and integrates them into meaningful solutions.
 **Emotionally Intelligent**
Understands the purpose of Gesture's mission \- merging tech with empathy.
 **Collaborative Communicator**
Works seamlessly across marketing, data, and product teams, translating technical work into business impact.
**Preferred Background**
4–8 years of full stack and/or AI engineering experience (startup or growth\-stage preferred)  
* 
Experience building and shipping AI\-driven personalization or loyalty systems  
* 
Hands\-on experience with Firebase, React Native, Google Cloud ecosystem  
* 
Prior exposure to CRM\-based data flows (Segment, Zoho, HubSpot, etc.)  
* 
* Bonus: Experience with recommendation algorithms, reinforcement learning, or consumer marketing tech
**What Can You Gain From a Career at Gesture**
“Build Something That Ships” Guarantee: Every engineer contributes to a real project that goes live — no busywork.
Professional Growth \&amp; Mentorship make this opportunity transformational — the kind of experience that looks elite on a resume and helps to build a great personal brand critical to your personal development and career growth.
1:1 Mentorship with Executives: Direct access to senior leadership (including you or divisional heads like Product, Ops, and Engineering) for biweekly growth sessions.
Founders' Roundtable: Attend exclusive fireside\-style meetings with Gesture's CEO and leadership team about startup strategy, fundraising, and scaling.
AI Playground Access: Safe sandbox for R\&amp;D and to experiment with AI tools for content creation, data, and storytelling.
Leadership Lunch Series: Informal weekly sessions with team leaders about what it takes to run a $100M tech company.
**Other Gesture Benefits \&amp; Perks**
Health Benefits and Stock Options  
Make a Gesture Day: Each employee receives the chance to earn credit to send a surprise gift to someone they admire — living the company mission firsthand.  
Gesture Swag Pack: exclusive branded gear (hoodie, water bottle, or cap)  
Beautiful HQ Experience: Modern New York office with creative work zones, media studio, and collaboration spaces.  
Paid Team Lunches or Coffee Hours: Casual networking with leadership and cross\-department peers.
**Application Process \- Interested candidates should submit the following**
A resume outlining relevant experience.
A brief cover letter highlighting your key skills, achievements, and what excites you about this opportunity.
Any project work, portfolio samples, or coursework that demonstrate your passion and abilities.  
**Download The Gesture App**
***We strongly encourage all applicants to download the Gesture app and explore our platform firsthand (https://sendagesture.app.link/breezy2025\). You can also visit gesture.vip to learn more about our mission, technology, and culture.***
**Compensation \&amp; Culture**
**Gesture is committed to maintaining fair, transparent, and performance\-driven compensation practices.** Depending on the role, total compensation may include **commissions**, **bonuses**, or **other performance\-based incentives.** Final compensation packages are determined by factors such as years of experience, skill set, certifications, and location. Additional components may include **equity, annual performance rewards, and other incentive programs** tied to company and individual results.
At Gesture, we operate with a KPI\-driven, pacesetting culture — one that rewards sharp, motivated, high\-performing individuals who take initiative and execute with excellence.
The ideal candidate will thrive in a startup environment, embodying curiosity, grit, and a builder's mindset. This is a ground\-floor opportunity to grow alongside one of the most exciting and innovative companies redefining connection through technology.
Apply today to join Gesture and be part of the team that's redefining how the world connects.
Join the Movement If you're ready to lead by doing, grow fast, and make an impact that matters — we want to hear from you.</t>
        </is>
      </c>
    </row>
    <row r="263">
      <c r="A263" t="inlineStr">
        <is>
          <t>in-49bb10e2d505b0cc</t>
        </is>
      </c>
      <c r="B263" t="inlineStr">
        <is>
          <t>Machine Learning Engineer</t>
        </is>
      </c>
      <c r="C263" t="inlineStr">
        <is>
          <t>Twilio</t>
        </is>
      </c>
      <c r="D263" t="inlineStr">
        <is>
          <t>indeed</t>
        </is>
      </c>
      <c r="E263">
        <f>HYPERLINK("https://www.indeed.com/viewjob?jk=49bb10e2d505b0cc", "https://www.indeed.com/viewjob?jk=49bb10e2d505b0cc")</f>
        <v/>
      </c>
      <c r="F263">
        <f>HYPERLINK("https://jobs.twilio.com/careers/job/1099541777661?domain=twilio.com", "https://jobs.twilio.com/careers/job/1099541777661?domain=twilio.com")</f>
        <v/>
      </c>
      <c r="G263" t="inlineStr">
        <is>
          <t>Remote, US</t>
        </is>
      </c>
      <c r="H263" s="3" t="n">
        <v>45846</v>
      </c>
      <c r="I263"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Machine Learning Engineer.
**About the job**
Join Twilio’s rapidly\-growing AI \&amp; Data Platform team as an Machine Learning Engineer. You will design, build, and operate the cloud\-native data and ML infrastructure that powers every customer interaction, enabling Twilio’s product teams and customers to move from raw events to real\-time intelligence. This is a hands\-on, builder\-focused role that offers clear technical ownership, mentoring, and growth inside a company defining the future of communications with AI.
**Responsibilities**
In this role, you’ll:
* Architect, implement, and maintain scalable data pipelines and feature stores for batch and real\-time workloads.
* Build reproducible ML training, evaluation, and inference workflows using modern orchestration and MLOps tooling.
* Integrate event streams from Twilio products (e.g., Messaging, Voice, Segment) into unified, analytics\-ready datasets.
* Monitor, test, and improve data quality, model performance, latency, and cost.
* Partner with product, data science, and security teams to ship resilient, compliant services.
* Automate deployment with CI/CD, infrastructure\-as\-code, and container orchestration best practices.
* Produce clear documentation, dashboards, and runbooks; share knowledge through code reviews and brown\-bag sessions.
* Embrace Twilio’s “We are Builders” values by taking ownership of problems and driving them to completion.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B.S. in Computer Science, Data Engineering, Electrical Engineering, Mathematics, or related field—or equivalent practical experience.
* 3–5 years building and operating data or ML systems in production.
* Proficient in Python and SQL; comfortable with software engineering fundamentals (testing, version control, code reviews).
* Hands\-on experience with ETL/ELT orchestration tools (e.g., Airflow, Dagster) and cloud data warehouses (Snowflake, BigQuery, or Redshift).
* Familiarity with ML lifecycle tooling such as MLflow, SageMaker, Vertex AI, or similar.
* Working knowledge of Docker and Kubernetes and at least one major cloud platform (AWS, GCP, or Azure).
* Understanding of data modeling, distributed computing concepts, and streaming frameworks (Spark, Flink, or Kafka Streams).
* Strong analytical thinking, communication skills, and a demonstrated sense of ownership, curiosity, and continuous learning.
**Desired:**
* Experience with Twilio Segment, Kafka/Kinesis, or other high\-throughput event buses.
* Exposure to infrastructure\-as\-code (Terraform, Pulumi) and GitHub\-based CI/CD pipelines.
* Practical knowledge of generative AI workflows, foundation\-model fine\-tuning, or vector databases.
* Contributions to open\-source data/ML projects or published technical presentations/blogs.
* Domain experience in communications, marketing automation, or customer engagement analytics.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$138,700 \- $173,400\.
* Based in New York, New Jersey, Washington State, or California (outside of the San Francisco Bay area): $146,800 \- $183,600\.
* Based in the San Francisco Bay area, California: $163,100 \- 203,900\.
* This role may be eligible to participate in Twilio’s equity plan and corporate bonus plan. All roles are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May 20,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li-4365081729</t>
        </is>
      </c>
      <c r="B2" t="inlineStr">
        <is>
          <t>ML Engineer</t>
        </is>
      </c>
      <c r="C2" t="inlineStr">
        <is>
          <t>Waymo</t>
        </is>
      </c>
      <c r="D2" t="inlineStr">
        <is>
          <t>linkedin</t>
        </is>
      </c>
      <c r="E2" t="inlineStr"/>
      <c r="F2" t="inlineStr"/>
      <c r="G2" t="inlineStr"/>
      <c r="H2" t="inlineStr"/>
      <c r="I2" t="inlineStr">
        <is>
          <t>**About The Company**
 Waymo is a pioneering autonomous driving technology company dedicated to transforming mobility and improving road safety. Established as the Google Self\-Driving Car Project in 2009, Waymo has evolved into a leader in autonomous vehicle innovation. The company's core mission is to become the world's most trusted driver by developing the Waymo Driver—The World's Most Experienced Driver™—which powers its fully autonomous ride\-hail service and is adaptable to various vehicle platforms and use cases. With a focus on safety and reliability, Waymo has conducted over ten million rider\-only trips, driven more than 100 million miles on public roads across more than 15 states, and performed tens of billions of miles in simulation, demonstrating its commitment to advancing autonomous driving technology.
**About The Role**
 The AI Foundations team at Waymo is seeking a talented and motivated Research Scientist to contribute to the development of machine learning solutions that address key challenges in autonomous driving. This role involves pioneering research in robotics and machine learning to enhance the evaluation, safety, and realism of embodied AI agents. The successful candidate will collaborate across teams and organizations to integrate innovative technologies into production systems, working with state\-of\-the\-art Foundation Models. You will be instrumental in defining evaluation benchmarks, developing large\-scale data pipelines, and advancing methodologies that ensure the safe and efficient operation of Waymo's autonomous vehicles in diverse environments. This position offers a hybrid work schedule, with reporting to a Senior Research Scientist, and provides an exciting opportunity to influence the future of autonomous mobility.
**Qualifications**
* Masters degree in Computer Science, Machine Learning, Robotics, or a related technical field, or equivalent practical experience
* Proficiency in Python programming language
* Experience with modern deep learning frameworks such as PyTorch, JAX, or TensorFlow
* Previous work in industry or research settings developing methodologies for ML model evaluation
* Strong understanding of machine learning principles and evaluation techniques
**Responsibilities**
* Develop and extend cutting\-edge research in robotics and machine learning to improve evaluation methodologies for embodied AI agents
* Collaborate within and across teams to deploy disruptive and innovative autonomous driving technologies into production
* Work with state\-of\-the\-art Foundation Models to enhance system capabilities
* Define evaluation metrics and benchmarks to drive model development and performance assessment
* Implement and extend large\-scale data collection, processing, and evaluation pipelines
* Contribute to the publication of research findings and open\-source projects in relevant fields
**Benefits**
* Competitive salary range of $170,000 to $216,000 USD, commensurate with experience and location
* Participation in Waymo’s discretionary annual bonus program and equity incentive plan
* Comprehensive health, dental, and vision insurance plans
* Generous paid time off and flexible work arrangements
* Opportunities for professional development and career growth within a leading autonomous vehicle company
* Access to cutting\-edge research and collaboration with top\-tier experts in AI and robotics
 Equal Opportunity
 Waymo is an equal opportunity employer. We celebrate diversity and are committed to creating an inclusive environment for all employees. All qualified applicants will receive consideration for employment without regard to race, color, religion, sex, gender identity, sexual orientation, national origin, age, disability, or any other protected status under applicable law.</t>
        </is>
      </c>
    </row>
    <row r="3">
      <c r="A3" t="inlineStr">
        <is>
          <t>li-4365101095</t>
        </is>
      </c>
      <c r="B3" t="inlineStr">
        <is>
          <t>AI/ML Engineer</t>
        </is>
      </c>
      <c r="C3" t="inlineStr">
        <is>
          <t>Node.Digital LLC</t>
        </is>
      </c>
      <c r="D3" t="inlineStr">
        <is>
          <t>linkedin</t>
        </is>
      </c>
      <c r="E3" t="inlineStr"/>
      <c r="F3" t="inlineStr"/>
      <c r="G3" t="inlineStr">
        <is>
          <t>Herndon, VA</t>
        </is>
      </c>
      <c r="H3" t="inlineStr"/>
      <c r="I3"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4">
      <c r="A4" t="inlineStr">
        <is>
          <t>li-4365104042</t>
        </is>
      </c>
      <c r="B4" t="inlineStr">
        <is>
          <t>Machine Learning Engineer</t>
        </is>
      </c>
      <c r="C4" t="inlineStr">
        <is>
          <t>Goliath Partners</t>
        </is>
      </c>
      <c r="D4" t="inlineStr">
        <is>
          <t>linkedin</t>
        </is>
      </c>
      <c r="E4" t="inlineStr"/>
      <c r="F4" t="inlineStr"/>
      <c r="G4" t="inlineStr"/>
      <c r="H4" t="inlineStr"/>
      <c r="I4" t="inlineStr">
        <is>
          <t>We’re working with a client who are building next\-generation AI systems that simulate the world by merging art and science.
 Their work is defining how stories are told, how science advances, and how humanity explores new frontiers. We’re a small, ambitious team of creative, open\-minded builders who thrive on tackling problems that once seemed impossible.
 If you’re driven to build foundational technology that shapes the future, we’d love to hear from you.
 About the Role
 We’re hiring
 **Machine Learning Engineers** 
 to help build
 **multimodal AI systems for image and video generation** 
 , with a strong emphasis on simulation\-driven learning and creative tooling.
 This role is ideal for someone who blends
 **strong engineering instincts with deep ML experience** 
 , enjoys high ownership, and thrives in fast\-moving environments where research meets production.
 What You’ll Do
* Design and develop novel research projects in
 **computer vision and generative modeling** 
 (image \&amp; video)
* Build and scale multimodal systems that push the boundaries of
 **media creation in the browser**
* Partner closely with product and engineering teams to bring cutting\-edge ML models into production
* Rapidly prototype, iterate, and productionize models under tight product timelines
 What We’re Looking For
* **5\+ years** 
 of experience in machine learning, computer vision, graphics, or related research/engineering roles
* Strong hands\-on experience with modern ML frameworks (e.g., PyTorch, TensorFlow)
* Excellent programming skills and ability to write
 **clean, maintainable research code**
* Deep interest in
 **human\-in\-the\-loop systems** 
 for creativity and content generation
* Comfort moving quickly from research → prototype → production
* Strong communication, collaboration, and documentation skills
 Compensation
* **Base salary range (U.S.): $270,000 – $400,000**</t>
        </is>
      </c>
    </row>
    <row r="5">
      <c r="A5" t="inlineStr">
        <is>
          <t>li-3981024426</t>
        </is>
      </c>
      <c r="B5" t="inlineStr">
        <is>
          <t>Machine Learning Engineer, Monetization Engineering</t>
        </is>
      </c>
      <c r="C5" t="inlineStr">
        <is>
          <t>Pinterest</t>
        </is>
      </c>
      <c r="D5" t="inlineStr">
        <is>
          <t>linkedin</t>
        </is>
      </c>
      <c r="E5" t="inlineStr"/>
      <c r="F5" t="inlineStr"/>
      <c r="G5" t="inlineStr">
        <is>
          <t>San Francisco, CA</t>
        </is>
      </c>
      <c r="H5" t="inlineStr"/>
      <c r="I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6">
      <c r="A6" t="inlineStr">
        <is>
          <t>li-4365084722</t>
        </is>
      </c>
      <c r="B6" t="inlineStr">
        <is>
          <t>Machine Learning Engineer</t>
        </is>
      </c>
      <c r="C6" t="inlineStr">
        <is>
          <t>Samsara</t>
        </is>
      </c>
      <c r="D6" t="inlineStr">
        <is>
          <t>linkedin</t>
        </is>
      </c>
      <c r="E6" t="inlineStr"/>
      <c r="F6" t="inlineStr"/>
      <c r="G6" t="inlineStr"/>
      <c r="H6" t="inlineStr"/>
      <c r="I6" t="inlineStr">
        <is>
          <t>**About The Company** 
 Samsara (NYSE: IOT) is a pioneering company in the development of the Connected Operations™ Cloud, a comprehensive platform designed to enable organizations that rely on physical operations to leverage Internet of Things (IoT) data for actionable insights and operational improvements. Our mission is to enhance the safety, efficiency, and sustainability of the physical operations that drive the global economy. Serving industries such as agriculture, construction, field services, transportation, and manufacturing—industries that represent over 40% of the world’s GDP—Samsara is at the forefront of digital transformation in these vital sectors. As a publicly traded company, we provide a dynamic environment that fosters innovation, autonomy, and long\-term growth, empowering our team members to make meaningful impacts on the industries that sustain our world.
**About The Role** 
 The Samsara AI team is dedicated to building end\-to\-end artificial intelligence solutions for our diverse customer base, along with developing core machine learning (ML) infrastructure that supports our platform. As a Staff Machine Learning Engineer, you will work with petabyte\-scale datasets encompassing sensor data, diagnostics, video, and text to solve critical problems faced by our global customers in physical operations. Your role involves collaborating closely with ML engineers, scientists, full\-stack developers, and firmware engineers to deliver innovative product features, optimize existing services, and develop new AI\-driven solutions. This position offers the flexibility of remote work within the United States and involves travel up to 5%. Relocation assistance is not provided. The role is ideal for individuals passionate about impacting industries that keep our world running, eager to work on scalable AI solutions, and committed to continuous learning and collaboration.
**Qualifications** 
* 8\+ years of experience as a Machine Learning Engineer
* Profound expertise in optimizing ML models and systems for edge computing constraints
* Proficiency with frameworks such as Spark, Ray, or similar
* Strong programming skills in Python or comparable languages
* Experience coding in C\+\+ or Rust
* Deep understanding of the iterative machine learning product development process
* Proven track record of developing and deploying production\-grade code at large scale
* Ability to translate ambiguous customer and business requirements into clear problem definitions
* Excellent verbal and written communication skills for technical and non\-technical audiences
* Experience mentoring and coaching ML engineers
**Responsibilities** 
* Lead the design and implementation of critical AI product initiatives on edge devices
* Develop both tactical AI solutions and strategic, long\-term research projects
* Work with petabyte\-scale data, including text, diagnostics, sensor, video, and location data from customer operations
* Collaborate across business units to explore, prototype, and optimize AI experiences and model performance on edge devices
* Stay current with industry and academic research, adopting innovative technologies that align with Samsara’s needs
* Champion Samsara’s cultural principles—Customer Success, Long\-Term Building, Growth Mindset, Inclusion, and Teamwork—across our global teams
* Participate in cross\-functional teams to ensure AI solutions meet operational and customer requirements
* Mentor junior team members and foster a culture of continuous learning and innovation
**Benefits** 
* Competitive total compensation package
* Employee\-led remote and flexible working arrangements
* Health, dental, and vision insurance plans
* Paid time off and holidays
* Opportunities for professional development and growth
* Inclusive and diverse work environment
* Support for accommodations and accessibility needs
* Participation in cutting\-edge AI projects impacting critical industries
 Equal Opportunity
 Samsara is committed to creating an inclusive environment where all employees and applicants are treated with respect and fairness. We provide equal employment opportunities regardless of race, color, religion, national origin, sex, gender identity, sexual orientation, protected veteran status, disability, age, or any other characteristic protected by law. We value the unique perspectives and backgrounds of our team members and believe that diversity drives innovation and success.</t>
        </is>
      </c>
    </row>
    <row r="7">
      <c r="A7" t="inlineStr">
        <is>
          <t>li-4323020538</t>
        </is>
      </c>
      <c r="B7" t="inlineStr">
        <is>
          <t>Senior Data Scientist / Machine Learning Engineer - Storefront</t>
        </is>
      </c>
      <c r="C7" t="inlineStr">
        <is>
          <t>Quince</t>
        </is>
      </c>
      <c r="D7" t="inlineStr">
        <is>
          <t>linkedin</t>
        </is>
      </c>
      <c r="E7" t="inlineStr"/>
      <c r="F7" t="inlineStr"/>
      <c r="G7" t="inlineStr">
        <is>
          <t>Palo Alto, CA</t>
        </is>
      </c>
      <c r="H7" t="inlineStr"/>
      <c r="I7" t="inlineStr">
        <is>
          <t>**ABOUT QUINCE**
 Founded in 2018, Quince was built to challenge the idea that nice things have to cost a lot. Our mission is simple: to make really high quality essentials for really low prices, produced fairly and sustainably. We believe everyone deserves exceptional craftsmanship and timeless design without the traditional markups. Quince is a direct\-to\-consumer (DTC) model that cuts out middlemen and leverages just\-in\-time manufacturing to minimize waste and maximize value.
 Quince is a tech company disrupting the retail industry by putting AI, analytics and automation at the center of everything we do. Our unwavering commitment to excellence and company values guide our teams and actions:
* Customer First: We prioritize customer satisfaction in every decision.
* High Quality: True quality means premium materials and rigorous production standards you can feel good about.
* Essential Design: We focus on timeless, functional essentials instead of chasing trends.
* Always a Better Deal: Innovation and transparency ensure value for both customers and partners.
* Social \&amp; Environmental Responsibility: We commit to sustainable materials, ethical production, and fair wages.
 Quince partners with world\-class manufacturers across the globe and serves millions of customers. With strong investor backing and a focus on sustainable growth, we are a company that is rapidly scaling while maintaining a commitment to quality, simplicity, and radical price transparency.
**OUR TEAM AND SUCCESS**
 At Quince, you will be part of a high\-performing team that is redefining what quality, value, and sustainability mean in modern retail. We are a destination for builders, innovators, and operators to come together and challenge the status quo. Our collective ambition is bold. We are creating an entirely new category and customer experience – one that democratizes luxury and provides high quality products at radically low prices. That mission demands a world\-class team committed to excellence.
 If you are motivated by impact, growth, and purpose, you will find a strong sense of belonging at Quince.
**THE ROLE**
**Senior Data Scientist/Machine Learning Engineer \- Storefront**
 We are seeking passionate individuals who are enthusiastic about transforming the way people purchase essential goods through innovative data science and AI solutions. We are a centralized data science team that optimize and automate the decision making and provide valuable and actionable business insights. As a Storefront Data Scientist/Machine Learning Engineer at Quince, you will spearhead innovative data science solutions to elevate site personalization, ranking, recommendations, search, and discovery. Your work will enhance the shopping experience, enabling you to drive meaningful improvements that shape the future of Quince.
**Responsibilities**
* Develop and apply machine learning and statistical models to enhance personalized site and app experiences, including product search, ranking, and recommendations.
* Build and optimize ranking features while contributing to end\-to\-end modeling pipelines using modern ML/AI techniques.
* Support model deployment, run experiments, and assist in monitoring model performance in production.
* Collaborate with product, business, and engineering teams to develop and implement data\-driven solutions.
* Communicate findings by translating complex data insights into actionable recommendations for business stakeholders.
* Identify data gaps, define data requirements, and work with Engineering teams to improve data infrastructure and tracking.
* Share insights and best practices with Analytics and cross\-functional teams to promote consistency in data\-driven decision\-making.
* Seek opportunities to automate processes and improve efficiency in model development and deployment.
**Qualifications**
**Required:**
* MS or PhD in statistics, mathematics, engineering, computer science or another quantitative field AND 2\+ years of experience as a data scientist in relevant industry.
* Hands\-on experience applying machine learning, predictive modeling, GenAI to developing consumer facing applications.
* Deep knowledge in:
+ Statistical and machine learning techniques.
+ Data Science libraries in a programming or scripting language.
* Proficient in Python and SQL.
* Excellent communication and presentation skills.
* Experience with BI platforms such as Looker, Tableau, etc.
* Move fast, be a team player, and be kind.
 All posted ranges are reflective of base salary and may vary depending upon experience level and location. Bonus and equity may also be provided for eligible roles.
 Pay Range: $175,000 USD \- $265,000 USD
**WHY QUINCE?**
 Joining Quince means being part of a mission\-driven team reshaping retail. You will work alongside talented colleagues, tackle meaningful challenges, and contribute to building a more sustainable, accessible future for customers and partners alike.
**EQUAL OPPORTUNITY \&amp; HIRING INTEGRITY**
 Quince provides equal employment opportunities to all employees and applications for employment and prohibits discrimination and harassment of any type without regard to race, color, religion, age, sex, national origin, disability status, genetics, protected veteran or military status, sexual orientation, gender identity or expression, or any other characteristic protected by federal, state, or local laws.
 Quince is committed to providing reasonable accommodations to qualified individuals with disabilities. If you need a reasonable accommodation to complete your application or to perform the essential functions of a role at Quince, please let us know by completing this accommodation form. We review all requests individually and will work with you to determine appropriate accommodations on a case\-by\-case basis.
 Employment is contingent upon successful completion of a background check. Quince will conduct background checks in compliance with applicable federal, state, and local laws.
*Security Advisory: Beware of Frauds*
 At Quince, we're dedicated to recruiting top talent who share our drive for innovation. To safeguard candidates, Quince emphasizes legitimate recruitment practices. Initial communication is primarily via official Quince email addresses and LinkedIn; beware of deviations. Personal data and sensitive information will not be solicited during the application phase. Interviews are conducted via phone, in person, or through the approved platforms Google Meets or Zoom—never via messaging apps or other calling services. Offers are merit\-based, communicated verbally, and followed up in writing. If personal information is requested to initiate the hiring process, rest assured it will be through secure and protected means.</t>
        </is>
      </c>
    </row>
    <row r="8">
      <c r="A8" t="inlineStr">
        <is>
          <t>li-4361947951</t>
        </is>
      </c>
      <c r="B8" t="inlineStr">
        <is>
          <t>Senior Machine Learning Engineer – Model Training and Customization</t>
        </is>
      </c>
      <c r="C8" t="inlineStr">
        <is>
          <t>Red Hat</t>
        </is>
      </c>
      <c r="D8" t="inlineStr">
        <is>
          <t>linkedin</t>
        </is>
      </c>
      <c r="E8" t="inlineStr"/>
      <c r="F8" t="inlineStr"/>
      <c r="G8" t="inlineStr">
        <is>
          <t>Boston, MA</t>
        </is>
      </c>
      <c r="H8" t="inlineStr"/>
      <c r="I8" t="inlineStr">
        <is>
          <t>**Job Summary**
 Come be a part of Red Hat's charge to democratize AI with open source! Red Hat's Global Engineering Team is looking for a Senior Machine Learning Engineer to join our newly formed AI Engineering organization. This role will be located within the AI Innovation team, which conducts customer\- and science\-driven research to drive innovation for Red Hat's customers. The team focuses on a pattern of "research → open\-source software → product" as the way we operate our engineering work. This role will be focused on building the core logic and enhancements for our model fine\-tuning and post\-training libraries.
 In this role, you will work directly with research scientists and open source AI communities to build and improve implementations of novel training methods, ranging from SFT, continual learning, and offline preference tuning to online reinforcement learning methods like GRPO and RLHF. You will develop working relationships across multiple teams, contributing to both upstream open source projects and our internal Training Hub.
 The ideal candidate will be a highly collaborative individual with a passion for working on complex ML projects in an open organization where contributions are valued and expected from all levels. As this is a fast\-moving area of opportunity for Red Hat, the ability to communicate productively and effectively with team members, stakeholders, and Red Hat leadership is critical. Success in this role would be delivering robust, scalable training libraries that bridge cutting\-edge research with production needs.
 This position reports directly to the Manager of AI Innovation. This position may require occasional travel to partner collaboratively in our Boston, MA office multiple times per quarter. Successful applicants must reside in a state where Red Hat is registered to do business.
**Primary Job Responsibilities (what You’ll Do)**
 Develop core libraries for various model post\-training methods and innovations.
 Work directly on upstream, open source projects and engage with community needs and contributions.
 Contribute to core post\-training algorithm research and engineering, introducing new methods both to community efforts and our own Training Hub.
 Understand and adapt novel architectures and techniques to work with various post\-training algorithms, across distributed training frameworks.
 Optimize, enhance, and improve robustness and usability of both existing and in\-flight projects, working closely with researchers to validate prototype logic.
 Maintain and expand library feature pool, and address core algorithm bugs and blockers.
 Work closely with software engineers on interface and testing designs.
 Participate in code reviews and collaborate on best practices within the engineering team.
 Document system designs, processes, and model performance for transparency and future reference.
 Report on project status, challenges, and results to stakeholders.
**Required Skills (what You’ll Bring)**
 Bachelor's degree in computer science or equivalent.
 3\+ years of experience in Python development.
 Significant background in AI/ML projects or coursework (neural networks, deep learning, language models, reinforcement learning).
 Experience in research engineering, machine learning engineering, or applied ML roles.
 Strong experience with common model architecture development and adapter frameworks (e.g. PyTorch, Transformers, PEFT, etc.).
 Familiarity with distributed training frameworks (e.g. FSDP, DeepSpeed) and inference runtimes (e.g. vLLM).
 Experience in open\-source projects and collaborative development workflows.
 Existing background in software development or engineering, building robust and consumable libraries and implementations.
 Experience with unit testing, integration testing, and performance testing.
 Strong self\-motivation and organizational skills.
 Excellent written and verbal communication skills.
 Positive attitude and willingness to share ideas openly.
**Bonus Qualifications**
 Masters or PhD in Machine Learning (ML) / Natural Language Processing (NLP).
 Experience with MLOps and deployment systems (e.g., Kubeflow, MLflow, Kubernetes, CI/CD pipelines).
 Experience writing functional, end\-to\-end or coverage tests in Python.
 Experience with GitHub Actions, GitHub automation, or CI/CD practices.
 Experience reading/writing, publishing, and/or implementing research papers.
 Experience in Red Hat products.
 Experience in large language models.
 \#AI\-Hiring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9">
      <c r="A9" t="inlineStr">
        <is>
          <t>li-4360014633</t>
        </is>
      </c>
      <c r="B9" t="inlineStr">
        <is>
          <t>AI Engineer</t>
        </is>
      </c>
      <c r="C9" t="inlineStr">
        <is>
          <t>iFIT</t>
        </is>
      </c>
      <c r="D9" t="inlineStr">
        <is>
          <t>linkedin</t>
        </is>
      </c>
      <c r="E9" t="inlineStr"/>
      <c r="F9" t="inlineStr"/>
      <c r="G9" t="inlineStr"/>
      <c r="H9" t="inlineStr"/>
      <c r="I9" t="inlineStr">
        <is>
          <t>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
 We are currently seeking an ambitious pace\-setter to join our team as an
 **AI Engineer working remotely** 
 who has experience architecting and shipping robust multi\-agent systems in production, and knows what it takes to do so at scale.
**ROLE COMMITMENTS**
* Be a core builder of the AI Coach for iFITs users as we look to create a holistic fitness platform
* Deliver high\-quality consumer experiences: Create compelling, personalized, and high\-quality AI experiences that enhances user engagement.
* Build the most compelling connected health \&amp; fitness platform: Leverage cutting\-edge generative AI to pioneer innovative features that redefine connected fitness experiences.
* Make people, culture, and how we operate a competitive advantage: Collaborate cross\-functionally to foster innovation, agility, and continuous learning within the team.
**ESSENTIAL DUTIES AND RESPONSIBILITIES**
 We’re looking for talented AI engineers who have experience architecting and shipping robust multi\-agent systems in production, and know what it takes to do so at scale. You’ll be a core part of a cross\-functional team working on the AI Coach.
* Design, develop, and deploy AI Coach capabilities
* Collaborate closely with a high\-impact inter\-disciplinary team to build and ship production\-quality code
* Contribute to a data culture by building systems that enable evals and application observability
* Contribute to architectural decisions and best practices for AI\-driven systems
* Improve foundational LLMs
* Ensure our solutions remain at the forefront of the industry by actively monitoring and adopting new developments in AI and machine learning.
* Cultivate a culture of growth by providing mentorship and expert guidance to our engineering team on AI and software development best practices.
**EDUCATION \&amp; EXPERIENCE**
**Education and Basic Qualifications**
* 5\+ years of relevant engineering and AI experience
* Experience with Agentic AI frameworks (LangGraph and Llama\-Index) and building, deploying and maintaining LLM\-based agentic applications in production are essential
* Demonstrated expertise in writing production\-level Python/Typescript code
* Proven ability to design and prototype AI solutions quickly
* Experience with production\-level multi\-agent AI systems is a must
* Authorized to work in the United States without sponsorship.
***DISCLAIMER***
**Compensation may vary based on the job level, your geographic work location, position incentive plan, and exemption status.**
***Although we currently may consider hiring in the states listed below, not all positions are available in all locations, and work in a particular state is not guaranteed. Current list of states where iFIT may consider hiring: AK, AL, AR, AZ, CA, CO, CT, FL, GA, ID, IL, IN, KS, KY, LA, MA, MD, MI, MN, MO, MS, NC, NH, NJ, NV, NY, OH, OK, OR, PA, RI, SC, SD, TN, TX, UT, VA, WA, WI, WY.***
*Subject to applicable state laws, your employment at iFIT is "at\-will". At\-will employment means that you and the company each have the right to terminate the employment relationship at any time for any cause or for no cause at all.*
 Pay Range: : $160,000 USD \- $200,000 USD
*iFIT does*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is>
      </c>
    </row>
    <row r="10">
      <c r="A10" t="inlineStr">
        <is>
          <t>li-4195677440</t>
        </is>
      </c>
      <c r="B10" t="inlineStr">
        <is>
          <t>Machine Learning Engineer (Platform)</t>
        </is>
      </c>
      <c r="C10" t="inlineStr">
        <is>
          <t>ArteraAI</t>
        </is>
      </c>
      <c r="D10" t="inlineStr">
        <is>
          <t>linkedin</t>
        </is>
      </c>
      <c r="E10" t="inlineStr"/>
      <c r="F10" t="inlineStr"/>
      <c r="G10" t="inlineStr"/>
      <c r="H10" t="inlineStr"/>
      <c r="I10" t="inlineStr">
        <is>
          <t>**About Us:** 
 Artera is an AI startup that develops medical artificial intelligence tests to personalize therapy for cancer patients. Artera is on a mission to personalize medical decisions for patients and physicians on a global scale.
 As a Machine Learning Engineer at Artera, you’ll work on the AI Platform team with a focus on establishing scalable and efficient pipelines for data processing and model training. You’ll work closely with AI model developers, fellow machine learning engineers, and our platform engineering team. You’ll ensure that Artera’s model developers can rely on highly efficient, large\-scale training regimes and deploy optimized models to production environments.
**Essential Responsibilities**
* Evolve and manage Artera’s ML compute infrastructure.
* Build and evolve the core libraries used by AI scientists to develop, launch, and monitor AI products.
* Architect our model development and inference pipelines to accelerate model development speed and developer efficiency.
* Work with model developers to optimize GPU and CPU efficiency and data throughput of large\-scale foundation models and downstream model training runs.
* Optimize Artera’s ability to store and process terabytes of digital pathology data efficiently for the use in serving large\-scale training regimes.
* Ensure that Artera’s observability infrastructure provides a clear picture of how to continue to optimize performance across our model landscape.
**Experience Requirements**
* 4\+ years of industry software engineering experience
* 3\+ years of industry experience in using ML orchestration frameworks such as Flyte, Ray, Kubeflow, Metaflow, MLFlow, Dagster, Argo Workflow or Prefect
* 3\+ years of industry experience using one of PyTorch, TensorFlow, or JAX in Python
* 2\+ years of industry experience building with AWS, Docker, and Kubernetes
* 1\+ years of industry experience optimizing large\-scale, high data\-throughput, distributed machine learning training pipelines
**Desired**
* Experience using Terraform, SqlAlchemy
* Experience in multi\-node and multi\-gpu training.
* Experience deploying and maintaining infrastructure for machine learning training and production inference
* Familiarity with TorchScript, ONNXRuntime, DeepSpeed, AWS Neuron or similar approaches to inference optimization
**Work Authorization Requirement**
* This is a remote role open to candidates who are currently authorized to work either in the United States or in Canada without the need for current or future employment\-based visa sponsorship. Artera does not sponsor visas or support visa transfers for this position.
* Eligible candidates may include:
* Individuals authorized to work in the United States on a permanent basis (e.g., U.S. citizens, U.S. permanent residents), or
* Individuals authorized to work in Canada (e.g., Canadian citizens or Canadian permanent residents).
 $140,000 \- $220,000 a year
 In addition to base salary, equity is a core component of our compensation. We also offer 401k matching, unlimited paid time off (PTO), and more.
 The base salary is competitive and commensurate with experience, qualifications, and other factors to be discussed during the interview process.
**Equal Employee Opportunity** 
 :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is>
      </c>
    </row>
    <row r="11">
      <c r="A11" t="inlineStr">
        <is>
          <t>li-4365094187</t>
        </is>
      </c>
      <c r="B11" t="inlineStr">
        <is>
          <t>Machine Learning Engineer</t>
        </is>
      </c>
      <c r="C11" t="inlineStr">
        <is>
          <t>James Search Group</t>
        </is>
      </c>
      <c r="D11" t="inlineStr">
        <is>
          <t>linkedin</t>
        </is>
      </c>
      <c r="E11" t="inlineStr"/>
      <c r="F11" t="inlineStr"/>
      <c r="G11" t="inlineStr">
        <is>
          <t>New York, NY</t>
        </is>
      </c>
      <c r="H11" t="inlineStr"/>
      <c r="I11" t="inlineStr">
        <is>
          <t>**AI/ML Engineer** 
**Location:** 
 New York, NY
**Compensation:** 
 $135,000 – $175,000 base \+ bonus \+ full benefits, (401(k), and more)
**Industry:** 
 Global P\&amp;C Insurance
**About the role and the company.** 
 James Search Group is working closely with a top\-tier global property \&amp; casualty insurance carrier to identify an
 **AI/ML Engineer** 
 to join their enterprise Data and Artificial Intelligence division. This team is driving innovation across the business by developing and scaling AI capabilities that unlock new value and improve decision\-making across underwriting, claims, and customer engagement.
 As an AI/ML Engineer, you'll collaborate with senior team members to build, refine, and deploy predictive models and intelligent systems. The ideal candidate is skilled in analytics, curious by nature, and passionate about transforming complex data into practical solutions that deliver measurable business impact.
**Key Responsibilities:** 
* Support the development and deployment of AI/ML models—including classification, forecasting, uplift and propensity modeling, and foundational model tuning.
* Collaborate with cross\-functional teams to identify use cases where data science can enhance operational efficiency and business performance.
* Partner with business, IT, and strategy teams to ensure AI models are scalable, impactful, and aligned with organizational goals.
* Communicate analytical findings clearly to stakeholders with varying levels of technical knowledge.
**Required Qualifications:** 
* Master’s degree in Data Science, Statistics, Mathematics, Computer Science, or a related quantitative discipline; Ph.D. a plus.
* Minimum of 2 years’ experience applying advanced analytics methods (e.g., decision trees, logistic regression, neural networks, random forests).
* Proficiency in R or Python for analytics and model development, including work with both structured and unstructured data.
* Proven ability to manage and integrate large, complex datasets and an understanding of end\-to\-end data modeling processes.
* Strong written and verbal communication skills with the ability to connect technical outputs to business strategy.
**Preferred Qualifications:** 
* Internship or project experience in machine learning, AI engineering, or related roles—especially in insurance or financial services.
* Familiarity with actuarial concepts or insurance\-specific data models.
* Enthusiastic about continued learning in AI/ML and staying current with new tools and methodologies.
* Comfortable in a collaborative, fast\-paced, and agile working environment.
 This is a unique opportunity to grow your career with a highly respected organization investing in next\-generation analytics.
**Apply today** 
 to help reshape the future of insurance through data and AI innovation.</t>
        </is>
      </c>
    </row>
    <row r="12">
      <c r="A12" t="inlineStr">
        <is>
          <t>li-4365093660</t>
        </is>
      </c>
      <c r="B12" t="inlineStr">
        <is>
          <t>AI/ML Engineer</t>
        </is>
      </c>
      <c r="C12" t="inlineStr">
        <is>
          <t>Vaco by Highspring</t>
        </is>
      </c>
      <c r="D12" t="inlineStr">
        <is>
          <t>linkedin</t>
        </is>
      </c>
      <c r="E12" t="inlineStr"/>
      <c r="F12" t="inlineStr"/>
      <c r="G12" t="inlineStr">
        <is>
          <t>Monroe, OH</t>
        </is>
      </c>
      <c r="H12" t="inlineStr"/>
      <c r="I12" t="inlineStr">
        <is>
          <t>Vaco is hiring a Machine Learning / AI Engineer for a direct hire, hybrid role North of the greater Cincinnati area.
 This position offers the opportunity to work on impactful, real\-world AI solutions within a logistics\-focused environment, collaborating closely with cross\-functional teams to drive efficiency and innovation.
**What You'll Do** 
* Design, train, and deploy machine learning models supporting demand forecasting, routing optimization, and network efficiency
* Integrate AI and ML solutions with existing logistics platforms, sensors, and data pipelines
* Partner with cross\-functional teams to translate business challenges into scalable, production\-ready solutions
* Build and maintain data processing, feature engineering, and model evaluation pipelines using modern ML frameworks
* Monitor model performance, retrain systems, and drive continuous improvement through feedback loops
* Ensure AI systems adhere to enterprise standards for security, scalability, and data governance
* Stay current on advancements in machine learning, optimization algorithms, and generative AI relevant to logistics and operations
**What You'll Bring** 
* Bachelor's degree in Computer Science, Software Engineering, IT, or equivalent practical experience
* 5\+ years of experience in ML/AI\-focused roles with strong foundations in statistical learning
* Deep expertise in Generative AI, NLP, and simulation techniques applied to operational or logistics challenges
* Proficiency in Python and common ML frameworks (TensorFlow, PyTorch, Scikit\-learn)
* Experience with data engineering tools and platforms such as SQL, Spark, Databricks, and Airflow
* Familiarity with cloud environments (AWS or Azure) and MLOps practices for model deployment and monitoring
* Strong ability to analyze large, complex datasets to uncover actionable insights and automation opportunities
* Proven problem\-solving skills with an emphasis on scalability and real\-world application
* Hands\-on experience applying statistics, data validation, and machine learning algorithms in production environments
* Experience with MLOps and DevOps practices to deploy, monitor, and maintain ML solutions
**Why This Role** 
* Direct\-hire opportunity with a stable, forward\-thinking organization
* Hybrid work environment offering flexibility
* High\-impact role focused on applied AI and operational optimization
**Desired Skills and Experience** 
 AI, ML, Machine Learning, Artificial Intelligence, AI/ML, Natural language processing, NLP, Python, AWS, Cloud, Azure, Amazon Web Services, SQL, Spark, Databricks, Airflow, MLOps, TensorFlow, PyTorch, Scikit\-learn, Generative AI, Data, AI/ML Engineer, AI Engineer, ML Engineer, statistics, data validation, machine learning algorithm, validating data, stats</t>
        </is>
      </c>
    </row>
    <row r="13">
      <c r="A13" t="inlineStr">
        <is>
          <t>li-4346597585</t>
        </is>
      </c>
      <c r="B13" t="inlineStr">
        <is>
          <t>Machine Learning Engineer</t>
        </is>
      </c>
      <c r="C13" t="inlineStr">
        <is>
          <t>Govini</t>
        </is>
      </c>
      <c r="D13" t="inlineStr">
        <is>
          <t>linkedin</t>
        </is>
      </c>
      <c r="E13" t="inlineStr"/>
      <c r="F13" t="inlineStr"/>
      <c r="G13" t="inlineStr">
        <is>
          <t>Pittsburgh, PA</t>
        </is>
      </c>
      <c r="H13" t="inlineStr"/>
      <c r="I13"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Machine Learning Engineer to join our team to build cutting\-edge machine learning technologies that will replace complex, time\-consuming, manual processes with automation and intelligence that will help Govini end\-users make scientific and analytical decisions. We're looking for world\-class talent to join our team where you will have the opportunity to help develop solutions from data collection to large\-scale data manipulation to long\-term data storage and low\-latency retrieval, reporting, and analytical systems to solve big data problems that drive business performance.
 In order to do this job well, you must be a curious and eager problem solver with a hunger for building well\-designed, high\-quality solutions.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This role is a full\-time position located out of our office in Pittsburgh, PA.
**This role may require up to 10% travel**
 Scope of Responsibilities
* Actively create, architect, and deliver state\-of\-the\-art machine learning solutions designed to add intelligence to our data analysis and software\-as\-a\-service platform
* Establish meaningful criteria for evaluating algorithm performance and suitability
* Develop clear software specifications for implementing trained models
* Implement working, scalable, production\-ready Machine Learning and AI Process Automation models and code
* Optimize processes for maximum speed, performance, and accuracy
* Participate in the end\-to\-end software development of new feature functionality and design capabilities
* Craft clean, testable, and maintainable code
* Keep up to date with Machine Learning best practices and evolving open\-source frameworks
* Regularly seek out innovation and continuous improvement, finding efficiency in all assigned tasks
* Collaborate closely with fellow software engineers, data scientists, data engineers, and QA engineers
**Qualifications**
* U.S. Citizenship is required
* Bachelor's, Master’s, or Doctorate in Computer Science, Computer Engineering, Data Science, or a related field
**Required Skills**
* Minimum 3 years experience in hands\-on development of machine learning models
* Practical experience in building, developing, and productionizing machine learning systems
* Advanced software skills in Python
* Experience with common NLP algorithms and implementations
* Hands\-on experience with AWS and cloud infrastructure
* A strong desire to learn and investigate new technologies
* Familiarity with Git source control management
* Prior hands\-on experience working with data\-driven analytics
* Ability to work collaboratively with little supervision
* A burning desire to work in a challenging fast\-paced tech environment
**Desired Skills**
* Current possession of a U.S. security clearance, or the ability to obtain one with our sponsorship
* Experience in or exposure to the nuances of a startup or other entrepreneurial environment
* Track record of implementing data\-driven products
* Experience in or exposure to the nuances of a startup or other entrepreneurial environment
* Experience in deploying ML models in Kubernetes environments
* 2 years of experience developing and deploying modern NLP models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14">
      <c r="A14" t="inlineStr">
        <is>
          <t>li-4361928917</t>
        </is>
      </c>
      <c r="B14" t="inlineStr">
        <is>
          <t>Sr ML Engineer (Medical Imaging)</t>
        </is>
      </c>
      <c r="C14" t="inlineStr">
        <is>
          <t>Ledgent Technology</t>
        </is>
      </c>
      <c r="D14" t="inlineStr">
        <is>
          <t>linkedin</t>
        </is>
      </c>
      <c r="E14" t="inlineStr"/>
      <c r="F14" t="inlineStr"/>
      <c r="G14" t="inlineStr">
        <is>
          <t>Irvine, CA</t>
        </is>
      </c>
      <c r="H14" t="inlineStr"/>
      <c r="I14" t="inlineStr">
        <is>
          <t>*No Corp\-to\-corp. No 3rd party agencies
 .* 
**Hiring on behalf of our client \| Sr ML Software Engineer (Ophthalmic Imaging)** 
 📍
 **Irvine, CA \| 100% Onsite**
 💰
 **Up to $180K (DOE)**
 💼
 **Full\-Time \| Direct Hire** 
 .
 **Build the Future of Eye Care**
 .
 Join our client, a purpose\-driven startup revolutionizing ocular diagnostics with cutting\-edge
 **Swept\-Source OCT and advanced ML analytics. They're building a first\-of\-its\-kind platform for ophthalmology, optometry, and oculomics\-and they need YOU to make it happen.** 
 .
**What You'll Do** 
* Architect and develop
 **ML\-powered software** 
 for 3D ocular imaging and diagnostics.
* Create algorithms for
 **segmentation, topography, wavefront mapping, OCT\-Angiography** 
 , and more.
* Build robust, scalable code for a novel medical device from the ground up.
* Collaborate across teams to define requirements, design interfaces, and deliver production\-ready solutions.
**What We're Looking For** 
* **3\+ years** 
 in medical imaging algorithm development.
* Strong
 **AI/ML expertise** 
 and hands\-on experience with medical image processing.
* Background in
 **ophthalmology, optometry, or vision science** 
 is highly preferred.
* Proficiency in Git, Agile practices, and software architecture principles.
* Self\-starter ready to thrive in a fast\-paced, high\-impact environment.
**Why Join?** 
* Shape the future of eye care technology.
* Work on
 **greenfield projects** 
 \-your ideas will define the product.
* Be part of a passionate team committed to improving patient outcomes.
 .
 .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t>
        </is>
      </c>
    </row>
    <row r="15">
      <c r="A15" t="inlineStr">
        <is>
          <t>li-4365088557</t>
        </is>
      </c>
      <c r="B15" t="inlineStr">
        <is>
          <t>Applied AI/ML Engineer - Healthcare &amp; Pharma</t>
        </is>
      </c>
      <c r="C15" t="inlineStr">
        <is>
          <t>Alcimed</t>
        </is>
      </c>
      <c r="D15" t="inlineStr">
        <is>
          <t>linkedin</t>
        </is>
      </c>
      <c r="E15" t="inlineStr"/>
      <c r="F15" t="inlineStr"/>
      <c r="G15" t="inlineStr">
        <is>
          <t>Princeton, NJ</t>
        </is>
      </c>
      <c r="H15" t="inlineStr"/>
      <c r="I15" t="inlineStr">
        <is>
          <t>***Are you passionate about data and have an entrepreneurial spirit?***
 Since 1993, Alcimed has been
 **exploring and developing uncharted territories** 
 , growing to over 200 people across 7 offices in Europe, the USA and Asia. At our core, we help our industry clients
 **innovate and develop new markets in the Lifesciences sectors** 
 , with a very impact\-oriented and grounded approach.
 Building on this foundation, in 2024, Alcimed successfully launched
 **Nautilus.ai, its Digital \&amp; AI activity** 
 dedicated to the
 **design \&amp; development** 
 of
 **function\-specific** 
 ,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 Translate healthcare and pharma business needs (R\&amp;D, medical affairs, commercial, etc.) into robust AI and ML solution designs with the most appropriate approach depending on client constraints and requirements: security, cost, performance, reliability and explainability
* Build and optimize data pipelines, fine\-tuning strategies, and evaluation frameworks for domain\-specific use cases
* Design, develop, and deploy AI\-powered features leveraging
 **LLMs, agentic AI systems, and modern ML techniques**
* Collaborate closely with software engineers to integrate AI components into fully featured applications
* Act as a
 **technical referent** 
 on AI topics within project teams and contribute to internal best practices
* Maintain direct interaction with clients throughout the project lifecycle, in an agile, product\-oriented consulting approach
 The real plus of your mission? You are in direct contact with our customers to help them move forward and shape the world of tomorrow.
**Your profile** 
* Master’s degree or PhD in Computer Science, Data Science, AI, Biomedical Engineering, or a related field
* **1–3 years of hands\-on experience** 
 building AI / ML systems, ideally in healthcare, life sciences, or regulated industries
* Strong proficiency in
 **Python** 
 and modern ML / AI tooling
* Practical experience with
 **LLMs** 
 , including at least one of:
* RAG architectures
* Fine\-tuning techniques
* Model evaluation and benchmarking
* Agentic AI systems or MCP servers, using modern frameworks (e.g. LangChain, LlamaIndex, AutoGen, CrewAI or similar)
* Familiarity with open\-source LLM ecosystems is a strong plus
* Ability to work in
 **lean teams** 
 , take ownership, and make technical decisions
* Strong interest in healthcare, pharma, and applying AI to real\-world impact
* Comfortable in
 **client\-facing environments** 
 , able to explain complex AI concepts to non\-technical stakeholders
*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t>
        </is>
      </c>
    </row>
    <row r="16">
      <c r="A16" t="inlineStr">
        <is>
          <t>li-4365082693</t>
        </is>
      </c>
      <c r="B16" t="inlineStr">
        <is>
          <t>Senior Machine Learning Engineer</t>
        </is>
      </c>
      <c r="C16" t="inlineStr">
        <is>
          <t>James Search Group</t>
        </is>
      </c>
      <c r="D16" t="inlineStr">
        <is>
          <t>linkedin</t>
        </is>
      </c>
      <c r="E16" t="inlineStr"/>
      <c r="F16" t="inlineStr"/>
      <c r="G16" t="inlineStr">
        <is>
          <t>New York, NY</t>
        </is>
      </c>
      <c r="H16" t="inlineStr"/>
      <c r="I16" t="inlineStr">
        <is>
          <t>**Senior AI/ML Engineer** 
**Location:** 
 New York, NY
**Compensation:** 
 $180,000 – $225,000 base \+ bonus \+ comprehensive benefits (including pension, 401(k), and more)
**Industry:** 
 Global P\&amp;C Insurance
**About the role and client** 
 James Search Group is excited to partner with a leading global property and casualty insurance carrier to identify a
 **Senior AI/ML Engineer** 
 to join a high\-impact enterprise data and artificial intelligence team. This group is at the forefront of transforming how the insurance industry leverages data, analytics, and emerging AI technologies to enhance decision\-making and drive profitability across the organization.
 As a key contributor, you will design and implement scalable machine learning and AI\-driven solutions to solve complex business challenges. This role is ideal for a hands\-on, innovative professional passionate about delivering real\-world business impact through advanced data modeling and machine learning strategies.
**Key Responsibilities:** 
* Develop and deploy end\-to\-end AI/ML models—including classification, forecasting, uplift modeling, and fine\-tuning of foundational models.
* Identify use cases for AI across areas such as underwriting, claims, risk evaluation, and customer experience.
* Work cross\-functionally with technical and business stakeholders to deliver actionable insights and scalable solutions.
* Translate sophisticated AI/ML outputs into clear business recommendations for non\-technical stakeholders.
* Stay current with the latest trends in AI/ML, incorporating new tools and methodologies to enhance the organization’s data capabilities.
**Required Qualifications:** 
* Master’s degree in Computer Science, Data Science, Mathematics, Statistics, Operations Research, or a related field.
* Minimum of 5 years of hands\-on experience in data science and machine learning, including techniques like regression, decision trees, neural networks, and ensemble models.
* At least 2 years of experience working with large language models (LLMs) and foundational AI systems.
* Strong programming skills in Python and SQL, with experience using popular data science libraries and frameworks.
* Background in building and deploying ML models in cloud environments (e.g., Azure, AWS).
* Proficient in handling and integrating large structured and unstructured datasets.
* Strong analytical skills with a demonstrated ability to extract actionable insights from complex data.
* Excellent verbal and written communication skills; capable of simplifying complex technical concepts for business audiences.
**Preferred Qualifications:** 
* Expertise in natural language processing (NLP) and natural language understanding (NLU).
* Experience leading multi\-functional AI projects or initiatives.
* Background in insurance, particularly within claims, underwriting, or risk analytics.
* Familiarity with actuarial data, insurance KPIs, or related industry\-specific datasets.
* Collaborative mindset with the ability to drive change and build consensus.
**Apply now** 
 to take the next step in a high\-impact, forward\-thinking role within a dynamic and innovative insurance environment.</t>
        </is>
      </c>
    </row>
    <row r="17">
      <c r="A17" t="inlineStr">
        <is>
          <t>li-4350886304</t>
        </is>
      </c>
      <c r="B17" t="inlineStr">
        <is>
          <t>AI Engineer</t>
        </is>
      </c>
      <c r="C17" t="inlineStr">
        <is>
          <t>Virginia Transformer Corp</t>
        </is>
      </c>
      <c r="D17" t="inlineStr">
        <is>
          <t>linkedin</t>
        </is>
      </c>
      <c r="E17" t="inlineStr"/>
      <c r="F17" t="inlineStr"/>
      <c r="G17" t="inlineStr">
        <is>
          <t>Roanoke, VA</t>
        </is>
      </c>
      <c r="H17" t="inlineStr"/>
      <c r="I17" t="inlineStr">
        <is>
          <t>**Brief Description**
 On the heels of achieving
 **3X growth** 
 , Virginia Transformer is hiring to do it
 **again!**
 We’re strategically building our team for the next 3X growth cycle — a phase that is both
 **intense and incredibly rewarding** 
 . We’re highly selective about who joins us, because this journey isn’t for everyone.
 If you have the
 **drive, grit, and expertise** 
 to perform at a high level — and you want to grow your
 **career 3X alongside the Company’s growth** 
 — we’d love to talk.
 Apply below and let’s start the conversation.
**Who We Are**
**Virginia Transformer is** 
 the largest U.S.\-owned producer of power transformers in North America, and we’ve been able to grow the past 50\-plus years through an unwavering focus on delivering for our customers. We’re more than 5,400 people strong and are known throughout the industry for being an engineering company that makes premium quality transformers in the shortest lead times.
 As a
 **privately held, organically growing company** 
 , we thrive on nimbleness, innovation, and tenacity.
**Join Our Team**
 If you love the thrill of securing the U.S. electric grid, enabling all manufacturing in the country, and the energy of a fast\-moving train — this is the place for you. We train hard, grow together, and lead with purpose. Every transformer we build is custom, every challenge unique, and every team member essential.
 We’re looking for those ready to lead, fueled by commitment, and driven by impact. We are growing so fast that all our available roles are not yet posted, so let us know if you are interested and we will follow\-up.
**Job Title: AI Engineer**
**Company:** 
 Virginia Transformer Corporation
**Location:** 
 Roanoke, VA or approved company location
**Job Type:** 
 Full\-Time
**Posting Type:** 
 Internal Opportunity
**Position Summary**
 Virginia Transformer Corporation (VTC) is seeking an
 **AI Engineer** 
 to design, build, and deploy artificial intelligence and machine learning solutions that improve operational efficiency, decision\-making, and scalability across the business.
 This role will focus on
 **practical, applied AI** 
 —supporting manufacturing, supply chain, engineering, HR, finance, and commercial teams through automation, analytics, forecasting, and intelligent systems. The ideal candidate is technically strong, business\-curious, and motivated to solve real\-world problems in a complex industrial environment.
**Key Responsibilities** 
* Design, develop, and deploy AI / machine learning models to support manufacturing, operations, supply chain, HR, and commercial use cases.
* Partner with business stakeholders to translate operational problems into scalable AI solutions.
* Build and maintain data pipelines, feature engineering workflows, and model training processes.
* Apply AI techniques to areas such as:
* 
+ Demand forecasting and capacity planning
+ Quality and defect analysis
+ Predictive maintenance
+ Supply chain optimization
+ Workforce and recruiting analytics
+ Process automation and decision support
* Integrate AI solutions with existing enterprise systems (ERP, MES, ATS, finance, etc.).
* Monitor deployed models for performance, accuracy, and drift; refine as needed.
* Document models, assumptions, and processes for transparency and reuse.
* Support responsible AI practices, including data security, governance, and ethical use.
* Stay current on AI tools and technologies relevant to industrial and enterprise environments.
**Required Qualifications**
* Bachelor’s degree in Computer Science, Engineering, Data Science, Analytics, or a related field (or equivalent experience). Associates required.
* Strong proficiency in Python; working knowledge of SQL.
* Hands\-on experience with machine learning fundamentals (model selection, training, validation).
* Experience using AI/ML frameworks such as scikit\-learn, TensorFlow, PyTorch, or similar.
* Understanding of data structures, algorithms, and software development best practices.
* Ability to clearly communicate technical concepts to non\-technical business partners.
**Preferred Qualifications**
* Experience working with manufacturing, operations, supply chain, or industrial data.
* Familiarity with cloud platforms (Azure, AWS, or GCP).
* Exposure to MLOps, model deployment, or CI/CD pipelines.
* Experience with time\-series forecasting, optimization, NLP, or generative AI.
* Experience integrating analytics or AI into ERP, MES, or enterprise reporting systems.
**Key Skills \&amp; Attributes**
* Strong analytical and problem\-solving mindset
* Business\-oriented thinking with technical depth
* Ability to work cross\-functionally in a fast\-paced environment
* High ownership, accountability, and attention to detail
* Curiosity and continuous\-learning mindset
**Why This Role at Virginia Transformer**
* Direct impact on a 5,500\+ employee, fast\-growing manufacturing organization
* Opportunity to apply AI to real operational challenges, not theoretical use cases
* High visibility across leadership and business functions
* Long\-term opportunity to shape how AI is used across VTC
**How To Apply (Internal Candidates)**
 Internal team members are encouraged to apply through
 **UKG (Kronos)** 
 :
**My Career ? Search for Jobs ? AI Engineer**
 If you have questions about the role or want to discuss career alignment, please reach out to Talent Acquisition or your manager.</t>
        </is>
      </c>
    </row>
    <row r="18">
      <c r="A18" t="inlineStr">
        <is>
          <t>li-4365076987</t>
        </is>
      </c>
      <c r="B18" t="inlineStr">
        <is>
          <t>AI Engineer</t>
        </is>
      </c>
      <c r="C18" t="inlineStr">
        <is>
          <t>Addition Management</t>
        </is>
      </c>
      <c r="D18" t="inlineStr">
        <is>
          <t>linkedin</t>
        </is>
      </c>
      <c r="E18" t="inlineStr"/>
      <c r="F18" t="inlineStr"/>
      <c r="G18" t="inlineStr"/>
      <c r="H18" t="inlineStr"/>
      <c r="I18" t="inlineStr">
        <is>
          <t>**Title: Senior Software Forward Deployed Engineer** 
**Location: Remote (East Coast)** 
**Salary: $120k \- $150k \+ Bonus** 
***Prestigious Professional Services Firm is seeking a* 
 Senior Software Forward Deployed Engineer
 *to join their team!***
**RESPONSIBILITIES** 
* Build and integrate AI\-powered features into enterprise products (e.g., conversational UIs, insights modules, dashboards)
* Develop and maintain integrations across APM, logging, and audit pipelines to ensure observability and compliance
* Collaborate with Prompt Engineers to optimize prompts and implement robust guardrails
* Design and orchestrate AI agents, wiring LLMs to APIs and internal tools through frameworks like MCP Server and A2A protocols
* Develop semantic search pipelines and entity\-aware features to enhance contextual relevance
* Support the evolution of AI infrastructure, including service orchestration, token flow control, and API rate management
* Contribute to building internal libraries, reusable components, and integration standards for AI\-powered apps
**QUALIFICATIONS** 
* Bachelor of Science in Computer Science, Software Engineering, Electrical Engineering, Computer Engineering, Information Systems or related area
* 3\+ years of experience in software development, preferably in AI, NLP, or data\-driven environments
* Proficient in modern programming languages (e.g., Python, .NET, JavaScript) and working with REST APIs
* Experience with LLMs (e.g., GPT, Claude) and integrating them into products
* Experience extending ChatGPT custom GPTs via Actions
* Familiarity with APM tools, log tracing, and building secure/observable services
* Exposure to agent orchestration frameworks, semantic search, or knowledge graph pipelines
* Understanding of A2A protocols, MCP Server, and enterprise integration patterns
* Strong collaboration skills and ability to work cross\-functionally with Product, Data, and Engineering teams</t>
        </is>
      </c>
    </row>
    <row r="19">
      <c r="A19" t="inlineStr">
        <is>
          <t>li-4264356715</t>
        </is>
      </c>
      <c r="B19" t="inlineStr">
        <is>
          <t>Video AI Engineer</t>
        </is>
      </c>
      <c r="C19" t="inlineStr">
        <is>
          <t>Zoom</t>
        </is>
      </c>
      <c r="D19" t="inlineStr">
        <is>
          <t>linkedin</t>
        </is>
      </c>
      <c r="E19" t="inlineStr"/>
      <c r="F19" t="inlineStr"/>
      <c r="G19" t="inlineStr">
        <is>
          <t>San Jose, CA</t>
        </is>
      </c>
      <c r="H19" t="inlineStr"/>
      <c r="I19" t="inlineStr">
        <is>
          <t>**What You Can Expect**
 As a Video AI Engineer, you’ll enhance video codecs, video generation, and real\-time 3D reconstruction to improve video quality, immersion, and performance in Zoom products. You will work across our stack, developing software ranging from Web Server to business application layers for our distributed, cloud\-hosted backend. Working alongside leading experts in the field, you’ll deliver happiness to our users and grow your knowledge base every day.
**About The Team**
 Our global team, including members in China and Singapore, focuses on improving video quality, generative video capabilities, and real\-time 3D reconstruction in Zoom products. As a Video AI Engineer, you’ll work with experts to advance video rendering, 3D reconstruction, and AI\-powered communications while growing your skills.
**Responsibilities**
* Building and developing video and generative video processing applications on both desktop and mobile systems
* Participating in research and performance evaluation of video processing, video generation, and 3D reconstruction algorithms
* Designing and developing algorithms in Zoom’s video and 3D reconstruction processing pipelines at both module and system levels
* Implementing video, neural rendering, and 3D Gaussian Splatting algorithms with modular, well\-organized, and production\-ready code
* Optimizing video, generative, and 3D reconstruction algorithms to achieve real\-time performance on corresponding platforms
* Customizing, integrating, and shipping deep learning models—including video generative models and 3D neural rendering models—across Mac, Windows, iOS, and Android
* Setting up test environments, developing test tools, and designing unit tests for runtime verification of video and 3D pipeline components
**What We’re Looking For**
* Hold either a PhD or Master in Electrical Engineering, Computer Science, Applied Mathematics, or related fields
* Have experience with C/C\+\+ or Objective\-C, and Python, talking avatar/head/portrait(with released projects and top conference papers)
* Have hands\-on experience with video generation or video diffusion models, neural rendering techniques (e.g., NeRF, 3D Gaussian Splatting), and 3D reconstruction systems.
* Have hands\-on experience with machine learning techniques such as generative models, diffusion models, discriminative models, or transfer learning.
* Have excellent communication, oral, written, and interpersonal(in both Mandarin and English), analytical and troubleshooting skills.
* Have familiarity with multi\-threaded programming and communication mechanisms
* Have understanding of multimedia stream data processing flows, ideally including 3D scene or point cloud pipelines
* Have experience with deepfake detection
* Must be fluent in Mandarin
**Minimum**
**Salary Range or On Target Earnings:**
 $127 700,00
**Maximum**
 $255 400,00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02/27/26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20">
      <c r="A20" t="inlineStr">
        <is>
          <t>li-4206594553</t>
        </is>
      </c>
      <c r="B20" t="inlineStr">
        <is>
          <t>Senior AI Engineer</t>
        </is>
      </c>
      <c r="C20" t="inlineStr">
        <is>
          <t>You.com</t>
        </is>
      </c>
      <c r="D20" t="inlineStr">
        <is>
          <t>linkedin</t>
        </is>
      </c>
      <c r="E20" t="inlineStr"/>
      <c r="F20" t="inlineStr"/>
      <c r="G20" t="inlineStr">
        <is>
          <t>San Francisco, CA</t>
        </is>
      </c>
      <c r="H20" t="inlineStr"/>
      <c r="I20" t="inlineStr">
        <is>
          <t>**you.com is an AI\-powered search and productivity platform designed to empower users with personalized, efficient, and trustworthy search experiences.** 
 As a cutting\-edge technology company, we combine advanced AI models with user\-first principles to deliver tools that enhance discovery, creativity, and productivity. At you.com, we are on a mission to create the most helpful search engine in the world—one that prioritizes transparency, privacy, and user control.
 We're building a team of innovators, problem\-solvers, and visionaries who are passionate about shaping the future of AI and technology.
 **At you.com, you'll have the opportunity to work on impactful projects, collaborate with some of the brightest minds in the industry, and grow your career in an environment that values creativity, diversity, and curiosity.** 
 If you're ready to make a difference and help us revolutionize the way people search and work, we'd love to have you join us!
**About The Role**
 As Senior AI Engineer, you will play a pivotal role in advancing AI capabilities across Generative AI (e.g., large language models) and Search. Your responsibilities will focus on researching, building, and deploying innovative product experiences that redefine the potential of AI assistants. By blending your technical expertise, creativity, and a passion for pushing the boundaries of AI technology, you will thrive at the intersection of research and engineering and shape the future of AI\-powered products.
**Responsibilities**
* AI Infrastructure Development: Oversee and enhance the core you.com LLM and AI infrastructure, along with the associated backend systems.
* End\-to\-End Project Leadership: Lead the development of new AI\-driven projects, encompassing ideation, prototyping, research, infrastructure design, scalability, monitoring, and evaluation.
* Rapid Iteration: Adapt quickly to user feedback and evolving requirements, ensuring continuous improvement in a fast\-paced environment.
**Qualifications**
* 5\+ years of experience improving backend and/or AI systems, with familiarity using Python
* Deep understanding of systems architecture
* Experience in shipping and scaling AI products
* You are an autonomous and highly\-driven team player with a commitment to maintaining high standards of quality and performance
* You are curious and have a strong ability to conduct both research and core engineering work
* Equivalent experience or relevant coursework to a BS or MS in Machine Learning, Computer Science, or related field.
 Our salary bands are structured based on a combination of geographic tiers and internal leveling. Compensation is determined by multiple factors assessed during the interview process, with the final offer reflecting these considerations.
 Salary Band
 $200,000—$260,000 USD
**Company Perks:**
* Hubs in San Francisco and New York City offering regular in\-person gatherings and co\-working sessions
* Flexible PTO with U.S. holidays observed and a week shutdown in December to rest and recharge\*
* A competitive health insurance plan covers 100% of the policyholder and 75% for dependents\*
* 12 weeks of paid parental leave in the US\*
* 401k program, 3% match \- vested immediately!\*
* $500 work\-from\-home stipend to be used up to a year of your start date\*
* $1,200 per year Health \&amp; Wellness Allowance to support your personal goals\*
* The chance to collaborate with a team at the forefront of AI research
* Certain perks and benefits are limited to full\-time employees only
*You.com participates in E\-Verify. We will provide the Social Security Administration (SSA) and, if necessary, the Department of Homeland Security (DHS) with information from each new employee's Form I\-9 to confirm work authorization. (English/Spanish: E\-Verify Participation/Right to Work)* 
*We are also an inclusive, equitable, and accessible workplace. Please let us know if you require accommodation for any portion of the recruitment and hiring process.*</t>
        </is>
      </c>
    </row>
    <row r="21">
      <c r="A21" t="inlineStr">
        <is>
          <t>li-4336714179</t>
        </is>
      </c>
      <c r="B21" t="inlineStr">
        <is>
          <t>Senior Machine Learning Engineer</t>
        </is>
      </c>
      <c r="C21" t="inlineStr">
        <is>
          <t>SageSure</t>
        </is>
      </c>
      <c r="D21" t="inlineStr">
        <is>
          <t>linkedin</t>
        </is>
      </c>
      <c r="E21" t="inlineStr"/>
      <c r="F21" t="inlineStr"/>
      <c r="G21" t="inlineStr">
        <is>
          <t>Jersey City, NJ</t>
        </is>
      </c>
      <c r="H21" t="inlineStr"/>
      <c r="I21" t="inlineStr">
        <is>
          <t>**Overview:**
 If you're looking for the stability of a profitable, growing company with the entrepreneurial spirit of a startup, we’re hiring. SageSure , a leader in catastrophe\-exposed property insurance, is seeking a Machine Learning Engineer . As a Senior Machine Learning Engineer, you'll play a crucial role in optimizing orchestration processes and ensuring fast and efficient model deployment and delivery. You'll work closely with Software Engineers and Data scientists to streamline machine learning pipelines and implement best practices for managing and deploying ML models.
**What you’d be doing:**
* Design and implement robust, scalable, and efficient data pipelines for training machine learning models.
* Develop prediction pipelines to ensure seamless integration of trained models into production environments.
* Create APIs and microservices to facilitate communication between machine learning models and other software modules.
* Design, build, and manage model deployment strategies to ensure reliability, scalability, and security in production environments.
* Implement monitoring and logging solutions to track model performance, data quality, and system health in real\-time.
* Optimize orchestration processes to ensure efficient deployment and management of ML models.
* Implement cost\-saving strategies to minimize infrastructure expenses while maximizing performance.
* Collaborate with cross\-functional teams to identify bottlenecks and implement solutions to improve workflow efficiency.
**We’re looking for someone who has:**
* Bachelor’s degree in Computer Science, Engineering, Mathematics, or a related technical field.
* 5\-7 years of experience as an MLOps Engineer or similar role, with a proven track record of optimizing machine learning pipelines and infrastructure.
* Proficiency in cloud computing platforms (e.g., AWS, Azure, GCP) and containerization technologies (e.g., Docker, Kubernetes).
* Experience with orchestration tools and frameworks such as Airflow, Kubeflow, or MLflow.
* Experience with machine learning frameworks such as TensorFlow, PyTorch, or Scikit\-Learn.
* Experience in deploying machine learning models in production environments and managing model lifecycle.
* Excellent problem\-solving skills and ability to work independently as well as part of a team.
* Strong communication skills and ability to collaborate effectively with cross\-functional teams.
**Data at SageSure**
 At SageSure, data isn’t just a function—it’s a force for innovation. Our Data organization brings together Data Science, Business Intelligence, and Data Management to power smarter decisions and deliver meaningful impact across the business. From predictive modeling to scalable data ecosystems and actionable insights, we turn complex information into clarity that drives real results.
 We’re building a team of curious, collaborative problem\-solvers who are passionate about using data to make a difference. Whether you’re advancing machine learning capabilities, strengthening data governance, or uncovering insights that shape strategy, you’ll play a critical role in defining how SageSure uses data to lead the future of insurance.
**About SageSure:**
 Named among the Best Places to Work in Insurance by Business Insurance for four years in a row (2020\-2023\), SageSure is one of the largest managing general underwriters (MGU) focused on catastrophe\-exposed markets in the US. Since its founding in 2009, SageSure has experienced exceptional growth while generating underwriting profits for carrier partners through hurricanes, wildfires, and hail. Available in 16 states, SageSure offers more than 50 competitively priced home, flood, earthquake, and commercial products on behalf of its highly rated carrier partners. Today, SageSure manages more than $1\.9 billion of inforce premium and helps protect 640,000 policyholders.
 SageSure has more than 1000 employees working remotely or in\-office across nine offices: Cheshire, Connecticut; Chicago, Illinois; Cincinnati, Ohio; Houston, Texas; Jersey City, New Jersey; Mountain View, California; Marlton, New Jersey; Tallahassee, Florida; and Seattle, Washington.
 SageSure offers generous health benefits and perks, including tuition reimbursement, wellness allowance, paid volunteer time off, a matching 401K plan, and more.
 SageSure is a proud Equal Opportunity Employer committed to building a workforce that reflects the spectrum of perspectives, experiences, and abilities of the world we live in. We recognize that our differences make us strong, and we actively seek out diverse candidates through partnerships with organizations, institutions and communities that represent various backgrounds. We champion belonging and inclusion for all identities, including, but not limited to, race, ethnicity, religion, sexual orientation, age, veteran status, ability status, gender, and country of origin, striving to create a culture where all individuals feel valued, respected, and empowered to bring their authentic selves to work.
 Our nimble, highly responsive culture nurtures critical thinkers who run toward problems and engineer solutions. We relentlessly pursue better outcomes by investing in the technology, talent, and tools that position us to succeed in demanding markets. Come join our team! Visit sagesure.com/careers to find a position for you.</t>
        </is>
      </c>
    </row>
    <row r="22">
      <c r="A22" t="inlineStr">
        <is>
          <t>li-4346637023</t>
        </is>
      </c>
      <c r="B22" t="inlineStr">
        <is>
          <t>AI / ML Engineer</t>
        </is>
      </c>
      <c r="C22" t="inlineStr">
        <is>
          <t>Guidehouse</t>
        </is>
      </c>
      <c r="D22" t="inlineStr">
        <is>
          <t>linkedin</t>
        </is>
      </c>
      <c r="E22" t="inlineStr"/>
      <c r="F22" t="inlineStr"/>
      <c r="G22" t="inlineStr">
        <is>
          <t>Huntsville, AL</t>
        </is>
      </c>
      <c r="H22" t="inlineStr"/>
      <c r="I22" t="inlineStr">
        <is>
          <t>**Job Family**
 Data Science \&amp; Analysis
**Travel Required**
 Up to 10%
**Clearance Required**
 Active Top Secret (TS)
 Guidehouse is seeking a Lead AI/ML Engineer to join our Technology / AI and Data team, supporting mission\-critical initiatives for Defense and Security clients. In this role, you will help design and operationalize advanced AI solutions that leverage large language models (LLMs), retrieval systems, and secure, scalable inference pipelines to enable data\-driven decision\-making. You will lead efforts to ensure models are accurate, reliable, and compliant with stringent security and regulatory standards, while collaborating with architects, engineers, and subject matter experts to deliver innovative solutions that enhance operational effectiveness. This is an opportunity to shape cutting\-edge AI capabilities that directly support national security objectives.
**What You Will Do**
* Serves as the lead AI/ML engineer responsible for developing, optimizing, and operationalizing advanced LLM\-driven workflows for the FBI adjudication platform. Drives design and implementation of inference pipelines, RAG workflows, retrieval systems, prompt architectures, and model lifecycle processes.
* Leads development of dual\-path model operations supporting self\-hosted open‑weight LLMs in AWS GovCloud and FedRAMP‑High managed endpoints. Engineers GPU\-based inference infrastructure, model containerization, distributed inference strategies, and performance‑optimized reasoning workflows.
* Designs and maintains continuous learning systems including SFT, LoRA/QLoRA adapters, dataset curation, automated evaluation suites, hallucination detection, bias evaluation, and model drift monitoring. Ensures models are safe, accurate, reliable, and aligned to SEAD‑4 adjudication criteria.
* Ensures all model operations adhere to FedRAMP High, RMF, CJIS, and FBI ATO requirements, including controls for logging, access, explainability, evidence provenance, and data protection.
 LLM Development, Inference Optimization \&amp; Prompt Engineering
* Develop and maintain LLM inference pipelines supporting long‑document reasoning, multi‑document fusion, entity extraction, anomaly detection, SEAD‑4 scoring, and structured memo generation.
* Build and manage advanced prompt architectures including system prompts, instruction sets, retrieval‑augmented prompts, multi\-step reasoning flows, and output‑schema enforcement to ensure accuracy and stability.
* Implement distributed GPU inference frameworks (vLLM, TGI, DeepSpeed, Sagemaker) and optimize workloads with KV caching, tensor parallelism, dynamic batching, and memory efficiency strategies.
* Develop output‑validation routines enforcing schema correctness, key‑evidence referencing, structured scoring, and quality controls for all model‑generated adjudicative content.
 Retrieval‑Augmented Generation (RAG) \&amp; Embedding Pipelines
* Implement RAG architectures including embedding generation, vector indexing, long‑context retrieval, and retrieval scoring to support evidence‑grounded outputs for 300–400‑page investigative files.
* Optimize chunking strategies, ranking models, hybrid search pipelines, and retrieval heuristics to ensure accurate and contextually aligned LLM output.
* Develop retrieval pipelines that reduce hallucination risk, enforce evidence provenance, and provide structured citation‑linked responses consistent with adjudication standards.
 Fine‑Tuning, Model Customization \&amp; Learning Systems
* Lead development of supervised fine‑tuning (SFT) pipelines using adjudicator examples, SEAD‑4 scoring decisions, historical memos, and SME‑curated datasets.
* Build LoRA/QLoRA fine‑tuning workflows for secure GovCloud environments, enabling high‑fidelity model specialization without full retraining cycles.
* Design evaluation suites measuring guideline adherence, evidence alignment, factual consistency, hallucination probability, and reasoning stability across adjudicative categories.
* Implement model drift detection, scoring distribution monitoring, and automated retraining triggers tied to analyst feedback and dataset evolution.
 Secure ML Operations \&amp; Compliance Alignment
* Ensure ML operations align with FedRAMP High and RMF requirements, including encryption, boundary isolation, identity controls, inference logging, and auditable model‑output trails.
* Establish secure input‑validation flows, restricted‑context enforcement, prompt sanitization, and runtime protections to mitigate security and data‑integrity risks.
* Develop telemetry pipelines capturing query metadata, retrieval context, response confidence, scoring variances, and override patterns for audit and monitoring.
 Backend Integration, Workflow Support \&amp; Platform Engineering
* Integrate LLM inference services with backend APIs, scoring engines, memo‑generation modules, entity‑resolution tools, and analyst‑facing UI workflows.
* Develop supporting microservices for prompt routing, retrieval assembly, evaluation probes, model profiling, and inference orchestration.
* Collaborate with backend engineers to optimize throughput, latency, concurrency, and reliability for high‑volume adjudication workflows.
 Collaboration, Leadership \&amp; Mission Support
* Work with the AI Solutions Architect to maintain coherence between ML pipelines and system‑wide architecture.
* Collaborate with adjudicators, SEAD‑4 SMEs, and mission stakeholders to translate adjudicative logic into prompts, features, and structured model outputs.
* Mentor junior engineers, lead experimentation cycles, participate in design reviews, and contribute to Guidehouse AI/ML engineering best practices.
**What You Will Need**
* An ACTIVE and MAINTAINED "TOP SECRET" Federal or DoD security clearance and obtained and maintain TS/SCI clearance.
* Minimum of Eight (8\) years of experience in AI/ML engineering with 4\+ years focused on NLP, LLMs, or MLOps.
* Bachelor' s Degree or Four (4\) additional Years of experience in lieu of degree.
* Expertise in PyTorch, HuggingFace Transformers, vLLM, DeepSpeed, or equivalent frameworks.
* Strong background in retrieval systems, embeddings, RAG pipelines, vector databases, and long‑context optimization.
* Experience implementing MLOps workflows, evaluation frameworks, drift detection, and responsible‑AI safeguards.
* Experience delivering ML systems in secure federal environments subject to FedRAMP High or RMF controls.
**What Would Be Nice To Have**
* Experience supporting adjudication, continuous vetting, background investigations, or SEAD‑4 scoring workflows.
* Experience deploying open‑weight LLMs in GovCloud or secure enclaves.
* Experience with citation‑grounding pipelines, evidence‑verification workflows, or structured model‑output evaluation.
* AWS Machine Learning Specialty, Solutions Architect Professional, or GPU Compute certifications.
* Experience with explainability tooling, guardrails, reasoning verification, or adversarial evaluation.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3">
      <c r="A23" t="inlineStr">
        <is>
          <t>li-4354154702</t>
        </is>
      </c>
      <c r="B23" t="inlineStr">
        <is>
          <t>Generative AI Engineer</t>
        </is>
      </c>
      <c r="C23" t="inlineStr">
        <is>
          <t>SoTalent</t>
        </is>
      </c>
      <c r="D23" t="inlineStr">
        <is>
          <t>linkedin</t>
        </is>
      </c>
      <c r="E23" t="inlineStr"/>
      <c r="F23" t="inlineStr"/>
      <c r="G23" t="inlineStr">
        <is>
          <t>Johnston, RI</t>
        </is>
      </c>
      <c r="H23" t="inlineStr"/>
      <c r="I23" t="inlineStr">
        <is>
          <t>**Job Title: Generative AI Engineer** 
**Location: Johnston, Rhode Island, United States** 
**Type: Full Time** 
**Job Summary** 
 Our client, a leading technology\-driven organization, is seeking a Senior Generative AI Engineer to design and deliver enterprise\-scale AI solutions that drive innovation and business impact. This role is ideal for a hands\-on technical leader who thrives at the intersection of strategy, architecture, and advanced AI engineering.
**What You’ll Do** 
* Define and lead the strategy, architecture, and delivery of scalable Generative AI solutions leveraging large language models, multimodal models, and open\-source frameworks within a modern cloud environment
* Build and optimize advanced data integration pipelines and retrieval\-augmented generation (RAG) solutions using search, vector databases, agents, and orchestration frameworks
* Design and implement automated testing and CI/CD strategies, establish observability and monitoring metrics, and support secure, reliable production deployments
* Partner closely with solution architects and engineering teams to deliver enterprise initiatives across application architecture, APIs, security, and automation
* Serve as a technical authority and thought leader, driving best practices, mentoring engineers, and promoting adoption of emerging AI technologies
* Set technical direction, influence AI standards, and align AI initiatives with broader business and technology goals
**What We’re Looking For** 
* Bachelor’s degree in Computer Science, Data Science, Artificial Intelligence, or a related field (or equivalent practical experience)
* 8\+ years of experience in AI or software engineering, with deep specialization in Generative AI and cloud\-based architectures
* Expert\-level programming skills in Python and .NET technologies, including C\#
* Extensive hands\-on experience with modern GenAI frameworks, orchestration tools, vector databases, and RAG architectures
* Strong understanding of leading large language models and multimodal AI systems
* Experience designing cloud\-native solutions using containers, infrastructure as code, and scalable API\-based architectures
* Proven expertise in CI/CD pipelines, automated testing, and production\-grade AI deployments
* Strong knowledge of responsible and ethical AI practices, including bias mitigation, evaluation, and performance benchmarking
* Demonstrated leadership, mentorship, and ability to influence technical strategy at an enterprise level</t>
        </is>
      </c>
    </row>
    <row r="24">
      <c r="A24" t="inlineStr">
        <is>
          <t>li-4362027628</t>
        </is>
      </c>
      <c r="B24" t="inlineStr">
        <is>
          <t>Senior AI/ML Engineer (LLM)</t>
        </is>
      </c>
      <c r="C24" t="inlineStr">
        <is>
          <t>iBusiness Funding</t>
        </is>
      </c>
      <c r="D24" t="inlineStr">
        <is>
          <t>linkedin</t>
        </is>
      </c>
      <c r="E24" t="inlineStr"/>
      <c r="F24" t="inlineStr"/>
      <c r="G24" t="inlineStr"/>
      <c r="H24" t="inlineStr"/>
      <c r="I24" t="inlineStr">
        <is>
          <t>**About iBusiness Funding** 
 iBusiness Funding is a software and lender service provider specializing in small business lending. Our technology, team, and process enable us to support loans from $10,000 to $25 million for our lending partners. Our technology solutions have been proven to quickly scale our clients’ portfolios without the need for additional overhead. Our flagship product, LenderAI, features end\-to\-end lending functionality from sales all the way through servicing
 To date, we’ve processed over $11 billion in SBA and non\-SBA volume and handle more than 1,000 business loan applications daily. Our team is driven by our core values of innovation, integrity, enjoyment, and family.
 Join us and be part of a team that’s transforming the finance industry and empowering businesses to thrive!
**Position Description** 
 We are seeking an experienced Senior LLM Engineer to join our team. You will play a key role in designing and implementing workflows that leverage large language models (LLMs, LAMs, LMMs, LVLMs, etc.) to automate the process and drive innovation in our products. The ideal candidate will have a deep understanding of NLP, experience with foundational models, and a flexible, problem\-solving mindset. You will collaborate closely with cross\-functional teams, contributing to the development of scalable AI\-driven solutions.
**Major Areas of Responsibility** 
* Design, Implement, and optimize workflows that incorporate large language models to automate and enhance product features.
* Leverage existing foundational models and adapt them to fit into various product requirements, ensuring alignment with business goals.
* Collaborate with product managers, data scientists, and software engineers to integrate LLM\-based automation into scalable solutions.
* Create and architect Interpreters, Agented Systems, and integrate multi\-hop RAG and other LLM experiences into existing systems to coordinate knowledge responses.
* Research and evaluate new technologies and methodologies in the LLM space to continuously improve product automation.
* Work on the customization and fine\-tuning of models to optimize performance for specific use cases.
* Develop, test, and deploy LLM\-based services in production environments.
* Provide technical leadership and mentorship to other engineers on the team.
* Ensure that LLM integrations are efficient, scalable, and secure, adhering to industry best practices.
**Required Knowledge, Skills, and Abilities** 
* 5\+ years of experience in machine learning, NLP, or a related domain, with a focus on large language models.
* Proven experience working with foundational models in production environments.
* Strong programming skills in Python with experience in relevant ML libraries.
* Hands\-on experience in deploying machine learning models at scale.
* Excellent communication and collaboration skills, with the ability to work cross\-functionally.
* Problem\-solving mindset, with the flexibility to adapt models and workflows to evolving product needs.
**Nice To Haves** 
* Master’s or PhD in Computer Science, AI, Machine Learning, Physics or a related field.
* Experience with MLOps and AWS
* Familiarity with reinforcement learning and other advanced NL techniques.
* Experience building risk modules
 The anticipated salary range for this position is $170,000 \- $210,000 annually, depending on experience and qualifications. iBusiness Funding provides a comprehensive benefits package, including medical, dental, and vision coverage; 401(k) with company match, and paid time off.
**Conclusion:** 
 This job description is intended to convey information essential to understanding the scope of the job and the general nature and level of work performed by job holders within this job. This job description is not intended to be an exhaustive list of qualifications, skills, efforts, duties, responsibilities
 ,
 or working conditions associated with the position.
 The company is an equal opportunity employer and will consider all applications without regard to race, sex, age, color, religion, national origin, veteran status, disability, genetic information, or any other characteristic protected by law.</t>
        </is>
      </c>
    </row>
    <row r="25">
      <c r="A25" t="inlineStr">
        <is>
          <t>li-4332354702</t>
        </is>
      </c>
      <c r="B25" t="inlineStr">
        <is>
          <t>Senior AI/ML Engineer (Data Science &amp; Automation)</t>
        </is>
      </c>
      <c r="C25" t="inlineStr">
        <is>
          <t>Envita Solutions</t>
        </is>
      </c>
      <c r="D25" t="inlineStr">
        <is>
          <t>linkedin</t>
        </is>
      </c>
      <c r="E25" t="inlineStr"/>
      <c r="F25" t="inlineStr"/>
      <c r="G25" t="inlineStr">
        <is>
          <t>Indianapolis, IN</t>
        </is>
      </c>
      <c r="H25" t="inlineStr"/>
      <c r="I25" t="inlineStr">
        <is>
          <t>Envita Solutions, formerly known as Heritage Interactive Services, is a leading total waste management partner. The company is dedicated to fostering a healthier planet by transforming complex waste challenges into sustainable solutions. Headquartered in Indianapolis, Indiana, Envita Solutions operates in the U.S., Mexico, and Canada, has over 300 employees, and a network of over 3,000 supplier partners. A division of The Heritage Group, Envita Solutions is part of a portfolio of more than 30 companies specializing in heavy construction and materials, environmental services, and specialty chemicals. With unique access to research and development and a leading hard tech corporate venture capital portfolio, Envita Solutions is at the forefront of waste and climate challenge innovation.
 At Envita, our guiding principles are the foundation of our company. Our vision is to foster a healthier planet by transforming complex waste challenges into sustainable solutions. We exist to protect human health and the environment and build a safer, more sustainable world. We believe in creating enduring value, building long\-term relationships and mutual trust, betting on our people, keeping our eyes open for opportunity, tackling the big problems, and doing the right thing\-always.
 Envita Solutions is seeking a Senior AI/ML Engineer (Data Science \&amp; Automation) to lead the design, development, and deployment of scalable AI/ML and automation solutions that enhance sustainability, efficiency, and decision intelligence. This role blends deep technical expertise with leadership, mentorship, and a strong focus on production impact. You'll play a key role in shaping Envita's AI strategy and data architecture.
**Essential Functions**
* Design and implement scalable data pipelines and ML architectures for production environments.
* Develop and deploy machine learning and generative AI models that drive measurable operational improvements.
* Build workflow automation solutions (APIs, UiPath, Power Automate) that improve efficiency and accuracy.
* Integrate models into cloud\-based production systems (Azure ML, Databricks, AWS SageMaker, or GCP Vertex AI).
* Apply modern ML techniques, including NLP, deep learning, and predictive analytics.
* Partner with business and technical leaders to identify and prioritize high\-value AI/ML opportunities.
* Define standards for data architecture, ML operations (MLOps), and model governance.
* Champion best practices for responsible and ethical AI in sustainability\-focused operations.
* Mentor and coach junior data scientists and engineers, promoting excellence and innovation.
* Additional duties and responsibilities as assigned, including but not limited to continuously growing in alignment with the Company’s core values, competencies, and skills.
**Education Qualifications**
* Required Bachelor's Degree in Computer Science, Data Science, AI/ML, or related field (Master’s/PhD preferred).
**Experience Qualifications**
* 7\+ years of experience in data science, AI/ML engineering, or applied machine learning
* Proven success developing and maintaining production ML models with measurable impact
* Hands\-on expertise in deep learning, NLP, generative AI, and/or computer vision.
* Strong experience with cloud platforms (Azure, AWS, or GCP) and pipeline orchestration (Databricks, Airflow, or similar).
* Prior exposure to sustainability, logistics, or enterprise operations is a plus.
**Skills And Abilities**
* Expert in Python and leading ML frameworks (scikit\-learn, TensorFlow, PyTorch).
* Deep understanding of ML principles: supervised/unsupervised learning, deep and reinforcement learning, model evaluation.
* Familiar with workflow automation tools (UiPath, Power Automate, APIs).
* Strong communicator and mentor with the ability to translate complex ideas into actionable insights.
* Builds scalable, production\-ready ML systems and fosters collaboration across teams.
* Operates effectively as both a builder and coach, driving continuous improvement.
 All qualified applicants will receive consideration for employment without regard to race, color, religion, sex, sexual orientation, gender identity, national origin, disability, or status as a protected veteran.
 \#EnvitaSolutions</t>
        </is>
      </c>
    </row>
    <row r="26">
      <c r="A26" t="inlineStr">
        <is>
          <t>li-4362105576</t>
        </is>
      </c>
      <c r="B26" t="inlineStr">
        <is>
          <t>Senior AI Engineer</t>
        </is>
      </c>
      <c r="C26" t="inlineStr">
        <is>
          <t>Haystack</t>
        </is>
      </c>
      <c r="D26" t="inlineStr">
        <is>
          <t>linkedin</t>
        </is>
      </c>
      <c r="E26" t="inlineStr"/>
      <c r="F26" t="inlineStr"/>
      <c r="G26" t="inlineStr"/>
      <c r="H26" t="inlineStr"/>
      <c r="I26" t="inlineStr">
        <is>
          <t>**Software Development Manager, ML Accelerators, AWS Neuron, Annapurna Labs \| Seattle, Washington \| Hybrid \| $166,400 \- $287,700** 
 We're working with Annapurna Labs (part of Amazon) on this exciting opportunity.
 Are you a visionary leader passionate about shaping the future of machine learning? Join Annapurna Labs, an Amazon company, and lead a talented team building the cutting\-edge ML compiler for AWS Neuron, powering industry\-leading ML inference and training performance!
**The Role** 
 • Lead and mentor a team of compiler engineers focused on machine learning compiler design and development.
 • Drive the design and implementation of innovative ML compiler solutions and advanced optimization techniques.
 • Spearhead hardware bring\-up for next\-generation chips, influencing pre\-silicon design decisions.
 • Directly impact AWS's machine learning infrastructure and accelerate product innovation for internal and external customers.
 • Collaborate on the AWS Neuron SDK, integrating with popular ML frameworks like PyTorch, JAX, and TensorFlow.
**What You'll Need** 
 • Bachelor's degree in Computer Science, Engineering, Mathematics, or a related field.
 • 5\+ years of experience in Software Engineering or Development, with 3\+ years in engineering team management.
 • Proven track record in new hardware bring\-up and solid knowledge of computer/chip architecture and code generation.
 • Experience with AI/ML technologies, compiler design and architecture, and familiarity with LLVM and MLIR.
**What's On Offer** 
 • Work on challenging and impactful projects at the forefront of AWS innovation.
 • Join a multidisciplinary team that blends cloud\-scale impact with world\-class engineering talent.
 • Enjoy a culture of continuous learning, rapid innovation, and a strong emphasis on work\-life balance.
 • Benefit from mentorship, career growth opportunities, and an inclusive team culture.
**Apply via Haystack today!**</t>
        </is>
      </c>
    </row>
    <row r="27">
      <c r="A27" t="inlineStr">
        <is>
          <t>li-4354019875</t>
        </is>
      </c>
      <c r="B27" t="inlineStr">
        <is>
          <t>Principal AI Engineer</t>
        </is>
      </c>
      <c r="C27" t="inlineStr">
        <is>
          <t>Arctic Wolf</t>
        </is>
      </c>
      <c r="D27" t="inlineStr">
        <is>
          <t>linkedin</t>
        </is>
      </c>
      <c r="E27" t="inlineStr"/>
      <c r="F27" t="inlineStr"/>
      <c r="G27" t="inlineStr"/>
      <c r="H27" t="inlineStr"/>
      <c r="I27" t="inlineStr">
        <is>
          <t>At Arctic Wolf, we're not just navigating the cybersecurity landscape \- we're redefining it. Our global team of dedicated Pack members is driving innovation and setting new industry standards every day. Our impact speaks for itself: we've earned recognition on the Forbes Cloud 100, CNBC Disruptor 50, Fortune Future 50, and Fortune Cyber 60 lists, and we recently took home the 2024 CRN Products of the Year award. We’re proud to be named a Leader in the IDC MarketScape for Worldwide Managed Detection and Response Services and earning a Customers' Choice distinction from Gartner Peer Insights. Our Aurora Platform also received CRN’s Products of the Year award in the inaugural Security Operations Platform category. Join a company that’s not only leading, but also shaping, the future of security operations. View our Hiring page here to learn more about our application process.
 Our mission is simple: End Cyber Risk. We’re looking for a
 **Principal AI Engineer** 
 to be part of making that happen.
 The Principal AI Engineer will lead Arctic Wolf Labs in designing and deploying bespoke agentic workflows and fine\-tuned machine learning and Generative AI models. This role focuses on building a scalable system that can collate security operations process data, fine tune AI models, and measure and guarantee quality of output across a global security operations team with diverse telemetry sources to support threat detection, investigation, and response. As a senior technical leader, you will architect frameworks that integrate operations process data and quality mechanisms with knowledge graphs and agentic workflows, enabling structured reasoning and automation in security operations. You will collaborate with security operations analysts, data scientists, platform engineers, and threat researchers to deliver production\-grade solutions that enhance Arctic Wolf’s mission to end cyber risk.
**IN THIS ROLE, YOU’LL GET TO:** 
* Architect and lead the development of agentic workflows and fine\-tuned models for the automation of new and existing security operations processes.
* Establish ML and data pipelines for the training and deployment of fine\-tuned generative AI and machine learning models.
* Design scalable systems to unify and correlate data across heterogeneous sources using rule\-based, probabilistic, and ML\-based approaches.
* Work with security operations and other teams to measure, monitor, and evaluate AI quality and iteratively improve.
* Define best practices for building secure, observable, and scalable AI systems in cloud\-native environments.
* Guide the evolution of Arctic Wolf Labs’ AI strategy, influencing product roadmaps and technical direction.
* Mentor senior engineers and foster a culture of innovation and excellence across teams.
* Stay ahead of emerging trends in entity resolution, knowledge graphs, and agentic AI.
**WE’RE LOOKING FOR SOMEONE WITH:** 
* 10\+ years of experience building intelligent systems, distributed platforms, or AI\-enhanced applications.
* 5\+ years of experience leading technical teams and mentoring senior contributors.
* Deep expertise in large scale production delivery of Generative AI
* Experience with agentic frameworks (e.g., AgentCore, Amazon Bedrock, LangChain) and LLM integration.
* Experience training and tuning AI models, including ongoing quality measurement and evaluation (LLM\-as\-judge)
* Hands\-on experience with knowledge graph technologies (e.g., Neptune, Neo4j, RDF/SPARQL, GraphQL).
* Familiarity with cloud\-native data services (AWS preferred) and data engineering tools (Spark, Flink, Kafka, Databricks).
* Experience with infrastructure\-as\-code, CI/CD, and DevSecOps principles.
* Exposure to cybersecurity concepts: threat detection, MITRE ATT\&amp;CK, telemetry, and adversarial behavior modeling.
* Passion for building intelligent systems that solve real\-world security challenges.
**On\-Camera Policy** 
 To support a fair, transparent, and engaging interview experience, candidates interviewing remotely are expected to be on camera during all video interviews. Being on camera fosters authentic connection, improves communication, and allows for full engagement from both candidates and interviewers. We understand that technical, bandwidth, or location\-related challenges may occasionally prevent video use. If this applies, candidates are required to notify us in advance so we can explore appropriate accommodations.
**About Arctic Wolf** 
 At Arctic Wolf, we foster a collaborative and inclusive work environment that thrives on diversity of thought, background, and culture. This is reflected in our multiple awards, including
 **Top Workplace USA** 
 (2021\-2024\),
 **Best Places to Work – USA** 
 (2021\-2024\),
 **Great Place to Work – Canada** 
 (2021\-2024\),
 **Great Place to Work – UK** 
 (2024\), and
 **Kununu Top Company – Germany** 
 (2024\). Our commitment to bold growth and shaping the future of security operations is matched by our dedication to customer satisfaction, with over 7,000 customers worldwide and more than 2,000 channel partners globally. As we continue to expand globally and enhance our technology, Arctic Wolf remains the most trusted name in the industry.
**Our Values** 
 Arctic Wolf recognizes that success comes from delighting our customers, so we work together to ensure that happens every day. We believe in diversity and inclusion and truly value the unique qualities and unique perspectives all employees bring to the organization. And we appreciate that—by protecting people’s and organizations’ sensitive data and seeking to end cyber risk— we get to work in an industry that is fundamental to the greater good.
 We celebrate unique perspectives by creating a platform for all voices to be heard through our Pack Unity program. We encourage all employees to join or create a new alliance. See more about our Pack Unity here.
 We also believe and practice corporate responsibility, and have recently joined the Pledge 1% Movement, ensuring that we continue to give back to our community. We know that through our mission to End Cyber Risk we will continue to engage and give back to our communities.
 All wolves receive compelling compensation and benefits packages, including:
* Equity for all employees
* Flexible time off and paid volunteer days
* RRSP and 401k match
* Training and career development programs
* Comprehensive private benefits plan including medical, mental health, dental, disability, life and AD\&amp;D, and value\-added services
* Robust Employee Assistance Program (EAP) with mental health services
* Fertility support and paid parental leave
 Arctic Wolf is an Equal Opportunity Employer and considers applicants for employment without regard to race, color, religion, sex, orientation, national origin, age, disability, genetics, or any other basis forbidden under federal, provincial, or local law. Arctic Wolf is committed to fostering a welcoming, accessible, respectful, and inclusive environment ensuring equal access and participation for people with disabilities. As such, we strive to make our entire employee experience as accessible as possible and provide accommodations as required for candidates and employees with disabilities and/or other specific needs where possible. Please let us know if you require any accommodations by emailing recruiting@arcticwolf.com.
**Security Requirements** 
* Conducts duties and responsibilities in accordance with AWN’s Information Security policies, standards, processes and controls to protect the confidentiality, integrity and availability of AWN business information (in accordance with our employee handbook and corporate policies).
* Background checks are required for this position.
* This position may require access to information protected under U.S. export control laws and regulations, including the Export Administration Regulations (“EAR”). Please note that, if applicable, an offer for employment will be conditioned on authorization to receive software or technology controlled under these U.S. export control laws and regulations.</t>
        </is>
      </c>
    </row>
    <row r="28">
      <c r="A28" t="inlineStr">
        <is>
          <t>li-4354049942</t>
        </is>
      </c>
      <c r="B28" t="inlineStr">
        <is>
          <t>Principal AI Engineer</t>
        </is>
      </c>
      <c r="C28" t="inlineStr">
        <is>
          <t>Arctic Wolf</t>
        </is>
      </c>
      <c r="D28" t="inlineStr">
        <is>
          <t>linkedin</t>
        </is>
      </c>
      <c r="E28" t="inlineStr"/>
      <c r="F28" t="inlineStr"/>
      <c r="G28" t="inlineStr">
        <is>
          <t>New York, United States</t>
        </is>
      </c>
      <c r="H28" t="inlineStr"/>
      <c r="I28" t="inlineStr">
        <is>
          <t>At Arctic Wolf, we're not just navigating the cybersecurity landscape \- we're redefining it. Our global team of dedicated Pack members is driving innovation and setting new industry standards every day. Our impact speaks for itself: we've earned recognition on the Forbes Cloud 100, CNBC Disruptor 50, Fortune Future 50, and Fortune Cyber 60 lists, and we recently took home the 2024 CRN Products of the Year award. We’re proud to be named a Leader in the IDC MarketScape for Worldwide Managed Detection and Response Services and earning a Customers' Choice distinction from Gartner Peer Insights. Our Aurora Platform also received CRN’s Products of the Year award in the inaugural Security Operations Platform category. Join a company that’s not only leading, but also shaping, the future of security operations. View our Hiring page here to learn more about our application process.
 Our mission is simple: End Cyber Risk. We’re looking for a
 **Principal AI Engineer** 
 to be part of making that happen.
 The Principal AI Engineer will lead Arctic Wolf Labs in designing and deploying bespoke agentic workflows and fine\-tuned machine learning and Generative AI models. This role focuses on building a scalable system that can collate security operations process data, fine tune AI models, and measure and guarantee quality of output across a global security operations team with diverse telemetry sources to support threat detection, investigation, and response. As a senior technical leader, you will architect frameworks that integrate operations process data and quality mechanisms with knowledge graphs and agentic workflows, enabling structured reasoning and automation in security operations. You will collaborate with security operations analysts, data scientists, platform engineers, and threat researchers to deliver production\-grade solutions that enhance Arctic Wolf’s mission to end cyber risk.
**IN THIS ROLE, YOU’LL GET TO:** 
* Architect and lead the development of agentic workflows and fine\-tuned models for the automation of new and existing security operations processes.
* Establish ML and data pipelines for the training and deployment of fine\-tuned generative AI and machine learning models.
* Design scalable systems to unify and correlate data across heterogeneous sources using rule\-based, probabilistic, and ML\-based approaches.
* Work with security operations and other teams to measure, monitor, and evaluate AI quality and iteratively improve.
* Define best practices for building secure, observable, and scalable AI systems in cloud\-native environments.
* Guide the evolution of Arctic Wolf Labs’ AI strategy, influencing product roadmaps and technical direction.
* Mentor senior engineers and foster a culture of innovation and excellence across teams.
* Stay ahead of emerging trends in entity resolution, knowledge graphs, and agentic AI.
**WE’RE LOOKING FOR SOMEONE WITH:** 
* 10\+ years of experience building intelligent systems, distributed platforms, or AI\-enhanced applications.
* 5\+ years of experience leading technical teams and mentoring senior contributors.
* Deep expertise in large scale production delivery of Generative AI
* Experience with agentic frameworks (e.g., AgentCore, Amazon Bedrock, LangChain) and LLM integration.
* Experience training and tuning AI models, including ongoing quality measurement and evaluation (LLM\-as\-judge)
* Hands\-on experience with knowledge graph technologies (e.g., Neptune, Neo4j, RDF/SPARQL, GraphQL).
* Familiarity with cloud\-native data services (AWS preferred) and data engineering tools (Spark, Flink, Kafka, Databricks).
* Experience with infrastructure\-as\-code, CI/CD, and DevSecOps principles.
* Exposure to cybersecurity concepts: threat detection, MITRE ATT\&amp;CK, telemetry, and adversarial behavior modeling.
* Passion for building intelligent systems that solve real\-world security challenges.
**On\-Camera Policy** 
 To support a fair, transparent, and engaging interview experience, candidates interviewing remotely are expected to be on camera during all video interviews. Being on camera fosters authentic connection, improves communication, and allows for full engagement from both candidates and interviewers. We understand that technical, bandwidth, or location\-related challenges may occasionally prevent video use. If this applies, candidates are required to notify us in advance so we can explore appropriate accommodations.
**About Arctic Wolf** 
 At Arctic Wolf, we foster a collaborative and inclusive work environment that thrives on diversity of thought, background, and culture. This is reflected in our multiple awards, including
 **Top Workplace USA** 
 (2021\-2024\),
 **Best Places to Work – USA** 
 (2021\-2024\),
 **Great Place to Work – Canada** 
 (2021\-2024\),
 **Great Place to Work – UK** 
 (2024\), and
 **Kununu Top Company – Germany** 
 (2024\). Our commitment to bold growth and shaping the future of security operations is matched by our dedication to customer satisfaction, with over 7,000 customers worldwide and more than 2,000 channel partners globally. As we continue to expand globally and enhance our technology, Arctic Wolf remains the most trusted name in the industry.
**Our Values** 
 Arctic Wolf recognizes that success comes from delighting our customers, so we work together to ensure that happens every day. We believe in diversity and inclusion and truly value the unique qualities and unique perspectives all employees bring to the organization. And we appreciate that—by protecting people’s and organizations’ sensitive data and seeking to end cyber risk— we get to work in an industry that is fundamental to the greater good.
 We celebrate unique perspectives by creating a platform for all voices to be heard through our Pack Unity program. We encourage all employees to join or create a new alliance. See more about our Pack Unity here.
 We also believe and practice corporate responsibility, and have recently joined the Pledge 1% Movement, ensuring that we continue to give back to our community. We know that through our mission to End Cyber Risk we will continue to engage and give back to our communities.
 All wolves receive compelling compensation and benefits packages, including:
* Equity for all employees
* Flexible time off and paid volunteer days
* RRSP and 401k match
* Training and career development programs
* Comprehensive private benefits plan including medical, mental health, dental, disability, life and AD\&amp;D, and value\-added services
* Robust Employee Assistance Program (EAP) with mental health services
* Fertility support and paid parental leave
 Arctic Wolf is an Equal Opportunity Employer and considers applicants for employment without regard to race, color, religion, sex, orientation, national origin, age, disability, genetics, or any other basis forbidden under federal, provincial, or local law. Arctic Wolf is committed to fostering a welcoming, accessible, respectful, and inclusive environment ensuring equal access and participation for people with disabilities. As such, we strive to make our entire employee experience as accessible as possible and provide accommodations as required for candidates and employees with disabilities and/or other specific needs where possible. Please let us know if you require any accommodations by emailing recruiting@arcticwolf.com.
**Security Requirements** 
* Conducts duties and responsibilities in accordance with AWN’s Information Security policies, standards, processes and controls to protect the confidentiality, integrity and availability of AWN business information (in accordance with our employee handbook and corporate policies).
* Background checks are required for this position.
* This position may require access to information protected under U.S. export control laws and regulations, including the Export Administration Regulations (“EAR”). Please note that, if applicable, an offer for employment will be conditioned on authorization to receive software or technology controlled under these U.S. export control laws and regulations.</t>
        </is>
      </c>
    </row>
    <row r="29">
      <c r="A29" t="inlineStr">
        <is>
          <t>li-4353969875</t>
        </is>
      </c>
      <c r="B29" t="inlineStr">
        <is>
          <t>Principal AI Engineer</t>
        </is>
      </c>
      <c r="C29" t="inlineStr">
        <is>
          <t>Arctic Wolf</t>
        </is>
      </c>
      <c r="D29" t="inlineStr">
        <is>
          <t>linkedin</t>
        </is>
      </c>
      <c r="E29" t="inlineStr"/>
      <c r="F29" t="inlineStr"/>
      <c r="G29" t="inlineStr">
        <is>
          <t>Texas, United States</t>
        </is>
      </c>
      <c r="H29" t="inlineStr"/>
      <c r="I29" t="inlineStr">
        <is>
          <t>At Arctic Wolf, we're not just navigating the cybersecurity landscape \- we're redefining it. Our global team of dedicated Pack members is driving innovation and setting new industry standards every day. Our impact speaks for itself: we've earned recognition on the Forbes Cloud 100, CNBC Disruptor 50, Fortune Future 50, and Fortune Cyber 60 lists, and we recently took home the 2024 CRN Products of the Year award. We’re proud to be named a Leader in the IDC MarketScape for Worldwide Managed Detection and Response Services and earning a Customers' Choice distinction from Gartner Peer Insights. Our Aurora Platform also received CRN’s Products of the Year award in the inaugural Security Operations Platform category. Join a company that’s not only leading, but also shaping, the future of security operations. View our Hiring page here to learn more about our application process.
 Our mission is simple: End Cyber Risk. We’re looking for a
 **Principal AI Engineer** 
 to be part of making that happen.
 The Principal AI Engineer will lead Arctic Wolf Labs in designing and deploying bespoke agentic workflows and fine\-tuned machine learning and Generative AI models. This role focuses on building a scalable system that can collate security operations process data, fine tune AI models, and measure and guarantee quality of output across a global security operations team with diverse telemetry sources to support threat detection, investigation, and response. As a senior technical leader, you will architect frameworks that integrate operations process data and quality mechanisms with knowledge graphs and agentic workflows, enabling structured reasoning and automation in security operations. You will collaborate with security operations analysts, data scientists, platform engineers, and threat researchers to deliver production\-grade solutions that enhance Arctic Wolf’s mission to end cyber risk.
**IN THIS ROLE, YOU’LL GET TO:** 
* Architect and lead the development of agentic workflows and fine\-tuned models for the automation of new and existing security operations processes.
* Establish ML and data pipelines for the training and deployment of fine\-tuned generative AI and machine learning models.
* Design scalable systems to unify and correlate data across heterogeneous sources using rule\-based, probabilistic, and ML\-based approaches.
* Work with security operations and other teams to measure, monitor, and evaluate AI quality and iteratively improve.
* Define best practices for building secure, observable, and scalable AI systems in cloud\-native environments.
* Guide the evolution of Arctic Wolf Labs’ AI strategy, influencing product roadmaps and technical direction.
* Mentor senior engineers and foster a culture of innovation and excellence across teams.
* Stay ahead of emerging trends in entity resolution, knowledge graphs, and agentic AI.
**WE’RE LOOKING FOR SOMEONE WITH:** 
* 10\+ years of experience building intelligent systems, distributed platforms, or AI\-enhanced applications.
* 5\+ years of experience leading technical teams and mentoring senior contributors.
* Deep expertise in large scale production delivery of Generative AI
* Experience with agentic frameworks (e.g., AgentCore, Amazon Bedrock, LangChain) and LLM integration.
* Experience training and tuning AI models, including ongoing quality measurement and evaluation (LLM\-as\-judge)
* Hands\-on experience with knowledge graph technologies (e.g., Neptune, Neo4j, RDF/SPARQL, GraphQL).
* Familiarity with cloud\-native data services (AWS preferred) and data engineering tools (Spark, Flink, Kafka, Databricks).
* Experience with infrastructure\-as\-code, CI/CD, and DevSecOps principles.
* Exposure to cybersecurity concepts: threat detection, MITRE ATT\&amp;CK, telemetry, and adversarial behavior modeling.
* Passion for building intelligent systems that solve real\-world security challenges.
**On\-Camera Policy** 
 To support a fair, transparent, and engaging interview experience, candidates interviewing remotely are expected to be on camera during all video interviews. Being on camera fosters authentic connection, improves communication, and allows for full engagement from both candidates and interviewers. We understand that technical, bandwidth, or location\-related challenges may occasionally prevent video use. If this applies, candidates are required to notify us in advance so we can explore appropriate accommodations.
**About Arctic Wolf** 
 At Arctic Wolf, we foster a collaborative and inclusive work environment that thrives on diversity of thought, background, and culture. This is reflected in our multiple awards, including
 **Top Workplace USA** 
 (2021\-2024\),
 **Best Places to Work – USA** 
 (2021\-2024\),
 **Great Place to Work – Canada** 
 (2021\-2024\),
 **Great Place to Work – UK** 
 (2024\), and
 **Kununu Top Company – Germany** 
 (2024\). Our commitment to bold growth and shaping the future of security operations is matched by our dedication to customer satisfaction, with over 7,000 customers worldwide and more than 2,000 channel partners globally. As we continue to expand globally and enhance our technology, Arctic Wolf remains the most trusted name in the industry.
**Our Values** 
 Arctic Wolf recognizes that success comes from delighting our customers, so we work together to ensure that happens every day. We believe in diversity and inclusion and truly value the unique qualities and unique perspectives all employees bring to the organization. And we appreciate that—by protecting people’s and organizations’ sensitive data and seeking to end cyber risk— we get to work in an industry that is fundamental to the greater good.
 We celebrate unique perspectives by creating a platform for all voices to be heard through our Pack Unity program. We encourage all employees to join or create a new alliance. See more about our Pack Unity here.
 We also believe and practice corporate responsibility, and have recently joined the Pledge 1% Movement, ensuring that we continue to give back to our community. We know that through our mission to End Cyber Risk we will continue to engage and give back to our communities.
 All wolves receive compelling compensation and benefits packages, including:
* Equity for all employees
* Flexible time off and paid volunteer days
* RRSP and 401k match
* Training and career development programs
* Comprehensive private benefits plan including medical, mental health, dental, disability, life and AD\&amp;D, and value\-added services
* Robust Employee Assistance Program (EAP) with mental health services
* Fertility support and paid parental leave
 Arctic Wolf is an Equal Opportunity Employer and considers applicants for employment without regard to race, color, religion, sex, orientation, national origin, age, disability, genetics, or any other basis forbidden under federal, provincial, or local law. Arctic Wolf is committed to fostering a welcoming, accessible, respectful, and inclusive environment ensuring equal access and participation for people with disabilities. As such, we strive to make our entire employee experience as accessible as possible and provide accommodations as required for candidates and employees with disabilities and/or other specific needs where possible. Please let us know if you require any accommodations by emailing recruiting@arcticwolf.com.
**Security Requirements** 
* Conducts duties and responsibilities in accordance with AWN’s Information Security policies, standards, processes and controls to protect the confidentiality, integrity and availability of AWN business information (in accordance with our employee handbook and corporate policies).
* Background checks are required for this position.
* This position may require access to information protected under U.S. export control laws and regulations, including the Export Administration Regulations (“EAR”). Please note that, if applicable, an offer for employment will be conditioned on authorization to receive software or technology controlled under these U.S. export control laws and regulations.</t>
        </is>
      </c>
    </row>
    <row r="30">
      <c r="A30" t="inlineStr">
        <is>
          <t>li-4354069913</t>
        </is>
      </c>
      <c r="B30" t="inlineStr">
        <is>
          <t>Principal AI Engineer</t>
        </is>
      </c>
      <c r="C30" t="inlineStr">
        <is>
          <t>Arctic Wolf</t>
        </is>
      </c>
      <c r="D30" t="inlineStr">
        <is>
          <t>linkedin</t>
        </is>
      </c>
      <c r="E30" t="inlineStr"/>
      <c r="F30" t="inlineStr"/>
      <c r="G30" t="inlineStr">
        <is>
          <t>California, United States</t>
        </is>
      </c>
      <c r="H30" t="inlineStr"/>
      <c r="I30" t="inlineStr">
        <is>
          <t>At Arctic Wolf, we're not just navigating the cybersecurity landscape \- we're redefining it. Our global team of dedicated Pack members is driving innovation and setting new industry standards every day. Our impact speaks for itself: we've earned recognition on the Forbes Cloud 100, CNBC Disruptor 50, Fortune Future 50, and Fortune Cyber 60 lists, and we recently took home the 2024 CRN Products of the Year award. We’re proud to be named a Leader in the IDC MarketScape for Worldwide Managed Detection and Response Services and earning a Customers' Choice distinction from Gartner Peer Insights. Our Aurora Platform also received CRN’s Products of the Year award in the inaugural Security Operations Platform category. Join a company that’s not only leading, but also shaping, the future of security operations. View our Hiring page here to learn more about our application process.
 Our mission is simple: End Cyber Risk. We’re looking for a
 **Principal AI Engineer** 
 to be part of making that happen.
 The Principal AI Engineer will lead Arctic Wolf Labs in designing and deploying bespoke agentic workflows and fine\-tuned machine learning and Generative AI models. This role focuses on building a scalable system that can collate security operations process data, fine tune AI models, and measure and guarantee quality of output across a global security operations team with diverse telemetry sources to support threat detection, investigation, and response. As a senior technical leader, you will architect frameworks that integrate operations process data and quality mechanisms with knowledge graphs and agentic workflows, enabling structured reasoning and automation in security operations. You will collaborate with security operations analysts, data scientists, platform engineers, and threat researchers to deliver production\-grade solutions that enhance Arctic Wolf’s mission to end cyber risk.
**IN THIS ROLE, YOU’LL GET TO:** 
* Architect and lead the development of agentic workflows and fine\-tuned models for the automation of new and existing security operations processes.
* Establish ML and data pipelines for the training and deployment of fine\-tuned generative AI and machine learning models.
* Design scalable systems to unify and correlate data across heterogeneous sources using rule\-based, probabilistic, and ML\-based approaches.
* Work with security operations and other teams to measure, monitor, and evaluate AI quality and iteratively improve.
* Define best practices for building secure, observable, and scalable AI systems in cloud\-native environments.
* Guide the evolution of Arctic Wolf Labs’ AI strategy, influencing product roadmaps and technical direction.
* Mentor senior engineers and foster a culture of innovation and excellence across teams.
* Stay ahead of emerging trends in entity resolution, knowledge graphs, and agentic AI.
**WE’RE LOOKING FOR SOMEONE WITH:** 
* 10\+ years of experience building intelligent systems, distributed platforms, or AI\-enhanced applications.
* 5\+ years of experience leading technical teams and mentoring senior contributors.
* Deep expertise in large scale production delivery of Generative AI
* Experience with agentic frameworks (e.g., AgentCore, Amazon Bedrock, LangChain) and LLM integration.
* Experience training and tuning AI models, including ongoing quality measurement and evaluation (LLM\-as\-judge)
* Hands\-on experience with knowledge graph technologies (e.g., Neptune, Neo4j, RDF/SPARQL, GraphQL).
* Familiarity with cloud\-native data services (AWS preferred) and data engineering tools (Spark, Flink, Kafka, Databricks).
* Experience with infrastructure\-as\-code, CI/CD, and DevSecOps principles.
* Exposure to cybersecurity concepts: threat detection, MITRE ATT\&amp;CK, telemetry, and adversarial behavior modeling.
* Passion for building intelligent systems that solve real\-world security challenges.
**On\-Camera Policy** 
 To support a fair, transparent, and engaging interview experience, candidates interviewing remotely are expected to be on camera during all video interviews. Being on camera fosters authentic connection, improves communication, and allows for full engagement from both candidates and interviewers. We understand that technical, bandwidth, or location\-related challenges may occasionally prevent video use. If this applies, candidates are required to notify us in advance so we can explore appropriate accommodations.
**About Arctic Wolf** 
 At Arctic Wolf, we foster a collaborative and inclusive work environment that thrives on diversity of thought, background, and culture. This is reflected in our multiple awards, including
 **Top Workplace USA** 
 (2021\-2024\),
 **Best Places to Work – USA** 
 (2021\-2024\),
 **Great Place to Work – Canada** 
 (2021\-2024\),
 **Great Place to Work – UK** 
 (2024\), and
 **Kununu Top Company – Germany** 
 (2024\). Our commitment to bold growth and shaping the future of security operations is matched by our dedication to customer satisfaction, with over 7,000 customers worldwide and more than 2,000 channel partners globally. As we continue to expand globally and enhance our technology, Arctic Wolf remains the most trusted name in the industry.
**Our Values** 
 Arctic Wolf recognizes that success comes from delighting our customers, so we work together to ensure that happens every day. We believe in diversity and inclusion and truly value the unique qualities and unique perspectives all employees bring to the organization. And we appreciate that—by protecting people’s and organizations’ sensitive data and seeking to end cyber risk— we get to work in an industry that is fundamental to the greater good.
 We celebrate unique perspectives by creating a platform for all voices to be heard through our Pack Unity program. We encourage all employees to join or create a new alliance. See more about our Pack Unity here.
 We also believe and practice corporate responsibility, and have recently joined the Pledge 1% Movement, ensuring that we continue to give back to our community. We know that through our mission to End Cyber Risk we will continue to engage and give back to our communities.
 All wolves receive compelling compensation and benefits packages, including:
* Equity for all employees
* Flexible time off and paid volunteer days
* RRSP and 401k match
* Training and career development programs
* Comprehensive private benefits plan including medical, mental health, dental, disability, life and AD\&amp;D, and value\-added services
* Robust Employee Assistance Program (EAP) with mental health services
* Fertility support and paid parental leave
 Arctic Wolf is an Equal Opportunity Employer and considers applicants for employment without regard to race, color, religion, sex, orientation, national origin, age, disability, genetics, or any other basis forbidden under federal, provincial, or local law. Arctic Wolf is committed to fostering a welcoming, accessible, respectful, and inclusive environment ensuring equal access and participation for people with disabilities. As such, we strive to make our entire employee experience as accessible as possible and provide accommodations as required for candidates and employees with disabilities and/or other specific needs where possible. Please let us know if you require any accommodations by emailing recruiting@arcticwolf.com.
**Security Requirements** 
* Conducts duties and responsibilities in accordance with AWN’s Information Security policies, standards, processes and controls to protect the confidentiality, integrity and availability of AWN business information (in accordance with our employee handbook and corporate policies).
* Background checks are required for this position.
* This position may require access to information protected under U.S. export control laws and regulations, including the Export Administration Regulations (“EAR”). Please note that, if applicable, an offer for employment will be conditioned on authorization to receive software or technology controlled under these U.S. export control laws and regulations.</t>
        </is>
      </c>
    </row>
    <row r="31">
      <c r="A31" t="inlineStr">
        <is>
          <t>li-4365089551</t>
        </is>
      </c>
      <c r="B31" t="inlineStr">
        <is>
          <t>Agentic AI Engineer</t>
        </is>
      </c>
      <c r="C31" t="inlineStr">
        <is>
          <t>Smart Info Solutions LLC</t>
        </is>
      </c>
      <c r="D31" t="inlineStr">
        <is>
          <t>linkedin</t>
        </is>
      </c>
      <c r="E31" t="inlineStr"/>
      <c r="F31" t="inlineStr"/>
      <c r="G31" t="inlineStr">
        <is>
          <t>Minneapolis, MN</t>
        </is>
      </c>
      <c r="H31" t="inlineStr"/>
      <c r="I31" t="inlineStr">
        <is>
          <t>Role Summary We are seeking an AI Developer to build autonomous AI systems that plan, call tools, and complete multi\-step tasks safely and reliably. You’ll design planner–executor loops, multi\-agent graphs, and RAG\-enhanced workflows; implement tool schemas and guardrails; and ship observable, cost\-aware, and compliant agentic applications at scale
 Key Responsibilities Agent Design \&amp; Orchestration
 • Design planner–executor and multi\-agent patterns (router/worker/critic/supervisor) using graph/state machines.
 • Implement memory \&amp; context strategies (scratchpads, episodic/session memory, short/long\-term stores). Tooling \&amp; Integrations
 • Model tool/function schemas (input/output validation) and rollback on failures.
 • Integrate securely with enterprise systems (e.g., Splunk, Dynatrace, ServiceNow/Jira, internal APIs). Retrieval \&amp; Knowledge
 • Build RAG subagents; optimize chunking, metadata, ranking/re\-ranking; ground answers with verifiable citations. Safety, Security, Compliance
 • Enforce prompt\-injection defenses, sandbox tools, apply policy checks and least\-privilege scoping.
 • Implement DLP and redaction for PII/PHI/PCI; ensure Entra ID/OAuth/OIDC\-based access. Observability \&amp; Evals
 • Ship step\-level tracing (logs/metrics/traces), action logs, and chain\-of\-thought not persisted (safety).
 • Build evaluation harnesses: golden tasks, hallucination/groundedness checks, failure\-path tests, load/cost tests. LLMOps
 • Version prompts, tools, and graphs; maintain registries; automate deploys (CI/CD), blue/green, and rollback.
 • Run model routing (fallback/guardrails), token/cost tracking, and cost/performance optimization. Collaboration
 • Partner with product, security, legal, and domain SMEs; author runbooks, SOPs, threat models, and design docs
 Minimum Qualifications • Software Engineering:
 Proficient in Python or Java, REST APIs, testing, async I/O, and distributed systems basics.
 Page 1 • Agentic Patterns: Hands\-on with function/tool calling, planner–executor patterns, and graph/state orchestration (e.g., LangGraph, AutoGen, AWS Bedrock AgentCore others).
 • GenAI/RAG: Embeddings, chunking, vector stores, re\-ranking; grounding and citation strategies.
 • Cloud \&amp; Runtime: Azure/AWS/GCP; containers (Docker); CI/CD (GitHub Actions/Azure DevOps).
 • Security: OAuth, secrets/DLP, audit logging, least privilege.
 • Communication: Clear documentation; ability to explain safety vs. autonomy trade\-offs.
 Tech Stack • Languages:
 Python, TypeScript, Java
 • Platforms: Cloud platforms (AWS or Google Cloud).
 • Engineering: API development, MLOps, Agentic Development
 • Observability: Dynatrace, Cloud Ops
 • CI/CD \&amp; Infra: AWS, GitHub Actions, Docker, Terraform</t>
        </is>
      </c>
    </row>
    <row r="32">
      <c r="A32" t="inlineStr">
        <is>
          <t>li-4354039977</t>
        </is>
      </c>
      <c r="B32" t="inlineStr">
        <is>
          <t>Principal AI Engineer</t>
        </is>
      </c>
      <c r="C32" t="inlineStr">
        <is>
          <t>Arctic Wolf</t>
        </is>
      </c>
      <c r="D32" t="inlineStr">
        <is>
          <t>linkedin</t>
        </is>
      </c>
      <c r="E32" t="inlineStr"/>
      <c r="F32" t="inlineStr"/>
      <c r="G32" t="inlineStr"/>
      <c r="H32" t="inlineStr"/>
      <c r="I32" t="inlineStr">
        <is>
          <t>At Arctic Wolf, we're not just navigating the cybersecurity landscape \- we're redefining it. Our global team of dedicated Pack members is driving innovation and setting new industry standards every day. Our impact speaks for itself: we've earned recognition on the Forbes Cloud 100, CNBC Disruptor 50, Fortune Future 50, and Fortune Cyber 60 lists, and we recently took home the 2024 CRN Products of the Year award. We’re proud to be named a Leader in the IDC MarketScape for Worldwide Managed Detection and Response Services and earning a Customers' Choice distinction from Gartner Peer Insights. Our Aurora Platform also received CRN’s Products of the Year award in the inaugural Security Operations Platform category. Join a company that’s not only leading, but also shaping, the future of security operations. View our Hiring page here to learn more about our application process.
 Our mission is simple: End Cyber Risk. We’re looking for a
 **Principal AI Engineer** 
 to be part of making that happen.
 The Principal AI Engineer will lead Arctic Wolf Labs in designing and deploying bespoke agentic workflows and fine\-tuned machine learning and Generative AI models. This role focuses on building a scalable system that can collate security operations process data, fine tune AI models, and measure and guarantee quality of output across a global security operations team with diverse telemetry sources to support threat detection, investigation, and response. As a senior technical leader, you will architect frameworks that integrate operations process data and quality mechanisms with knowledge graphs and agentic workflows, enabling structured reasoning and automation in security operations. You will collaborate with security operations analysts, data scientists, platform engineers, and threat researchers to deliver production\-grade solutions that enhance Arctic Wolf’s mission to end cyber risk.
**IN THIS ROLE, YOU’LL GET TO:** 
* Architect and lead the development of agentic workflows and fine\-tuned models for the automation of new and existing security operations processes.
* Establish ML and data pipelines for the training and deployment of fine\-tuned generative AI and machine learning models.
* Design scalable systems to unify and correlate data across heterogeneous sources using rule\-based, probabilistic, and ML\-based approaches.
* Work with security operations and other teams to measure, monitor, and evaluate AI quality and iteratively improve.
* Define best practices for building secure, observable, and scalable AI systems in cloud\-native environments.
* Guide the evolution of Arctic Wolf Labs’ AI strategy, influencing product roadmaps and technical direction.
* Mentor senior engineers and foster a culture of innovation and excellence across teams.
* Stay ahead of emerging trends in entity resolution, knowledge graphs, and agentic AI.
**WE’RE LOOKING FOR SOMEONE WITH:** 
* 10\+ years of experience building intelligent systems, distributed platforms, or AI\-enhanced applications.
* 5\+ years of experience leading technical teams and mentoring senior contributors.
* Deep expertise in large scale production delivery of Generative AI
* Experience with agentic frameworks (e.g., AgentCore, Amazon Bedrock, LangChain) and LLM integration.
* Experience training and tuning AI models, including ongoing quality measurement and evaluation (LLM\-as\-judge)
* Hands\-on experience with knowledge graph technologies (e.g., Neptune, Neo4j, RDF/SPARQL, GraphQL).
* Familiarity with cloud\-native data services (AWS preferred) and data engineering tools (Spark, Flink, Kafka, Databricks).
* Experience with infrastructure\-as\-code, CI/CD, and DevSecOps principles.
* Exposure to cybersecurity concepts: threat detection, MITRE ATT\&amp;CK, telemetry, and adversarial behavior modeling.
* Passion for building intelligent systems that solve real\-world security challenges.
**On\-Camera Policy** 
 To support a fair, transparent, and engaging interview experience, candidates interviewing remotely are expected to be on camera during all video interviews. Being on camera fosters authentic connection, improves communication, and allows for full engagement from both candidates and interviewers. We understand that technical, bandwidth, or location\-related challenges may occasionally prevent video use. If this applies, candidates are required to notify us in advance so we can explore appropriate accommodations.
**About Arctic Wolf** 
 At Arctic Wolf, we foster a collaborative and inclusive work environment that thrives on diversity of thought, background, and culture. This is reflected in our multiple awards, including
 **Top Workplace USA** 
 (2021\-2024\),
 **Best Places to Work – USA** 
 (2021\-2024\),
 **Great Place to Work – Canada** 
 (2021\-2024\),
 **Great Place to Work – UK** 
 (2024\), and
 **Kununu Top Company – Germany** 
 (2024\). Our commitment to bold growth and shaping the future of security operations is matched by our dedication to customer satisfaction, with over 7,000 customers worldwide and more than 2,000 channel partners globally. As we continue to expand globally and enhance our technology, Arctic Wolf remains the most trusted name in the industry.
**Our Values** 
 Arctic Wolf recognizes that success comes from delighting our customers, so we work together to ensure that happens every day. We believe in diversity and inclusion and truly value the unique qualities and unique perspectives all employees bring to the organization. And we appreciate that—by protecting people’s and organizations’ sensitive data and seeking to end cyber risk— we get to work in an industry that is fundamental to the greater good.
 We celebrate unique perspectives by creating a platform for all voices to be heard through our Pack Unity program. We encourage all employees to join or create a new alliance. See more about our Pack Unity here.
 We also believe and practice corporate responsibility, and have recently joined the Pledge 1% Movement, ensuring that we continue to give back to our community. We know that through our mission to End Cyber Risk we will continue to engage and give back to our communities.
 All wolves receive compelling compensation and benefits packages, including:
* Equity for all employees
* Flexible time off and paid volunteer days
* RRSP and 401k match
* Training and career development programs
* Comprehensive private benefits plan including medical, mental health, dental, disability, life and AD\&amp;D, and value\-added services
* Robust Employee Assistance Program (EAP) with mental health services
* Fertility support and paid parental leave
 Arctic Wolf is an Equal Opportunity Employer and considers applicants for employment without regard to race, color, religion, sex, orientation, national origin, age, disability, genetics, or any other basis forbidden under federal, provincial, or local law. Arctic Wolf is committed to fostering a welcoming, accessible, respectful, and inclusive environment ensuring equal access and participation for people with disabilities. As such, we strive to make our entire employee experience as accessible as possible and provide accommodations as required for candidates and employees with disabilities and/or other specific needs where possible. Please let us know if you require any accommodations by emailing recruiting@arcticwolf.com.
**Security Requirements** 
* Conducts duties and responsibilities in accordance with AWN’s Information Security policies, standards, processes and controls to protect the confidentiality, integrity and availability of AWN business information (in accordance with our employee handbook and corporate policies).
* Background checks are required for this position.
* This position may require access to information protected under U.S. export control laws and regulations, including the Export Administration Regulations (“EAR”). Please note that, if applicable, an offer for employment will be conditioned on authorization to receive software or technology controlled under these U.S. export control laws and regulations.</t>
        </is>
      </c>
    </row>
    <row r="33">
      <c r="A33" t="inlineStr">
        <is>
          <t>li-4361684200</t>
        </is>
      </c>
      <c r="B33" t="inlineStr">
        <is>
          <t>AI Engineer</t>
        </is>
      </c>
      <c r="C33" t="inlineStr">
        <is>
          <t>Underdog.io -Apply to top tech jobs in 60 seconds. A place where companies apply to you</t>
        </is>
      </c>
      <c r="D33" t="inlineStr">
        <is>
          <t>linkedin</t>
        </is>
      </c>
      <c r="E33" t="inlineStr"/>
      <c r="F33" t="inlineStr"/>
      <c r="G33" t="inlineStr"/>
      <c r="H33" t="inlineStr"/>
      <c r="I33" t="inlineStr">
        <is>
          <t>**Senior AI Developer (Remote\-First)** 
**Location:** 
 Remote (U.S.)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Open to U.S./Canada\-based applicants. No visa sponsorship.*</t>
        </is>
      </c>
    </row>
    <row r="34">
      <c r="A34" t="inlineStr">
        <is>
          <t>li-4318067555</t>
        </is>
      </c>
      <c r="B34" t="inlineStr">
        <is>
          <t>Senior/Staff AI Engineer - Large Language Models (LLM)</t>
        </is>
      </c>
      <c r="C34" t="inlineStr">
        <is>
          <t>Forterra</t>
        </is>
      </c>
      <c r="D34" t="inlineStr">
        <is>
          <t>linkedin</t>
        </is>
      </c>
      <c r="E34" t="inlineStr"/>
      <c r="F34" t="inlineStr"/>
      <c r="G34" t="inlineStr">
        <is>
          <t>East Palo Alto, CA</t>
        </is>
      </c>
      <c r="H34" t="inlineStr"/>
      <c r="I34"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We are looking for a researcher/engineer with deep expertise in large language models (LLMs), reasoning, and multimodal AI. You will help design and develop methods that enable intelligent systems to make robust, explainable, and context\-aware decisions. This role sits at the intersection of advanced research and applied engineering, with direct impact on building real\-world AI capabilities.
**What You'll Do**
* Research and prototype new methods to extend LLMs with reasoning capabilities
* Develop and optimize multimodal pipelines combining text, vision, and structured data
* Adapt and scale models for real\-time, safe, and efficient performance
* Define evaluation strategies to measure robustness, reliability, and uncertainty in reasoning
* Work cross\-functionally with research and engineering teams to bring ideas into production
**Minimum Qualifications**
* Proficiency in Python and modern deep learning frameworks (PyTorch, or TensorFlow)
* Strong foundations in machine learning and reasoning algorithms
* Experience with scaling and optimizing LLMs for efficiency (e.g., distillation, quantization, inference optimization)
* Excellent problem\-solving and collaboration skills
* A strong background in transformer\-based models and LLMs
* Hands\-on experience with multimodal ML (e.g., vision\-language, text \+ spatiotemporal data)
* Solid understanding of probabilistic methods, uncertainty modeling, or decision\-making under uncertainty
* Proven ability to translate research into practical implementations
**Preferred Qualifications**
* Experience working on real\-time or safety\-critical AI systems
* Publications in top ML/AI conferences (e.g., NeurIPS, ICML, ICLR, CVPR)
* Contributions to open\-source ML frameworks or toolkits
* Curiosity and drive to explore explainable and reliable AI reasoning
 US Salary Range
 $160,000—$210,000
**Benefits**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
**The Pay Range For This Role Is**
 160,000 \- 210,000 USD per year (Palo Alto Office)</t>
        </is>
      </c>
    </row>
    <row r="35">
      <c r="A35" t="inlineStr">
        <is>
          <t>li-4362085784</t>
        </is>
      </c>
      <c r="B35" t="inlineStr">
        <is>
          <t>Senior AI Engineer</t>
        </is>
      </c>
      <c r="C35" t="inlineStr">
        <is>
          <t>Haystack</t>
        </is>
      </c>
      <c r="D35" t="inlineStr">
        <is>
          <t>linkedin</t>
        </is>
      </c>
      <c r="E35" t="inlineStr"/>
      <c r="F35" t="inlineStr"/>
      <c r="G35" t="inlineStr">
        <is>
          <t>Seattle, WA</t>
        </is>
      </c>
      <c r="H35" t="inlineStr"/>
      <c r="I35" t="inlineStr">
        <is>
          <t>**Software Development Manager, ML Accelerators, AWS Neuron, Annapurna Labs \| Seattle, Washington \| Hybrid \| $166,400 \- $287,700** 
 We're working with Annapurna Labs (part of Amazon) on this exciting opportunity.
 Are you a visionary leader passionate about shaping the future of machine learning? Join Annapurna Labs, an Amazon company, and lead a talented team building the cutting\-edge ML compiler for AWS Neuron, powering industry\-leading ML inference and training performance!
**The Role** 
 • Lead and mentor a team of compiler engineers focused on machine learning compiler design and development.
 • Drive the design and implementation of innovative ML compiler solutions and advanced optimization techniques.
 • Spearhead hardware bring\-up for next\-generation chips, influencing pre\-silicon design decisions.
 • Directly impact AWS's machine learning infrastructure and accelerate product innovation for internal and external customers.
 • Collaborate on the AWS Neuron SDK, integrating with popular ML frameworks like PyTorch, JAX, and TensorFlow.
**What You'll Need** 
 • Bachelor's degree in Computer Science, Engineering, Mathematics, or a related field.
 • 5\+ years of experience in Software Engineering or Development, with 3\+ years in engineering team management.
 • Proven track record in new hardware bring\-up and solid knowledge of computer/chip architecture and code generation.
 • Experience with AI/ML technologies, compiler design and architecture, and familiarity with LLVM and MLIR.
**What's On Offer** 
 • Work on challenging and impactful projects at the forefront of AWS innovation.
 • Join a multidisciplinary team that blends cloud\-scale impact with world\-class engineering talent.
 • Enjoy a culture of continuous learning, rapid innovation, and a strong emphasis on work\-life balance.
 • Benefit from mentorship, career growth opportunities, and an inclusive team culture.
**Apply via Haystack today!**</t>
        </is>
      </c>
    </row>
    <row r="36">
      <c r="A36" t="inlineStr">
        <is>
          <t>li-4362061628</t>
        </is>
      </c>
      <c r="B36" t="inlineStr">
        <is>
          <t>Machine Learning Engineer, Computer Vision</t>
        </is>
      </c>
      <c r="C36" t="inlineStr">
        <is>
          <t>Google</t>
        </is>
      </c>
      <c r="D36" t="inlineStr">
        <is>
          <t>linkedin</t>
        </is>
      </c>
      <c r="E36" t="inlineStr"/>
      <c r="F36" t="inlineStr"/>
      <c r="G36" t="inlineStr">
        <is>
          <t>Mountain View, CA</t>
        </is>
      </c>
      <c r="H36" t="inlineStr"/>
      <c r="I36" t="inlineStr">
        <is>
          <t>**Minimum qualifications:**
* Bachelor's degree in Electrical Engineering, Computer Science, relevant technical field or equivalent practical experience.
* 2 years of experience with software development in one or more programming languages (e.g., Java, Python, C/C\+\+).
* Experience with image processing, computer vision, and machine learning algorithms.
* Experience with machine learning computer vision algorithm development and tools (e.g., tensorflow, flume, machine learning libraries), artificial intelligence, deep learning.
* Experience with ML infrastructure (e.g., model deployment, model evaluation, data processing, debugging).
**Preferred qualifications:**
* Master or PhD degree in Engineering with a focus on Computer Vision or Camera, or equivalent practical experience.
* Experience in building and testing consumer electronic products for manufacturing including design for manufacturing (DFM) and design for test (DFT).
* Experience in building machine learning powered automatic\-optical\-inspection (AOI) systems including hardware, software, and algorithms.
* Experience with Machine Learning infrastructure (e.g., model deployment, model evaluation, model serving, data processing, debugging, fine tuning).
* Experience with generative AI and LLM related skills (e.g. Gemini AI suite, Vertex AI).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scope of the Central Test Engineering team spans hardware and software, and across Engineering and Operations as the team that knows the secrets to successfully shipping high\-volume consumer products while balancing engineering and operational priorities.
 In this role, you will be in one or all of the following product families: virtual reality (VR), wearables, phones, and home. You will own one of the key consumer satisfaction metrics such as functional performance of the device. As a key member of the cross\-functional team that will launch the product, you will be an integral part of Google's hardware success. You will use your computer vision experience to develop multiple machine learning based automatic optical inspections stations for production lines.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solutions in artificial intelligence and machine learning applications for smart manufacturing.
* Implement and adapt deep learning architecture and the goal to land the factory test stations with a focus on automatic optical inspection solutions for production lines from new product introduction (NPI) to mass production (MP) stage.
* Understand and be able to debug the computer vision or image processing algorithms to investigate camera or assembly failures.
* Design and develop components of scalable Machine Learning infrastructure for manufacturing.
* Maintain and improve existing AI platform to support advanced automatic optical inspection.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
      <c r="A37" t="inlineStr">
        <is>
          <t>li-4301696106</t>
        </is>
      </c>
      <c r="B37" t="inlineStr">
        <is>
          <t>Senior Software Engineer, AI Engineer, LearnX</t>
        </is>
      </c>
      <c r="C37" t="inlineStr">
        <is>
          <t>Google</t>
        </is>
      </c>
      <c r="D37" t="inlineStr">
        <is>
          <t>linkedin</t>
        </is>
      </c>
      <c r="E37" t="inlineStr"/>
      <c r="F37" t="inlineStr"/>
      <c r="G37" t="inlineStr">
        <is>
          <t>Mountain View, CA</t>
        </is>
      </c>
      <c r="H37" t="inlineStr"/>
      <c r="I37"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Python, Java/Kotlin, C\+\+.
* Experience across the lifecycle of AI products such as data analysis, model building, quality improvement, deployment, etc with end\-to\-end ownership and launching of AI capabilities.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LxG, the Gemini Learning team, is part of LearnX whose mission is to democratize learning for all.
 Towards this goal we work on Gemini models and build the learning experiences on the Gemini Application (Bard). We work with the latest in AI technologies such as Reinforcement Learning (RL), AI agents, generative AI, etc. We recently launched a tutor mode called “Guided Learning” in Gemini (Bard) along with exam prep and other well received learning features. We work on LearnLM, which is the program to improve the Gemini model’s abilities to help students learn instead of just getting answers. We are an experienced team that is pushing the boundaries of technology and learning experiences.Learning is the ongoing quest for understanding, and we made it our mission more than 20 years ago to organize the world’s information to make it universally accessible and useful. The learning landscape is changing, and the Learning and Education team's mission is to help everyone in the world learn anything in the world. We provide the information, tools, and services that help people gain knowledge, fuel curiosity, and prepare for what’s next. We focus our work to add the most value for users to enable learning for school, work, and life. We believe everyone can and should have access to quality learning experiences to reach their full potential.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
      <c r="A38" t="inlineStr">
        <is>
          <t>li-4365110290</t>
        </is>
      </c>
      <c r="B38" t="inlineStr">
        <is>
          <t>Applied Scientist</t>
        </is>
      </c>
      <c r="C38" t="inlineStr">
        <is>
          <t>Raydar</t>
        </is>
      </c>
      <c r="D38" t="inlineStr">
        <is>
          <t>linkedin</t>
        </is>
      </c>
      <c r="E38">
        <f>HYPERLINK("https://www.linkedin.com/jobs/view/4365110290", "https://www.linkedin.com/jobs/view/4365110290")</f>
        <v/>
      </c>
      <c r="F38" t="inlineStr"/>
      <c r="G38" t="inlineStr"/>
      <c r="H38" t="inlineStr"/>
      <c r="I38" t="inlineStr">
        <is>
          <t>As an Applied Scientist (ML), you will collaborate closely with our product and engineering teams, and use cutting\-edge ML research to transform how users interact with our client in their daily workflows. You'll drive impact across the entire ML lifecycle: from problem formulation and system analysis to data collection, benchmark development, model training, and production deployment. You’ll also have opportunities to publish your work and deliver impact to the ML community. Your expertise will advance our capabilities in these critical technical domains:
* Retrieval, ranking and RAG
* LLM post\-training and reinforcement learning
* AI agents for knowledge workflows
* ML benchmarks
 Your work has the potential to transform the following key products and deliver impacts to tens of thousands of professional users:
**Instant QA:** 
 Our client's custom\-built Question Answer system using state of the art in house models, seamlessly trained to work together to enable instant expert intelligence.
**Agents:** 
 You will enable expert\-level agentic workflows to automate comprehensive knowledge work and enable AI tools that work with experts to gain new insights.
**Responsibilities** 
* Formulate an ML problem from product requirements.
* Analyze existing ML systems for their limitations, and propose and validate novel methodologies to improve upon existing systems.
* Create and productionize cutting\-edge research prototypes for knowledge work at scale.
* Build novel ML evaluation datasets that serve as crucial criteria for production feature rollouts.
* \[Optionally] Mentor ML interns and publish your research findings with the community.
**Experience** 
 Required
* PhD or Master’s degree in Computer Science, Machine Learning, NLP, or a related field.
* Strong background in deep learning, large language models, and NLP techniques.
* A strong track record of first\-author publications in top AI/NLP conferences (e.g., NeurIPS, ICML, ACL, EMNLP).
* Proficiency in Python and deep learning frameworks such as PyTorch or Transformers, and strong coding skills.
 Preferred
* 2\+ years of experience in an industry applied ML research environment
* Familiarity with retrieval\-augmented generation, reasoning, LLM training and reinforcement learning techniques.</t>
        </is>
      </c>
    </row>
    <row r="39">
      <c r="A39" t="inlineStr">
        <is>
          <t>li-4354261084</t>
        </is>
      </c>
      <c r="B39" t="inlineStr">
        <is>
          <t>Machine Learning Engineer I</t>
        </is>
      </c>
      <c r="C39" t="inlineStr">
        <is>
          <t>Harris</t>
        </is>
      </c>
      <c r="D39" t="inlineStr">
        <is>
          <t>linkedin</t>
        </is>
      </c>
      <c r="E39">
        <f>HYPERLINK("https://www.linkedin.com/jobs/view/4354261084", "https://www.linkedin.com/jobs/view/4354261084")</f>
        <v/>
      </c>
      <c r="F39" t="inlineStr"/>
      <c r="G39" t="inlineStr">
        <is>
          <t>Las Vegas, NV</t>
        </is>
      </c>
      <c r="H39" t="inlineStr"/>
      <c r="I39" t="inlineStr">
        <is>
          <t>**The purpose of your role as a Machine Learning Engineer I**
 We are seeking a Machine Learning Engineer I (MLE) to join our Business Intelligence team. In this entry\-level role, the MLE will primarily assist with building and maintaining data structures to support ongoing AI initiatives and related administrative tasks. The MLE will work under the guidance of the Data Scientist and peer Database Developer, helping with the organization and management of databases, preparation of data for analytics, and routine administrative responsibilities. As part of the team, the MLE will gain hands\-on experience in modern data systems and cloud environments while supporting broader digital transformation objectives.
 This is a hybrid\-remote position, which may be based out of our corporate headquarters in St. Paul, MN, or one of our regional offices. Fully remote work arrangement may be considered for highly qualified candidates.
 System and Business Knowledge
* Build and maintain strong technical knowledge of enterprise software platforms, including CMiC, WennSoft, Adaptive, and Salesforce  o Work with front\-end user interfaces to improve usability and workflows  o Understand back\-end database structures, including schemas and ERDs
 Machine Learning and AI Engineering
* Contribute to the design, development, and ongoing enhancement of machine learning models  o Perform feature engineering on data from multiple sources  o Train, evaluate, and deploy models for real\-world business applications  o Develop visualizations and dashboards to effectively communicate insights to stakeholders
* Implement and integrate generative AI solutions  o Fine\-tune generative AI models using domain\-specific data  o Build systems and pipelines that connect AI outputs to internal applications, such as chatbots
 Custom Development
* Write and maintain code under the direction of a Data Scientist and peer Database Developer
* Identify and resolve bugs, and complete break/fix tasks promptly
* Follow established software development lifecycle methodologies
* Adhere to company coding standards and industry best practices
* Collaborate within a version\-controlled development environment
* Continuously enhance coding skills and technical knowledge
 Data Administration
* Maintain large relational data sets across SQL and other databases  o Perform SQL Server and SSMS DBA administration, including permissions, backups, and other maintenance tasks
* Work with data warehouse and data lake platforms, including Snowflake and Azure
* Monitor and audit data flows between databases and other applications
* Assist with data migration efforts
* Troubleshoot and resolve data quality and performance issues
 Emerging Trends
* Stay current on process improvement and technology trends that could enhance company operations
* Recommend practical solutions to leadership to improve efficiency and effectiveness
 Continuing Education
* Maintain relevant knowledge through seminars, trade shows, industry publications, certifications, and other learning opportunities
* Keep up\-to\-date on project management, process improvement, and change management methodologies and best practices
**What We’re Looking For In You**
* Bachelor’s degree in Computer Science or a related technology (required); advanced degree preferred
* Hands\-on experience with at least one ERP system, such as CMIC, COINS OA, IFS, SAP, or Microsoft Dynamics
* Strong experience with vector databases, big data tools (e.g., Spark), and data visualization and reporting platforms including Power BI and SSRS
* Demonstrated competency in LLM and Retrieval\-Augmented Generation (RAG) development
* Solid understanding of Azure resources and Azure SQL administration
* Proficiency in programming and data querying, including SQL and Python
* Proven knowledge of data structures and advanced SQL concepts
* Experience with ETL processes and pipelines, including data ingestion, transformation, and integration across enterprise systems
* Track record of diagnosing, analyzing, and resolving business process issues and translating technical solutions into meaningful business outcomes
 Authorization to work in the US without sponsorship is required.
**Your life at Harris**
 As one of the country's leading mechanical contractors, Harris offers the stability, resources, and opportunities of a national company along with the team culture, creative spirit, and customer loyalty of a local business. If you thrive on variety and enjoy new challenges, we want to meet you. From stadiums to manufacturing facilities, power plants to hospitals, and concert halls to classrooms, we handle projects of all sizes and complexity across multiple regional locations throughout the country.
**Harris Benefits \+ Compensation**
* Medical, dental, vision, and life insurance
* 401K with company match
* Vacation time, sick time, and paid holidays
* Paid parental leave
* Short\-Term Incentive Plan
 Visit our Careers Page for additional benefits details: https://www.harriscompany.com/careers/employee\-benefits\-at\-a\-glance
**Pay Range:** 
 $71,079 to $106,618 per year
 The actual salary offer will vary by candidate based on a wide range of factors, including skills, qualifications, experience, and location</t>
        </is>
      </c>
    </row>
    <row r="40">
      <c r="A40" t="inlineStr">
        <is>
          <t>li-4365109590</t>
        </is>
      </c>
      <c r="B40" t="inlineStr">
        <is>
          <t>Machine Learning Engineer</t>
        </is>
      </c>
      <c r="C40" t="inlineStr">
        <is>
          <t>Twilio</t>
        </is>
      </c>
      <c r="D40" t="inlineStr">
        <is>
          <t>linkedin</t>
        </is>
      </c>
      <c r="E40">
        <f>HYPERLINK("https://www.linkedin.com/jobs/view/4365109590", "https://www.linkedin.com/jobs/view/4365109590")</f>
        <v/>
      </c>
      <c r="F40" t="inlineStr"/>
      <c r="G40" t="inlineStr"/>
      <c r="H40" t="inlineStr"/>
      <c r="I40"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Machine Learning Engineer.
**About The Job**
 Join Twilio’s rapidly\-growing AI \&amp; Data Platform team as an Machine Learning Engineer. You will design, build, and operate the cloud\-native data and ML infrastructure that powers every customer interaction, enabling Twilio’s product teams and customers to move from raw events to real\-time intelligence. This is a hands\-on, builder\-focused role that offers clear technical ownership, mentoring, and growth inside a company defining the future of communications with AI.
**Responsibilities**
 In this role, you’ll:
* Architect, implement, and maintain scalable data pipelines and feature stores for batch and real\-time workloads.
* Build reproducible ML training, evaluation, and inference workflows using modern orchestration and MLOps tooling.
* Integrate event streams from Twilio products (e.g., Messaging, Voice, Segment) into unified, analytics\-ready datasets.
* Monitor, test, and improve data quality, model performance, latency, and cost.
* Partner with product, data science, and security teams to ship resilient, compliant services.
* Automate deployment with CI/CD, infrastructure\-as\-code, and container orchestration best practices.
* Produce clear documentation, dashboards, and runbooks; share knowledge through code reviews and brown\-bag sessions.
* Embrace Twilio’s “We are Builders” values by taking ownership of problems and driving them to completion.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B.S. in Computer Science, Data Engineering, Electrical Engineering, Mathematics, or related field—or equivalent practical experience.
* 3–5 years building and operating data or ML systems in production.
* Proficient in Python and SQL; comfortable with software engineering fundamentals (testing, version control, code reviews).
* Hands\-on experience with ETL/ELT orchestration tools (e.g., Airflow, Dagster) and cloud data warehouses (Snowflake, BigQuery, or Redshift).
* Familiarity with ML lifecycle tooling such as MLflow, SageMaker, Vertex AI, or similar.
* Working knowledge of Docker and Kubernetes and at least one major cloud platform (AWS, GCP, or Azure).
* Understanding of data modeling, distributed computing concepts, and streaming frameworks (Spark, Flink, or Kafka Streams).
* Strong analytical thinking, communication skills, and a demonstrated sense of ownership, curiosity, and continuous learning.
**Desired**
* Experience with Twilio Segment, Kafka/Kinesis, or other high\-throughput event buses.
* Exposure to infrastructure\-as\-code (Terraform, Pulumi) and GitHub\-based CI/CD pipelines.
* Practical knowledge of generative AI workflows, foundation\-model fine\-tuning, or vector databases.
* Contributions to open\-source data/ML projects or published technical presentations/blogs.
* Domain experience in communications, marketing automation, or customer engagement analytics.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$138,700 \- $173,400\.
* Based in New York, New Jersey, Washington State, or California (outside of the San Francisco Bay area): $146,800 \- $183,600\.
* Based in the San Francisco Bay area, California: $163,100 \- 203,900\.
* This role may be eligible to participate in Twilio’s equity plan and corporate bonus plan. All roles are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May 20,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41">
      <c r="A41" t="inlineStr">
        <is>
          <t>li-4365103973</t>
        </is>
      </c>
      <c r="B41" t="inlineStr">
        <is>
          <t>Machine Learning Engineer</t>
        </is>
      </c>
      <c r="C41" t="inlineStr">
        <is>
          <t>Senseye, Inc.</t>
        </is>
      </c>
      <c r="D41" t="inlineStr">
        <is>
          <t>linkedin</t>
        </is>
      </c>
      <c r="E41">
        <f>HYPERLINK("https://www.linkedin.com/jobs/view/4365103973", "https://www.linkedin.com/jobs/view/4365103973")</f>
        <v/>
      </c>
      <c r="F41">
        <f>HYPERLINK("https://www.adzuna.com/details/5501071766?v=8FF04DB91678A908C6E091030E9D3014C87D218C&amp;frd=6a30b6c8a9f1750ea0582f512a38ef96&amp;ccd=f8c3d319fd12053e181d8a1f8dc4d27f&amp;r=21106765&amp;utm_source=linkedin7&amp;utm_medium=organic&amp;chnlid=1931&amp;title=Machine%20Learning%20Engineer&amp;a=e&amp;urlHash=KINx", "https://www.adzuna.com/details/5501071766?v=8FF04DB91678A908C6E091030E9D3014C87D218C&amp;frd=6a30b6c8a9f1750ea0582f512a38ef96&amp;ccd=f8c3d319fd12053e181d8a1f8dc4d27f&amp;r=21106765&amp;utm_source=linkedin7&amp;utm_medium=organic&amp;chnlid=1931&amp;title=Machine%20Learning%20Engineer&amp;a=e&amp;urlHash=KINx")</f>
        <v/>
      </c>
      <c r="G41" t="inlineStr">
        <is>
          <t>Austin, TX</t>
        </is>
      </c>
      <c r="H41" t="inlineStr"/>
      <c r="I41" t="inlineStr">
        <is>
          <t>We're seeking an experienced ML Engineer with a strong background in computer vision and time\-series modeling. You're skilled at every stage of the ML lifecycle—from defining problems and exploring data, to developing, deploying, and iterating on models. You adeptly balance rigorous modeling with practical software engineering, integrating ML solutions seamlessly into production systems. You understand the nuances between offline metrics and real\-world performance, translating complex, abstract problems into actionable ML strategies.
 You thrive in ambiguous, fast\-paced environments, approaching challenges with curiosity and analytical rigor. Complex, unsolved problems, particularly those involving visual data and behavioral analysis, motivate you. You're passionate about making tangible impacts by taking ownership of projects from initial prototype through production deployment.
**About Us**
 Senseye is a NeuroTechnology Company in Austin, TX on the cusp of revolutionizing Mental Health. Over the past 6 years we have invested millions of dollars in R\&amp;D to build our platform allowing us to measure cognitive activity via the eye through mobile phones. Through multiple iterations and use cases we are now focused on building the world's first objective mental health diagnostic on top of our core technology. Our first diagnostic is for PTSD and is entering clinical trials now, followed soon by additional indications for Anxiety and Depression. As the world struggles with a mental health crisis, it is not hyperbolic to suggest that an objective diagnostic platform, that gives clinicians a safe and objective accurate approach to identifying and monitoring mental health disease, will redefine how mental health services are provided, and will enable access to treatment for millions of sufferers. The Senseye platform has the potential to be the technology that drives this change. This is a great opportunity to shape the future of digital medicine and address unmet medical needs that affect billions of people worldwide.
**Requirements**
* Design, develop, and deploy ML models focused on computer vision and time\-series analysis (e.g., semantic segmentation, point\-of\-gaze tracking, keypoint detection, photoplethysmography, MAMBA, dilated 1D CNNs, sparse attention transformers).
* Select optimal architectures and training methods that align with constraints around data collection, annotation quality, timelines, and budgets, such as incorporating semi\-supervised and few\-shot techniques when applicable.
* Develop and maintain robust, production\-grade ML services supporting critical user workflows.
* Monitor production model performance, establishing evaluation frameworks that accurately reflect real\-world use.
* Conduct comprehensive exploratory data analyses to guide problem scoping, feature engineering, and model selection.
* Collaborate closely with platform and infrastructure teams to optimize ML tooling and data pipelines.
* Translate ambiguous business needs into structured ML problems and actionable technical roadmaps.
* Identify new data signals, design experiments, and iteratively refine models to maximize user impact.
* Review, contribute, and maintain high\-quality, testable, and well\-documented ML pipelines.
* Lead technical discussions and clearly communicate modeling strategies and outcomes to internal stakeholders.
* Stay informed on emerging research and tools, integrating them effectively when beneficial.
**Qualifications**
* 5\+ years of applied ML experience, including deploying models to production.
* Expertise in computer vision and/or time\-series modeling, with experience in video or camera\-based systems strongly preferred.
* Strong statistical modeling skills, particularly in extracting signals from noisy datasets.
* Proficiency in Python and deep learning frameworks (PyTorch, JAX, TensorFlow).
* Proven track record of translating academic research into scalable, practical ML solutions.
* Experience with large\-scale data systems, MLOps tooling, and model versioning practices.
* AbilitComfort managing ambiguity and independently driving projects to completion to clearly communicate technical solutions and their business impact to varied audiences.
**Additional Qualifications**
* Expert\-level proficiency in Python and at least one deep learning framework (PyTorch, JAX, etc.).
* Experience adapting recent research into innovative methods tailored to business needs.
* Demonstrated creative problem\-solving ability, evidenced by patents or novel techniques.
* Experience managing scientific projects within industry or academia.
* Excellent written and verbal communication skills, able to bridge technical and non\-technical audiences effectively.
**Extra Points**
* Direct experience with computer vision or camera/video\-based systems.
* Ownership, deployment, and maintenance of model\-serving pipelines in production.
* Expert\-level coding skills focused on clarity, efficiency, and maintainability, complemented by rigorous testing practices.
* Experience with probabilistic modeling or Bayesian approaches.
* Familiarity with healthcare, SaMD, or regulated industries, including validation and compliance standards.
**Our Hiring Process**
* Phone screening
* Testlify Test
* Two interviews with Senseye manager and peers
* Final interview with David Zakariaie, Senseye CEO
* Offer
**Target Timeline**
* Start interviews as soon as candidates complete Testlify.
* Aim to make an offer within a month or less.
**Benefits**
* The freedom and trust to define your role as we design, build, and ship our products
* Competitive salary and stock option plan
* Flexible paid time off (vacation, sick leave, and public holidays)
* Flexible schedules
* Company health care plan
* Medical, dental, and vision insurance
* Short and long term disability insurance
* Life insurance policy
 401k Commuter benefits for parking, public transit, carshares, etc. Mothers' room Fully stocked kitchen Opportunities for continuing education
 Senseye is dedicated to building a community of employees that are diverse, passionate, and engaged. We are committed to equal opportunity regardless of race, color, ancestry, religion, gender, gender identity, parental or pregnancy status, national origin, sexual orientation, age, marital status, disability, or veteran status. When we're safe, healthy, and balanced we can accomplish phenomenal things together.</t>
        </is>
      </c>
    </row>
    <row r="42">
      <c r="A42" t="inlineStr">
        <is>
          <t>li-4362061628</t>
        </is>
      </c>
      <c r="B42" t="inlineStr">
        <is>
          <t>Machine Learning Engineer, Computer Vision</t>
        </is>
      </c>
      <c r="C42" t="inlineStr">
        <is>
          <t>Google</t>
        </is>
      </c>
      <c r="D42" t="inlineStr">
        <is>
          <t>linkedin</t>
        </is>
      </c>
      <c r="E42">
        <f>HYPERLINK("https://www.linkedin.com/jobs/view/4362061628", "https://www.linkedin.com/jobs/view/4362061628")</f>
        <v/>
      </c>
      <c r="F42" t="inlineStr"/>
      <c r="G42" t="inlineStr">
        <is>
          <t>Mountain View, CA</t>
        </is>
      </c>
      <c r="H42" t="inlineStr"/>
      <c r="I42" t="inlineStr">
        <is>
          <t>**Minimum qualifications:**
* Bachelor's degree in Electrical Engineering, Computer Science, relevant technical field or equivalent practical experience.
* 2 years of experience with software development in one or more programming languages (e.g., Java, Python, C/C\+\+).
* Experience with image processing, computer vision, and machine learning algorithms.
* Experience with machine learning computer vision algorithm development and tools (e.g., tensorflow, flume, machine learning libraries), artificial intelligence, deep learning.
* Experience with ML infrastructure (e.g., model deployment, model evaluation, data processing, debugging).
**Preferred qualifications:**
* Master or PhD degree in Engineering with a focus on Computer Vision or Camera, or equivalent practical experience.
* Experience in building and testing consumer electronic products for manufacturing including design for manufacturing (DFM) and design for test (DFT).
* Experience in building machine learning powered automatic\-optical\-inspection (AOI) systems including hardware, software, and algorithms.
* Experience with Machine Learning infrastructure (e.g., model deployment, model evaluation, model serving, data processing, debugging, fine tuning).
* Experience with generative AI and LLM related skills (e.g. Gemini AI suite, Vertex AI).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scope of the Central Test Engineering team spans hardware and software, and across Engineering and Operations as the team that knows the secrets to successfully shipping high\-volume consumer products while balancing engineering and operational priorities.
 In this role, you will be in one or all of the following product families: virtual reality (VR), wearables, phones, and home. You will own one of the key consumer satisfaction metrics such as functional performance of the device. As a key member of the cross\-functional team that will launch the product, you will be an integral part of Google's hardware success. You will use your computer vision experience to develop multiple machine learning based automatic optical inspections stations for production lines.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solutions in artificial intelligence and machine learning applications for smart manufacturing.
* Implement and adapt deep learning architecture and the goal to land the factory test stations with a focus on automatic optical inspection solutions for production lines from new product introduction (NPI) to mass production (MP) stage.
* Understand and be able to debug the computer vision or image processing algorithms to investigate camera or assembly failures.
* Design and develop components of scalable Machine Learning infrastructure for manufacturing.
* Maintain and improve existing AI platform to support advanced automatic optical inspection.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
      <c r="A43" t="inlineStr">
        <is>
          <t>li-4359266242</t>
        </is>
      </c>
      <c r="B43" t="inlineStr">
        <is>
          <t>Applied AI Engineer</t>
        </is>
      </c>
      <c r="C43" t="inlineStr">
        <is>
          <t>Louisville Metro Government</t>
        </is>
      </c>
      <c r="D43" t="inlineStr">
        <is>
          <t>linkedin</t>
        </is>
      </c>
      <c r="E43">
        <f>HYPERLINK("https://www.linkedin.com/jobs/view/4359266242", "https://www.linkedin.com/jobs/view/4359266242")</f>
        <v/>
      </c>
      <c r="F43" t="inlineStr"/>
      <c r="G43" t="inlineStr"/>
      <c r="H43" t="inlineStr"/>
      <c r="I43" t="inlineStr">
        <is>
          <t>Build AI products that improve how a city works—for everyone.
 Louisville Metro Government is building a modern, responsible AI capability to improve public services at scale—from permitting and open records to Metro311 and public safety.
 The Office of Artificial Intelligence is hiring an
 **AI Product Lead** 
 to drive the discovery, design, and delivery of high\-impact AI solutions across city government.
 This is a senior, hands\-on product leadership role at the intersection of
 **technology, policy, and service delivery** 
 . You will work directly with agencies, technology team, solution partners and public representatives to ensure AI investments deliver measurable improvements in efficiency, equity, and resident experience—while managing risk and security in a public\-sector environment.
**What You’ll Do** 
* Lead intake, discovery, and scoping of AI opportunities with Metro departments; document pain points, business objectives, and success criteria.
* Provide key inputs into prioritization of AI use cases based on impact, feasibility, equity, risk, and alignment with Mayoral, Council, and agency priorities.
* Translate operational needs into clear user stories, functional requirements, and pilot charters.
* Manage the full AI pilot lifecycle, including timelines, budgets, vendor coordination, testing, and launch.
* Facilitate demos, user acceptance testing, and feedback sessions; iterate to improve usability and workflow fit.
* Track pilot performance, ROI, and service outcomes; develop dashboards and reports for executive leadership.
* Resolve cross\-agency dependencies and ensure alignment with data, security, and IT standards.
* Coordinate with Procurement, Legal, IT Security, and leadership on SOWs, SLAs, and risk mitigation.
**Required Qualifications** 
* Bachelor’s degree in Public Administration, Computer Science, Information Systems, Business, Design, or a related field.
* Five (5\-7\) years of professional experience in product management, service design, management consulting, civic technology, or similar roles leading cross\-functional technology initiatives, including ownership of at least three (3\) initiatives from discovery through implementation (or equivalent experience).
* Minimum one (1\) year of hands\-on experience delivering technology or data products from concept through pilot and implementation, preferably involving AI, analytics, or automation.
* Demonstrated experience managing stakeholders at multiple levels. At least two (2\) years of experience working directly with department directors, C\-level leaders, or equivalent.
* Demonstrated ability to synthesize technical and operational input into roadmaps, briefings, and decision materials.
* Practical understanding of responsible AI, equity, privacy, and risk in public\-sector or regulated environments.
* Valid state driver’s license with acceptable driving history.
**Location** 
 This is a hybrid position, but candidates must reside in Kentucky or an adjacent state and be able to travel to Louisville, Kentucky on a regular basis to support in‑person work, collaboration, and operational needs.
**Why This Role Matters** 
* You will be shaping how AI is responsibly deployed across an entire city, influencing how millions of interactions between government and residents work every year.
**About Louisville Metro Government** 
 Louisville Metro Government (LMG) is committed to building a world\-class city by delivering high\-quality public services that strengthen neighborhoods, support economic growth, and improve quality of life. LMG is responsibly integrating artificial intelligence to modernize government operations, support frontline staff, and improve service delivery—while upholding strong standards for equity, privacy, security, and transparency. Through mission\-driven innovation and a people\-centered approach, LMG is shaping the future of public service in the Louisville metropolitan area.</t>
        </is>
      </c>
    </row>
    <row r="44">
      <c r="A44" t="inlineStr">
        <is>
          <t>li-4365104042</t>
        </is>
      </c>
      <c r="B44" t="inlineStr">
        <is>
          <t>Machine Learning Engineer</t>
        </is>
      </c>
      <c r="C44" t="inlineStr">
        <is>
          <t>Goliath Partners</t>
        </is>
      </c>
      <c r="D44" t="inlineStr">
        <is>
          <t>linkedin</t>
        </is>
      </c>
      <c r="E44">
        <f>HYPERLINK("https://www.linkedin.com/jobs/view/4365104042", "https://www.linkedin.com/jobs/view/4365104042")</f>
        <v/>
      </c>
      <c r="F44" t="inlineStr"/>
      <c r="G44" t="inlineStr"/>
      <c r="H44" t="inlineStr"/>
      <c r="I44" t="inlineStr">
        <is>
          <t>We’re working with a client who are building next\-generation AI systems that simulate the world by merging art and science.
 Their work is defining how stories are told, how science advances, and how humanity explores new frontiers. We’re a small, ambitious team of creative, open\-minded builders who thrive on tackling problems that once seemed impossible.
 If you’re driven to build foundational technology that shapes the future, we’d love to hear from you.
 About the Role
 We’re hiring
 **Machine Learning Engineers** 
 to help build
 **multimodal AI systems for image and video generation** 
 , with a strong emphasis on simulation\-driven learning and creative tooling.
 This role is ideal for someone who blends
 **strong engineering instincts with deep ML experience** 
 , enjoys high ownership, and thrives in fast\-moving environments where research meets production.
 What You’ll Do
* Design and develop novel research projects in
 **computer vision and generative modeling** 
 (image \&amp; video)
* Build and scale multimodal systems that push the boundaries of
 **media creation in the browser**
* Partner closely with product and engineering teams to bring cutting\-edge ML models into production
* Rapidly prototype, iterate, and productionize models under tight product timelines
 What We’re Looking For
* **5\+ years** 
 of experience in machine learning, computer vision, graphics, or related research/engineering roles
* Strong hands\-on experience with modern ML frameworks (e.g., PyTorch, TensorFlow)
* Excellent programming skills and ability to write
 **clean, maintainable research code**
* Deep interest in
 **human\-in\-the\-loop systems** 
 for creativity and content generation
* Comfort moving quickly from research → prototype → production
* Strong communication, collaboration, and documentation skills
 Compensation
* **Base salary range (U.S.): $270,000 – $400,000**</t>
        </is>
      </c>
    </row>
    <row r="45">
      <c r="A45" t="inlineStr">
        <is>
          <t>li-4359410544</t>
        </is>
      </c>
      <c r="B45" t="inlineStr">
        <is>
          <t>Machine Learning Engineer</t>
        </is>
      </c>
      <c r="C45" t="inlineStr">
        <is>
          <t>Ringside Talent</t>
        </is>
      </c>
      <c r="D45" t="inlineStr">
        <is>
          <t>linkedin</t>
        </is>
      </c>
      <c r="E45">
        <f>HYPERLINK("https://www.linkedin.com/jobs/view/4359410544", "https://www.linkedin.com/jobs/view/4359410544")</f>
        <v/>
      </c>
      <c r="F45" t="inlineStr"/>
      <c r="G45" t="inlineStr">
        <is>
          <t>Cleveland, OH</t>
        </is>
      </c>
      <c r="H45" t="inlineStr"/>
      <c r="I45" t="inlineStr">
        <is>
          <t>Build and deploy cutting\-edge ML solutions. We’re hiring a
 **Machine Learning Engineer** 
 (Onsite in Cleveland, OH) for our client to design models, optimize algorithms, and work with big data.
**What You’ll Do:** 
* Develop and implement machine learning models for predictive analytics.
* Optimize algorithms for performance and scalability.
* Perform data preprocessing and feature engineering.
* Deploy models into production and monitor performance.
* Collaborate with data scientists and engineers on innovative solutions.
**What We’re Looking For:** 
* Strong experience in machine learning engineering.
* Proficiency in
 **Python** 
 and ML frameworks (TensorFlow, PyTorch, Scikit\-learn).
* Familiarity with big data tools and cloud platforms (AWS, Azure, GCP).
* Excellent problem\-solving and communication skills.
**Why Apply?** 
* Onsite role in Cleveland, OH.
* Work on impactful ML projects with modern tools.
* Professional growth and comprehensive benefits.</t>
        </is>
      </c>
    </row>
    <row r="46">
      <c r="A46" t="inlineStr">
        <is>
          <t>li-4250807886</t>
        </is>
      </c>
      <c r="B46" t="inlineStr">
        <is>
          <t>Senior Machine Learning Engineer I</t>
        </is>
      </c>
      <c r="C46" t="inlineStr">
        <is>
          <t>Etsy</t>
        </is>
      </c>
      <c r="D46" t="inlineStr">
        <is>
          <t>linkedin</t>
        </is>
      </c>
      <c r="E46">
        <f>HYPERLINK("https://www.linkedin.com/jobs/view/4250807886", "https://www.linkedin.com/jobs/view/4250807886")</f>
        <v/>
      </c>
      <c r="F46" t="inlineStr"/>
      <c r="G46" t="inlineStr">
        <is>
          <t>Brooklyn, NY</t>
        </is>
      </c>
      <c r="H46" t="inlineStr"/>
      <c r="I46"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$183,000\.00 \- $216,000\.00
**What’s the role?**
 We are looking for an experienced Machine Learning Engineer to join our Recommendation Ranking team. Our team develops Machine Learning models to understand buyers, personalize, and rank recommendations across Etsy.com and the Etsy app. As a Machine Learning Engineer, you will work closely with Applied Scientist and Software Engineer to improve the shopping experience for 90\+ million buyers. We are looking for individuals who are product \&amp; technology driven, and are passionate about making ML innovations in areas such as ranking, distributed training and serving, LLM and real\-time systems.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 does the day\-to\-day look like?**
* Work closely with applied scientists, data scientists, product managers, and designers to set the future technical direction of Etsy’s recommendation system
* Engage in development work on projects, guide your team in technical decisions, deeply understand the problem space, and mentor engineers.
* Collaborate with stakeholders and partner teams to design robust end\-to\-end solutions
* Process large datasets and develop scalable pipelines to support ML workflows
* Prototype, optimize, and productionize large\-scale ML models that help deliver key results
* Conduct experiments (A/B testing etc.) to validate the effectiveness of ML models and pipelines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experience of applying machine learning techniques in addressing real\-world problems.
* You have experience in one of the following fields: deep learning, multi\-modal learning, natural language processing, graph learning, distributed training/serving, ML infra platform.
* You have experience with large datasets and developing scalable data pipelines.
* You have deep familiarity with at least some of our tools: Python, Tensorflow, PyTorch, Spark, PySpark, Scala, Airflow.
* You have a collaborative mindset and are comfortable working with a diverse range of roles and departments.
* You write understandable and testable code. You have the ability to write and manipulate data at a large scale and you have an eye towards maintainability.
* A degree in Computer Science or related engineering fields with at least two years of industry experience.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47">
      <c r="A47" t="inlineStr">
        <is>
          <t>li-4362580312</t>
        </is>
      </c>
      <c r="B47" t="inlineStr">
        <is>
          <t>AI Engineer</t>
        </is>
      </c>
      <c r="C47" t="inlineStr">
        <is>
          <t>American Arbitration Association</t>
        </is>
      </c>
      <c r="D47" t="inlineStr">
        <is>
          <t>linkedin</t>
        </is>
      </c>
      <c r="E47">
        <f>HYPERLINK("https://www.linkedin.com/jobs/view/4362580312", "https://www.linkedin.com/jobs/view/4362580312")</f>
        <v/>
      </c>
      <c r="F47" t="inlineStr"/>
      <c r="G47" t="inlineStr">
        <is>
          <t>New York, NY</t>
        </is>
      </c>
      <c r="H47" t="inlineStr"/>
      <c r="I47" t="inlineStr">
        <is>
          <t>**Description**
 AI Engineer (2026\-4\)
 Named one of the 50 best nonprofits to work for by the Non\-Profit Times, our employees enjoy rewarding careers in a fast\-paced, results\-driven environment. We offer a competitive compensation package, including incentives. Eligible employees also participate in a comprehensive benefits program that includes medical, dental, orthodontia, vision coverage, a student loan repayment program, a 403(b) retirement plan with substantial company match, discounted pet insurance, and generous paid\-time\-off benefits.
 The successful applicant will have a hybrid or remote work arrangement, but must reside within a 125\-mile radius of the AAA's office located in Downtown Manhattan. The starting salary range for the position is $110,000 \- $115,000, plus an annual incentive opportunity targeting up to 10% of the base salary.
 The AI Engineer will apply their expertise in artificial intelligence and software development to design, build, and optimize scalable AI systems. This role focuses on developing and deploying AI models, integrating AI capabilities into software applications, and collaborating with cross\-functional teams to deliver innovative solutions that drive business value.
**Essential Functions**
* Design and develop software applications that integrate AI capabilities, including real\-time inference, batch processing, and efficient data management.
* Assist in building and deploying AI pipelines, including model training, validation, and monitoring.
* Collaborate with senior engineers to optimize AI workflows, including distributed training, inference optimization, and resource utilization (e.g., GPU/TPU).
* Deploy AI models into production cloud environments, considering performance, cost, and latency trade\-offs.
* Monitor and troubleshoot model performance, addressing issues such as performance drift and response latency.
* Stay updated on advancements in AI, identifying opportunities to incorporate new techniques into projects.
* Work closely with cross\-functional teams to ensure seamless integration of AI systems into business workflows.
* Attends on\-site meetings and trainings.
* Demonstrates regular, reliable and predictable job attendance.
**Education And Experience**
 Bachelor’s degree in computer science, engineering, or a related field with 1\-2 years of experience in AI development and 3\-4 years of experience in software development, or an equivalent combination of education and experience. Experience with cloud platforms (e.g., Azure, AWS) and modern software development tools (e.g., Git, Docker, Jenkins) is a plus. Familiarity with Generative AI tools and techniques (e.g., LLMs, LangChain, retrieval\-augmented generation) is desirable.
**Knowledge, Skills, \&amp; Abilities**
* Proficiency in Python and experience with AI frameworks (e.g., TensorFlow, PyTorch).
* Familiarity with AI Ops principles, including CI/CD pipelines, containerization, and automated testing.
* Basic understanding of cloud infrastructure and services for AI development and deployment.
* Strong problem\-solving skills and the ability to address technical challenges effectively.
* Excellent communication skills to collaborate with team members and explain technical concepts to non\-technical stakeholders.
* Eagerness to learn and stay updated with the latest advancements in AI.
* Attention to detail and a commitment to delivering high\-quality work.
* Ability to work collaboratively in a team environment and contribute to innovative solutions.
*The American Arbitration Association is an equal opportunity employer (EEO) and considers all employees and applicants for positions without regard to race, color, religion, gender, sexual orientation, national origin, age, disability, marital status, or status as a covered veteran in accordance with applicable federal, state and local laws.*</t>
        </is>
      </c>
    </row>
    <row r="48">
      <c r="A48" t="inlineStr">
        <is>
          <t>li-4361929967</t>
        </is>
      </c>
      <c r="B48" t="inlineStr">
        <is>
          <t>Machine Learning Engineer 1 &amp; 2 - Systems</t>
        </is>
      </c>
      <c r="C48" t="inlineStr">
        <is>
          <t>EvenUp</t>
        </is>
      </c>
      <c r="D48" t="inlineStr">
        <is>
          <t>linkedin</t>
        </is>
      </c>
      <c r="E48">
        <f>HYPERLINK("https://www.linkedin.com/jobs/view/4361929967", "https://www.linkedin.com/jobs/view/4361929967")</f>
        <v/>
      </c>
      <c r="F48" t="inlineStr"/>
      <c r="G48" t="inlineStr">
        <is>
          <t>San Francisco, CA</t>
        </is>
      </c>
      <c r="H48" t="inlineStr"/>
      <c r="I48"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 Model research \&amp; prototyping – Explore, implement, and benchmark ML/NLP/generative\-AI methods (e.g., LLM fine\-tuning, retrieval\-augmented generation, document understanding).
* Data preparation \&amp; feature engineering – Clean, annotate, and transform structured and unstructured case data; build reusable datasets and data loaders.
* Experimentation workflow – Design experiments, run A/B tests, analyze results, and communicate findings to the wider product and engineering teams.
* Productionization – Help integrate models into our microservices architecture; collaborate with MLOps engineers on packaging, testing, monitoring, and scaling.
* Cross\-functional collaboration – Pair with product managers, legal analysts, and software engineers to translate pain points into ML solutions and measurable product improvements.
* Continuous learning – Stay current with research in LLMs, representation learning, and prompt engineering; share insights through internal talks and docs.
**What we look for:**
* Education: Ph.D., M.S. or B.S. in Computer Science, Machine Learning, Data Science, Statistics, Computational Linguistics, or a closely related field
* Core expertise:
+ Solid grounding in machine\-learning fundamentals (supervised \&amp; unsupervised learning, evaluation metrics, overfitting/regularization).
+ Hands\-on experience with NLP or generative\-AI techniques (e.g., transformers, embeddings, sequence\-to\-sequence models, LLMs).
* Technical stack:
+ Proficiency in Python and ML/NLP libraries such as PyTorch, TensorFlow, Hugging Face, spaCy, or similar.
+ Familiarity with SQL and basic data\-engineering concepts (ETL, versioned datasets, notebooks).
+ Nice\-to\-have: exposure to cloud platforms (AWS/GCP), experiment\-tracking tools (Weights \&amp; Biases, MLflow), or containerized deployment (Docker/Kubernetes).
* Mindset \&amp; people skills:
+ Eagerness to learn from senior teammates and iterate quickly in a fast\-moving startup.
+ Clear, concise communication—both written and verbal.
+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$126K \- $218K</t>
        </is>
      </c>
    </row>
    <row r="49">
      <c r="A49" t="inlineStr">
        <is>
          <t>li-4362500902</t>
        </is>
      </c>
      <c r="B49" t="inlineStr">
        <is>
          <t>ASE - Machine Learning Engineer, MLPT</t>
        </is>
      </c>
      <c r="C49" t="inlineStr">
        <is>
          <t>Apple</t>
        </is>
      </c>
      <c r="D49" t="inlineStr">
        <is>
          <t>linkedin</t>
        </is>
      </c>
      <c r="E49">
        <f>HYPERLINK("https://www.linkedin.com/jobs/view/4362500902", "https://www.linkedin.com/jobs/view/4362500902")</f>
        <v/>
      </c>
      <c r="F49">
        <f>HYPERLINK("https://jobs.apple.com/en-us/details/200610288?board_id=17682&amp;urlHash=dQ4T", "https://jobs.apple.com/en-us/details/200610288?board_id=17682&amp;urlHash=dQ4T")</f>
        <v/>
      </c>
      <c r="G49" t="inlineStr">
        <is>
          <t>Cupertino, CA</t>
        </is>
      </c>
      <c r="H49" t="inlineStr"/>
      <c r="I49" t="inlineStr">
        <is>
          <t>**Summary**
 The Information Intelligence team is creating groundbreaking technology for artificial intelligence, machine learning and natural language processing! The features we create are redefining how hundreds of millions of people use their computers and mobile devices to search and find what they are looking for. Our universal search engine powers search features across a variety of Apple products, including Siri, Spotlight, Safari, Messages and Lookup. We also develop state\-of\-the\-art generative AI technologies based on Large Language Models to power innovative features in both Apple’s devices and services on the cloud.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As a member of our fast\-paced group, you’ll have the unique and rewarding opportunity to shape upcoming products from Apple. We are looking for highly motivated machine learning engineers and researchers having strong machine learning and deep learning fundamentals with hands\-on experience in fine\-tuning deep learning and large language models. This role will have the following responsibilities:
* Conduct research and development on state\-of\-the\-art deep learning and large language models for various tasks and applications in Apple’s AI\-powered products
* Developing, fine\-tuning, and evaluating domain\-specific Large Language Models for various NLP tasks including summarization, question answering, search relevance/ranking, entity linking and query understanding problems
* Conducting applied research to transfer the cutting edge research in generative AI to production ready technologies
* Understanding product requirements, translate them into modeling tasks and engineering tasks
* Stay up to date with the latest advancements and research in deep learning and large language models
**Minimum Qualifications**
* Master’s in Computer Science, Artificial Intelligence, Machine Learning, or a related field.
* Experience working with Deep learning or LLM model development for various NLP tasks and RAG applications including prompt engineering, training data collection and generation, model fine\-tuning and model evaluation
* Experience working with Python and at least one of the deep learning frameworks such as TensorFlow, PyTorch, or JAX.
**Preferred Qualifications**
* PhD in Computer Science, Artificial Intelligence, Machine Learning, or a related field.
* At least 1 year of experience in various state\-of\-the\-art techniques related to LLM fine\-tuning in 1 or more of the following areas:
* \-Supervised Fine\-tuning (SFT) with Rejection Sampling
* \-Preference\-based fine\-tuning techniques (e.g RLHF, Reward model, DPO, PPO, GRPO etc.)
* \-Parameter efficient fine\-tuning techniques (e.g LoRA)
* \-Hallucination reduction and factual accuracy improvements
* \-Designing and implementing safety guardrails
* At least 4 years of experience with large\-scale model training, optimization, and deployment
* One or more scientific publications in various conferences and journals
* Outstanding communication and interpersonal skills with ability to work with cross\-functional teams.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0">
      <c r="A50" t="inlineStr">
        <is>
          <t>li-4317507136</t>
        </is>
      </c>
      <c r="B50" t="inlineStr">
        <is>
          <t>AI Engineer</t>
        </is>
      </c>
      <c r="C50" t="inlineStr">
        <is>
          <t>Develop Health</t>
        </is>
      </c>
      <c r="D50" t="inlineStr">
        <is>
          <t>linkedin</t>
        </is>
      </c>
      <c r="E50">
        <f>HYPERLINK("https://www.linkedin.com/jobs/view/4317507136", "https://www.linkedin.com/jobs/view/4317507136")</f>
        <v/>
      </c>
      <c r="F50">
        <f>HYPERLINK("https://jobs.ashbyhq.com/develop-health/dd84a151-93dd-427c-a10a-e0acb2e677f8&amp;urlHash=bIG8", "https://jobs.ashbyhq.com/develop-health/dd84a151-93dd-427c-a10a-e0acb2e677f8&amp;urlHash=bIG8")</f>
        <v/>
      </c>
      <c r="G50" t="inlineStr">
        <is>
          <t>Menlo Park, CA</t>
        </is>
      </c>
      <c r="H50" t="inlineStr"/>
      <c r="I50"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an
 **AI Engineer** 
 to take models from prototype to production and drive real clinical impact through applied AI. You’ll have significant autonomy to define high‑value projects, build production‑ready systems, and ensure our models are safe, reliable, and deeply useful in the healthcare workflow.
 You’ll work closely with our product engineers, clinical leaders, and CTO to ensure that our AI delivers measurable improvements in patient access and operational efficiency. This is a hands‑on role that combines cutting‑edge AI development with pragmatic engineering and evaluation.
**What You'll Do \- Impact In Your First 3\-6 Months:** 
* Build and curate datasets and context sources to enable exceptional prompt engineering and evaluation of frontier LLMs, optimizing inputs, retrieval, and context to deliver cutting‑edge performance and reliability.
* Design and maintain evaluation pipelines that rigorously measure model accuracy, reliability, and real‑world clinical value.
* Prompt, test, and iterate on LLM workflows—including retrieval, agent logic, and tool use—to achieve industry‑leading performance.
* Deploy models into production: design APIs, integrate inference into our Python‑based backend, and implement observability and monitoring.
* Stay on the frontier of AI research, evaluating and incorporating advancements that enhance our platform.
**What You’ll Own – Driving Growth Beyond 12 Months:** 
* Develop and scale systems for continuous model improvement and learning, informed by real production feedback.
* Build AI infrastructure and tooling to enable other teams to safely prototype and deploy models.
* Collaborate with engineering leadership to architect the next‑generation AI platform that supports 100× transaction volume.
* Advance the AI‑driven features of our product—making our automation smarter, faster, and more context‑aware.
* Mentor future AI hires and help shape the company’s applied AI roadmap.
**What You’ll Bring On Day 1:** 
* 3\+ years of experience in applied AI or machine learning engineering.
* Deep, hands‑on experience with LLMs, modern AI frameworks, and evaluation techniques.
* Strong proficiency in Python, including API design and integration of AI models into production systems.
* Demonstrated ability to independently identify impactful projects and deliver them end‑to‑end.
* A mindset oriented toward ownership, autonomy, and measurable outcomes, not ticket‑driven work.
* Comfort operating in a fast‑paced, high‑autonomy startup environment.
* Availability to work on‑site in Menlo Park at least three days per week.
**What You’ll Need To Learn Quickly:** 
* How our AI systems integrate with benefit verification and prior authorization workflows, and develop a deep understanding of the healthcare ecosystem—how data moves through payers, providers, and patients, and how our automation fits into these processes.
* Our internal data sources, operational rhythms, and model evaluation standards.
* Emerging AI techniques relevant to retrieval‑augmented generation, fine‑tuning, and evaluation automation.
**Bonus Points:** 
* Experience in healthcare or health‑tech environments.
* Prior startup or founding‑team experience.
* Familiarity with observability and monitoring frameworks for production ML systems.
* Contributions to open‑source AI projects or applied research.
**What We Offer:** 
* Competitive salary \+ meaningful equity in a company growing 10× year‑over‑year.
* Health, dental, and vision coverage; flexible PTO.
* High‑end workstation \&amp; tooling budget.
* The opportunity to build AI that directly improves access to care for millions of patients.</t>
        </is>
      </c>
    </row>
    <row r="51">
      <c r="A51" t="inlineStr">
        <is>
          <t>li-4365084722</t>
        </is>
      </c>
      <c r="B51" t="inlineStr">
        <is>
          <t>Machine Learning Engineer</t>
        </is>
      </c>
      <c r="C51" t="inlineStr">
        <is>
          <t>Samsara</t>
        </is>
      </c>
      <c r="D51" t="inlineStr">
        <is>
          <t>linkedin</t>
        </is>
      </c>
      <c r="E51">
        <f>HYPERLINK("https://www.linkedin.com/jobs/view/4365084722", "https://www.linkedin.com/jobs/view/4365084722")</f>
        <v/>
      </c>
      <c r="F51">
        <f>HYPERLINK("https://www.wiraa.com/job-description/usA39638B24AB6BEC684D860D98EDAB8D7?source=Linkedin&amp;urlHash=wIBv", "https://www.wiraa.com/job-description/usA39638B24AB6BEC684D860D98EDAB8D7?source=Linkedin&amp;urlHash=wIBv")</f>
        <v/>
      </c>
      <c r="G51" t="inlineStr"/>
      <c r="H51" t="inlineStr"/>
      <c r="I51" t="inlineStr">
        <is>
          <t>**About The Company** 
 Samsara (NYSE: IOT) is a pioneering company in the development of the Connected Operations™ Cloud, a comprehensive platform designed to enable organizations that rely on physical operations to leverage Internet of Things (IoT) data for actionable insights and operational improvements. Our mission is to enhance the safety, efficiency, and sustainability of the physical operations that drive the global economy. Serving industries such as agriculture, construction, field services, transportation, and manufacturing—industries that represent over 40% of the world’s GDP—Samsara is at the forefront of digital transformation in these vital sectors. As a publicly traded company, we provide a dynamic environment that fosters innovation, autonomy, and long\-term growth, empowering our team members to make meaningful impacts on the industries that sustain our world.
**About The Role** 
 The Samsara AI team is dedicated to building end\-to\-end artificial intelligence solutions for our diverse customer base, along with developing core machine learning (ML) infrastructure that supports our platform. As a Staff Machine Learning Engineer, you will work with petabyte\-scale datasets encompassing sensor data, diagnostics, video, and text to solve critical problems faced by our global customers in physical operations. Your role involves collaborating closely with ML engineers, scientists, full\-stack developers, and firmware engineers to deliver innovative product features, optimize existing services, and develop new AI\-driven solutions. This position offers the flexibility of remote work within the United States and involves travel up to 5%. Relocation assistance is not provided. The role is ideal for individuals passionate about impacting industries that keep our world running, eager to work on scalable AI solutions, and committed to continuous learning and collaboration.
**Qualifications** 
* 8\+ years of experience as a Machine Learning Engineer
* Profound expertise in optimizing ML models and systems for edge computing constraints
* Proficiency with frameworks such as Spark, Ray, or similar
* Strong programming skills in Python or comparable languages
* Experience coding in C\+\+ or Rust
* Deep understanding of the iterative machine learning product development process
* Proven track record of developing and deploying production\-grade code at large scale
* Ability to translate ambiguous customer and business requirements into clear problem definitions
* Excellent verbal and written communication skills for technical and non\-technical audiences
* Experience mentoring and coaching ML engineers
**Responsibilities** 
* Lead the design and implementation of critical AI product initiatives on edge devices
* Develop both tactical AI solutions and strategic, long\-term research projects
* Work with petabyte\-scale data, including text, diagnostics, sensor, video, and location data from customer operations
* Collaborate across business units to explore, prototype, and optimize AI experiences and model performance on edge devices
* Stay current with industry and academic research, adopting innovative technologies that align with Samsara’s needs
* Champion Samsara’s cultural principles—Customer Success, Long\-Term Building, Growth Mindset, Inclusion, and Teamwork—across our global teams
* Participate in cross\-functional teams to ensure AI solutions meet operational and customer requirements
* Mentor junior team members and foster a culture of continuous learning and innovation
**Benefits** 
* Competitive total compensation package
* Employee\-led remote and flexible working arrangements
* Health, dental, and vision insurance plans
* Paid time off and holidays
* Opportunities for professional development and growth
* Inclusive and diverse work environment
* Support for accommodations and accessibility needs
* Participation in cutting\-edge AI projects impacting critical industries
 Equal Opportunity
 Samsara is committed to creating an inclusive environment where all employees and applicants are treated with respect and fairness. We provide equal employment opportunities regardless of race, color, religion, national origin, sex, gender identity, sexual orientation, protected veteran status, disability, age, or any other characteristic protected by law. We value the unique perspectives and backgrounds of our team members and believe that diversity drives innovation and success.</t>
        </is>
      </c>
    </row>
    <row r="52">
      <c r="A52" t="inlineStr">
        <is>
          <t>li-4360014633</t>
        </is>
      </c>
      <c r="B52" t="inlineStr">
        <is>
          <t>AI Engineer</t>
        </is>
      </c>
      <c r="C52" t="inlineStr">
        <is>
          <t>iFIT</t>
        </is>
      </c>
      <c r="D52" t="inlineStr">
        <is>
          <t>linkedin</t>
        </is>
      </c>
      <c r="E52">
        <f>HYPERLINK("https://www.linkedin.com/jobs/view/4360014633", "https://www.linkedin.com/jobs/view/4360014633")</f>
        <v/>
      </c>
      <c r="F52" t="inlineStr"/>
      <c r="G52" t="inlineStr"/>
      <c r="H52" t="inlineStr"/>
      <c r="I52" t="inlineStr">
        <is>
          <t>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
 We are currently seeking an ambitious pace\-setter to join our team as an
 **AI Engineer working remotely** 
 who has experience architecting and shipping robust multi\-agent systems in production, and knows what it takes to do so at scale.
**ROLE COMMITMENTS**
* Be a core builder of the AI Coach for iFITs users as we look to create a holistic fitness platform
* Deliver high\-quality consumer experiences: Create compelling, personalized, and high\-quality AI experiences that enhances user engagement.
* Build the most compelling connected health \&amp; fitness platform: Leverage cutting\-edge generative AI to pioneer innovative features that redefine connected fitness experiences.
* Make people, culture, and how we operate a competitive advantage: Collaborate cross\-functionally to foster innovation, agility, and continuous learning within the team.
**ESSENTIAL DUTIES AND RESPONSIBILITIES**
 We’re looking for talented AI engineers who have experience architecting and shipping robust multi\-agent systems in production, and know what it takes to do so at scale. You’ll be a core part of a cross\-functional team working on the AI Coach.
* Design, develop, and deploy AI Coach capabilities
* Collaborate closely with a high\-impact inter\-disciplinary team to build and ship production\-quality code
* Contribute to a data culture by building systems that enable evals and application observability
* Contribute to architectural decisions and best practices for AI\-driven systems
* Improve foundational LLMs
* Ensure our solutions remain at the forefront of the industry by actively monitoring and adopting new developments in AI and machine learning.
* Cultivate a culture of growth by providing mentorship and expert guidance to our engineering team on AI and software development best practices.
**EDUCATION \&amp; EXPERIENCE**
**Education and Basic Qualifications**
* 5\+ years of relevant engineering and AI experience
* Experience with Agentic AI frameworks (LangGraph and Llama\-Index) and building, deploying and maintaining LLM\-based agentic applications in production are essential
* Demonstrated expertise in writing production\-level Python/Typescript code
* Proven ability to design and prototype AI solutions quickly
* Experience with production\-level multi\-agent AI systems is a must
* Authorized to work in the United States without sponsorship.
***DISCLAIMER***
**Compensation may vary based on the job level, your geographic work location, position incentive plan, and exemption status.**
***Although we currently may consider hiring in the states listed below, not all positions are available in all locations, and work in a particular state is not guaranteed. Current list of states where iFIT may consider hiring: AK, AL, AR, AZ, CA, CO, CT, FL, GA, ID, IL, IN, KS, KY, LA, MA, MD, MI, MN, MO, MS, NC, NH, NJ, NV, NY, OH, OK, OR, PA, RI, SC, SD, TN, TX, UT, VA, WA, WI, WY.***
*Subject to applicable state laws, your employment at iFIT is "at\-will". At\-will employment means that you and the company each have the right to terminate the employment relationship at any time for any cause or for no cause at all.*
 Pay Range: : $160,000 USD \- $200,000 USD
*iFIT does*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is>
      </c>
    </row>
    <row r="53">
      <c r="A53" t="inlineStr">
        <is>
          <t>li-4365127014</t>
        </is>
      </c>
      <c r="B53" t="inlineStr">
        <is>
          <t>Machine Learning Engineer</t>
        </is>
      </c>
      <c r="C53" t="inlineStr">
        <is>
          <t>Algorized</t>
        </is>
      </c>
      <c r="D53" t="inlineStr">
        <is>
          <t>linkedin</t>
        </is>
      </c>
      <c r="E53">
        <f>HYPERLINK("https://www.linkedin.com/jobs/view/4365127014", "https://www.linkedin.com/jobs/view/4365127014")</f>
        <v/>
      </c>
      <c r="F53" t="inlineStr"/>
      <c r="G53" t="inlineStr">
        <is>
          <t>Campbell, CA</t>
        </is>
      </c>
      <c r="H53" t="inlineStr"/>
      <c r="I53" t="inlineStr">
        <is>
          <t>**Company Description** 
 Algorized is a fast\-growing deep\-tech startup developing cutting\-edge software for human positioning and sensing. By leveraging advanced algorithms, edge ML, radar, and sensor fusion, we enable precise people tracking, positioning, vital sign detection, and age classification.
 We are seeking an ML Engineer to design, build, and maintain scalable machine learning algorithms and infrastructure to support the creation and deployment of models that process data from sensors, radar, and cameras. This role will be critical in ensuring high performance, real\-time accuracy, and seamless ML model performance on the edge.
**Key Responsibilities** 
* Design, improve and implement complex machine learning models and algorithms processing raw radar sensor data and other sensor data to address customer business needs
* Manage the ML data pipeline, including data collection, extraction, validation, and preprocessing.
* Format, restructure, or validate datasets to ensure high data quality, and readiness for analysis
* Develop robust data preprocessing methods to enhance model accuracy and efficiency
* Analyze extensive datasets to identify trends and patterns and interpret them
* Build the foundation for highly scalable data collection and analytics
* Design scalable ML pipelines to support sensor\-agnostic people\-sensing model training, testing, deployment, and monitoring
* Implement monitoring tools to track model accuracy, performance, and scaling issues
**Minimum Qualifications** 
* MSc or advanced degree in a relevant field
* Experienced in algorithm design and optimization
* 5\+ years hands\-on experience in a similar position (3\+ for candidates with PhD)
* Expertise in sensor fusion, edge AI, or embedded ML models for real\-time applications
* Ability to collaborate efficiently with backend developers
* Good coding skills in Python, familiarity with PyTorch, scikit\-learn and other Python ML libraries
* Experience with time\-series data, sensor data pipelines, or stream processing frameworks
* Good understanding of ML model deployment, CI/CD and monitoring frameworks
* Excellent teamwork \&amp; communication skills, with a passion for innovation and solving complex challenges
* Genuine interest in solving challenging people\-sensing problems from start to finish
* Willingness to travel domestically and internationally for development and on\-site customer support
**Preferred Qualifications** 
* PhD in the relevant field
* Experience with signal processing and edge ML models
* Experience with ML for radar / LiDAR / computer vision applications
* Experience deploying ML models in C/C\+\+
* Familiarity with 3D positioning, tracking systems, or vital signs estimation
 Addition:
* Stock Options
* 401(k)
* Paid time off
* Health insurance
* Dental insurance
* Vision insurance</t>
        </is>
      </c>
    </row>
    <row r="54">
      <c r="A54" t="inlineStr">
        <is>
          <t>li-4354211633</t>
        </is>
      </c>
      <c r="B54" t="inlineStr">
        <is>
          <t>Machine Learning Engineer</t>
        </is>
      </c>
      <c r="C54" t="inlineStr">
        <is>
          <t>Mastech Digital</t>
        </is>
      </c>
      <c r="D54" t="inlineStr">
        <is>
          <t>linkedin</t>
        </is>
      </c>
      <c r="E54">
        <f>HYPERLINK("https://www.linkedin.com/jobs/view/4354211633", "https://www.linkedin.com/jobs/view/4354211633")</f>
        <v/>
      </c>
      <c r="F54" t="inlineStr"/>
      <c r="G54" t="inlineStr">
        <is>
          <t>Texas, United States</t>
        </is>
      </c>
      <c r="H54" t="inlineStr"/>
      <c r="I54" t="inlineStr">
        <is>
          <t>**About the Company** 
 We are a leading technology firm dedicated to innovation and excellence in the field of machine learning and cloud computing.
**About the Role** 
 The Senior Machine Learning Ops Engineer will be responsible for developing and implementing machine learning solutions and cloud\-native applications, leveraging AWS services to enhance operational efficiency.
**Responsibilities** 
* Good experience in OOP Python
* AWS cloud experience (Lambda, Step Functions, CFT, IAM, Glue, S3, SNS, SQS etc.)
* Good CI/CD experience (Preferably Jenkins)
* AI/ML operations experience using AWS Sagemaker
* IAC experience
**Qualifications** 
* Has bachelor’s or master’s Degree in a technology related field (e.g. Computer Science, Engineering, etc.).
**Required Skills** 
* Proven experience in building cloud\-native applications using a range of AWS services, including but not limited to SageMaker AI, Bedrock, S3, CloudFormation (CFT), SNS, SQS, Lambda, AWS Batch, Step Functions, EventBridge, and CloudWatch.
* Familiarity with both Azure Cognitive Services, particularly for deploying OpenAI models, and Google Compute Vertex is beneficial.
* Strong experience with CI/CD tools, particularly Jenkins, for automating and streamlining the software development pipeline.
* Proficient in using version control systems like Git for effective code management and collaboration.
* Hands\-on experience with containerization technologies such as Docker for building and deploying applications.
* Expertise in infrastructure as code (IaC) services, including AWS CloudFormation and tools like Terraform or OpenTofu, for managing and provisioning cloud resources.
* Extensive experience working with machine learning models with respect to deployment, inference, tuning, and measurement required.
* Strong knowledge of developing highly scalable distributed systems using Open\-source technologies.
* 5\+ years of proven experience in developing and implementing Python\-based cloud applications and/or machine learning solutions.
* 1\+ years of experience in developing ML infrastructure and MLOps in the Cloud using AWS Sagemaker.
* Proven experience in application hosting on Kubernetes environments.
* Proficiency in Python software development with strong experience in its ML ecosystem (numpy, pandas, sklearn, tensorflow, etc.), along with solid skills in Linux scripting.
* Ability to design and implement software using both object\-oriented and functional programming paradigms.
* Basic knowledge of Java and Groovy is a plus.
* Strong knowledge of developing highly scalable distributed systems using Open\-source technologies.
* Solid experience in Agile methodologies (Kanban and SCRUM).
**Preferred Skills** 
* Experience with additional cloud platforms.
* Knowledge of advanced machine learning techniques.
**Pay range and compensation package** 
 Competitive salary based on experience and qualifications.
**Equal Opportunity Statement** 
 We are committed to diversity and inclusivity in our hiring practices and encourage applications from all qualified individuals.</t>
        </is>
      </c>
    </row>
    <row r="55">
      <c r="A55" t="inlineStr">
        <is>
          <t>li-4354156210</t>
        </is>
      </c>
      <c r="B55" t="inlineStr">
        <is>
          <t>AI/ML Engineer</t>
        </is>
      </c>
      <c r="C55" t="inlineStr">
        <is>
          <t>ChatGPT Jobs</t>
        </is>
      </c>
      <c r="D55" t="inlineStr">
        <is>
          <t>linkedin</t>
        </is>
      </c>
      <c r="E55">
        <f>HYPERLINK("https://www.linkedin.com/jobs/view/4354156210", "https://www.linkedin.com/jobs/view/4354156210")</f>
        <v/>
      </c>
      <c r="F55">
        <f>HYPERLINK("https://www.chatgpt-jobs.com/job/aiml-engineer-frontier-technology-inc-3115&amp;urlHash=Bl-O", "https://www.chatgpt-jobs.com/job/aiml-engineer-frontier-technology-inc-3115&amp;urlHash=Bl-O")</f>
        <v/>
      </c>
      <c r="G55" t="inlineStr">
        <is>
          <t>Colorado Springs, CO</t>
        </is>
      </c>
      <c r="H55" t="inlineStr"/>
      <c r="I55" t="inlineStr">
        <is>
          <t>**Job Description**
 AI/ML Engineer
**Company:** 
 Frontier Technology Inc.
**Location:** 
 Colorado Springs, CO
* Remote
**Salary:** 
 $140\.64K \- $239\.96K/yr
**Type:** 
 Full\-time
**Posted:** 
 5 days ago
**Job Description**
 Frontier Technology Inc. (FTI) is seeking a hands\-on AI/ML Engineer to design, build, and deploy advanced machine learning solutions supporting defense and national security missions. This role focuses on execution in oversight, ideal for an engineer who thrives in the code, enjoys building end\-to\-end pipelines, and takes pride in seeing their work directly impact operational systems.
 FTI delivers mission\-focused solutions to the Department of Defense (DoD/DoW) and Intelligence Community (IC) through advanced engineering, digital transformation, and program execution expertise. We help our customers solve complex challenges and achieve mission success by integrating people, process, and technology.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**Minimum Requirements**
* Must be a U.S. citizen and be willing to obtain and maintain a secruity clearance, as needed.
* 6\-10\+ years of professional experience developing and deploying AI/ML solutions in production environments.
* Professional experience within the Department of Defense (DoD/DoW) AI assurance, security, and deployment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Professional experience fine\-tuning and evaluating LLMs or smaller task\-specific models using LoRA, QLoRA, or PEFT.
* Professional experience integrating AI capabilities into production systems or mission applications.
**Preferred Qualifications**
* Familiarity with agentic frameworks (LangGraph, AutoGen, CrewAI, DSPy) and multi\-agent reasoning.
* Understanding of prompt engineering, retrieval quality, and grounding methods.
* Exposure to GPU\-based or edge inference environments.
* Bachelor’s or Master’s degree in Computer Science, Engineering, Data Science, or a related technical field.
* Active Secret clearance preferred; ability to obtain one is required.
 For this role, the compensation range for candidates in Colorado is $140,637\.41 \- 239,962\.59\*.
* Note: Starting pay will be based on a number of factors and commensurate with qualifications \&amp; experience. FTI has a location\-based compensation structure; there may be a different range for candidates in other locations.</t>
        </is>
      </c>
    </row>
    <row r="56">
      <c r="A56" t="inlineStr">
        <is>
          <t>li-4365081729</t>
        </is>
      </c>
      <c r="B56" t="inlineStr">
        <is>
          <t>ML Engineer</t>
        </is>
      </c>
      <c r="C56" t="inlineStr">
        <is>
          <t>Wiraa</t>
        </is>
      </c>
      <c r="D56" t="inlineStr">
        <is>
          <t>linkedin</t>
        </is>
      </c>
      <c r="E56">
        <f>HYPERLINK("https://www.linkedin.com/jobs/view/4365081729", "https://www.linkedin.com/jobs/view/4365081729")</f>
        <v/>
      </c>
      <c r="F56" t="inlineStr"/>
      <c r="G56" t="inlineStr"/>
      <c r="H56" t="inlineStr"/>
      <c r="I56" t="inlineStr">
        <is>
          <t>**About The Company**
 Waymo is a pioneering autonomous driving technology company dedicated to transforming mobility and improving road safety. Established as the Google Self\-Driving Car Project in 2009, Waymo has evolved into a leader in autonomous vehicle innovation. The company's core mission is to become the world's most trusted driver by developing the Waymo Driver—The World's Most Experienced Driver™—which powers its fully autonomous ride\-hail service and is adaptable to various vehicle platforms and use cases. With a focus on safety and reliability, Waymo has conducted over ten million rider\-only trips, driven more than 100 million miles on public roads across more than 15 states, and performed tens of billions of miles in simulation, demonstrating its commitment to advancing autonomous driving technology.
**About The Role**
 The AI Foundations team at Waymo is seeking a talented and motivated Research Scientist to contribute to the development of machine learning solutions that address key challenges in autonomous driving. This role involves pioneering research in robotics and machine learning to enhance the evaluation, safety, and realism of embodied AI agents. The successful candidate will collaborate across teams and organizations to integrate innovative technologies into production systems, working with state\-of\-the\-art Foundation Models. You will be instrumental in defining evaluation benchmarks, developing large\-scale data pipelines, and advancing methodologies that ensure the safe and efficient operation of Waymo's autonomous vehicles in diverse environments. This position offers a hybrid work schedule, with reporting to a Senior Research Scientist, and provides an exciting opportunity to influence the future of autonomous mobility.
**Qualifications**
* Masters degree in Computer Science, Machine Learning, Robotics, or a related technical field, or equivalent practical experience
* Proficiency in Python programming language
* Experience with modern deep learning frameworks such as PyTorch, JAX, or TensorFlow
* Previous work in industry or research settings developing methodologies for ML model evaluation
* Strong understanding of machine learning principles and evaluation techniques
**Responsibilities**
* Develop and extend cutting\-edge research in robotics and machine learning to improve evaluation methodologies for embodied AI agents
* Collaborate within and across teams to deploy disruptive and innovative autonomous driving technologies into production
* Work with state\-of\-the\-art Foundation Models to enhance system capabilities
* Define evaluation metrics and benchmarks to drive model development and performance assessment
* Implement and extend large\-scale data collection, processing, and evaluation pipelines
* Contribute to the publication of research findings and open\-source projects in relevant fields
**Benefits**
* Competitive salary range of $170,000 to $216,000 USD, commensurate with experience and location
* Participation in Waymo’s discretionary annual bonus program and equity incentive plan
* Comprehensive health, dental, and vision insurance plans
* Generous paid time off and flexible work arrangements
* Opportunities for professional development and career growth within a leading autonomous vehicle company
* Access to cutting\-edge research and collaboration with top\-tier experts in AI and robotics
 Equal Opportunity
 Waymo is an equal opportunity employer. We celebrate diversity and are committed to creating an inclusive environment for all employees. All qualified applicants will receive consideration for employment without regard to race, color, religion, sex, gender identity, sexual orientation, national origin, age, disability, or any other protected status under applicable law.</t>
        </is>
      </c>
    </row>
    <row r="57">
      <c r="A57" t="inlineStr">
        <is>
          <t>li-4365097800</t>
        </is>
      </c>
      <c r="B57" t="inlineStr">
        <is>
          <t>AI/ML Engineer</t>
        </is>
      </c>
      <c r="C57" t="inlineStr">
        <is>
          <t>Tiposi</t>
        </is>
      </c>
      <c r="D57" t="inlineStr">
        <is>
          <t>linkedin</t>
        </is>
      </c>
      <c r="E57">
        <f>HYPERLINK("https://www.linkedin.com/jobs/view/4365097800", "https://www.linkedin.com/jobs/view/4365097800")</f>
        <v/>
      </c>
      <c r="F57" t="inlineStr"/>
      <c r="G57" t="inlineStr">
        <is>
          <t>Milpitas, CA</t>
        </is>
      </c>
      <c r="H57" t="inlineStr"/>
      <c r="I57" t="inlineStr">
        <is>
          <t>**About Tiposi** 
 Tiposi is a Silicon Valley medical device startup developing AI\-powered, microwave\-based brain imaging technology — built to detect strokes and expand access to brain health screening worldwide. We combine RF innovation, custom ASICs, and machine learning to make imaging faster, safer, and more accessible than ever before.
**AI/ML Engineer** 
 We are building a medical imaging device that reconstructs images from noisy, physics\-constrained sensor data. This role focuses on
 **applied machine learning embedded in real systems** 
 , not standalone research models.
 You will design, implement, and maintain ML pipelines that integrate with signal processing, hardware, and clinical constraints.
*Responsibilities* 
* Develop and train multi\-task ML models for stroke detection using RF\-derived features, including binary and multi\-class classification as well as auxiliary prediction tasks.
* Build and own
 **production\-quality ML code** 
 for signal → image reconstruction
* Design and evaluate ML approaches for
 **inverse problems under noise and data scarcity**
* Integrate ML models with existing
 **signal processing and hardware pipelines**
* Debug training failures, data issues, and edge cases
* Make tradeoffs between model complexity, robustness, and interpretability
* Collaborate closely with hardware, DSP, and software engineers
*Required* 
* M.S. in Computer Science, Electrical Engineering, or related field, or 5\+ years of industry experience in machine learning
* Experience with generative models (diffusion models, VAEs, or encoder\-decoder architectures) applied to 2D/3D data
* Experience building and maintaining ML pipelines beyond notebooks
* Comfort working with imperfect, noisy, real\-world data
* Solid foundations in linear algebra, probability, and optimization
* Ability to reason about system\-level constraints, not just model performance
*Preferred Qualifications* 
* Signal or image processing background, particularly with radar, microwave, or compressed sensing techniques
* Experience with multimodal models or cross\-modal generation
* Prior work optimizing models for GPU or edge deployment
* Familiarity with medical device regulatory standards and a clear understanding of the application of AI technologies within FDA\-regulated environments.
* Experience in medical device or healthcare technology companies
*Relevant ML Experience* 
 Experience with one or more of the following
 **in applied contexts** 
 :
* Inverse problems / reconstruction
* Generative or probabilistic models (e.g., VAEs, diffusion, GANs)
* CNNs or learned image reconstruction
* Physics\-informed or hybrid signal\-processing \+ ML approaches
* Uncertainty estimation and robustness
*We care about how you choose models, not whether you’ve memorized architectures.* 
**Compensation Structure** 
 This role begins with a 3\-6 month contract phase at $4,000\-$8,000/month to establish mutual fit. Upon conversion to full\-time employment, salary range is $100,000\-$120,000 plus equity, based on experience. Full\-time benefits include health insurance (medical, dental, vision) and performance bonuses.</t>
        </is>
      </c>
    </row>
    <row r="58">
      <c r="A58" t="inlineStr">
        <is>
          <t>li-4365117515</t>
        </is>
      </c>
      <c r="B58" t="inlineStr">
        <is>
          <t>AI Engineer</t>
        </is>
      </c>
      <c r="C58" t="inlineStr">
        <is>
          <t>Best Job Tool</t>
        </is>
      </c>
      <c r="D58" t="inlineStr">
        <is>
          <t>linkedin</t>
        </is>
      </c>
      <c r="E58">
        <f>HYPERLINK("https://www.linkedin.com/jobs/view/4365117515", "https://www.linkedin.com/jobs/view/4365117515")</f>
        <v/>
      </c>
      <c r="F58" t="inlineStr"/>
      <c r="G58" t="inlineStr"/>
      <c r="H58" t="inlineStr"/>
      <c r="I58" t="inlineStr">
        <is>
          <t>**About The Company**
 Cognizant is a leading global professional services company that specializes in digital, technology, consulting, and operations services. With a rich history of innovation and excellence, Cognizant helps clients across various industries transform their business models and enhance their operational efficiencies. The company is committed to delivering high\-quality solutions that drive growth, foster innovation, and create sustainable value for its clients. Recognized for its inclusive culture and commitment to employee development, Cognizant continues to be a preferred employer in the technology and consulting sectors.
**About The Role**
 We are seeking a highly motivated and experienced professional to join our team in the role of \[Job Title]. The successful candidate will be responsible for managing key projects, collaborating with cross\-functional teams, and delivering innovative solutions to meet client needs. This role requires a strategic thinker with excellent communication skills and a strong technical background. The ideal candidate will have a proven track record of managing complex projects, driving process improvements, and maintaining high standards of quality and client satisfaction. As part of our dynamic team, you will play a vital role in supporting our mission to deliver exceptional value through innovative technology solutions.
**Qualifications**
 The ideal candidate should possess a bachelor’s degree in Computer Science, Information Technology, Engineering, or a related field. A master’s degree or relevant certifications such as PMP, Scrum Master, or AWS certifications will be considered an advantage. Candidates should have a minimum of \[X] years of experience in project management, software development, or consulting roles. Strong technical knowledge, excellent problem\-solving skills, and the ability to work under pressure are essential. Effective communication and interpersonal skills are required to collaborate with diverse teams and clients. Prior experience working in a global or multicultural environment is preferred.
**Responsibilities**
* Lead and manage end\-to\-end project lifecycle, ensuring timely delivery within scope and budget.
* Collaborate with clients and stakeholders to understand requirements and translate them into actionable project plans.
* Coordinate with cross\-functional teams including developers, designers, and QA to ensure project milestones are met.
* Monitor project progress, identify risks, and implement mitigation strategies to ensure successful outcomes.
* Maintain comprehensive documentation of project activities, deliverables, and performance metrics.
* Facilitate effective communication among team members and stakeholders to ensure alignment and transparency.
* Drive continuous improvement initiatives to optimize project processes and team productivity.
* Ensure compliance with company policies, quality standards, and industry regulations.
* Provide leadership, mentorship, and support to team members to foster a collaborative and innovative work environment.
**Benefits**
 Cognizant offers a competitive benefits package designed to support our employees’ health, well\-being, and professional growth. Employees enjoy comprehensive health insurance, including medical, dental, and vision coverage. The company provides generous paid time off, including holidays, vacation, and personal days. We also offer retirement savings plans, employee assistance programs, and wellness initiatives to promote a healthy work\-life balance. Additionally, Cognizant invests in continuous learning and development, providing access to training programs, certifications, and career advancement opportunities. Our inclusive culture fosters diversity and encourages employees to bring their authentic selves to work, creating a vibrant and innovative environment.
 Equal Opportunity
 Cognizant is an equal opportunity employer committed to fostering an inclusive environment for all employees. We do not discriminate based on race, color, religion, gender, sexual orientation, gender identity or expression, age, national origin, disability, or any other protected characteristic. We believe that diversity and inclusion are key drivers of innovation and success, and we are dedicated to providing a workplace where everyone can thrive and reach their full potential.</t>
        </is>
      </c>
    </row>
    <row r="59">
      <c r="A59" t="inlineStr">
        <is>
          <t>li-4361919163</t>
        </is>
      </c>
      <c r="B59" t="inlineStr">
        <is>
          <t>Full Time Opportunity Machine Learning Engineer in Denver, CO</t>
        </is>
      </c>
      <c r="C59" t="inlineStr">
        <is>
          <t>TalentBridge</t>
        </is>
      </c>
      <c r="D59" t="inlineStr">
        <is>
          <t>linkedin</t>
        </is>
      </c>
      <c r="E59">
        <f>HYPERLINK("https://www.linkedin.com/jobs/view/4361919163", "https://www.linkedin.com/jobs/view/4361919163")</f>
        <v/>
      </c>
      <c r="F59" t="inlineStr"/>
      <c r="G59" t="inlineStr">
        <is>
          <t>Denver, CO</t>
        </is>
      </c>
      <c r="H59" t="inlineStr"/>
      <c r="I59" t="inlineStr">
        <is>
          <t>**Role: Senior Machine Learning Engineer
 Location: Denver CO (Hybrid)
 Type: Fulltime
 Only for USC/GC Holder 
 Role Summary:** 
* The Machine Learning Engineer is responsible for implementing, deploying, and maintaining machine learning models in a cloud\-based ML platform. This role serves as a subject matter expert in Machine Learning Operations (MLOps), bridging the gap between data science and production\-grade systems. The engineer will help shape and guide ML solutions within an evolving technology stack and will have the autonomy to recommend and implement best\-practice approaches.
**Required Education \&amp; Experience:** 
* Bachelor’s degree (Master’s preferred) in Statistics, Mathematics, Computer Science, or a related quantitative field.
* 7\+ years of experience in data science or a related discipline.
* 3\+ years of hands\-on experience with MLOps and production ML systems.
* Proven experience deploying and scaling machine learning models in production environments.
* Strong programming skills in Python and cloud automation/scripting.
* Experience with big data platforms, real\-time/streaming data, and distributed or cluster computing.
* Hands\-on knowledge of cloud platforms, particularly AWS.
**Key Responsibilities:** 
* Implement and operationalize data science models in a cloud\-based ML platform (e.g., AWS SageMaker).
* Design and maintain systems to monitor model performance, reliability, and drift in production.
* Act as the MLOps subject matter expert, advising data scientists on model design and deployment considerations.
* Collaborate with data engineering teams to build and maintain data pipelines from enterprise data sources (e.g., Snowflake, time\-series systems).
* Partner with architecture teams to ensure compute, networking, and endpoint requirements are incorporated into ML solutions.
* Stay current with emerging machine learning techniques, tools, and best practices, and apply them where appropriate.
* Work effectively within a geographically distributed team, communicating priorities and project status clearly.
* Design solutions that balance performance, scalability, and cost to meet business objectives.
 \#INDWEST</t>
        </is>
      </c>
    </row>
    <row r="60">
      <c r="A60" t="inlineStr">
        <is>
          <t>li-4365144615</t>
        </is>
      </c>
      <c r="B60" t="inlineStr">
        <is>
          <t>Staff Machine Learning Engineer (Modeling), Afterpay Risk</t>
        </is>
      </c>
      <c r="C60" t="inlineStr">
        <is>
          <t>Afterpay</t>
        </is>
      </c>
      <c r="D60" t="inlineStr">
        <is>
          <t>linkedin</t>
        </is>
      </c>
      <c r="E60">
        <f>HYPERLINK("https://www.linkedin.com/jobs/view/4365144615", "https://www.linkedin.com/jobs/view/4365144615")</f>
        <v/>
      </c>
      <c r="F60" t="inlineStr"/>
      <c r="G60" t="inlineStr"/>
      <c r="H60" t="inlineStr"/>
      <c r="I60" t="inlineStr">
        <is>
          <t>We started a movement in which everyone can win – shoppers, retailers, society and every person on our team. To play fair, trust people and reward them for doing the right thing. We see and feel the impact of our work as more and more people gain financial freedom and retailers grow across the globe.
 Founded 10 years ago in Sydney, Australia, Afterpay has over 24 million active customers globally and more than 250,000 of the best retailers around the world including Anthropologie, Revolve, DSW, GOAT, Finish Line, Levi's, Mac Cosmetics, Ray\-Ban and many others.
 Afterpay is helping people spend responsibly! We empower customers to access the things they want and need, while still allowing them to maintain financial wellness and control, by splitting payments in four, for both online and in\-store purchases. Afterpay is deeply committed to delivering positive outcomes for customers. Now under the Block ecosystem, we are focused on supporting our community of shoppers.
 We trust in the next generation and share a vision of a more accessible and sustainable world in which people are rewarded for doing the right thing. Join a movement in which everyone can win.
**The Role**
 Machine learning and data science are foundational to how Afterpay protects and scales its lending products—detecting fraud, mitigating abusive behaviors, and enabling more inclusive credit decisioning. Our integrated ecosystem of borrower behavior, repayment dynamics and merchant networks offers a rare opportunity to apply advanced modeling and analytical rigor to strengthen portfolio resilience while accelerating the precision and speed of underwriting.
 As a technical and strategic leader, you will architect and build the ML systems that power fraud prevention and abuse mitigation across the lending lifecycle. You will partner closely with Product, Engineering, and Operations to drive platform\-level improvements, influence portfolio and risk\-appetite decisions, and strengthen the resilience of our lending ecosystem. You will also lead our shift toward AI\-native, agentic risk systems that self\-adapt, stay ahead of drift, and surface emerging fraud vectors before they scale.
 This role is fully remote for candidates based in the US or Canada.
**You Will**
* Shape next\-generation lending decision frameworks with advanced analytics, machine learning, and agentic automation to improve precision, adaptability, and speed.
* Analyze large and complex datasets to surface insights that influence underwriting strategy, strengthen ecosystem safeguards, and inform product direction.
* Lead signal discovery and deep experimentations to identify evolving risk patterns and inform the design of next\-generation lending decision systems.
* Collaborate with Product, Engineering and Operations teams to design systems and features that enhance trust and portfolio health.
* Mentor and elevate fellow scientists and modelers, contributing to modeling standards, best practices, and technical excellence across the team.
* Exercise a high level of autonomy and ownership, driving solutions from problem framing and design through deployment and iteration.
**You Have**
* Bachelor's degree in a quantitative field (e.g., Mathematics, Statistics, Physics, Computer Science, Machine Learning); Master's or PhD preferred.
* 10\+ years of industry experience in risk, fraud, credit underwriting, or another high\-stakes decisioning domain.
* Deep expertise in machine learning methods, statistical modeling, and advanced analytical techniques.
* Strong analytical rigor with a deep testing mindset, including experience designing automated validation frameworks for models and decision logic.
* Strong communication skills, with the ability to explain complex concepts to both technical and non\-technical stakeholders
* Hands\-on experience with agentic workflows— LLM\-based agents or automation components that enhance modeling velocity and decision reliability.
**Technologies We Use and Teach**
* SQL
* Python (NumPy, Pandas, Sklearn, TensorFlow, etc.)
* GitHub
* GCP/AWS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$276,800—$415,200 USD
**Zone B**
 $276,800—$415,200 USD
**Zone C**
 $276,800—$415,200 USD
**Zone D**
 $276,800—$415,200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61">
      <c r="A61" t="inlineStr">
        <is>
          <t>li-4362530801</t>
        </is>
      </c>
      <c r="B61" t="inlineStr">
        <is>
          <t>AIML - Sr. Applied Machine Learning Engineer - Answers, Knowledge &amp; Information (AKI)</t>
        </is>
      </c>
      <c r="C61" t="inlineStr">
        <is>
          <t>Apple</t>
        </is>
      </c>
      <c r="D61" t="inlineStr">
        <is>
          <t>linkedin</t>
        </is>
      </c>
      <c r="E61">
        <f>HYPERLINK("https://www.linkedin.com/jobs/view/4362530801", "https://www.linkedin.com/jobs/view/4362530801")</f>
        <v/>
      </c>
      <c r="F61" t="inlineStr"/>
      <c r="G61" t="inlineStr">
        <is>
          <t>Santa Clara, CA</t>
        </is>
      </c>
      <c r="H61" t="inlineStr"/>
      <c r="I61" t="inlineStr">
        <is>
          <t>**Summary**
 Do you want to make Siri and Apple products smarter for our users? Our Answers, Knowledge \&amp; Information (AKI) team is redefining how hundreds of millions of people use their devices to get information. We are an Applied ML team pushing the limits on real\-time augmented information retrieval and generation, information safety and search technologies, while also responsible for a few user\-facing production services. We are part of a wider effort to power information across a variety of Apple products – including: Siri, Spotlight, Safari, Messages, Lookup, and more.
**Description**
 We are looking for candidates with applied machine learning experience and strong software engineering skills. As a member of our fast\-paced group, you’ll have the unique and rewarding opportunity to shape upcoming products from Apple. Our team includes a diversity of backgrounds from applied machine learning engineers with a focus on ML and LLM to experienced distributed systems engineers.
 You will be using and improving upon the latest advancements in machine learning and software engineering to understand user queries and intents, retrieve and rank documents, and generate helpful answers, and work on horizontal areas on data generation, evaluation, and safety.
**Minimum Qualifications**
* Experience with using: PyTorch, TensorFlow, or JAX for training and deploying deep learning models
* Proficient in at least two programming languages such as: Go, Swift, Python, C/C\+\+, or Java
* 3\+ years of industry related experience, working in collaborative environments
* Bachelors in Computer Science, Artificial Intelligence, Machine Learning, Information Retrieval, Data Science or related field or equivalent work experience
**Preferred Qualifications**
* Analyzing search ranking and relevance requirements issues and opportunities
* Building machine\-learned models for search relevance ranking query understanding and questioning
* Understanding product requirements then translating them into modeling tasks and engineering tasks
* Masters or PhD in the area of Computer Science or equivalent, or a related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2">
      <c r="A62" t="inlineStr">
        <is>
          <t>li-4359980196</t>
        </is>
      </c>
      <c r="B62" t="inlineStr">
        <is>
          <t>Lead Machine Learning Engineer</t>
        </is>
      </c>
      <c r="C62" t="inlineStr">
        <is>
          <t>interos.ai</t>
        </is>
      </c>
      <c r="D62" t="inlineStr">
        <is>
          <t>linkedin</t>
        </is>
      </c>
      <c r="E62">
        <f>HYPERLINK("https://www.linkedin.com/jobs/view/4359980196", "https://www.linkedin.com/jobs/view/4359980196")</f>
        <v/>
      </c>
      <c r="F62" t="inlineStr"/>
      <c r="G62" t="inlineStr"/>
      <c r="H62" t="inlineStr"/>
      <c r="I62" t="inlineStr">
        <is>
          <t>**Role:** 
 Lead Machine Learning Engineer
**About interos.ai** 
 : Interos is the supply chain risk intelligence company – building the most trusted and transparent supply chains in the world. Our pioneering discovery and monitoring intelligence spans the lifecycle of supply chain risk, enabling faster and more informed threat mitigation. As the world’s first, and only, automated supplier intelligence platform, we continuously map and monitor extended supply chains at speed and scale to protect organizations from regulatory fines, unethical labor, cyber\-attacks, and other systemic vulnerabilities. Interos serves a variety of commercial, government, and public sector customers around the world including a host of Global Fortune 500 companies and members of the Five Eyes nations. www.interos.ai
**About the role** 
 : We are seeking an experienced Senior Principal/Principal Machine Learning Engineer who will serve as a technical architect for our ML team. This role is critical in defining the tooling strategy, staying ahead of industry trends, and ensuring our AI\-driven solutions seamlessly integrate deeply within Intero’s product. You will be responsible for evaluating and selecting AI frameworks, orchestrating agent workflows, and leveraging LLMs, automation frameworks and enterprise AI technologies to design and develop scalable, reliable and trusted AI agents.
**What you will do:**
* Develop AI\-powered agents that integrate deeply into Interos.ai product experience
* Understanding of AI Lifecycle: Comprehensive knowledge of the AI system lifecycle, including problem definition, data acquisition, model training, system integration, and validation
* Evaluate, select, and integrate AI tools, frameworks, and platforms to ensure scalability, efficiency, and compliance
* Stay up to date with advancements in AI, LLMs, RAG, autonomous agents and orchestration frameworks to drive innovation
* Define best practices for agent design, security, and governance in AI\-driven enterprise applications.
* Work with product, engineering, and data science teams to design and implement AI\-based automation solutions.
* Identify new opportunities to embed AI into the Interos.ai platform.
* Establish monitoring, feedback loops, and continuous learning mechanisms to improve agent performance over time.
**What you bring:**
* 8\+ years of experience in Software development.
* 5\+ years of experience in AI, machine learning, with a focus on enterprise applications.
* Deep understanding of LLMs, AI agents, and orchestration frameworks (e.g., LangGraph)
* Experience with enterprise\-grade AI architectures, API integration, and large\-scale automation.
* Proficiency in Python, cloud services (AWS), and AI model deployment.
* Strong problem\-solving skills and the ability to translate business needs into AI\-powered solutions.
* Experience in data privacy, security, and compliance for AI in enterprise environments
* Experience in Data lakes such as Snowflake and Databricks.
**Bonus points for:**
* Masters/Doctorate degree in a relevant field, such as Computer Science, Mathematics, or Engineering.
* Experience developing and deploying machine learning solutions using large\-scale datasets, including specification design, data collection and labeling, model development, validation, deployment, and ongoing monitoring.
* Hands\-on experience with vector databases, retrieval\-augmented generation (RAG), and fine\-tuning LLMs.
* Experience with fine\-tuning models including identifying and curating datasets as well as experimenting with models for iterative improvement
**What We Offer:**
* Comprehensive health, dental \&amp; vision insurance
* 401(k) with employer match
* Flexible Time Off (FTO) \+ 10 paid holidays
* Wellness perks including onsite gym \+ Peloton room (HQ)
* Career growth opportunities in a fast\-scaling company
* Employee referral bonuses and recognition programs
**Compensation**
* Base Salary Range: $200,000 \- $240,000 USD (depending on experience and location)
* Variable Compensation: Performance\-based annual bonus
* Equity: Stock options included as part of total compensation package
 We believe in rewarding great work with competitive, transparent compensation. Final offer will be based on skills, experience, and geographic location.
**Work Environment, Location and Travel:**
 This is a remote\-first role open to candidates legally authorized to work in the United States. Employees may optionally work from our Arlington, VA HQ. This position may require up to minimal travel.
**Equal Opportunity Employer**
 Interos.ai is proud to be an Equal Opportunity Employer. We celebrate diversity and are committed to creating an inclusive environment for all employees — regardless of race, religion, gender identity, sexual orientation, age, disability, or veteran status.
**Accessibility \&amp; Accommodations**
 We are committed to providing reasonable accommodations for candidates throughout the hiring process. If you need assistance, please contact us at hr@interos.ai.</t>
        </is>
      </c>
    </row>
    <row r="63">
      <c r="A63" t="inlineStr">
        <is>
          <t>li-4355251590</t>
        </is>
      </c>
      <c r="B63" t="inlineStr">
        <is>
          <t>Generative AI Engineer</t>
        </is>
      </c>
      <c r="C63" t="inlineStr">
        <is>
          <t>SoTalent</t>
        </is>
      </c>
      <c r="D63" t="inlineStr">
        <is>
          <t>linkedin</t>
        </is>
      </c>
      <c r="E63">
        <f>HYPERLINK("https://www.linkedin.com/jobs/view/4355251590", "https://www.linkedin.com/jobs/view/4355251590")</f>
        <v/>
      </c>
      <c r="F63" t="inlineStr"/>
      <c r="G63" t="inlineStr">
        <is>
          <t>Johnston, RI</t>
        </is>
      </c>
      <c r="H63" t="inlineStr"/>
      <c r="I63" t="inlineStr">
        <is>
          <t>**Job Title: Generative AI Engineer** 
**Location: Johnston, Rhode Island, United States** 
**Type: Full Time** 
**Job Summary** 
 Our client, a leading technology\-driven organization, is seeking a Senior Generative AI Engineer to design and deliver enterprise\-scale AI solutions that drive innovation and business impact. This role is ideal for a hands\-on technical leader who thrives at the intersection of strategy, architecture, and advanced AI engineering.
**What You’ll Do** 
* Define and lead the strategy, architecture, and delivery of scalable Generative AI solutions leveraging large language models, multimodal models, and open\-source frameworks within a modern cloud environment
* Build and optimize advanced data integration pipelines and retrieval\-augmented generation (RAG) solutions using search, vector databases, agents, and orchestration frameworks
* Design and implement automated testing and CI/CD strategies, establish observability and monitoring metrics, and support secure, reliable production deployments
* Partner closely with solution architects and engineering teams to deliver enterprise initiatives across application architecture, APIs, security, and automation
* Serve as a technical authority and thought leader, driving best practices, mentoring engineers, and promoting adoption of emerging AI technologies
* Set technical direction, influence AI standards, and align AI initiatives with broader business and technology goals
**What We’re Looking For** 
* Bachelor’s degree in Computer Science, Data Science, Artificial Intelligence, or a related field (or equivalent practical experience)
* 8\+ years of experience in AI or software engineering, with deep specialization in Generative AI and cloud\-based architectures
* Expert\-level programming skills in Python and .NET technologies, including C\#
* Extensive hands\-on experience with modern GenAI frameworks, orchestration tools, vector databases, and RAG architectures
* Strong understanding of leading large language models and multimodal AI systems
* Experience designing cloud\-native solutions using containers, infrastructure as code, and scalable API\-based architectures
* Proven expertise in CI/CD pipelines, automated testing, and production\-grade AI deployments
* Strong knowledge of responsible and ethical AI practices, including bias mitigation, evaluation, and performance benchmarking
* Demonstrated leadership, mentorship, and ability to influence technical strategy at an enterprise level</t>
        </is>
      </c>
    </row>
    <row r="64">
      <c r="A64" t="inlineStr">
        <is>
          <t>li-4365161102</t>
        </is>
      </c>
      <c r="B64" t="inlineStr">
        <is>
          <t>Staff Machine Learning Engineer - Marketplace Pricing</t>
        </is>
      </c>
      <c r="C64" t="inlineStr">
        <is>
          <t>Uber</t>
        </is>
      </c>
      <c r="D64" t="inlineStr">
        <is>
          <t>linkedin</t>
        </is>
      </c>
      <c r="E64">
        <f>HYPERLINK("https://www.linkedin.com/jobs/view/4365161102", "https://www.linkedin.com/jobs/view/4365161102")</f>
        <v/>
      </c>
      <c r="F64" t="inlineStr"/>
      <c r="G64" t="inlineStr">
        <is>
          <t>San Francisco, CA</t>
        </is>
      </c>
      <c r="H64" t="inlineStr"/>
      <c r="I64"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Drive technical strategy and roadmap ownership over a 1\+ year horizon and own the implementation, including platform\-level architecture decisions, executive communication and alignment, technical mentorship, and cross\-team technical influence
* Lead the design, development, and productionization of end\-to\-end ML solutions for large\-scale distributed systems serving billions of trips
* Develop novel pricing approaches for online marketplaces combining machine learning, algorithmic game theory, and optimization to provide earnings opportunities for millions of drivers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6\+ years experience leading the development and deployment of ML models and optimization algorithms in large\-scale production environments at top\-tier ML companies (e.g. 1M\+ predictions/sec or 100M\+ users). Track record of delivering outstanding business impact over multiple quarters
* Proficiency in programming languages such as Python, Scala, Java, or Go
* Proficiency with large\-scale data systems (e.g. Spark, Ray), real\-time processing (e.g. Flink), and microservices architectures
* Proficiency in the development, training, productionization and monitoring of ML solutions at scale, ranging from offline pipelines to online serving and MLOps
* Experience in developing and deploying pricing algorithms for multi\-sided real\-time marketplaces with strategic agent behavior
* Deep understanding of modern ML algorithms (e.g. DNNs, multi\-task models, transformers) and mathematical optimization (e.g. multi\-objective, LP, convex optimization)
**Preferred Qualifications**
* Experience developing multi\-year technical strategies and cross\-team platform architecture, and proficiency owning technical roadmap and leading complex technical projects while substantially influencing the scope and output of others
* Track record of translating complex business problems into technical solutions and driving multi\-functional projects across multiple teams
* Excellent communication skills to lead initiatives across multiple product areas and collaborate effectively with cross\-functional teams
* Proficiency in reinforcement learning and causal machine learning
 For New York, NY\-based roles: The base salary range for this role is USD$223,000 per year \- USD$248,000 per year. For San Francisco, CA\-based roles: The base salary range for this role is USD$223,000 per year \- USD$248,000 per year. For Seattle, WA\-based roles: The base salary range for this role is USD$223,000 per year \- USD$248,000 per year. For Sunnyvale, CA\-based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USD$223,000 per year \- USD$248,000 per year. For San Francisco, CA\-based roles: The base salary range for this role is USD$223,000 per year \- USD$248,000 per year. For Seattle, WA\-based roles: The base salary range for this role is USD$223,000 per year \- USD$248,000 per year. For Sunnyvale, CA\-based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5">
      <c r="A65" t="inlineStr">
        <is>
          <t>li-4365114901</t>
        </is>
      </c>
      <c r="B65" t="inlineStr">
        <is>
          <t>Gen AI Engineer cum lead</t>
        </is>
      </c>
      <c r="C65" t="inlineStr">
        <is>
          <t>Inherent Technologies</t>
        </is>
      </c>
      <c r="D65" t="inlineStr">
        <is>
          <t>linkedin</t>
        </is>
      </c>
      <c r="E65">
        <f>HYPERLINK("https://www.linkedin.com/jobs/view/4365114901", "https://www.linkedin.com/jobs/view/4365114901")</f>
        <v/>
      </c>
      <c r="F65">
        <f>HYPERLINK("https://www.adzuna.com/details/5593107527?v=FC124AEC8EB1E893ADBD46C95383C91F16E8A5BC&amp;ccd=2254fd30c87d740fc0adc2e00cdf9eb7&amp;r=21106765&amp;frd=701144d635538e8d3c64a0ea58b89294&amp;utm_source=linkedin7&amp;utm_medium=organic&amp;chnlid=1931&amp;title=Gen%20AI%20Engineer%20cum%20lead&amp;a=e&amp;urlHash=oZn1", "https://www.adzuna.com/details/5593107527?v=FC124AEC8EB1E893ADBD46C95383C91F16E8A5BC&amp;ccd=2254fd30c87d740fc0adc2e00cdf9eb7&amp;r=21106765&amp;frd=701144d635538e8d3c64a0ea58b89294&amp;utm_source=linkedin7&amp;utm_medium=organic&amp;chnlid=1931&amp;title=Gen%20AI%20Engineer%20cum%20lead&amp;a=e&amp;urlHash=oZn1")</f>
        <v/>
      </c>
      <c r="G65" t="inlineStr">
        <is>
          <t>Washington, DC</t>
        </is>
      </c>
      <c r="H65" t="inlineStr"/>
      <c r="I65" t="inlineStr">
        <is>
          <t>**Position: Gen AI Engineer cum lead**
**Location: Remote/Dallas, TX (Onsite once in a Month)**
 Gen AI Engineer cum lead
 over all 10 years' experience.</t>
        </is>
      </c>
    </row>
    <row r="66">
      <c r="A66" t="inlineStr">
        <is>
          <t>li-4365123543</t>
        </is>
      </c>
      <c r="B66" t="inlineStr">
        <is>
          <t>Senior Machine Learning Engineer</t>
        </is>
      </c>
      <c r="C66" t="inlineStr">
        <is>
          <t>Harnham</t>
        </is>
      </c>
      <c r="D66" t="inlineStr">
        <is>
          <t>linkedin</t>
        </is>
      </c>
      <c r="E66">
        <f>HYPERLINK("https://www.linkedin.com/jobs/view/4365123543", "https://www.linkedin.com/jobs/view/4365123543")</f>
        <v/>
      </c>
      <c r="F66" t="inlineStr"/>
      <c r="G66" t="inlineStr">
        <is>
          <t>New York, United States</t>
        </is>
      </c>
      <c r="H66" t="inlineStr"/>
      <c r="I66" t="inlineStr">
        <is>
          <t>**Machine Learning Engineer – ML Infrastructure (NYC, Hybrid)** 
 A fast‑growing AI team inside a major national healthcare technology organisation is hiring Machine Learning Engineers in NYC. This group combines startup speed with enterprise‑scale impact, building the ML systems that power healthcare’s first AI\-driven Revenue Operating System.
**The Role** 
 You’ll own core ML infrastructure that accelerates research: experiment tracking, benchmarking, training pipelines, distributed compute, and deployment standards. You’ll work closely with researchers and platform teams to take models from prototype to production quickly and safely.
**What You’ll Work On** 
* ML dev environment, experimentation \&amp; benchmarking tools
* Distributed compute: Ray, Airflow, Kubernetes
* Training \&amp; inference pipelines
* Handoff contracts and performance gates
* Agentic workflow/LLM agent orchestration
**What We’re Looking For** 
* 5\+ years software engineering, 2\+ years ML engineering
* Strong experience with ML infrastructure or internal tooling
* Background with distributed systems and model deployment
* Comfortable in fast\-moving research\-to\-production environments
* Based in NYC — hybrid, 3 days per week in office
**Why Join** 
* Top\-of\-market comp (salary \+ equity)
* Huge technical ownership
* Mission\-driven AI work with real\-world impact
* Hybrid culture with a high\-calibre engineering team</t>
        </is>
      </c>
    </row>
    <row r="67">
      <c r="A67" t="inlineStr">
        <is>
          <t>li-4362096964</t>
        </is>
      </c>
      <c r="B67" t="inlineStr">
        <is>
          <t>Gen AI Engineer</t>
        </is>
      </c>
      <c r="C67" t="inlineStr">
        <is>
          <t>Tata Consultancy Services</t>
        </is>
      </c>
      <c r="D67" t="inlineStr">
        <is>
          <t>linkedin</t>
        </is>
      </c>
      <c r="E67">
        <f>HYPERLINK("https://www.linkedin.com/jobs/view/4362096964", "https://www.linkedin.com/jobs/view/4362096964")</f>
        <v/>
      </c>
      <c r="F67">
        <f>HYPERLINK("https://ibegin.tcsapps.com/candidate/jobs/392284J&amp;urlHash=cZss", "https://ibegin.tcsapps.com/candidate/jobs/392284J&amp;urlHash=cZss")</f>
        <v/>
      </c>
      <c r="G67" t="inlineStr">
        <is>
          <t>Frederick, MD</t>
        </is>
      </c>
      <c r="H67" t="inlineStr"/>
      <c r="I67" t="inlineStr">
        <is>
          <t>**Job Description**
 Job description:
 We are seeking an AI Engineer specializing in Generative AI and Agentic AI systems. This role focuses on designing, developing, and operationalizing intelligent AI agents, Large Language Model (LLM)\-based applications, Retrieval\-Augmented Generation (RAG) systems, and autonomous multi\-agent workflows.
 Key Responsibilities
* GenAI Development \&amp; LLM Engineering
* Build and deploy LLM\-based applications leveraging frameworks like LangChain.
* Develop RAG pipelines using vector databases for enterprise knowledge retrieval.
* Develop data pipelines to create structured and unstructured datasets for LLM and agent workflows.
* Optimize prompts, system instructions, and memory architectures for robust, domain\-specific reasoning.
* Evaluate model performance—accuracy, hallucination mitigation, latency, and safety compliance.
* Agentic AI Design \&amp; Autonomous Workflow Engineering
* Implement agentic systems capable of planning, reasoning, tool usage, and multi\-step decision\-making.
* Build multi\-agent ecosystems (task agents, planning agents, critic agents, evaluation agents) to automate complex workflows.
* Integrate agents with APIs, enterprise systems, and external tools to create end\-to\-end autonomous solutions.
* Ensure agent alignment with Responsible AI principles—traceability, guardrails, human oversight.
* AI Systems Integration \&amp; Deployment
* Build scalable microservices and APIs for GenAI and agentic components.
* Deploy models and agents using Azure ML or Kubernetes\-based stacks.
* Collaboration \&amp; Influence
* Engage with business and product stakeholders to convert ambiguous use cases into technical solutions.
* Support internal capability building—AI best practices, prompt engineering, GenAI safety, and evaluation frameworks.
**Required Skills \&amp; Qualifications**
* Strong hands\-on expertise in Python, LLM frameworks, and ML/DL libraries (Transformers, PyTorch, TensorFlow, scikit\-learn).
* Experience with API development, microservices, Docker, and Kubernetes.
* Experience building RAG systems with vector databases and embeddings.
* Experience with agentic frameworks or building custom autonomous agents.
* Strong understanding of LLM safety, hallucination mitigation, and evaluation techniques.
* Cloud proficiency in Azure (or any other hyperscalers \- AWS, GCP etc)
 Soft Skills
* Strong analytical reasoning, problem\-solving, and design thinking skills.
* Comfortable working in fast\-paced, agile, innovation\-driven environments.
* Curiosity and a passion for emerging AI research, prototyping, and experimentation.
 Salary Range: $100,000 to $115,000 per year
**Qualifications:** 
 BACHELOR OF COMPUTER SCIENCE</t>
        </is>
      </c>
    </row>
    <row r="68">
      <c r="A68" t="inlineStr">
        <is>
          <t>li-4362550816</t>
        </is>
      </c>
      <c r="B68" t="inlineStr">
        <is>
          <t>Founding AI Engineer</t>
        </is>
      </c>
      <c r="C68" t="inlineStr">
        <is>
          <t>Fonzi AI</t>
        </is>
      </c>
      <c r="D68" t="inlineStr">
        <is>
          <t>linkedin</t>
        </is>
      </c>
      <c r="E68">
        <f>HYPERLINK("https://www.linkedin.com/jobs/view/4362550816", "https://www.linkedin.com/jobs/view/4362550816")</f>
        <v/>
      </c>
      <c r="F68" t="inlineStr"/>
      <c r="G68" t="inlineStr"/>
      <c r="H68" t="inlineStr"/>
      <c r="I68" t="inlineStr">
        <is>
          <t>**Join Fonzi Match Day: The Marketplace for Engineers!** 
 Fonzi Match Day is where exceptional engineers connect with AI startups and high\-growth tech companies building the future in AI. Let 30\+ pre\-vetted NYC and San Francisco companies compete for your talent. The companies on Fonzi are building agentic systems, deploying LLMs in production, and solving real technical challenges.
 Fonzi is your filter for what's actually interesting in AI right now, not another job board.
 How Match Day works:
* 2\-minute application process
* We reach out to help create your profile and handle scheduling and coordination
* Hiring managers review a curated group of engineers and request interviews with candidates
* Companies submit competing offers directly to you
* Interview only with opportunities that genuinely excite you
* Completely free \+ incentives for engineers
**Must Haves:** 
* 4\+ years building products from 0\-1
* Full\-stack technical expertise (React, TypeScript, Python, Node.js, AWS/GCP)
* Startup experience or strong product ownership at scale
* Track record shipping user\-facing features that drive business impact
* Thrives in ambiguous, high\-velocity environments
**Ideal Profiles:** 
* Senior/Staff Engineers from high\-growth startups seeking founding roles
* FAANG engineers ready to build from the ground up
* Technical leaders who want equity upside and product ownership
* Engineers who've worn multiple hats and love solving diverse technical challenges
**What You'll Build:** 
* Core product architecture and technical foundations
* User\-facing applications serving millions
* AI\-powered features and integrations
* Scalable systems from MVP to enterprise\-grade
**Exceptional engineers know exceptional engineers. Share this with your network!**</t>
        </is>
      </c>
    </row>
    <row r="69">
      <c r="A69" t="inlineStr">
        <is>
          <t>li-4362117304</t>
        </is>
      </c>
      <c r="B69" t="inlineStr">
        <is>
          <t>Senior AI/ML Engineer - AskPromptAI</t>
        </is>
      </c>
      <c r="C69" t="inlineStr">
        <is>
          <t>AskPromptAI</t>
        </is>
      </c>
      <c r="D69" t="inlineStr">
        <is>
          <t>linkedin</t>
        </is>
      </c>
      <c r="E69">
        <f>HYPERLINK("https://www.linkedin.com/jobs/view/4362117304", "https://www.linkedin.com/jobs/view/4362117304")</f>
        <v/>
      </c>
      <c r="F69" t="inlineStr"/>
      <c r="G69" t="inlineStr">
        <is>
          <t>Houston, TX</t>
        </is>
      </c>
      <c r="H69" t="inlineStr"/>
      <c r="I69" t="inlineStr">
        <is>
          <t>**Company Description** 
 AskPromptAI is an artificial intelligence platform dedicated to the automation of prompt optimization, allowing AI models to reach their maximum potential. Our platform empowers users to create efficient prompts, resulting in improved AI performance across various applications. We serve businesses and individuals aiming to enhance their AI workflows, reduce costs, and achieve exceptional outcomes. Our mission is to help unlock new possibilities through innovative AI solutions.
**Role Description** 
 This is a full\-time remote role for a Senior AI/ML Engineer for one of our biggest clients in CogniTech Solutions.
**To apply** 
* Check it out for this in
**Jobs** 
 .
**Qualifications** 
* Proficiency in Machine Learning, including expertise in Pattern Recognition and understanding of Neural Networks
* Strong foundations in Computer Science and Statistics
* Experience in Algorithm design and development
* Proficiency in programming languages such as Python, R, or other relevant languages
* Experience with cloud platforms like AWS, Azure, or Google Cloud for deploying ML solutions
* Strong problem\-solving skills and innovative thinking
* Master's or PhD in Computer Science, Mathematics, Statistics, or a related field is preferred
* Experience in AI/ML in production\-grade systems is a plus
**Link** 
 \- https://askpromptai.com/free\-ai\-video\-generator
**Task** 
 \-If you can fix the text\-to\-video generation, we can definitely work out something together as a part. Use our AI and give us feedback.</t>
        </is>
      </c>
    </row>
    <row r="70">
      <c r="A70" t="inlineStr">
        <is>
          <t>li-4365145099</t>
        </is>
      </c>
      <c r="B70" t="inlineStr">
        <is>
          <t>Staff AI/ML Engineer, AV Pipelines &amp; Lineage</t>
        </is>
      </c>
      <c r="C70" t="inlineStr">
        <is>
          <t>General Motors</t>
        </is>
      </c>
      <c r="D70" t="inlineStr">
        <is>
          <t>linkedin</t>
        </is>
      </c>
      <c r="E70">
        <f>HYPERLINK("https://www.linkedin.com/jobs/view/4365145099", "https://www.linkedin.com/jobs/view/4365145099")</f>
        <v/>
      </c>
      <c r="F70" t="inlineStr"/>
      <c r="G70" t="inlineStr">
        <is>
          <t>Sunnyvale, CA</t>
        </is>
      </c>
      <c r="H70" t="inlineStr"/>
      <c r="I70" t="inlineStr">
        <is>
          <t>**Job Description**
**The Role:**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**What You’ll Do**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**Your Skills \&amp; Abilities (Required Qualifications)**
* 8\+ years of experience, with a strong background in large\-scale distributed systems preferred.
* 3\+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**What Will Give You a Competitive Edge (Preferred Qualifications)**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$172,420 to $297,500\.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1">
      <c r="A71" t="inlineStr">
        <is>
          <t>li-4365143228</t>
        </is>
      </c>
      <c r="B71" t="inlineStr">
        <is>
          <t>Staff AI/ML Engineer, AV Pipelines &amp; Lineage</t>
        </is>
      </c>
      <c r="C71" t="inlineStr">
        <is>
          <t>General Motors</t>
        </is>
      </c>
      <c r="D71" t="inlineStr">
        <is>
          <t>linkedin</t>
        </is>
      </c>
      <c r="E71">
        <f>HYPERLINK("https://www.linkedin.com/jobs/view/4365143228", "https://www.linkedin.com/jobs/view/4365143228")</f>
        <v/>
      </c>
      <c r="F71" t="inlineStr"/>
      <c r="G71" t="inlineStr">
        <is>
          <t>Mountain View, CA</t>
        </is>
      </c>
      <c r="H71" t="inlineStr"/>
      <c r="I71" t="inlineStr">
        <is>
          <t>**Job Description**
**The Role:**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**What You’ll Do**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**Your Skills \&amp; Abilities (Required Qualifications)**
* 8\+ years of experience, with a strong background in large\-scale distributed systems preferred.
* 3\+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**What Will Give You a Competitive Edge (Preferred Qualifications)**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$172,420 to $297,500\.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2">
      <c r="A72" t="inlineStr">
        <is>
          <t>li-4362143981</t>
        </is>
      </c>
      <c r="B72" t="inlineStr">
        <is>
          <t>AI Engineer</t>
        </is>
      </c>
      <c r="C72" t="inlineStr">
        <is>
          <t>Jobs via Dice</t>
        </is>
      </c>
      <c r="D72" t="inlineStr">
        <is>
          <t>linkedin</t>
        </is>
      </c>
      <c r="E72">
        <f>HYPERLINK("https://www.linkedin.com/jobs/view/4362143981", "https://www.linkedin.com/jobs/view/4362143981")</f>
        <v/>
      </c>
      <c r="F72">
        <f>HYPERLINK("https://click.appcast.io/t/qEg8_OxabwAQyTFcl8swfBk7t0OKibrsEY9CHAQQjXg=&amp;urlHash=R92h", "https://click.appcast.io/t/qEg8_OxabwAQyTFcl8swfBk7t0OKibrsEY9CHAQQjXg=&amp;urlHash=R92h")</f>
        <v/>
      </c>
      <c r="G72" t="inlineStr"/>
      <c r="H72" t="inlineStr"/>
      <c r="I72" t="inlineStr">
        <is>
          <t>Dice is the leading career destination for tech experts at every stage of their careers. Our client, AIT Global, Inc., is seeking the following. Apply via Dice today!
**Job Title: AI Engineer
 Location: Remote**
**Job Description:**
 We are seeking a skilled AI Engineer to support a state government client. This role is primarily remote (East Coast hours) with occasional visits to the client office as required. The ideal candidate has hands\-on experience building and deploying AI/ML solutions, strong communication skills, and the ability to work with large, complex datasets in a regulated environment.
**Key Responsibilities:**
* Design, develop, and deploy AI/ML models for state government and enterprise use cases
* Work with structured and unstructured data to build scalable AI solutions
* Perform data preprocessing, feature engineering, model training, validation, and tuning
* Collaborate with cross\-functional teams including data engineers, product managers, and client stakeholders
* Translate business and program requirements into AI\-driven solutions
* Monitor, maintain, and improve model performance in production
* Ensure compliance with data privacy, security, and regulatory standards
* Participate in meetings during East Coast business hours and attend onsite sessions when required
**Required Qualifications:**
* 4 5 years of experience as an AI Engineer / Machine Learning Engineer
* Strong proficiency in Python and ML frameworks (TensorFlow, PyTorch, Scikit\-learn)
* Solid understanding of machine learning algorithms, model evaluation, and deployment practices
* Experience integrating ML models into production systems
* Strong analytical, problem\-solving, and communication skills
* Ability to work effectively in a remote environment with government or enterprise clients</t>
        </is>
      </c>
    </row>
    <row r="73">
      <c r="A73" t="inlineStr">
        <is>
          <t>li-4362134613</t>
        </is>
      </c>
      <c r="B73" t="inlineStr">
        <is>
          <t>AI Engineer (Agentic AI &amp; LLM Platforms)</t>
        </is>
      </c>
      <c r="C73" t="inlineStr">
        <is>
          <t>Jobs via Dice</t>
        </is>
      </c>
      <c r="D73" t="inlineStr">
        <is>
          <t>linkedin</t>
        </is>
      </c>
      <c r="E73">
        <f>HYPERLINK("https://www.linkedin.com/jobs/view/4362134613", "https://www.linkedin.com/jobs/view/4362134613")</f>
        <v/>
      </c>
      <c r="F73" t="inlineStr"/>
      <c r="G73" t="inlineStr">
        <is>
          <t>Denver, CO</t>
        </is>
      </c>
      <c r="H73" t="inlineStr"/>
      <c r="I73" t="inlineStr">
        <is>
          <t>Dice is the leading career destination for tech experts at every stage of their careers. Our client, Daten Technology Solutions, is seeking the following. Apply via Dice today!
**Role Summary**
 We are seeking a
 **Full Stack AI Engineer** 
 to design, build, and deploy next\-generation
 **agentic AI applications** 
 leveraging Large Language Models (LLMs), multi\-agent orchestration frameworks, and cloud\-native AWS services. This role requires deep expertise in Python\-based AI backends, LLM fine\-tuning and integration, modern frontend frameworks, and scalable AWS deployments.
 The ideal candidate will operate across the
 **entire AI application lifecycle** 
 from model fine\-tuning and agent workflow design to frontend development and production\-grade cloud deployment.
**Key Responsibilities**
**AI / Agentic Systems**
* Design and implement multi\-agent pipeline systems for complex reasoning, orchestration, and task execution.
* Develop and manage agentic workflows using frameworks such as LangChain, AWS Strands, or similar.
* Fine\-tune and adapt LLMs using custom enterprise data on AWS Bedrock and/or OpenAI platforms.
* Implement advanced prompt engineering strategies for task decomposition, tool calling, and agent collaboration.
**Backend Engineering**
* Build and maintain Python\-based backend APIs using Flask or FastAPI.
* Integrate LLM inference, vector search, memory, and agent logic into scalable backend services.
* Develop ML pipelines for data preprocessing, embedding generation, evaluation, and inference.
* Read, analyze, and interface with existing Java\-based services or codebases as required.
**Frontend Development**
* Develop intuitive and responsive web interfaces using React.js or Vue.js.
* Integrate frontend components with AI\-driven backend APIs for real\-time inference and agent interactions.
* Collaborate with UX and product teams to translate AI workflows into usable customer experiences.
**Cloud \&amp; Deployment**
* Deploy and operate full\-stack AI applications on AWS, leveraging:
+ AWS Bedrock for LLM access and fine\-tuning
+ S3 for data and artifact storage
+ Lambda for serverless workflows
+ EC2 for scalable compute workloads
* Implement secure, scalable, and cost\-optimized cloud architectures.
* Support CI/CD pipelines and production monitoring for AI services.
**Required Skills**
**AI / ML**
* Hands\-on experience with LLM fine\-tuning and inference (AWS Bedrock, OpenAI).
* Strong expertise in AI agent development and prompt engineering.
* Experience building production\-grade GenAI applications.
**Agent Frameworks**
* Practical experience with LangChain, AWS Strands, or equivalent agent orchestration frameworks.
**Backend Development**
* Expert\-level Python skills.
* Experience with Flask/FastAPI, ML pipelines, and large\-scale data processing.
* Ability to read and analyze Java code for integration or enhancement.
**Frontend**
* Strong working knowledge of React.js or Vue.js.
* Experience building AI\-integrated web applications.
**Cloud (AWS)**
* Hands\-on experience with AWS Bedrock, S3, Lambda, EC2\.
* Understanding of cloud security, scalability, and performance best practices.
**Nice\-to\-Have Skills**
* Deep experience in GenAI application development beyond PoCs.
* Exposure to multi\-agent system architectures in production environments.
* Experience designing agentic workflows for enterprise\-scale use cases.
* Familiarity with vector databases, embeddings, and retrieval\-augmented generation (RAG).
* MLOps and model evaluation experience.</t>
        </is>
      </c>
    </row>
    <row r="74">
      <c r="A74" t="inlineStr">
        <is>
          <t>li-4362153113</t>
        </is>
      </c>
      <c r="B74" t="inlineStr">
        <is>
          <t>AI/ML Engineer (W2 Requirement)</t>
        </is>
      </c>
      <c r="C74" t="inlineStr">
        <is>
          <t>Jobs via Dice</t>
        </is>
      </c>
      <c r="D74" t="inlineStr">
        <is>
          <t>linkedin</t>
        </is>
      </c>
      <c r="E74">
        <f>HYPERLINK("https://www.linkedin.com/jobs/view/4362153113", "https://www.linkedin.com/jobs/view/4362153113")</f>
        <v/>
      </c>
      <c r="F74" t="inlineStr"/>
      <c r="G74" t="inlineStr"/>
      <c r="H74" t="inlineStr"/>
      <c r="I74" t="inlineStr">
        <is>
          <t>Dice is the leading career destination for tech experts at every stage of their careers. Our client, 3BEES TECHNOLOGIES INC, is seeking the following. Apply via Dice today!
**Role: AI/ML Engineer (W2 Requirement)**
**Location: Remote**
**Duration: Long term**
**Need 8\+ years of experienced candidates.**
**Job Description:**
* Hands on with designing end to end scalable ML system (should have worked on recent projects within last 12 months)
* Hands on with implementation of scalable ML system. Proven ownership across entire or partial ML and MLOps lifecycle:
* Evaluation Techniques
* Machine Learning Algorithms
* Statistical Modeling
* End to end deployment
* Metric generation
* Model monitoring and deployment
* Prompt Engineering
* Hand on with ML Model optimization \- quantization, pruning, or speculative decoding etc.
* Hand on with ML Model system optimizations i.e. ability to quickly identify bottlenecks and resolve them from System perspective
* Programming \&amp; Frameworks: Hands on and have worked on recent projects (within last 12months) in:
* Java
* library/dependency management
* Package and distribution management
* Algorithms
* Python
* Tensorflow / PyTorch
* Knowledge of DevOps principles and tools (e.g., CI/CD pipelines, Terraform).
* Strong understanding of containerization technologies (e.g., Docker, Kubernetes).
**Job responsibilities:**
* Google Cloud Platform ML Tech stack
* Experienced with Infrastructure as Code (IaC)
* Experience with big data technologies such as Apache Spark or Hadoop.
* Stay informed about the ethical implications of machine learning eg: selection bias
* Model Training
* Data Analytics \- figure out anomalies, skew , discrepancies
* Hands on with developing on device</t>
        </is>
      </c>
    </row>
    <row r="75">
      <c r="A75" t="inlineStr">
        <is>
          <t>li-4362500203</t>
        </is>
      </c>
      <c r="B75" t="inlineStr">
        <is>
          <t>Senior ML Engineer</t>
        </is>
      </c>
      <c r="C75" t="inlineStr">
        <is>
          <t>Jobs via Dice</t>
        </is>
      </c>
      <c r="D75" t="inlineStr">
        <is>
          <t>linkedin</t>
        </is>
      </c>
      <c r="E75">
        <f>HYPERLINK("https://www.linkedin.com/jobs/view/4362500203", "https://www.linkedin.com/jobs/view/4362500203")</f>
        <v/>
      </c>
      <c r="F75" t="inlineStr"/>
      <c r="G75" t="inlineStr">
        <is>
          <t>Penn, PA</t>
        </is>
      </c>
      <c r="H75" t="inlineStr"/>
      <c r="I75" t="inlineStr">
        <is>
          <t>Duration: 2\+ Months
 Location: PA\-Philadelphia, Hybrid 3\-4 days onsite
 Overview: Every Turnberry consultant belongs to a practice, an internal group of consultants and leaders with shared experience and expertise. Each of these practices aligns to one of the core services Turnberry offers to clients. As a Senior ML Engineer, you will join Turnberry's Data Strategy and Intelligence practice and service. This service provides insights into company data, advanced analytics solutions, robust data governance, and tailored solutions for specific data challenges.
 Responsibilities:
 Model Deployment and Serving: Design and maintain production ML inference pipelines with focus on reliability, latency, and scalability
 Data Engineering: Build and optimize data pipelines using PySpark and Redshift for feature engineering and model training
 Local LLM Infrastructure: Deploy, fine\-tune, and optimize local LLMs using Ollama and similar frameworks
 MLOps: Establish and improve ML workflows using MLflow for experiment tracking, model registry, and deployment automation
 Team Leadership: Mentor ML team members, drive technical decisions, and establish engineering best practices
 Cross\-functional Collaboration: Work closely with SRE team on infrastructure, monitoring, and incident response for ML systems
 Qualifications:
 5\+ years in ML engineering with production deployment experience
 Strong Python proficiency
 Hands\-on experience with MLflow (or equivalent: Kubeflow, SageMaker)
 Experience building data pipelines with PySpark
 Working knowledge of data warehouses (Redshift preferred)
 Experience deploying and serving ML models at scale
 Familiarity with containerization and orchestration
 Preferred Qualifications:
 Experience with local LLM deployment (Ollama, vLLM, llama.cpp)
 Background in SRE/DevOps practices for ML systems
 Experience with AWS ML services (SageMaker, Bedrock)
 Contributions to open\-source ML tools
 The salary range for this role is $135,000 to $195,000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inclusion is one of our core values. We are committed to creating a positive and connected work environment for all and are fully invested in and focused on hiring and growing a diverse team of high performers. We believe that uniqueness in ideas, experiences, and backgrounds make us a better Turnberry: Turnberry is an Equal Employment Opportunity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Americans with Disabilities Act (ADA)
 Turnberry will provide reasonable accommodation with our application process upon request as required to comply with applicable laws. If you have a disability and require accommodation assistance in this application process, please send an email to our Human Resources department at</t>
        </is>
      </c>
    </row>
    <row r="76">
      <c r="A76" t="inlineStr">
        <is>
          <t>li-4362181294</t>
        </is>
      </c>
      <c r="B76" t="inlineStr">
        <is>
          <t>AI Engineer (Python | LLM | RAG | Agentic AI)</t>
        </is>
      </c>
      <c r="C76" t="inlineStr">
        <is>
          <t>Jobs via Dice</t>
        </is>
      </c>
      <c r="D76" t="inlineStr">
        <is>
          <t>linkedin</t>
        </is>
      </c>
      <c r="E76">
        <f>HYPERLINK("https://www.linkedin.com/jobs/view/4362181294", "https://www.linkedin.com/jobs/view/4362181294")</f>
        <v/>
      </c>
      <c r="F76" t="inlineStr"/>
      <c r="G76" t="inlineStr">
        <is>
          <t>Atlanta, GA</t>
        </is>
      </c>
      <c r="H76" t="inlineStr"/>
      <c r="I76" t="inlineStr">
        <is>
          <t>Dice is the leading career destination for tech experts at every stage of their careers. Our client, Learn Beyond Consulting LLC, is seeking the following. Apply via Dice today!
**Role:** 
 AI Engineer (Python \| LLM \| RAG \| Agentic AI)
**Location:** 
 Atlanta, GA (Hybrid Day 1 onsite, 3 days/week)
**Experience:** 
 5 8 years
**Employment:** 
 W2 \&amp; C2C
**Visa:** 
 preferred
 Key Responsibilities:
* Design and develop LLM\-powered applications using Python
* Build and optimize RAG pipelines using vector databases
* Implement agentic AI workflows and multi\-agent systems
* Integrate LLMs with enterprise data sources and APIs
* Optimize prompts, embeddings, and inference performance
* Collaborate with product and engineering teams onsite
 Key Skills Required:
* Strong Python development experience
* Hands\-on experience with LLMs (OpenAI, Azure OpenAI, etc.)
* RAG architectures and vector databases (Pinecone, FAISS, Chroma)
* Agentic AI frameworks (LangChain, LlamaIndex, CrewAI, AutoGen)
* Prompt engineering and LLM orchestration
 Nice to Have:
* Cloud exposure (AWS / Azure / Google Cloud Platform)
* Experience deploying GenAI solutions to production
* MLOps or CI/CD exposure
* Prior onsite/hybrid enterprise project experience
 If you are interested, please share:
* Updated resume
* Visa status
* Current location (local Atlanta preferred)
* Availability for onsite work</t>
        </is>
      </c>
    </row>
    <row r="77">
      <c r="A77" t="inlineStr">
        <is>
          <t>li-4362107675</t>
        </is>
      </c>
      <c r="B77" t="inlineStr">
        <is>
          <t>Gen AI Engineer</t>
        </is>
      </c>
      <c r="C77" t="inlineStr">
        <is>
          <t>Jobs via Dice</t>
        </is>
      </c>
      <c r="D77" t="inlineStr">
        <is>
          <t>linkedin</t>
        </is>
      </c>
      <c r="E77">
        <f>HYPERLINK("https://www.linkedin.com/jobs/view/4362107675", "https://www.linkedin.com/jobs/view/4362107675")</f>
        <v/>
      </c>
      <c r="F77" t="inlineStr"/>
      <c r="G77" t="inlineStr">
        <is>
          <t>Atlanta, GA</t>
        </is>
      </c>
      <c r="H77" t="inlineStr"/>
      <c r="I77" t="inlineStr">
        <is>
          <t>Dice is the leading career destination for tech experts at every stage of their careers. Our client, VDart, Inc., is seeking the following. Apply via Dice today!
**Job Title:** 
**Gen AI Engineer**
**Location:** 
**Atlanta, GA**
**Duration:** 
 6\+ months
**Term:** 
 Contract
**Job Description:**
**Experience Desired:** 
 7\+ Years.
**Required Skills \&amp; Experience:**
* Semantic Search \&amp; LLM Platforms Job Summary We are looking for a Generative AI Engineer to design, build, and scale an enterprise AI\-powered semantic search platform for API discovery and knowledge retrieval.
* The role focuses on developing LLM\-driven search, RAG pipelines, and cloud\-native AI services that enable natural language interaction with large\-scale technical repositories.
* The ideal candidate has strong hands\-on experience with LLMs, embeddings, vector databases, FastAPI microservices, and multi\-cloud AI deployments, and is passionate about building reliable, production\-grade GenAI systems.
**Key Responsibilities**
* Design and implement AI\-powered semantic search solutions for large\-scale API and technical documentation repositories.
* Develop Retrieval\-Augmented Generation (RAG) pipelines using OpenAI embeddings, LangChain, LangGraph, and vector databases (FAISS, pgvector).
* Build and maintain FastAPI\-based microservices for LLM\-powered search, summarization, and inference with secure authentication (JWT).
* Create and manage data ingestion and indexing pipelines, including document chunking, metadata extraction, embedding generation, and vector refresh workflows. Implement multi\-cloud LLM integration and routing across Azure OpenAI, AWS Bedrock, and GPT\-4 with fault\-tolerant fallback mechanisms.
* Apply grounding techniques and hallucination mitigation strategies to improve response accuracy and reliability.
* Define and track RAG and LLM evaluation metrics such as precisionk, grounding score, latency, and hallucination rate. Integrate monitoring, logging, and observability using LangSmith and OpenTelemetry for model performance and system health.
* Deploy and scale AI services using cloud\-native architectures (AWS Lambda, ECS Fargate, API Gateway, DynamoDB, S3\).
* Collaborate with UI/UX and platform teams to deliver intuitive interfaces for natural\-language API discovery.
* Contribute to CI/CD pipelines to enable automated testing, deployment, and versioning of AI services.
**Key Skills:**
 Machine Learning, Multi\-cloud ai Deployments, semantic search, llms, Embeddings, Vector databases.</t>
        </is>
      </c>
    </row>
    <row r="78">
      <c r="A78" t="inlineStr">
        <is>
          <t>li-4365117953</t>
        </is>
      </c>
      <c r="B78" t="inlineStr">
        <is>
          <t>AWS Data &amp; AI Engineer, Senior</t>
        </is>
      </c>
      <c r="C78" t="inlineStr">
        <is>
          <t>Booz Allen Hamilton</t>
        </is>
      </c>
      <c r="D78" t="inlineStr">
        <is>
          <t>linkedin</t>
        </is>
      </c>
      <c r="E78">
        <f>HYPERLINK("https://www.linkedin.com/jobs/view/4365117953", "https://www.linkedin.com/jobs/view/4365117953")</f>
        <v/>
      </c>
      <c r="F78">
        <f>HYPERLINK("https://careers.boozallen.com/careers/JobDetail?jobId=119750&amp;source=JB-16500&amp;urlHash=m_cP", "https://careers.boozallen.com/careers/JobDetail?jobId=119750&amp;source=JB-16500&amp;urlHash=m_cP")</f>
        <v/>
      </c>
      <c r="G78" t="inlineStr">
        <is>
          <t>Washington, DC</t>
        </is>
      </c>
      <c r="H78" t="inlineStr"/>
      <c r="I78" t="inlineStr">
        <is>
          <t>**Job Number: R0232449**
 AWS Data \&amp; AI Engineer, Senior
**The Opportunity:**
 AI solutions only succeed when they are built on reliable data platforms and production\-ready ML workflows. As an AWS Data and AI Engineer, you’ll enable intelligent, scalable systems by engineering the data pipelines and machine learning foundations that move models from experimentation to mission\-ready deployment.
 In this role, you’ll focus on designing, building, and operationalizing machine learning solutions on AWS, with a strong emphasis on Amazon SageMaker. You’ll work alongside solution architects, data scientists, and application teams to deliver secure, scalable ML pipelines—supporting everything from data ingestion and feature engineering to model training, deployment, and monitoring in compliance\-driven federal environments.
 This role is ideal for an engineer who enjoys hands\-on development, building ML platforms, and growing into a senior AI or ML engineering role within AWS\-centric ecosystems.
 Work with us and help build the future of AI\-enabled systems in the Federal Government.
 Join us. The world can’t wait.
**You Have:**
* 4\+ years of experience as a data engineer, ML engineer, or software engineer working with data\-driven or ML\-enabled systems
* Experience designing and operating end\-to\-end ML workflows using Amazon SageMaker, including SageMaker Studio or Notebooks, training jobs and hyperparameter tuning, managed model endpoints and batch inference, SageMaker Pipelines, Model Registry, and experiment tracking
* Experience building data pipelines and feature engineering workflows using AWS services, such as S3, Glue, Redshift, EMR, Athena, or Lambda
* Experience with Python development for data processing and ML workloads and SQL
* Experience deploying and managing containerized ML workloads using Docker, ECR, and AWS\-managed compute
* Knowledge of ML frameworks and libraries commonly used with SageMaker, such as PyTorch, TensorFlow, scikit\-learn, or XGBoost
* Knowledge of MLOps concepts, including CI/CD for ML, model versioning, monitoring, and retraining
* Ability to obtain and maintain a Public Trust or Suitability/Fitness determination based on client requirements
* Bachelor’s degree in Computer Science, Engineering, or Data Science
* Ability to obtain an AWS Certification, such as AWS Machine Learning – Specialty or AWS Solutions Architect – Associate, within 3 months of start date
**Nice If You Have:**
* Experience implementing production MLOps pipelines using SageMaker Pipelines, Step Functions, or CI/CD tools
* Experience supporting FedRAMP or ATO\-driven cloud environments
* Experience operationalizing models developed by data scientists or research teams
* Experience working with OpenAI models or APIs, including integrating large language models into applications, building prompt\-based workflows, or supporting GenAI use cases
* Experience working in Agile or DevSecOps teams
* Knowledge of GenAI or foundation model workflows using SageMaker, such as JumpStart, managed foundation models, or custom LLM deployments
* Knowledge of IAM, VPC networking, encryption, and security controls for ML workloads in regulated environments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9">
      <c r="A79" t="inlineStr">
        <is>
          <t>li-4362134584</t>
        </is>
      </c>
      <c r="B79" t="inlineStr">
        <is>
          <t>Senior AI Engineer</t>
        </is>
      </c>
      <c r="C79" t="inlineStr">
        <is>
          <t>Jobs via Dice</t>
        </is>
      </c>
      <c r="D79" t="inlineStr">
        <is>
          <t>linkedin</t>
        </is>
      </c>
      <c r="E79">
        <f>HYPERLINK("https://www.linkedin.com/jobs/view/4362134584", "https://www.linkedin.com/jobs/view/4362134584")</f>
        <v/>
      </c>
      <c r="F79">
        <f>HYPERLINK("https://click.appcast.io/t/-kNN_12SnVVBa0dzY4oeXD_rqxOWCdd1oEMfMsHtU7U=&amp;urlHash=GMvM", "https://click.appcast.io/t/-kNN_12SnVVBa0dzY4oeXD_rqxOWCdd1oEMfMsHtU7U=&amp;urlHash=GMvM")</f>
        <v/>
      </c>
      <c r="G79" t="inlineStr">
        <is>
          <t>Atlanta, GA</t>
        </is>
      </c>
      <c r="H79" t="inlineStr"/>
      <c r="I79" t="inlineStr">
        <is>
          <t>Dice is the leading career destination for tech experts at every stage of their careers. Our client, VDart, Inc., is seeking the following. Apply via Dice today!
**Job Title:** 
 AI Engineer
**Location:** 
 Dallas, TX / Atlanta, GA
**Duration: / Term:** 
 6\+ months
**Job Description:**
**Experience Desired:** 
 8\+ Years.
**Key Required Skills**
 The candidate should be able to serve as the lead technical contributor for designing and deploying enterprise\-grade AI systems. This role demands a senior AI engineer who can handle high\-level architectural design and hands\-on implementation of complex agentic workflows. The candidate will be responsible for building the "AIObserve" ecosystem, ensuring that probabilistic AI outputs are translated into deterministic, secure, and high\-value business outcomes.
**Core Responsibilities**
- Architecting Agentic Systems: Design and implement multi\-agent systems using the Model Context Protocol (MCP) to enable seamless tool\-calling across platforms like Atlassian and GitHub.
- Enterprise RAG Implementation: Lead the development of sophisticated Retrieval\-Augmented Generation (RAG) layers, integrating vector databases like Milvus with enterprise knowledge bases (Jira/Confluence).
- Orchestration \&amp; Workflow Automation: Build and optimize backend services using FastAPI and Azure Bot Service to handle real\-time message routing and automated ticket fulfillment.
- High\-Privilege Automation: Develop secure browser automation scripts using Python and Playwright to handle complex tasks such as RBAC validation and post\-true\-up process automation.
- Security \&amp; RBAC Engineering: Engineer robust Role\-Based Access Control (RBAC) within AI agents to ensure high\-privilege operations are executed safely and within compliance.
 Performance Tuning: Optimize system latency to ensure AI responses and backend acknowledgments meet strict enterprise thresholds (
 - Architecting Observability Pipelines: Design and implement end\-to\-end telemetry for AI agents. This includes capturing not just system logs, but also LLM\-specific traces (latency, token usage, and "hallucination" scores) to provide a 360\-degree view of system health
- LLMOps Infrastructure: Own the deployment lifecycle, including CI/CD for prompt engineering, automated testing of RAG retrieval accuracy, and monitoring for "model drift" in production.
- Cross\-functional Collaboration: Working with product managers, data scientists, and business stakeholders to translate needs into AI solutions.
**Preferred Qualifications:**
* 7\+ years of experience in applied AI engineering or related role with 2\+ years in agentic development, and/or with a combination of context/prompt engineering
* Expert\-level Python proficiency with emphasis on modular, object\-oriented code, strict typing, and rigorous unit/integration testing for production
* Experience with building both conversational agents and workflow agentic processes in production
* Applied experience with multiple LLM stacks/frameworks (e.g., OpenAI, Claude, Gemini, RAG pipelines), and agent orchestration systems (e.g., LangGraph, AutoGen, CrewAI, or LangChain building collaborative autonomous and complex AI workflows
* Demonstrated comfort with prompt design strategies (chain\-of\-thought, few\-shot) and context window optimization to ensure high\-quality LLM outputs
* Familiarity with cloud platforms (AWS/Azure), REST APIs, and containerization (Docker, K8s)
* Experience implementing and managing Vector Databases (e.g., Pinecone, Milvus, Weaviate) for RAG (Retrieval\-Augmented Generation) pipelines.
* Experience with Azure bot services, Fast API, OAuth for API security is recommended.
* Proficiency in Databricks and SQL (DDL/DML) driving scalable data architecture and holistically integrating prompt designs, vector databases, and memory strategies to deliver advanced LLM solutions
* Experience developing and applying state\-of\-the\-art techniques for optimizing training and inference software to improve hardware utilization, latency, throughput, and cost
* Passion for staying abreast of the latest AI research and AI systems, and judiciously applying novel techniques in production
* Excellent communication and presentation skills, with the ability to articulate complex AI concepts to peers
**Key Skills:**
 AI Engineering, Prompt Engineering, Python, 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2026-01-21T23:42:31Z</dcterms:created>
  <dcterms:modified xsi:type="dcterms:W3CDTF">2026-01-21T23:42:31Z</dcterms:modified>
</cp:coreProperties>
</file>