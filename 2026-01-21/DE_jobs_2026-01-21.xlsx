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in-1ef418155491a05c</t>
        </is>
      </c>
      <c r="B2" t="inlineStr">
        <is>
          <t>Korean Bilingual Analytics Engineer</t>
        </is>
      </c>
      <c r="C2" t="inlineStr">
        <is>
          <t>LG Electronics</t>
        </is>
      </c>
      <c r="D2" t="inlineStr">
        <is>
          <t>indeed</t>
        </is>
      </c>
      <c r="E2" t="inlineStr"/>
      <c r="F2" t="inlineStr"/>
      <c r="G2" t="inlineStr">
        <is>
          <t>Englewood Cliffs, NJ, US</t>
        </is>
      </c>
      <c r="H2" s="2" t="n">
        <v>46042</v>
      </c>
      <c r="I2" t="inlineStr">
        <is>
          <t>Step into the innovative world of LG Electronics. As a global leader in technology, LG Electronics is dedicated to creating innovative solutions for a better life. Our brand promise, 'Life's Good', embodies our commitment to ensuring a happier life for all. We have a rich history spanning over six decades and a global presence in over 290 locations. Our diverse portfolio includes Home Appliance Solutions, Media Entertainment Solutions, Vehicle Solutions, and Eco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through an inclusive work environment. Join us and become a part of a company that is shaping the future of technology. At LG, we strive to make Life Good for Everyone.
**What we can offer***:*
*A crafted employee experience designed to foster professional growth, a focus on health \&amp; well\-being and an internal community that will set you up for success***.**
**Job Summary:**
We're looking for a passionate **Analytics Engineer** to join our purpose\-driven team onsite at our Englewood Cliffs, NJ location. In this role, you'll help transform complex market and competitor data into clear, actionable insights by designing, building, and optimizing advanced data solutions. You'll enhance our data warehouse, promote strong data governance practices across the home appliance sales organization, and collaborate closely with business, product, pricing, and operations teams to prioritize initiatives, improve reporting, and drive measurable business impact and process efficiency.
Please note that we are unable to provide sponsorship for this position.
**Responsibilities:**
* Clean, transform, and prepare data from multiple sources to ensure accuracy, integrity, and consistency for analysis.
* Collaborate with cross\-functional teams to understand business and data requirements, designing effective and scalable data models.
* Analyze sales and operational data to uncover trends, patterns, and opportunities that drive revenue growth, profitability, and process efficiency.
* Develop predictive models to simulate business strategies and support data\-driven decision\-making.
* Create dashboards and interactive reports using data visualization tools to deliver actionable insights to sales teams and leadership.
* Communicate complex analytical findings in a clear, concise, and actionable way to non\-technical stakeholders.
* Partner with infrastructure operations, A\&amp;I, and data stewards to maintain smooth data pipelines, resolve data\-related issues, and uphold data governance standards.
**Qualifications / Education / Experience:**
* Bachelor's degree in Data Science, Computer Science, Industrial Engineering, or a related field.
* Minimum of 3 years of experience in data analytics and/or database engineering.
* Strong analytical, critical thinking, and problem\-solving skills to identify business needs, analyze data, and develop effective solutions.
* **Bilingual proficiency in English and Korean, with the ability to read and write in Korean.**
**\#LI\-TF1**
**Benefits Offered Full\-Time Employees:**
* No\-cost employee premiums for you and your eligible dependents for competitive medical, dental, vision and prescription benefits.
* Auto enrollment with immediate vesting of competitive company matching contributions in a 401(k) Retirement Savings Plan with several investment options.
* Generous Paid Time Off program that includes company holidays and a combined bank of paid sick and vacation time.
* Performance based Short\-Term Incentives (varies by role).
* Access to confidential mental health resources to help you and your loved ones improve your quality of life. Personal fitness goal incentives.
* Family orientated benefits such as paid parental leave and support for families raising children with learning, social, behavioral challenges, or developmental disabilities.
* Group Rate Life and Disability Insurance.
**Benefits Offered Temporary/Contractors:**
* Eligible for the relevant benefit programs offered through our partner agencies.
Privacy Notice to California Applicants
At LG, we aspire to empower people and celebrate differences because we believe diversity will create the unexpected. We provide equal employment opportunity to all individuals regardless of their race, color, creed, religion, gender, age, sexual orientation, national origin, disability, veteran status, or any other characteristic protected by state, federal, or local law. Consistent with our commitment to providing equal opportunity and embracing diversity, LG has implemented affirmative action to ensure applicants are employed and employees are treated without regard to these characteristics.
In addition to the above, LG believes that pay transparency is a key part of diversity, equity, and inclusion. Our salary ranges take into account many factors in making compensation decisions including but not limited to skillset, experience, licensure, certifications, internal equity, and other business needs. While we consider geographic pay differentials in final offers, because we operate in many geographies where applicable, the salary range listed may not reflect all geographic differentials applied*.*</t>
        </is>
      </c>
    </row>
    <row r="3">
      <c r="A3" t="inlineStr">
        <is>
          <t>in-1bc6f815e63d47e3</t>
        </is>
      </c>
      <c r="B3" t="inlineStr">
        <is>
          <t>Data Analytics Engineer</t>
        </is>
      </c>
      <c r="C3" t="inlineStr">
        <is>
          <t>HighNote</t>
        </is>
      </c>
      <c r="D3" t="inlineStr">
        <is>
          <t>indeed</t>
        </is>
      </c>
      <c r="E3" t="inlineStr"/>
      <c r="F3" t="inlineStr"/>
      <c r="G3" t="inlineStr">
        <is>
          <t>San Francisco, CA, US</t>
        </is>
      </c>
      <c r="H3" s="2" t="n">
        <v>46042</v>
      </c>
      <c r="I3" t="inlineStr">
        <is>
          <t>**About Highnote**
------------------
Founded in 2020 by a team of leaders from Braintree, PayPal, and Lending Club, Highnote is an embedded finance company that sets the standard in modern card platform management. As an all\-in\-one card issuer processor and program management platform, we provide digital\-first organizations with the flexibility to seamlessly issue and process payment cards, embed virtual and physical card payments, and integrate ledger and wallet functionalities—empowering businesses to drive growth and profitability.
We've raised $145M\+ and have grown our team to 140\+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**Job Description**
-------------------
The Reporting and Analytics Team is a crucial part of the Data Organization, responsible for designing, building, and maintaining scalable reporting systems and analytics solutions. This team drives data\-informed decision\-making by generating actionable insights for both internal and external stakeholders while ensuring the reliability and performance of reporting pipelines and dashboards.
### **What you'll be doing**
* Developing scalable, robust, and automated reporting systems to handle high\-volume data needs and power data\-driven decision\-making.
* Creating analytics reports that provide actionable insights and meet diverse business and customer requirements.
* Modeling and designing modern data structures in SQL databases, ensuring optimal performance and scalability.
* Developing and maintaining dashboards using tools like Looker, Looker Studio, and other BI platforms to visualize high\-volume data effectively.
* Crafting and optimizing complex SQL queries to handle high\-volume data efficiently.
* Writing robust, performant, and maintainable code for data processing and analytics.
* Collaborating with internal business teams and external stakeholders to define requirements and deliver impactful reporting solutions.
* Documenting and maintaining workflows to support the scalability and reliability of reporting and analytics systems.
### **What we are looking for**
* 5\+ years of experience in designing and developing high\-volume reporting solutions and analytics pipelines.
* Master of Business Administration (MBA) preferred, with a focus on Accounting and/or Finance.
* Accounting or Finance domain experience.
* Deep understanding of data modeling and working with relational databases.
* Ability to create highly performant, scalable, and maintainable codebases.
* Hands\-on experience with reporting tools or frameworks (e.g., Tableau, Looker, or custom solutions).
### **Bonus skills**
* Experience with data visualization best practices to design impactful dashboards.
* Python for building reporting jobs and data processing.
* Experience with cloud platforms such as GCP or AWS
* A background in the fin\-tech space
### **Why Highnote?**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Adams Street Partners, Westcap, and Pinegrove Venture Partners. Angel Investors include Bill Ready (CEO at Pinterest) and Renaud Laplanche (Co\-Founder \&amp; CEO of Upgrade).
###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$170,000\-230,000\.
Please note that positions located in San Francisco are hybrid and include core working days of Tuesday, Wednesday, Thursday in office. We provide flexible work options based on distance from our downtown SF office. Highnote believes in the power of face\-to\-face, personal connection. As a result, we prioritize in\-person candidates.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4">
      <c r="A4" t="inlineStr">
        <is>
          <t>in-be98d566b2792035</t>
        </is>
      </c>
      <c r="B4" t="inlineStr">
        <is>
          <t>Data Engineer (Special Projects)New</t>
        </is>
      </c>
      <c r="C4" t="inlineStr">
        <is>
          <t>Major League Baseball</t>
        </is>
      </c>
      <c r="D4" t="inlineStr">
        <is>
          <t>indeed</t>
        </is>
      </c>
      <c r="E4" t="inlineStr"/>
      <c r="F4" t="inlineStr"/>
      <c r="G4" t="inlineStr">
        <is>
          <t>New York, NY, US</t>
        </is>
      </c>
      <c r="H4" s="2" t="n">
        <v>46042</v>
      </c>
      <c r="I4" t="inlineStr">
        <is>
          <t>The LAI (League Analytics and Infrastructure) team occupies a crucial strategic position, functioning at the nexus of modern analytics technology and operational strategy. This team is fundamentally responsible for the comprehensive design, deployment, and ongoing maintenance of the robust analytic cloud infrastructure. This infrastructure is the essential foundation that underpins and powers Major League Baseball's (MLB) advanced analytics operations, ensuring data accessibility, scalability, and performance for critical decision\-making across the league.
In the role of Data Engineer, the successful candidate will operate as a hands\-on contributor, focused primarily on the technical execution of data\-centric projects and initiatives. This position reports into a Data Engineering Lead, working closely within a dedicated sub\-team of the LAI team to implement and manage the complex data pipelines and storage solutions necessary for MLB's analytical demands. Key responsibilities include, but are not limited to, developing data pipeline processes, ensuring data quality, and collaborating with other engineers and analysts to provision high\-quality, reliable data sets.
**Responsibilities**
* Pipeline Development: Build and maintain production\-grade data pipelines using Airflow and dbt to orchestrate transformations within Google Cloud Platform (GCP).
* Data Modeling: Design, build, and execute clean, reliable data models that serve as the single source of truth for downstream engineers and analysts.
* Cloud Operations: Utilize GCP services (Pub/Sub, GCS, Dataflow, DataPlex) to handle batch and streaming data ingestion from internal and external sources.
* CI/CD \&amp; Governance: Manage code deployment via GitHub and adhere to data governance best practices to ensure security and compliance.
**Qualifications \&amp; Skills**
* Experience: 1\-2 years of hands\-on experience with data engineering in a professional or project\-based setting
* Core Stack Proficiency:  
	+ **Python:** High\-level scripting ability for data processing and automation
	+ Orchestration: Experience with Airflow (DAG creation, management)
	+ **SQL:** High\-level proficiency; ability to write complex freehand SQL
* Cloud Native: Familiarity with Google Cloud Platform (GCP) or equivalent AWS/Azure services
***Nice to Have***
* Experience with Infrastructure as Code (Terraform).
* Familiarity with containerization (Docker/Kubernetes)
* Hands\-on experience with dbt (data build tool)
* Understanding of BI platforms (Looker, Tableau) to better understand downstream needs
* A passion for baseball or previous experience in sports/media/entertainment
**Pay Rate:** $23\.00\-$30\.00 per hour
The actual offer will carefully consider a wide range of factors, including your work experience, education, skills, and any other factors MLB considers relevant to the hiring decision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5">
      <c r="A5" t="inlineStr">
        <is>
          <t>in-eda7b5155f736af9</t>
        </is>
      </c>
      <c r="B5" t="inlineStr">
        <is>
          <t>Principal Data Engineer</t>
        </is>
      </c>
      <c r="C5" t="inlineStr">
        <is>
          <t>Atlassian</t>
        </is>
      </c>
      <c r="D5" t="inlineStr">
        <is>
          <t>indeed</t>
        </is>
      </c>
      <c r="E5" t="inlineStr"/>
      <c r="F5" t="inlineStr"/>
      <c r="G5" t="inlineStr">
        <is>
          <t>San Francisco, CA, US</t>
        </is>
      </c>
      <c r="H5" s="2" t="n">
        <v>46042</v>
      </c>
      <c r="I5" t="inlineStr">
        <is>
          <t>Overview:
**Working at Atlassian**
------------------------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looking for a Principal Data Engineer to join our Data Engineering Team and play a tech lead \&amp; architect role to build world\-class data solutions and applications that power crucial business decisions throughout the organization. We are looking for an open\-minded, structured thinker who is passionate about building systems at scale. You will enable a world\-class engineering practice, drive the approach with which we use data, develop backend systems and data models to serve the needs of insights and play an active role in building Atlassian's data\-driven culture.
* Own the technical evolution of the data engineering capabilities and be responsible for ensuring solutions are being delivered incrementally, meeting outcomes, and promptly escalating risks and issues
* Establish a deep understanding of how things work in data engineering, use this to direct and coordinate the technical aspects of work across data engineering, and systematically improve productivity across the teams.
* Maintain a high bar for operational data quality and proactively address performance, scale, complexity and security considerations.
* Drive complex decisions that can impact the work in data engineering. Set the technical direction and balance customer and business needs with long\-term maintainability \&amp; scale.
* Understand and define the problem space, and architect solutions. Coordinate a team of engineers towards implementing them, unblocking them along the way if necessary.
* Lead a team of data engineers through mentoring and coaching, work closely with the engineering manager, and provide consistent feedback to help them manage and grow the team
* Work with close counterparts in other departments as part of a multi\-functional team, and build this culture in your team.
Responsibilities:
### **On your first day, we'll expect you to have:**
* Bachelor’s/Master's degree or equivalent in a STEM field with a minimum 5\+ Years of Experience in Data Engineering or related field.
* You have 12\+ years of experience in a Data Engineer role as an individual contributor.
* You have at least 2 years of experience as a tech lead for a Data Engineering team.
* You are an engineer with a track record of driving and delivering large (multi\-person or multi\-team) and complex efforts.
* You are a great communicator and maintain many of the essential cross\-team and cross\-functional relationships necessary for the team's success.
* Experience with building streaming pipelines with a micro\-services architecture for low\-latency analytics.
* Experience working with varied forms of data infrastructure, including relational databases (e.g. SQL), Spark, and column stores (e.g. Redshift)
* Experience building scalable data pipelines using Spark using Airflow scheduler/executor framework or similar scheduling tools.
* Experience working in a technical environment with the latest technologies like AWS data services (Redshift, Athena, EMR) or similar Apache projects (Spark, Flink, Hive, or Kafka).
* Understanding of Data Engineering tools/frameworks and standards to improve the productivity and quality of output for Data Engineers across the team.
* Industry experience working with large\-scale, high\-performance data processing systems (batch and streaming) with a "Streaming First" mindset to drive Atlassian's business growth and improve the product experience.
### **We'd be super excited if you have:**
* Built and designed Kappa or Lambda architecture data platforms and services.
* Experience implementing Master Data Management (MDM) solutions.
* Built pipelines using Databricks and is well\-versed with their APIs
Qualifications:
**Compensation**
----------------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$203,300 \- $271,100
Zone B: $183,000 \- $244,000
Zone C: $168,700 \- $225,000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
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
-------------------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6">
      <c r="A6" t="inlineStr">
        <is>
          <t>in-0f8ec80ec146de22</t>
        </is>
      </c>
      <c r="B6" t="inlineStr">
        <is>
          <t>Data Engineer (Special Projects)</t>
        </is>
      </c>
      <c r="C6" t="inlineStr">
        <is>
          <t>Major League Baseball</t>
        </is>
      </c>
      <c r="D6" t="inlineStr">
        <is>
          <t>indeed</t>
        </is>
      </c>
      <c r="E6" t="inlineStr"/>
      <c r="F6" t="inlineStr"/>
      <c r="G6" t="inlineStr">
        <is>
          <t>New York, NY, US</t>
        </is>
      </c>
      <c r="H6" s="2" t="n">
        <v>46042</v>
      </c>
      <c r="I6" t="inlineStr">
        <is>
          <t>The LAI (League Analytics and Infrastructure) team occupies a crucial strategic position, functioning at the nexus of modern analytics technology and operational strategy. This team is fundamentally responsible for the comprehensive design, deployment, and ongoing maintenance of the robust analytic cloud infrastructure. This infrastructure is the essential foundation that underpins and powers Major League Baseball's (MLB) advanced analytics operations, ensuring data accessibility, scalability, and performance for critical decision\-making across the league.
In the role of Data Engineer, the successful candidate will operate as a hands\-on contributor, focused primarily on the technical execution of data\-centric projects and initiatives. This position reports into a Data Engineering Lead, working closely within a dedicated sub\-team of the LAI team to implement and manage the complex data pipelines and storage solutions necessary for MLB's analytical demands. Key responsibilities include, but are not limited to, developing data pipeline processes, ensuring data quality, and collaborating with other engineers and analysts to provision high\-quality, reliable data sets.
**Responsibilities**
* Pipeline Development: Build and maintain production\-grade data pipelines using Airflow and dbt to orchestrate transformations within Google Cloud Platform (GCP).
* Data Modeling: Design, build, and execute clean, reliable data models that serve as the single source of truth for downstream engineers and analysts.
* Cloud Operations: Utilize GCP services (Pub/Sub, GCS, Dataflow, DataPlex) to handle batch and streaming data ingestion from internal and external sources.
* CI/CD \&amp; Governance: Manage code deployment via GitHub and adhere to data governance best practices to ensure security and compliance.
**Qualifications \&amp; Skills**
* Experience: 1\-2 years of hands\-on experience with data engineering in a professional or project\-based setting
* Core Stack Proficiency:  
	+ **Python:** High\-level scripting ability for data processing and automation
	+ Orchestration: Experience with Airflow (DAG creation, management)
	+ **SQL:** High\-level proficiency; ability to write complex freehand SQL
* Cloud Native: Familiarity with Google Cloud Platform (GCP) or equivalent AWS/Azure services
***Nice to Have***
* Experience with Infrastructure as Code (Terraform).
* Familiarity with containerization (Docker/Kubernetes)
* Hands\-on experience with dbt (data build tool)
* Understanding of BI platforms (Looker, Tableau) to better understand downstream needs
* A passion for baseball or previous experience in sports/media/entertainment
**Pay Rate:** $23\.00\-$30\.00 per hour
The actual offer will carefully consider a wide range of factors, including your work experience, education, skills, and any other factors MLB considers relevant to the hiring decision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7">
      <c r="A7" t="inlineStr">
        <is>
          <t>in-785251e39e0bc72f</t>
        </is>
      </c>
      <c r="B7" t="inlineStr">
        <is>
          <t>Principal Data Engineer</t>
        </is>
      </c>
      <c r="C7" t="inlineStr">
        <is>
          <t>HCA Healthcare</t>
        </is>
      </c>
      <c r="D7" t="inlineStr">
        <is>
          <t>indeed</t>
        </is>
      </c>
      <c r="E7" t="inlineStr"/>
      <c r="F7" t="inlineStr"/>
      <c r="G7" t="inlineStr">
        <is>
          <t>Nashville, TN, US</t>
        </is>
      </c>
      <c r="H7" s="2" t="n">
        <v>46042</v>
      </c>
      <c r="I7" t="inlineStr">
        <is>
          <t>##### **Introduction**
Are you passionate about the patient experience? At HCA Healthcare, we are committed to caring for patients with purpose and integrity. We care like family! Jump\-start your career as a(an) Principal Data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a(an) Principal Data Engineer. We care for our community! Just last year, HCA Healthcare and our colleagues donated $13\.8 million dollars to charitable organizations. Apply Today!
##### **Job Summary and Qualifications**
This role requires working closely with others, frequently in a matrixed environment, and with little supervision. As a Principal Data Engineer/Architect level, the role requires 'self\-starters' who are proficient in problem solving and capable of bringing clarity to complex situations. It requires contributing to strategic technical direction and system architecture approaches for individual projects and platform migrations. The culture of the organization places an emphasis on teamwork, so social and interpersonal skills are equally important as technical capability. Due to the emerging and fast\-evolving nature of Google Cloud Platform (GCP) technology and practice, the position requires that one stay well\-informed of technological advancements and be proficient at putting new innovations into effective practice.  
Responsible for leading development efforts, driving adoption and appropriate use of technology and consulting on internal and external development efforts to ensure code quality and sound architecture. This position assumes the responsibility for project success and the upward development of team members’ technical skills. They are the development team's point of contact that must interface with business partners of varying roles ranging from technical staff to executive leadership. In addition, this candidate will have a history of increasing responsibility in a small multi\-role team. This position requires a candidate who can analyze business requirements, perform design tasks, construct, test, and implement cutting\-edge technical data solutions with minimal supervision.  
As a Principal Data Engineer/Architect, you will work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She / he will be responsible for the design, development, performance, and support of the GCP Platform components.  
This candidate will have a record of accomplishment of participation in successful projects in a fast\-paced, mixed team (consultant and employee) environment. In addition, the applicant must be willing to train and mentor other developers to prepare them for assuming their responsibilities.  
As the Principal Engineer, you will be responsible for architecting and delivering next\-generation GenAI/LLM\-based solutions that will revolutionize the software development lifecycle. You will dive into the development process, from writing code using common developer tools, through the build, test, deploy process, and iterating with CI/CD systems. You will build the technical vision and roadmap for how we can evolve these tools and accelerate software development and delivery for all Google Cloud Platform users.  
In addition, the Principal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Applied to this position, your skills will help transform healthcare through technology and solutions that dramatically improve patient care and business operations.
**Core Competencies**
The following are highlighted entrepreneurial competencies and core expectations for the job/role:
* Communication and interpersonal skills
* Problem\-solving and critical thinking skills.
* Understand strategic imperatives.
* Technology \&amp; business knowledge
At HCA DT\&amp;I, your deliverables will influence patient care. Every process, technology, and decision matters. This role will provide deep technical expertise in all aspects of solution design and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**What you will do:**
* Responsible for designing, building, and supporting GCP based ecosystems designed for enterprise\-wide analysis of structured, semi\-structured, and unstructured data.
* Bring new data sources into GCP, transform and load to databases.
* Provide technical leadership across Google Cloud Platform (GCP) teams to lead the design and delivery of next\-generation GenAI/LLM\-based solutions.
* Identify, design, and implement internal process improvements, automate manual processes, optimize data delivery, and re\-design infrastructure for greater scalability.
* Develop and review data management plans, architecture plans, data transfer plans, and data security and privacy plans, including event monitoring and auditing guidelines, to ensure that systems meet security and technical requirements.
* Develop and review standard operating procedures to meet high standards for data organization, quality, and security.
* Provide leadership in developing standards and best practices.
* Build analytics tools to provide actionable insights into operational efficiency, service delivery, and policy evaluation.
* Deliver consistent and reliable processes and high\-quality output on independent and team projects.
* Closely collaborates with team members to successfully execute development initiatives using Agile practices and principles.
* Participates in large\-scale development projects involving multiple areas outside of core team.
* Designs fit\-for\-purpose products to ensure products align to the customer's strategic plans and technology road maps.
* Shares knowledge and experience to contribute to growth of overall team capabilities.
* Participates in the deployment, change, configuration, management, administration and maintenance of deployment process and systems.
* Work closely with management, architects, and other teams to develop and implement the projects.
* Actively participate in technical group discussions and adopt any innovative technologies to improve the development and operations.
* Rapidly prototypes and deliver just\-in\-time solutions.
* Gather requirements, designs, constructs, and deliver solutions with minimal team interaction.
* Works in an environment with rapidly changing business requirements and priorities
* Demonstrates deep understanding and acts as a leader in the team’s continuous integration and continuous delivery automation pipeline.
* Work collaboratively with Data Scientists, business, and IT leaders throughout the company to understand Cloud/Big Data needs and use cases.
* A technical expert leading a high\-performing team to develop, construct, test and maintain sound, secure data architectures that meet business needs.
* A team\-oriented specialist who works collaboratively with business leaders, project managers, and across technical teams to build the right thing.
* A strategic thinker who improves the functionality and value of the clinical systems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 **What qualifications you will need:**
* Bachelor's degree in computer science or related field required
* Master's degree in computer science or related field preferred
* 5\+ years of experience in Data Engineering required
* 1\+ year(s) of experience in Healthcare preferred
* 10\+ years of experience in Information Technology required
* Strong understanding of best practices and standards for GCP application design and implementation.
* Two\+ Year of hands\-on experience with GCP platform and experience with many of the following components:
* GCS, Cloud Run, Cloud Functions
* Bigtable, Cloud SQL
* Kafka, Pub/Sub
* Python, Golang, Spark, Scala or Java
* BigQuery, Dataflow, Data Fusion
* GKE, CI/CD and Logging \&amp; Monitoring
* Understanding of Lambda Design Architectures and Real\-Time Streaming
* Experience with Unstructured Data, Real\-Time Streaming with GCP
* Ability to multitask and to balance competing priorities.
* Requires strong practical experience in agile application development, file systems management, and DevOps discipline and practice using short\-cycle iterations to deliver continuous business value.
* Knowledge of all facets of GCP ecosystem development including ideation, design, implementation, tuning, and operational support.
* Ability to define and utilize best practice techniques and to impose order in a fast\-changing environment. Must have strong critical thinking skills.
* Strong verbal, written, and interpersonal skills, including a desire to work within a highly matrixed, collaborative environment.
A successful candidate may have:
* Experience in Healthcare Domain
* Experience in Patient Data
* Experience with Natural Language Processing (NLP)
* Hardware/Operating Systems:
* Linux, UNIX
* GCP
* Distributed, highly scalable processing environments.
* Databases: NoSQL, Hbase, Cassandra, MongoDB, Cosmos, In\-memory, Columnar, other emerging technologies
* Other Languages – Java, Python, Scala, R
* Build Systems – TFS, Github
* Ability to integrate tools outside of the core GCP ecosystem.
* AI\-native Workflows
18\+ months of hands\-on experience with many of the following components:
*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 GCP Cloud Professional Data Engineer
* GCP Cloud Professional Data Architect
PHYSICAL DEMANDS/WORKING CONDITIONS (Specific statements of physical effort required and description of work environment; e.g., prolonged sitting at CRT. required travel %)
Prolonged sitting or standing at computer workstations including use of mouse, keyboard, and monitor.
Requires the ability to provide after\-hours support.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Principal Data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8">
      <c r="A8" t="inlineStr">
        <is>
          <t>in-57a99220ef42e95c</t>
        </is>
      </c>
      <c r="B8" t="inlineStr">
        <is>
          <t>Data Engineer</t>
        </is>
      </c>
      <c r="C8" t="inlineStr">
        <is>
          <t>Sunbelt Rentals</t>
        </is>
      </c>
      <c r="D8" t="inlineStr">
        <is>
          <t>indeed</t>
        </is>
      </c>
      <c r="E8" t="inlineStr"/>
      <c r="F8" t="inlineStr"/>
      <c r="G8" t="inlineStr">
        <is>
          <t>Fort Mill, SC, US</t>
        </is>
      </c>
      <c r="H8" s="2" t="n">
        <v>46042</v>
      </c>
      <c r="I8" t="inlineStr">
        <is>
          <t>**Join Our Team!**
Sunbelt Rentals strives to be the customer's first choice in the equipment rental industry. From pumps to scaffolding to general construction tools, we aim to be the only call needed to outfit a job site with the proper equipment. Not only do we offer a vast fleet that ranks among the best in the industry, we pair it all with a friendly and knowledgeable staff. Our employees are our greatest asset, and although we present a comprehensive equipment offering, our expertise and service are what truly distinguish us from the competition.
We pride ourselves on investing in our workforce and offer competitive benefits, as well as extensive on\-the\-job training for all eligible employees.
As a highly successful national company, we are constantly looking for talented individuals to support our growth. If you are interested in pursuing a rewarding career, we invite you to review our opportunities!
**Job Description Summary**
We are seeking a highly skilled and results\-driven Data Engineer to design, develop, and improve strong, scalable data pipelines and systems to support effective data processing, storage, and retrieval. The role must ensure data integrity, security, and accessibility while using modern technologies like cloud computing, big data frameworks, and automation. The position will also work with different teams to provide high\-quality, organized data for analytics, machine learning, and business intelligence. All of which supports data\-driven decision\-making and innovation.
**Position Responsibilities:**
------------------------------
* Data Engineering \&amp; Architecture
	+ Design and manage data pipelines in Databricks utilizing Apache Spark, PySpark, Delta Lake, Unity Catalog, and Workflows.
	+ Establish Medallion architecture (Bronze, Silver, Gold) to develop scalable data lake solutions with dimensional modeling.
	+ Create ELT/ETL workflows using Databricks Notebooks and Azure Data Factory.
	+ Integrate API\-based, structured, and unstructured data across Azure Databricks and hybrid cloud environments.
	+ Enhance cluster and workflow performance while optimizing costs.
* Infrastructure \&amp; Automation
	+ Employ Terraform and ARM templates for infrastructure\-as\-code. Familiarity with GITC is a plus.
	+ Set up CI/CD pipelines using Azure DevOps, GitHub Actions, or GitLab CI.
	+ Oversee pipeline monitoring with Databricks Observability, Azure Monitor, or Prometheus.
* Data Governance \&amp; Security
	+ Implement RBAC, data lineage, and cataloging through Unity Catalog, Azure Purview, or Collibra.
	+ Ensure adherence to GDPR, HIPAA, and internal governance standards.
	+ Apply encryption, masking, and audit logging practices.
* Analytics \&amp; Reporting
	+ Create Power BI dashboards and reports that are integrated with Databricks.
	+ Facilitate real\-time insights and self\-service analytics capabilities.
	+ Assist with integration into Tableau or Looker as required.
* Collaboration \&amp; Leadership
	+ Collaborate across functions with data scientists, analysts, and business teams.
	+ Guide junior engineers and contribute to best practices in Databricks.
	+ Communicate effectively in dynamic environments.
* Core Technologies \&amp; Tools
	+ Platforms: Databricks, Azure, SQL Server, Fabric
	+ Languages: Python, SQL, Scala, TSQL
	+ Tools: Power BI, Git, Terraform, dbt, SSIS
	+ Frameworks: Apache Spark, Delta Lake, Kafka, Airflow, etc
**Requirements:**
-----------------
**Education \&amp; Experience:**
----------------------------
* Bachelor’s degree in computer science, Information Technology, Data Engineering, or equivalent experience. Masters degree (strongly preferred)
* 5\+ years of experience in data engineering, database management, and cloud platforms.
* Proficiency in MS SQL Server, Snowflake, and Databricks.
* Experience with ETL development, cloud data platforms, and DevOps tools.
* InDepth understanding of cloud platform like Azure, AWS and GCP.
* Strong analytical and problem\-solving skills, with a focus on end\-to\-end delivery.
* Ability to translate business requirements into technical solutions.
* Excellent communication and leadership abilities.
**Physical Demands:**
---------------------
Must be able to bend, squat, crouch and/or reach and lift up to 25 pounds or more, as required by the job. Some Sunbelt jobs may require driving for long periods of time, loading and unloading heavy equipment, performing work in extreme weather conditions including rain, wind, or excessive temperatures and/or night and weekend work. All duties must be performed according to Sunbelt’s safety policies and guidelines. Reasonable accommodations may be made to comply with ADA/ADAAA.
The above description covers the principal duties and responsibilities of the job. The description shall not, however, be construed as a complete listing of all miscellaneous, incidental or similar duties which may be required from day to day.
***Sunbelt Rentals is an Equal Opportunity Employer — Minority/Female/Disabled/Veteran and any other protected ground***
Base Pay Range: $113,342\.00 \- 155,845\.80
Starting rate of pay may vary based on factors including, but not limited to, position offered, location, education, training, and/or experience. Please visit https://www.sunbeltrentals.com/careers/ for more information on our benefits and to join our Talent Network.  
Sunbelt also provides a comprehensive benefits package to its full\-time employees. This package includes:
* Health, Dental and Vision plans
* 401(k) Match
* Volunteer time off
* Short\-term and long\-term disability
* Accident, Life and Travel insurance, as well as flexible spending
* Tuition Reimbursement Options
* Employee Assistance Program (EAP)
* Length of Service Awards
You will become eligible for benefits on the first of the month following 30 days from your start date. Sunbelt offers team members the following paid time off from work, subject to Sunbelt’s policies (unless specified in a collective bargaining agreement):
* 12\-25 vacation days depending on years of service
* 5 sick days
* 6 holidays
* 2 half day holidays
* 2 floating holidays
* 1 inclusion day
* 1 volunteer day
Gear up for an exciting career!  
Sunbelt Rentals supports service members. Veterans encouraged to apply.</t>
        </is>
      </c>
    </row>
    <row r="9">
      <c r="A9" t="inlineStr">
        <is>
          <t>in-3cee11cd0abee154</t>
        </is>
      </c>
      <c r="B9" t="inlineStr">
        <is>
          <t>Senior Data Engineer - Boston/Burlington</t>
        </is>
      </c>
      <c r="C9" t="inlineStr">
        <is>
          <t>Emburse</t>
        </is>
      </c>
      <c r="D9" t="inlineStr">
        <is>
          <t>indeed</t>
        </is>
      </c>
      <c r="E9" t="inlineStr"/>
      <c r="F9" t="inlineStr"/>
      <c r="G9" t="inlineStr">
        <is>
          <t>Boston, MA, US</t>
        </is>
      </c>
      <c r="H9" s="2" t="n">
        <v>46042</v>
      </c>
      <c r="I9" t="inlineStr">
        <is>
          <t>**Who We Are:**  
At Emburse, you’ll not just imagine the future – you’ll build it. As a leader in travel and expense solutions, we are creating a future where technology drives business value and inspires extraordinary results. Our AI\-powered platform helps organizations modernize financial operations, increase visibility, and optimize spend across the enterprise.  
Emburse is seeking a **Senior Data Engineer** to help power how we measure, understand, and grow our business. In this role, you’ll own key parts of our enterprise data platform—building trusted, scalable data pipelines that support usage metering, billing, revenue recognition, and executive reporting.  
This role will start **fully remote** and transition to a **hybrid schedule (3 days per week)** once our **Greater Boston–area office is established** (anticipated near the Burlington area). You’ll work closely with Finance, Business Systems, and Analytics partners to ensure our data is accurate, complete, and decision\-ready.  
This is a highly hands\-on role for someone who enjoys connecting complex systems, solving ambiguous data problems, and translating business needs into reliable data solutions.
### **What You Will Do**
* + Design, build, and own data pipelines and models that support usage, billing, revenue, and executive reporting.
	+ Manage and optimize **Snowflake** as Emburse’s enterprise data warehouse, ensuring performance, scalability, and security.
	+ Build and maintain ETL/ELT workflows integrating data from systems such as **Salesforce, BillingPlatform, and NetSuite**.
	+ Partner closely with **Finance and Business Systems** teams to ensure accurate usage, billing, and ARR reporting.
	+ Identify and resolve data quality issues, implementing durable solutions that prevent repeat problems.
	+ Define data models, standards, and governance practices that enable consistent and trusted reporting.
	+ Collaborate with engineers and system owners to improve upstream data quality and integration design.
	+ Support automation, monitoring, and version control of data pipelines using modern tooling (e.g., dbt, Airflow).
	+ Provide technical mentorship and raise data engineering best practices across the team.
### **What You Will Bring:**
* + 5–7\+ years of experience in **data engineering or analytics engineering**, ideally in a **SaaS or subscription\-based** environment.
	+ Strong expertise in **Snowflake**, **SQL**, and analytical data modeling.
	+ Hands\-on experience with **ETL/ELT tools** such as dbt, Fivetran, Informatica, or similar.
	+ Proficiency with **Python, Git, Airflow**, and cloud\-based data platforms.
	+ Experience working with **usage, billing, revenue, or ARR data** is highly preferred.
	+ A track record of identifying data quality gaps and driving scalable, long\-term solutions.
	+ Strong communication skills and comfort working directly with **Finance, Product, and Leadership** stakeholders.
	+ Bachelor’s degree in Computer Science, Information Systems, or a related field preferred.
**Why Emburse?**  
Finance is changing—and at Emburse, we’re leading the way. Our AI\-powered solutions help organizations eliminate inefficiencies, gain real\-time visibility, and optimize spend—so they can focus on what’s next, not what’s slowing them down.
* A Company with Momentum – We serve 12M\+ users across 120 countries, helping businesses modernize
 their finance operations.* A Team That Innovates – Work alongside some of the brightest minds in finance, tech, and AI to solve real\-
 world challenges.* A Culture That Empowers – Competitive pay, flexible work, and an inclusive, collaborative environment that
 supports your success.* A Career That Matters – Your work here drives efficiency, innovation, and smarter financial decision\-making
for businesses everywhere. **Shape your future \&amp; find what’s next at Emburse.**  
Emburse provides equal employment opportunities (EEO) to all employees and applicants for employment without regard to race, color, religion, sex, national origin, age, disability or genetics. In addition to federal law requirements, Emburse complies with applicable state and local laws governing nondiscrimination in employment in every location where the company has facilities. This policy applies to all terms and conditions of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in-30b5ad8c07189ce5</t>
        </is>
      </c>
      <c r="B10" t="inlineStr">
        <is>
          <t>Big Data Engineer</t>
        </is>
      </c>
      <c r="C10" t="inlineStr">
        <is>
          <t>Bechtel</t>
        </is>
      </c>
      <c r="D10" t="inlineStr">
        <is>
          <t>indeed</t>
        </is>
      </c>
      <c r="E10" t="inlineStr"/>
      <c r="F10" t="inlineStr"/>
      <c r="G10" t="inlineStr">
        <is>
          <t>US</t>
        </is>
      </c>
      <c r="H10" s="2" t="n">
        <v>46042</v>
      </c>
      <c r="I10" t="inlineStr">
        <is>
          <t>**Requisition ID: 291101**
* **Relocation Authorized: National \- Family**
* **Telework Type: Full\-Time Office/Project**
* **Work Location: Various Work Locations USA**
**Extraordinary teams building inspiring projects:**
----------------------------------------------------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
Bechtel Manufacturing and Technology (M\&amp;T) is an exciting and growing business that serves the increasing demand of EPC services for customers in the semiconductor (manufacturing facilities and supply chain); electric vehicle (batteries, charging infrastructure, and production); synthetic materials; and data center markets.
M\&amp;T strives to exceed our customer objectives through utilizing our agility, innovative technologies, and world class talent. M\&amp;T will solve the industries toughest challenges, building both our company and the world for the future.
Headquartered in the U.S. with employees in various states, M\&amp;T also has colleagues in the United Kingdom, India, and other locations while we actively pursue exciting opportunities in other parts of the world. We are looking for talented people to join our team that are passionate about making a difference and contributing to historical projects that will have a lasting impact on society.
**Job Summary:**
----------------
The Big Data Engineer will design, develop, and maintain Bechtel’s big data ecosystem to support advanced analytics and data\-driven decision\-making across engineering, procurement, and construction workflows. This role is pivotal in enabling scalable, secure, and efficient data solutions for projects in semiconductor, electric vehicle, advanced materials, and data center sectors.
 **Job Dimensions:**
* Supervision Received: Reports to Digital Solutions Lead and works under general direction.
* Supervision Exercised: May provide technical guidance to junior engineers or analysts.
* Contacts: Frequent interaction with data scientists, project managers, IT teams, and business stakeholders. \#LI\-MJ1
**Major Responsibilities:**
---------------------------
* Design and implement big data architectures, including ingestion, processing, and modeling of heterogeneous data sources.
* Develop and maintain ETL/ELT pipelines for structured and unstructured data.
* Work closely with data scientists, analysts, and business SMEs to deliver actionable insights.
* Integrate big data solutions with Bechtel’s digital ecosystem and project execution platforms.
* Ensure data reliability, security, and compliance with Bechtel’s governance policies.
* Optimize data workflows for scalability and efficiency.
* Explore emerging technologies and frameworks to enhance data engineering capabilities.
* Support automation and advanced analytics initiatives across projects.
**Education and Experience Requirements:**
------------------------------------------
* Requires a bachelor’s degree in Computer Science, Data Engineering, or related field and 3\-5\+ years of experience in big data engineering roles. Must have 7\-9 years of experience in big data engineering roles in lieu of degree.
**Required Knowledge and Skills:**
----------------------------------
* Proficiency with big data cloud platforms (AWS, Azure) and tools such as Hadoop, Spark, Kafka.
* Strong skills in Python, SQL, and data modeling techniques.
 **Preferred Qualifications:**
* Experience with containerization (Docker/Kubernetes) and CI/CD pipelines.
* Familiarity with data governance frameworks and enterprise data architecture.
* Knowledge of engineering and construction workflows is a plus.
**Total Rewards/Benefits:**
---------------------------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row>
    <row r="11">
      <c r="A11" t="inlineStr">
        <is>
          <t>in-3d418b8f9f4837b7</t>
        </is>
      </c>
      <c r="B11" t="inlineStr">
        <is>
          <t>Contract Data Engineer</t>
        </is>
      </c>
      <c r="C11" t="inlineStr"/>
      <c r="D11" t="inlineStr">
        <is>
          <t>indeed</t>
        </is>
      </c>
      <c r="E11" t="inlineStr"/>
      <c r="F11" t="inlineStr"/>
      <c r="G11" t="inlineStr">
        <is>
          <t>Remote, US</t>
        </is>
      </c>
      <c r="H11" s="2" t="n">
        <v>46042</v>
      </c>
      <c r="I11" t="inlineStr">
        <is>
          <t>**Contract Duration:** 6 weeks  
**Hours:** Part\-time, 15–20 hours/week
**Start Date:** ASAP  
**Reports To:** Chief Data Scientist, Backstroke.com
**About the Role**
------------------
Backstroke.com is seeking a part\-time contract Data Engineer to support critical data engineering work powering our predictive modeling efforts. In this 6\-week engagement, you'll help bring raw data into production\-grade pipelines, improve data reliability and observability, and help maintain a large\-scale dataset used for machine learning and embedding\-based predictive models.
This role is hands\-on and execution\-focused, working closely with the Chief Data Scientist to accelerate modeling throughput and strengthen the stability and usability of our data foundation.
**Key Responsibilities**
------------------------
Ingest raw data into production data pipelines used for data science modeling (batch and/or near real\-time as needed)  
* 
Build and enhance AWS\-based data workflows, leveraging best practices for scalability and security  
* 
Set up alerts and notifications in AWS to monitor pipeline health, failures, latency, and data quality issues  
* 
Create and manage a database layer that stores transformed data, including embeddings used for predictive models  
* 
Support management of a large\-scale dataset, including movement, cleaning, normalization, and maintaining consistency for modeling use  
* 
**Required Qualifications**
---------------------------
Strong experience as a Data Engineer supporting machine learning or data science teams  
* 
Deep working knowledge of AWS services, such as (or similar):  
* 
S3, IAM, Lambda, CloudWatch, SNS, EventBridge  
* + 
	Glue, ECS/EKS, Step Functions (nice to have)  
	+
Experience building data pipelines (e.g., Python, SQL, Spark, dbt, Airflow, Dagster, Prefect, or similar tools)  
* 
Experience designing and maintaining databases for ML workflows, including embedding stores and feature\-like datasets  
* 
Comfort working with large datasets and ensuring performance, reliability, and correctness  
* 
Ability to work independently, communicate clearly, and deliver quickly in a contractor environment  
* 
**Preferred / Nice\-to\-Have**
------------------------------
Familiarity with vector databases and embedding storage patterns (e.g., pgvector, OpenSearch, Pinecone, FAISS, etc.)  
* 
Exposure to MLOps concepts (feature pipelines, training dataset versioning, model monitoring)  
* 
Experience with data quality tooling (e.g., Great Expectations, Monte Carlo, custom checks)  
* 
**Deliverables \&amp; Outcomes (6\-Week Goals)**
--------------------------------------------
Reliable ingestion of raw data into modeling pipelines  
* 
Monitoring and alerting for critical pipeline workflows in AWS  
* 
Operational database/storage system for embedding\-ready transformed data  
* 
Improved processes for handling and cleaning a large dataset used in predictive models  
* 
Clear documentation of pipeline architecture and handoff notes for the internal team  
* 
**Working Style**
-----------------
You'll collaborate directly with the Chief Data Scientist and contribute to a fast\-moving, data\-driven team. We value pragmatic engineering, clear documentation, and systems that are reliable and easy to operate.</t>
        </is>
      </c>
    </row>
    <row r="12">
      <c r="A12" t="inlineStr">
        <is>
          <t>in-bf10ce98db25d93f</t>
        </is>
      </c>
      <c r="B12" t="inlineStr">
        <is>
          <t>Data Engineer &amp; Architect</t>
        </is>
      </c>
      <c r="C12" t="inlineStr">
        <is>
          <t>TransPecos Banks</t>
        </is>
      </c>
      <c r="D12" t="inlineStr">
        <is>
          <t>indeed</t>
        </is>
      </c>
      <c r="E12" t="inlineStr"/>
      <c r="F12" t="inlineStr"/>
      <c r="G12" t="inlineStr">
        <is>
          <t>San Antonio, TX, US</t>
        </is>
      </c>
      <c r="H12" s="2" t="n">
        <v>46042</v>
      </c>
      <c r="I12" t="inlineStr">
        <is>
          <t>**Job Description**
 **Job Title**: Data Engineer \&amp; Architect
***This position is an on\-site assignment (preferred).***
**Summary**:
We are seeking a talented and experienced Data Engineer \&amp; Architect with operations support experience and data architecture capabilities. The ideal candidate will have a passion for data, strong design thinking, and a desire to help shape scalable cloud‑based data solutions. This role will support production data operations, develop new features and pipelines, and contribute to the design of enterprise data architecture across AWS and Databricks.
 **Wage Type**: Salaried
 **Essential Duties \&amp; Responsibilities:**
To perform this job successfully, an individual must be able to perform each of the essential duties satisfactorily. Reasonable accommodation may be made to enable individuals with disabilities to perform the essential functions.
 **Operations Support**
* Be the go\-to person for production support. Troubleshoot issues, identify bottlenecks, and ensure smooth data operations.
* Work closely with our partners and internal staff to address any data\-related concerns promptly.
* Keep a watchful eye on system performance and proactively address any anomalies.
 **Data Engineering**
* Design, develop, and maintain scalable cloud\-based data architectures on AWS and Databricks.
* Implement efficient ETL/ELT processes using Databricks notebooks, Delta Lake, and Apache Spark.
* Collaborate with cross\-functional teams to understand data requirements and ensure data solutions meet business needs.
* Utilize AWS services such as S3, Glue, Redshift, and EMR, and integrate with Databricks Workspaces for unified data processing.
* Ensure data security, integrity, and compliance with industry standards and regulations, including role\-based access control (RBAC) in Databricks.
* Troubleshoot and optimize existing ETL processes for performance and reliability using Databricks performance tuning techniques.
* Stay updated on emerging cloud technologies and recommend improvements to enhance data engineering capabilities, including Databricks Lakehouse architecture.
* Collaborate with data scientists and analysts to provide accessible and high\-quality data for analytics and reporting via Databricks SQL and Unity Catalog.
 **Data Architecture**
* Participate in designing enterprise‑level data models (conceptual, logical, physical) to support Lakehouse and warehouse structures.
* Define and maintain data standards, naming conventions, and architectural patterns for ingestion, transformation, storage, and governance.
* Evaluate system architecture and make recommendations to support scalability, performance, and cost optimization across AWS and Databricks.
* Assist in defining canonical data entities and integration patterns used across the organization.
* Contribute to solution architecture for data pipelines, APIs, and event‑driven data flows.
* Support the creation of technical documentation including data dictionaries, lineage diagrams, and architectural diagrams.
* Partner with security and governance stakeholders to ensure adherence to data stewardship, quality, and compliance principles.
* Provide architectural input during project planning, backlog grooming, and cross‑team design discussions.
* Carry out responsibilities with professionalism, respect for others, in accordance with the organization's policies and applicable laws
* Any other duties as assigned.
Key Deliverables:
* Reliable production support of the cloud‑based data ecosystem through troubleshooting, debugging, analysis, and code deployments, including Databricks job orchestration and monitoring.
* Support for data warehouse and Lakehouse maintenance, including patches, upgrades, and workspace configuration.
* Clear communications around data initiatives, planning, and problem resolution, including Databricks workspace collaboration.
* Architectural documentation, including data flow diagrams, detailed solution designs, and model definitions.
 **Organizational Structure**:
Reports to: Head of Integrations \&amp; Data Engineering
Supervises: N/A
 **Qualifications:**
Education:
* Bachelor's degree in Computer Science, Information Technology, or a related field.
Required Knowledge/Skills:
* Proven experience as a Cloud Data Engineer with expertise in AWS and Databricks.
* Strong background in ETL/ELT development using Apache Spark and Databricks.
* Familiarity with data modeling, database design, and optimization techniques in Delta Lake.
* Experience with Databricks SQL, Unity Catalog, and MLflow is a plus.
* Ability to work collaboratively using Databricks Repos and version control.
* Strong communication skills for translating technical concepts to non\-technical stakeholders.
* Understanding of data architecture concepts such as modeling patterns, data governance, and domain‑driven design frameworks.
Desired Experiences:
* AWS certifications in relevant areas.
* Databricks certifications in relevant areas.
* Experience with Apache NiFi, Apache NiFi Registry.
* Experience with Databricks administration, including workspace setup, cluster configuration, and access control.
* Knowledge of data warehousing and Lakehouse architecture.
* Familiarity with DevOps practices in a cloud environment, including CI/CD pipelines integrated with Databricks.
* Knowledge of Banking and Financial Services.
Talents:
* Strong positivity.
* Mission driven, competitive, goal oriented, and motivated to develop themselves and others.
* Energetic, resourceful, and appropriate work intensity to get the work done
* Strong people acumen and relationship skills; Naturally pre\-disposed to quickly establish positive personal and professional relationships.
Other:
* Ability to interpret a variety of instructions furnished in written, oral, diagram or schedule form.
* Must be able to lift to 20 pounds.
 ***TransPecos Banks will not accept unsolicited resumes from any source other than the candidate. We will consider any candidate for whom an Agency submits an unsolicited resume, to have been referred to us by the Agency free of any charges or fees, other than those agencies we engage on a specific search. TransPecos Banks will not pay a fee for any placement resulting from the receipt of an unsolicited resume.***</t>
        </is>
      </c>
    </row>
    <row r="13">
      <c r="A13" t="inlineStr">
        <is>
          <t>in-51fb28bdcb351e91</t>
        </is>
      </c>
      <c r="B13" t="inlineStr">
        <is>
          <t>Data Engineer</t>
        </is>
      </c>
      <c r="C13" t="inlineStr">
        <is>
          <t>Fiserv</t>
        </is>
      </c>
      <c r="D13" t="inlineStr">
        <is>
          <t>indeed</t>
        </is>
      </c>
      <c r="E13" t="inlineStr"/>
      <c r="F13" t="inlineStr"/>
      <c r="G13" t="inlineStr">
        <is>
          <t>Ireland, WV, US</t>
        </is>
      </c>
      <c r="H13" s="2" t="n">
        <v>46042</v>
      </c>
      <c r="I1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Data Engineer
At Fiserv, we’re driving data‑led decisions that power better financial experiences. As a Data Engineer on our EMEA data analytics teams, you will design, build and operate large‑scale data migration, integration, replication and streaming solutions that deliver high‑quality data into Snowflake with speed and reliability. You will work within agile, multidisciplinary delivery teams to architect, deploy and support production data intelligence solutions on Snowflake Cloud Data Warehouse.
What you’ll do:
* Design, develop and maintain ETL/ELT pipelines for batch and real‑time workloads using Java, Scala or Python Spark jobs for transformation and aggregation.
* Build and optimise SQL queries and data models in Snowflake; implement Snowpipe and Snow SQL‑based transformations.
* Implement Snowflake external tables, staging strategies, tasks, clustering and performance tuning; apply Time Travel and zero‑copy cloning where appropriate.
* Develop low‑latency streaming integrations from Kafka and other event sources into the data warehouse.
* Create production‑grade data integrations and data pipelines of medium to high complexity (real‑time and batch).
* Design and deliver machine learning data pipelines and feature engineering workflows.
* Deploy data pipelines, infrastructure and artefacts as code; incorporate CI/CD and test‑driven practices.
* Troubleshoot and provide production support for data load, transformation and translation issues.
* Write unit tests for transformations and aggregations and participate in peer code reviews.
* Translate BI and reporting requirements into database and reporting designs.
* Estimate work, communicate technical status to stakeholders and help establish coding and data governance standards.
* Champion non‑functional requirements including availability, scalability, operability and maintainability.
**Experience you’ll need to have:**
* A degree in Computer Science, Engineering or a related discipline (BSc/BTech/B.E. or equivalent).
* Proven experience in enterprise big data environments.
* Strong hands‑on experience with Snowflake, including Snowpipe, external tables, tasks, Time Travel, zero‑copy cloning and performance tuning.
* Deep knowledge of Spark and Kafka for batch and streaming processing.
* Extensive SQL expertise and experience writing complex queries for analytics workloads.
* Practical experience with cloud platforms and services (AWS preferred).
* Experience with data platforms such as Hadoop, Hive, Redshift or Snowflake.
* Familiarity with DevOps practices and platforms (for example GitLab), containerisation (Docker, Kubernetes) and orchestration tools (Airflow).
* Solid Linux/OS knowledge and scripting experience.
* Demonstrable production deployment and operational experience for data technologies and platforms.
* Strong communication, collaboration and stakeholder engagement skills; ability to work effectively in cross‑functional agile teams.
**Certifications and professional qualifications (desirable):**
* SnowPro Core, AWS Big Data or equivalent data engineering certifications.
**Preferred:**
* Hands‑on Snowflake migration experience.
* Experience with Oracle RDBMS.
* Exposure to ETL tools such as StreamSets or dbt.
**Why join us:** We are partners in possibility — combining data, technology and domain experience to create outcomes that matter for our clients. If you’re motivated by solving hard data problems, delivering production‑grade solutions and collaborating across teams, you’ll find opportunities to grow and make an impact here at Fiserv in EMEA.
Thank you for considering employment with Fiserv. Please:
* Apply using your legal name
* Complete the step\-by\-step profile and attach your resume (either is acceptable, both are preferable).
**Our commitment to Diversity and Inclusion:**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4">
      <c r="A14" t="inlineStr">
        <is>
          <t>in-d3a856ccca3ff3d1</t>
        </is>
      </c>
      <c r="B14" t="inlineStr">
        <is>
          <t>Lead Data Platform Engineer</t>
        </is>
      </c>
      <c r="C14" t="inlineStr">
        <is>
          <t>The Walt Disney Company</t>
        </is>
      </c>
      <c r="D14" t="inlineStr">
        <is>
          <t>indeed</t>
        </is>
      </c>
      <c r="E14" t="inlineStr"/>
      <c r="F14" t="inlineStr"/>
      <c r="G14" t="inlineStr">
        <is>
          <t>Burbank, CA, US</t>
        </is>
      </c>
      <c r="H14" s="2" t="n">
        <v>46042</v>
      </c>
      <c r="I14"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The Data Solutions \&amp; Products group is part of Enterprise Technology. We are responsible for designing and developing enterprise solutions and managing a diverse portfolio of products and tools related to Data, Analytics and Automation used by business teams across The Walt Disney Company.
The **Lead Data Platform Engineer** position is one of the key technical leadership roles on the team. You will have the opportunity to be the Lead Engineer for major development projects related to data \&amp; analytics solutions and platforms. The first project this role will be responsible as the Lead Engineer for leading is the implementation of a Finance Data Layer—a data lakehouse that provides data to Finance systems and applications including an EPM system, BI reporting \&amp; analytics, and AI/ML applications.
You will be working in a challenging, fast\-paced, highly collaborative and rewarding environment, as a member of product and project teams that work closely with each other and with our business partners to deliver innovative and industry\-leading business solutions.
**What You’ll Do:**
* Leading teams of developers (both Disney Cast Members and external vendors) in major software/data development projects.
* Designing and developing highly scalable, distributed enterprise data platform solutions.
* Design, develop and implement scalable distributed enterprise data platform solutions, focusing on multi\-cluster warehousing, data sharing, and optimized storage.
* Write code that establishes and enhances frameworks and design proof of concepts, and review code for correctness, and its impact on software architecture.
* Lead the development of high\-performance ETL/ELT pipelines using tools like dbt, Python, Airflow and more to integrate diverse data sources.
* Provide mentorship and direction to more junior software engineers on the team; serve as an advanced resources for other engineers on the team.
* Being the ongoing technical lead for data platform products (post\-implementation)—leading engineering support for the production platform, leading ongoing enhancement projects, guiding technical product roadmap
* Partner with Data Science, Analytics, and Product teams to ensure the platform meets evolving business requirements.
* Establish standards for data modeling (Vault, Star Schema), security (RBAC), and data quality frameworks.
* Excellent communication skills, ability to communicate well to both technical and business audiences
* Strong collaboration skills
**Required Qualifications \&amp; Skills:**
* 7\+ years of professional programming and design experience in Scala, Java, Python etc.; demonstrated experience designing and developing enterprise data solutions and platforms
* Demonstrated experience leading engineering initiatives on major software and data development projects
* Experience with medallion\-based data Lakehouse architectures
* Experience with high\-scale cloud data platforms and with at least one major cloud provider (AWS, Azure, or GCP)
* Expert knowledge of data integration, dimensional modeling and data warehousing techniques.
* Experience implementing CI/CD pipelines for data
* Proficiency in Java, SQL
* Experience with Snowflake
**Preferred Qualifications:**
* Experience with enterprise data domains is preferred (especially Finance and HR data)
* Experience with AI/ML
* Experience with SAP Systems (S4, BW, HANA, BDC)
* Experience with EPM Systems (e.g. Oracle EPM)
* Experience with Data Governance
* Experience with Master Data Management
* Experience with BI tools
**Required Education:**
* Bachelor’s degree in computer science, Information Systems, Software, Electrical or Electronics Engineering, or comparable field of study, and/or equivalent work experience
* Master’s Degree a Plus
\#DISNEYTECH
The hiring range for this position in Burbank, CA is $155,700 \- $208,700 per year and in Seattle, WA is $163,100 \- $218,700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5">
      <c r="A15" t="inlineStr">
        <is>
          <t>in-72d902af7f547dc4</t>
        </is>
      </c>
      <c r="B15" t="inlineStr">
        <is>
          <t>Senior Data Engineer(Azure/Microsoft Technologies)</t>
        </is>
      </c>
      <c r="C15" t="inlineStr">
        <is>
          <t>Lateetud</t>
        </is>
      </c>
      <c r="D15" t="inlineStr">
        <is>
          <t>indeed</t>
        </is>
      </c>
      <c r="E15" t="inlineStr"/>
      <c r="F15" t="inlineStr"/>
      <c r="G15" t="inlineStr">
        <is>
          <t>Remote, US</t>
        </is>
      </c>
      <c r="H15" s="2" t="n">
        <v>46042</v>
      </c>
      <c r="I15" t="inlineStr">
        <is>
          <t>A minimum of 7\+ years (Strong Hands\-On, Production\-Grade)
India (Remote)
### **Role Overview**
* Design, build, and operate modern, cloud\-native data platforms on Microsoft Azure.
* Own end\-to\-end data pipelines with focus on scalability, security, governance, and performance.
### **Key Responsibilities**
* Design cloud\-native, scalable data architectures on Azure.
* Build batch, incremental, and CDC\-based data pipelines.
* Implement ELT patterns using Azure Synapse and Databricks.
* Develop real\-time data pipelines using Event Hubs, Kafka, and Stream Analytics.
* Implement data governance, security, monitoring, and CI/CD practices.
* Mentor engineers and lead architecture discussions.
### **Required Skills \&amp; Experience**
* 7\+ years of hands\-on experience in Data Engineering.
* Strong expertise in Azure Data Factory, ADLS Gen2, Synapse Analytics, and Azure SQL.
* Hands\-on experience with Azure Databricks and Spark / PySpark.
* Experience with real\-time data processing (Event Hubs, Kafka, Azure Stream Analytics).
* Understanding of ML data workflows, feature engineering, and MLOps integration.
* Experience working with C\# on Azure\-based data or platform workloads.
* Strong SQL performance tuning and optimization skills.
* Strong Python / PowerShell scripting skills.
### **Nice to Have**
* Docker and Kubernetes experience.
* Experience with Microsoft Fabric (Lakehouse, Data Pipelines, OneLake, Synapse Engineering).
* Experience collaborating with Analytics / BI teams (Power BI or equivalent).
* Exposure to at least one additional cloud platform (AWS or GCP).
* Cloud cost optimization experience.
* Seniority levelSenior
* Employment typeFull Time
* Job functionSenior Data Engineer(Azure/Microsoft Technologies)
* IndustriesIT</t>
        </is>
      </c>
    </row>
    <row r="16">
      <c r="A16" t="inlineStr">
        <is>
          <t>in-b11ef64a597db542</t>
        </is>
      </c>
      <c r="B16" t="inlineStr">
        <is>
          <t>Senior Principal Data Engineer - Red Hat Sales Data Management (Raleigh Office)</t>
        </is>
      </c>
      <c r="C16" t="inlineStr">
        <is>
          <t>Red Hat</t>
        </is>
      </c>
      <c r="D16" t="inlineStr">
        <is>
          <t>indeed</t>
        </is>
      </c>
      <c r="E16" t="inlineStr"/>
      <c r="F16" t="inlineStr"/>
      <c r="G16" t="inlineStr">
        <is>
          <t>Raleigh, NC, US</t>
        </is>
      </c>
      <c r="H16" s="2" t="n">
        <v>46042</v>
      </c>
      <c r="I16" t="inlineStr">
        <is>
          <t>Job Description
Red Hat’s Global Sales Go\-To\-Market Strategy, Incentives \&amp; Data Analytics organization is seeking a Senior Principal Data Engineer to work with a high degree of autonomy to lead the integration, automation, and optimization of complex data solutions. In this role, you will move beyond simple execution to provide technical leadership in data massaging, reconciliation, and architectural design. You will be responsible for building robust data pipelines, ensuring data governance, and collaborating with cross\-functional teams to deliver high\-quality data products that drive business decisions.
What will you do?* Advanced SQL Development: Write complex, highly optimized SQL queries across large datasets. You will be the subject matter expert for SQL query tuning and providing performance recommendations to the wider team.
* Python Automation: utilize advanced Python proficiency (including libraries such as Pandas and NumPy) to clean, massage, and merge raw datasets, automating complex data extraction and loading processes.
* Pipeline Orchestration: Design, schedule, and monitor robust data pipelines using tools like Airflow. You will take ownership of debugging workflows and resolving performance bottlenecks.
* Data Stewardship: Act as a guardian of data integrity. This includes leading initiatives on data governance, compliance, transformation, and validation audits.
* Automated Testing \&amp; CI/CD: Develop and maintain automated unit, end\-to\-end, and integration tests to ensure data accuracy. Participate actively in version control (Git) and CI/CD processes for deploying pipeline changes across environments.
* Cross\-Functional Leadership: Partner with Analysts, Engineers, and Operations teams to understand data needs and ensure data accessibility for business stakeholders from the finance and operations organizations.
* Problem Solving: Apply strong analytical skills to translate complex algorithms into efficient software solutions, converting raw data into actionable insights by identifying trends, outliers, and distributions.
What will you bring?* Experience: 10\+ years of experience as a Data Engineer, BI Engineer, or Systems Analyst in an enterprise environment with large, complex data sources.
* Education: Master’s degree in Computer Science, IT, Engineering, or equivalent experience.
* Expert SQL: Deep expertise in relational databases (PostgreSQL, MSSQL, etc.) and query optimization.
* Expert Python: Strong programming skills for data querying, cleaning, and presentation, with hands\-on experience in data\-centric libraries.
* Modern Stack Experience: Working knowledge of DBT (Data Build Tool) and Snowflake data warehousing is highly desirable.
* ELT/ETL Tools: Experience with Fivetran or similar integration tools.
* Autonomy: Ability to manage multiple projects simultaneously in a fast\-paced, distributed team environment across different time zones and cultures.
* Troubleshooting: Exceptional logic and reasoning skills to troubleshoot complex data issues.
* Planning: Ability to think strategically about data architecture and project planning.
\#Li\-NG1
The salary range for this position is $136,420\.00 \- $225,100\.00\.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7">
      <c r="A17" t="inlineStr">
        <is>
          <t>in-d1404e3d9065eb65</t>
        </is>
      </c>
      <c r="B17" t="inlineStr">
        <is>
          <t>Principal Data Engineer - Red Hat Sales Data Management (Raleigh Office)</t>
        </is>
      </c>
      <c r="C17" t="inlineStr">
        <is>
          <t>Red Hat</t>
        </is>
      </c>
      <c r="D17" t="inlineStr">
        <is>
          <t>indeed</t>
        </is>
      </c>
      <c r="E17" t="inlineStr"/>
      <c r="F17" t="inlineStr"/>
      <c r="G17" t="inlineStr">
        <is>
          <t>Raleigh, NC, US</t>
        </is>
      </c>
      <c r="H17" s="2" t="n">
        <v>46042</v>
      </c>
      <c r="I17" t="inlineStr">
        <is>
          <t>Red Hat’s Global Sales Go\-To\-Market Strategy, Incentives \&amp; Data Analytics organization is seeking a Principal Data Engineer to work with a high degree of autonomy to lead the integration, automation, and optimization of complex data solutions. In this role, you will move beyond simple execution to provide technical leadership in data massaging, reconciliation, and architectural design. You will be responsible for building robust data pipelines, ensuring data governance, and collaborating with cross\-functional teams to deliver high\-quality data products that drive business decisions.
What will you do?* Advanced SQL Development: Write complex, highly optimized SQL queries across large datasets. You will be the subject matter expert for SQL query tuning and providing performance recommendations to the wider team.
* Python Automation: utilize advanced Python proficiency (including libraries such as Pandas and NumPy) to clean, massage, and merge raw datasets, automating complex data extraction and loading processes.
* Pipeline Orchestration: Design, schedule, and monitor robust data pipelines using tools like Airflow. You will take ownership of debugging workflows and resolving performance bottlenecks.
* Data Stewardship: Act as a guardian of data integrity. This includes leading initiatives on data governance, compliance, transformation, and validation audits.
* Automated Testing \&amp; CI/CD: Develop and maintain automated unit, end\-to\-end, and integration tests to ensure data accuracy. Participate actively in version control (Git) and CI/CD processes for deploying pipeline changes across environments.
* Cross\-Functional Leadership: Partner with Analysts, Engineers, and Operations teams to understand data needs and ensure data accessibility for business stakeholders from the finance and operations organizations.
* Problem Solving: Apply strong analytical skills to translate complex algorithms into efficient software solutions, converting raw data into actionable insights by identifying trends, outliers, and distributions.
What will you bring?* Experience: 5\+ years of experience as a Data Engineer, BI Engineer, or Systems Analyst in an enterprise environment with large, complex data sources.
* Education: Master’s degree in Computer Science, IT, Engineering, or equivalent experience.
* Expert SQL: Deep expertise in relational databases (PostgreSQL, MSSQL, etc.) and query optimization.
* Expert Python: Strong programming skills for data querying, cleaning, and presentation, with hands\-on experience in data\-centric libraries.
* Modern Stack Experience: Working knowledge of DBT (Data Build Tool) and Snowflake data warehousing is highly desirable.
* ELT/ETL Tools: Experience with Fivetran or similar integration tools.
* Autonomy: Ability to manage multiple projects simultaneously in a fast\-paced, distributed team environment across different time zones and cultures.
* Troubleshooting: Exceptional logic and reasoning skills to troubleshoot complex data issues.
* Planning: Ability to think strategically about data architecture and project planning.
\#Li\-NG1
The salary range for this position is $120,720\.00 \- $199,120\.00\.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8">
      <c r="A18" t="inlineStr">
        <is>
          <t>in-651c982f0eabe37c</t>
        </is>
      </c>
      <c r="B18" t="inlineStr">
        <is>
          <t>Senior Specialist - Data Engineering</t>
        </is>
      </c>
      <c r="C18" t="inlineStr">
        <is>
          <t>LTIMindtree</t>
        </is>
      </c>
      <c r="D18" t="inlineStr">
        <is>
          <t>indeed</t>
        </is>
      </c>
      <c r="E18" t="inlineStr"/>
      <c r="F18" t="inlineStr"/>
      <c r="G18" t="inlineStr">
        <is>
          <t>Hartford, CT, US</t>
        </is>
      </c>
      <c r="H18" s="2" t="n">
        <v>46042</v>
      </c>
      <c r="I18" t="inlineStr">
        <is>
          <t>**Role description**  
Role Senior Data Engineer
Experience 10 to 12 Years
Location USA Hartford CT Hybrid working from office
Must Have AWS Databricks Python
Good to have Any ETL tool
Requirements
Candidate must be experienced working in projects involving data migration on AWS databricks and python
Experience on data migration from OnPrem databases to AWS Cloud on S3 using databricks
Understands where to obtain information needed to make the appropriate decisions
Demonstrates ability to break down a problem to manageable pieces and implement effective timely solutions
Identifies the problem versus the symptoms
Manages problems that require involvement of others to solve
Reaches sound decisions quickly
Develops solutions to meet business needs that reflect a clear understanding of the objectives practices and procedures of the corporation department and business unit
Roles and responsibilities
Build and operationalize complex data solutions correct problems apply transformations and recommending data cleansing quality solutions
Design complex data solutions
Perform analysis of complex sources to determine value and use and recommend data to include in analytical processes
Incorporate core data management competencies including data governance data security and data quality
Collaborate within and across teams to support delivery and educate end users on complex data productsanalytic environment
Perform data and system analysis assessment and resolution for complex defects and incidents and correct as appropriate
Test data movement transformation code and data components
Demonstrate domain expertise including understanding technical concepts necessary and industry trends
Skills
Bachelors Degree in STEM related field or equivalent
Eight years of related experience
Highly proficient use of tools techniques and manipulation including Cloud platforms programming languages and a full understanding of modern software engineering practices
Strong written and verbal communication skills
 **Skills**  
**Mandatory Skills :** Databricks  
**Benefits**  
Compensation range: $90,000\.00 to $110,000\.00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19">
      <c r="A19" t="inlineStr">
        <is>
          <t>in-2bf3a792506788c6</t>
        </is>
      </c>
      <c r="B19" t="inlineStr">
        <is>
          <t>Lead Data Engineer</t>
        </is>
      </c>
      <c r="C19" t="inlineStr">
        <is>
          <t>Capital One</t>
        </is>
      </c>
      <c r="D19" t="inlineStr">
        <is>
          <t>indeed</t>
        </is>
      </c>
      <c r="E19" t="inlineStr"/>
      <c r="F19" t="inlineStr"/>
      <c r="G19" t="inlineStr">
        <is>
          <t>Richmond, VA, US</t>
        </is>
      </c>
      <c r="H19" s="2" t="n">
        <v>46041</v>
      </c>
      <c r="I19"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in-9feb89de35030453</t>
        </is>
      </c>
      <c r="B20" t="inlineStr">
        <is>
          <t>Sr. Director, Data Engineering</t>
        </is>
      </c>
      <c r="C20" t="inlineStr">
        <is>
          <t>Capital One</t>
        </is>
      </c>
      <c r="D20" t="inlineStr">
        <is>
          <t>indeed</t>
        </is>
      </c>
      <c r="E20" t="inlineStr"/>
      <c r="F20" t="inlineStr"/>
      <c r="G20" t="inlineStr">
        <is>
          <t>McLean, VA, US</t>
        </is>
      </c>
      <c r="H20" s="2" t="n">
        <v>46041</v>
      </c>
      <c r="I20" t="inlineStr">
        <is>
          <t>Sr. Director, Data Engineering
Capital One is seeking a Sr. Director, Data Engineering to work in our CORE (Cloud Operations and Resilience) organization to build a robust data foundation that enables us to drive insights efficiently and effectively. You will spearhead the strategy to modernize our architecture through the delivery of scalable data products, leveraging AI and creative technologies to automate hygiene and governance. Your goal is to eliminate the manual wrangling traditionally required by our technologists, shifting their focus from data discovery to rapid insight generation.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Directors Are:**
* Technologists: Strong engineering and technology background with the ability to learn quickly and go deep into our product and engineering solutions \- will have a DevOps mindset
* Effective Communicators: Excellent listener; proven collaborator with senior leaders, peers and staff
* Partnership Attitude: Have the competencies to build very strong partnerships with other technology leaders that enable your team's ability to stay on the leading edge of industry solutions
* Curious: Hands\-on, "roll up your sleeves" collaborative style of working
* Passionate: Bring energy and enthusiasm to the job and organization
* Bold: History of taking smart, calculated risks and aggressively leading through change
* Achievers: Consistently attain/exceed individual and team goals
 **You Will:**
* Lead, manage, and grow multiple teams of product focused software engineers, data engineers, and Data Scientists
* Embrace and incubate emerging technology and open\-source products across all platforms
* Work to modernize our existing tech stacks and data platforms
* Collaborate with internal teams to find areas of opportunities for automation and machine learning
* Partner with architects, product owners, data professionals, and software \&amp; data engineers to drive the implementation of new applications
* Work within and across Agile teams to design, develop, test, implement and support technical solutions across full\-stack development tools and technologies
* Lead efforts to deploy new and existing applications into AWS environments and provide operational support for the applications
* Conduct design and code review to ensure compliance with standards
 **Basic Qualifications:**
* Bachelor’s Degree
* At least 9 years of experience in software engineering or data engineering
* At least 7 years of people management experience
* At least 3 years of experience with Big Data and data streaming
* At least 3 years of experience with cloud\-based data platforms (Amazon Web Services, Microsoft Azure, Google Cloud Platform)
 **Preferred Qualifications:**
* 10\+ years of experience in software engineering or data engineering
* 5\+ years of experience in Data Governance, Data Governance Platforms, Data Standardization, and Data Modeling
* 3\+ years experience creating and maturing a Data Architecture function
* 3\+ years of experience with Data Lake Infrastructure, Data Warehousing, and Data Analytics tools
* 3\+ years of experience with AWS
* Bachelor's degree in a related technical field (Computer Science, Software Engineering, Data Science)
* MBA or Master’s Degree in a related technical field (Computer Science, Software Engineering, Data Science) or equivalent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Data Engineering  
Plano, TX: $286,200 \- $326,700 for Sr. Dir, Data Engineering  
Richmond, VA: $286,200 \- $326,700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in-1f8983d60cfe86d8</t>
        </is>
      </c>
      <c r="B21" t="inlineStr">
        <is>
          <t>Senior Data Engineer</t>
        </is>
      </c>
      <c r="C21" t="inlineStr">
        <is>
          <t>Microsoft</t>
        </is>
      </c>
      <c r="D21" t="inlineStr">
        <is>
          <t>indeed</t>
        </is>
      </c>
      <c r="E21" t="inlineStr"/>
      <c r="F21" t="inlineStr"/>
      <c r="G21" t="inlineStr">
        <is>
          <t>Redmond, WA, US</t>
        </is>
      </c>
      <c r="H21" s="2" t="n">
        <v>46040</v>
      </c>
      <c r="I21" t="inlineStr">
        <is>
          <t>**Overview**  
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achieve our mission.
Cloud Operations \+ Innovation (CO\+I) is the engine that powers Microsoft’s core cloud platforms and services that millions of people use every day. With more than 95% of Fortune 500 business on Azure, 180 million using Office 365, and millions using other services – all running on Microsoft's cloud infrastructure – CO\+I builds and operates the foundation upon which Microsoft’s mission to empower every person and organization comes to life.
Are you passionate about cloud computing? Do you get excited about taking a hands\-on approach to transforming Microsoft’s most critical business through investigation, data analysis, and automation? If so, come and help us build the most reliable \&amp; efficient datacenter infrastructure on the planet. The CO\+I Critical Environment Systems Intelligence (CESI) team is responsible for designing and delivering solutions to support global datacenter operations and to improve availability. CESI is helping to drive CO\+I’s transition to a customer centric, data driven, live service culture. As a Senior Data Engineer, you will be a key player in this transition.
As a Senior Data Engineer on the CO\+I Critical Environment Service Intelligence (CESI) team, you will design and deliver the data platforms and tooling required to programmatically understand which customers are impacted by changes occurring within our data centers. This work enables clear, datadriven visibility into customer impact resulting from both planned and unplanned infrastructure events.
You will partner closely with multiple CO\+I teams, as well as Azure, Exchange, Bing, and other firstparty services, to model, integrate, and deliver this capability at scale. A successful candidate will apply strong data engineering fundamentals—data modeling, pipeline design, automation, and lowlatency processing—while leveraging domain knowledge across data center infrastructure capacity, service management, customer experience (CXP), containers, cloud services, shared responsibility models, and geo and zoneredundant architectures.
Through this work, you will help establish a clear source of truth for ownership of data center assets and their relationships to customerfacing services, enabling accurate, timely assessment of customer impact during outages and other operational events. The solutions you build will operate over large, complex datasets and directly inform operational decisionmaking across the fleet.
In alignment with our Microsoft values, we are committed to cultivating an inclusive work environment for all employees to positively impact our culture every day.
 **Responsibilities**  
As a Senior Data Engineer, you will:
* Deliver a data\-driven solution to map from servers (and clusters) to their responsible First Party owners and services by exposing leaps of logic that don't explicitly exist between systems
* Develop automations to appropriately calculate risk of impact to customers during an outage in collaboration with responsible parties and Azure Customer Experience.
* Perform thorough data analysis and testing to identify data gaps and ensure data quality.
* Work closely with application, data platform, and data engineering teams to reconfigure data ingestion pipelines to be more reliable and continuously monitored.
* Partner with engineering teams to publish easy\-to\-consume, production\-quality data assets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6\+ years of strong hands\-on experience with Data Analytics applications. (SQL, Kusto, Hadoop, or equivalent large data system).
* 2\+ years of hands\-on experience creating and leveraging data visualization platforms (Power BI, Tableau, etc).
* Experience working with large data sets using SQL/Azure Data Lake/Spark, etc., to derive actionable insights is highly desirable.
* Familiarity with one or more general purpose programming languages including but not limited to: Java, C/C\+\+, C\#, Python, JavaScript, PowerShell.
* Experience with reporting and data analysis systems \&amp; platforms (e.g., Power BI, SAP, CRM, Dynamics 365, etc.).
* Demonstrated experience producing executable and measurable results; focused on delivering impact and identifying, managing, and mitigating risks.
* Demonstrated technical problem solving and excellent analytical, verbal, written, interpersonal communication skills with attention to detail.
* Ability to communicate with a broad range of audiences with varying technical abilities and to use data as a story\-telling device.
* Ability to effectively deal with ambiguity and work independently to derive actionable solutions.
* Ability to successfully influence without authority and manage efforts through relationships.
* Ability to promote a collaborative environment and bring a positive attitude to difficult situations.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
      <c r="A22" t="inlineStr">
        <is>
          <t>in-8b43b06917d76de9</t>
        </is>
      </c>
      <c r="B22" t="inlineStr">
        <is>
          <t>Data Engineer, Denied Party Screening, AWS Compliance &amp; Security Assurance</t>
        </is>
      </c>
      <c r="C22" t="inlineStr">
        <is>
          <t>Amazon.com</t>
        </is>
      </c>
      <c r="D22" t="inlineStr">
        <is>
          <t>indeed</t>
        </is>
      </c>
      <c r="E22" t="inlineStr"/>
      <c r="F22" t="inlineStr"/>
      <c r="G22" t="inlineStr">
        <is>
          <t>Seattle, WA, US</t>
        </is>
      </c>
      <c r="H22" s="2" t="n">
        <v>46029</v>
      </c>
      <c r="I2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3">
      <c r="A23" t="inlineStr">
        <is>
          <t>in-bd4cf46d142a63df</t>
        </is>
      </c>
      <c r="B23" t="inlineStr">
        <is>
          <t>Data Engineer, Denied Party Screening, AWS Compliance &amp; Security Assurance</t>
        </is>
      </c>
      <c r="C23" t="inlineStr">
        <is>
          <t>Amazon.com</t>
        </is>
      </c>
      <c r="D23" t="inlineStr">
        <is>
          <t>indeed</t>
        </is>
      </c>
      <c r="E23" t="inlineStr"/>
      <c r="F23" t="inlineStr"/>
      <c r="G23" t="inlineStr">
        <is>
          <t>Dallas, TX, US</t>
        </is>
      </c>
      <c r="H23" s="2" t="n">
        <v>46029</v>
      </c>
      <c r="I2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4">
      <c r="A24" t="inlineStr">
        <is>
          <t>in-37f9e2cad403229f</t>
        </is>
      </c>
      <c r="B24" t="inlineStr">
        <is>
          <t>Data Engineer</t>
        </is>
      </c>
      <c r="C24" t="inlineStr">
        <is>
          <t>Amazon.com</t>
        </is>
      </c>
      <c r="D24" t="inlineStr">
        <is>
          <t>indeed</t>
        </is>
      </c>
      <c r="E24" t="inlineStr"/>
      <c r="F24" t="inlineStr"/>
      <c r="G24" t="inlineStr">
        <is>
          <t>San Francisco, CA, US</t>
        </is>
      </c>
      <c r="H24" s="2"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in-2491cfa32dd1bde1</t>
        </is>
      </c>
      <c r="B25" t="inlineStr">
        <is>
          <t>Data Engineer</t>
        </is>
      </c>
      <c r="C25" t="inlineStr">
        <is>
          <t>Amazon.com</t>
        </is>
      </c>
      <c r="D25" t="inlineStr">
        <is>
          <t>indeed</t>
        </is>
      </c>
      <c r="E25" t="inlineStr"/>
      <c r="F25" t="inlineStr"/>
      <c r="G25" t="inlineStr">
        <is>
          <t>Seattle, WA, US</t>
        </is>
      </c>
      <c r="H25" s="2" t="n">
        <v>46001</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in-ebef891f3e17f414</t>
        </is>
      </c>
      <c r="B26" t="inlineStr">
        <is>
          <t>Delivery Consultant - Data Engineer, Data and Machine Learning, WWPS US Federal</t>
        </is>
      </c>
      <c r="C26" t="inlineStr">
        <is>
          <t>Amazon Web Services</t>
        </is>
      </c>
      <c r="D26" t="inlineStr">
        <is>
          <t>indeed</t>
        </is>
      </c>
      <c r="E26" t="inlineStr"/>
      <c r="F26" t="inlineStr"/>
      <c r="G26" t="inlineStr">
        <is>
          <t>Arlington, VA, US</t>
        </is>
      </c>
      <c r="H26" s="2" t="n">
        <v>45991</v>
      </c>
      <c r="I2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in-daf88bc6cf448bc8</t>
        </is>
      </c>
      <c r="B27" t="inlineStr">
        <is>
          <t>Delivery Consultant - Data Engineer, Data and Machine Learning, WWPS US Federal</t>
        </is>
      </c>
      <c r="C27" t="inlineStr">
        <is>
          <t>Amazon Web Services</t>
        </is>
      </c>
      <c r="D27" t="inlineStr">
        <is>
          <t>indeed</t>
        </is>
      </c>
      <c r="E27" t="inlineStr"/>
      <c r="F27" t="inlineStr"/>
      <c r="G27" t="inlineStr">
        <is>
          <t>Herndon, VA, US</t>
        </is>
      </c>
      <c r="H27" s="2" t="n">
        <v>45991</v>
      </c>
      <c r="I2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in-8811b679c0e17dc3</t>
        </is>
      </c>
      <c r="B28" t="inlineStr">
        <is>
          <t>Data Engineer, Data Engineering and Analytics - USDS</t>
        </is>
      </c>
      <c r="C28" t="inlineStr">
        <is>
          <t>TikTok</t>
        </is>
      </c>
      <c r="D28" t="inlineStr">
        <is>
          <t>indeed</t>
        </is>
      </c>
      <c r="E28">
        <f>HYPERLINK("https://www.indeed.com/viewjob?jk=8811b679c0e17dc3", "https://www.indeed.com/viewjob?jk=8811b679c0e17dc3")</f>
        <v/>
      </c>
      <c r="F28">
        <f>HYPERLINK("https://lifeattiktok.com/search/7597527473320888629", "https://lifeattiktok.com/search/7597527473320888629")</f>
        <v/>
      </c>
      <c r="G28" t="inlineStr">
        <is>
          <t>San Jose, CA, US</t>
        </is>
      </c>
      <c r="H28" s="3" t="n">
        <v>46042</v>
      </c>
      <c r="I28" t="inlineStr">
        <is>
          <t>Technology
Data Engineer, Data Engineering and Analytics \- USDS
Location
:
San Jose
Employment Type
:
Regular
Job Code
:
A220471A
Responsibilities
**Team Intro:**  
The Data Engineering team in Data Platform USDS is focused on ensuring the stability, reliability, scalability and risk management of TikTok's US data processing ecosystem. We maintain and operate both batch and streaming pipelines for multiple vertical businesses such as TikTok and TikTok Shop while simultaneously adhering to strict data compliance standards. We collaborate with a host of internal teams to better enable user experiences by delivering high quality at scale.
As a data engineer in the data platform team area, you will have the opportunity to build, optimize and grow one of the largest data platforms in the world that directly supports the TikTok app. You'll have the opportunity to gain hands\-on experience on all kinds of systems in the data platform ecosystem. Your work will have a direct and huge impact on the company's core products as well as hundreds of millions of users.
**Responsibilities:**  
* Design, implement and maintain reliable, scalable, robust and extensible big data systems that support core products and business.
* Design, build, and maintain data pipelines utilizing optimal ETL patterns, frameworks, query techniques, sourcing from structured and unstructured data sources to ensure data is easily accessible and can be used effectively by other members of the organization.
* Extract data from various sources such as APIs, HIVE tables and other structured and unstructured data sources to process and store large volumes of data ensuring data accuracy, consistency, and security.
* Implement and monitor quality control measures to ensure data accuracy, completeness, and consistency.
* Create and maintain technical documentation, such as data dictionaries, data flow diagrams, and system documentation, to ensure efficient and effective data management and analysis.
* Optimize pipelines, dashboards, frameworks, and systems to facilitate easier development of data artifacts.
* Collaborate with engineers, product managers, and data scientists to understand data needs, representing key data insights in a meaningful way.
* Ability to analyze and visualize data to provide business stakeholders with impactful, actionable insights.
* Establish solid design and best engineering practice for engineers as well as non\-technical people.
Qualifications
Minimum Qualifications
* Bachelors degree in Statistics, Computer Science or a related technical field involving software or systems engineering, or equivalent practical experience.
* 1\+ years of experience working with data analytics and data engineering, including experience with data cleaning and preprocessing, data ingestion and ETL(Extraction, Transformation \&amp; Loading), data analysis and dashboard development.
* 1\+ years experience building dashboards in Tableau, Power BI or any similar visualization tool.
Preferred Qualifications
* Proficiency in distributed data processing using Big Data technologies like Spark/Scala, Python, Hadoop/HDFS/AWS/S3 and Kafka.
* Proficiency in data modeling, data design, SQL and databases.
* 3\+ years of Experience with Big Data technologies (Hadoop, M/R, Hive, Spark, Metastore, Presto, Flume, Kafka, ClickHouse, Flink etc).
* Strong background in algorithms and data structures.
* Experience working with PII and GDPR data.
* Ability to communicate effectively with technical and non\-technical partners.
* Ability to deliver consistent high quality results while working in a fast paced environment.
* Passionate, curious, and seeking to tackle every day problems with innovation.
Job Information
【For Pay Transparency】Compensation Description (Annually)
The base salary range for this position in the selected city is $136800 \- $359720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29">
      <c r="A29" t="inlineStr">
        <is>
          <t>in-1d8ea9afdf47dd73</t>
        </is>
      </c>
      <c r="B29" t="inlineStr">
        <is>
          <t>Data Engineer - Remote (Texas)</t>
        </is>
      </c>
      <c r="C29" t="inlineStr">
        <is>
          <t>Amplify Technologies LLC</t>
        </is>
      </c>
      <c r="D29" t="inlineStr">
        <is>
          <t>indeed</t>
        </is>
      </c>
      <c r="E29">
        <f>HYPERLINK("https://www.indeed.com/viewjob?jk=1d8ea9afdf47dd73", "https://www.indeed.com/viewjob?jk=1d8ea9afdf47dd73")</f>
        <v/>
      </c>
      <c r="F29">
        <f>HYPERLINK("http://www.indeed.com/job/data-engineer-remote-texas-1d8ea9afdf47dd73", "http://www.indeed.com/job/data-engineer-remote-texas-1d8ea9afdf47dd73")</f>
        <v/>
      </c>
      <c r="G29" t="inlineStr">
        <is>
          <t>Remote, US</t>
        </is>
      </c>
      <c r="H29" s="3" t="n">
        <v>46043</v>
      </c>
      <c r="I29" t="inlineStr">
        <is>
          <t>**Job Summary:**
Our direct client is looking for Data Engineer \- remote in TX. Please send resumes to vpjain786@gmail.com along with your contact details and someone from our team will get in touch if there is a match. Please do not call. We will reach out if your resume is short listed.
**Key Tasks:**
* Design and develop complex software that processes, stores and serves data for use by others.
* Designs and develops complex and large\-scale data structures and pipelines to organize, collect and standardize data to generate insights and addresses reporting needs.
* Writes complex ETL (Extract / Transform / Load) processes, designs database systems and develops tools for real\-time and offline analytic processing.
* Ensures that data pipelines are scalable, repeatable and secure. Improves data consistency and integrity.
* Integrates data from a variety of sources, assuring that they adhere to data quality and accessibility standards.
* Has knowledge of large\-scale search applications and building high\-volume data pipelines. Knowledge of Java, Hadoop, Hive, Cassandra, Pig, MySQL or NoSQL or similar.
**Other Requirements:**  
Complexity \&amp; Problem Solving:  
\- Learns routine assignments of limited scope and complexity.  
\- Follows practices and procedures to solve standard or routine problems.
Autonomy \&amp; Supervision:  
\- Receives general instructions on routine work and detailed guidance from more senior members on all new tasks.  
\- Work is typically reviewed in detail at frequent intervals for accuracy.
Communication \&amp; Influence:  
\- Builds stable internal working relationships.  
\- Communicates and seeks guidance/feedback regularly from more senior members of the team.  
\- Primarily interacts with supervisors, project leads, mentors, or other professionals in the same discipline.  
\- Explains facts, policies, and practices related to discipline.
Knowledge \&amp; Experience:  
\- Typically requires a college degree (or equivalent) with up to one year of experience but may not have any.  
\- Has conceptual knowledge of theories, principles, and practices within discipline and industry.
Job Types: Full\-time, Contract
Pay: $40\.00 \- $60\.00 per hour
Expected hours: 40 per week
Work Location: Remote</t>
        </is>
      </c>
    </row>
    <row r="30">
      <c r="A30" t="inlineStr">
        <is>
          <t>in-b979ec05f80fff5b</t>
        </is>
      </c>
      <c r="B30" t="inlineStr">
        <is>
          <t>Data Engineer</t>
        </is>
      </c>
      <c r="C30" t="inlineStr">
        <is>
          <t>Stellar Solutions</t>
        </is>
      </c>
      <c r="D30" t="inlineStr">
        <is>
          <t>indeed</t>
        </is>
      </c>
      <c r="E30">
        <f>HYPERLINK("https://www.indeed.com/viewjob?jk=b979ec05f80fff5b", "https://www.indeed.com/viewjob?jk=b979ec05f80fff5b")</f>
        <v/>
      </c>
      <c r="F30">
        <f>HYPERLINK("https://stellaritgroup.oorwin.ai/#/careers/index.html/job/details/9975c3c8e1024b5e5b033f28301a8a589cf5fb45?source=indeed&amp;postedby=283", "https://stellaritgroup.oorwin.ai/#/careers/index.html/job/details/9975c3c8e1024b5e5b033f28301a8a589cf5fb45?source=indeed&amp;postedby=283")</f>
        <v/>
      </c>
      <c r="G30" t="inlineStr">
        <is>
          <t>Phoenix, AZ, US</t>
        </is>
      </c>
      <c r="H30" s="3" t="n">
        <v>46043</v>
      </c>
      <c r="I30" t="inlineStr">
        <is>
          <t>Job Title: Data Engineer
Location: Phoenix, AZ(Hybrid)
Job Type: FTE  
### **Key Responsibilities**
**Data Platform \&amp; Pipeline Development**
* Design, develop, and maintain cloud\-native data pipelines using Databricks, Microsoft Azure Data Factory, and Microsoft Fabric to support data integration and analytics solutions.
* Implement incremental and real\-time data ingestion strategies using a medallion architecture for data lake storage.
* Write, optimize, and maintain complex SQL queries to transform, integrate, and analyze data across enterprise systems.
* Develop solutions with a focus on scalability, maintainability, testability, and long\-term operability within a continuous delivery mindset.
**Data Operations \&amp; Reliability**
* Support and troubleshoot legacy data platforms built on SSIS and SQL Server, ensuring high availability and performance of critical data processes.
* Identify, troubleshoot, and resolve data integration and data quality issues to ensure reliable production data delivery.
* Contribute to observability, automated validation, and CI/CD pipelines to support fast feedback and safe releases.
**Agile Collaboration \&amp; Engineering Practices**
* Collaborate daily with product owners, QA, and engineers through Scrum ceremonies including standups, backlog refinement, sprint planning, sprint reviews, and retrospectives.
* Participate in proof\-of\-concept efforts, technical spikes, and design discussions, providing thoughtful technical analysis and pragmatic recommendations.
* Apply XP engineering practices such as pairing, incremental delivery, continuous refactoring, and shared code ownership to maintain high\-quality, evolvable systems.
* Clearly communicate technical concepts, risks, tradeoffs, and progress to both technical and non\-technical stakeholders.
Requirements
### **Required Qualifications**
* 5\+ years of experience designing and building data solutions.
* Strong proficiency in SQL and Python for data analytics and transformation.
* Hands\-on experience with ETL pipeline development and automation.
* Solid understanding of data lake architecture and design principles.
* Experience working on Agile teams (Scrum, XP, or similar), with regular participation in standups, sprint planning, refinement, reviews, and retrospectives.
* Comfort operating in highly collaborative environments with frequent verbal and written communication across engineering, product, and QA teams.
* Ability to break work into small, iterative deliverables and adapt quickly based on feedback and changing priorities.
* Strong ownership mindset, including accountability for the quality, reliability, and maintainability of delivered solutions.
### **Preferred Qualifications**
* Experience with Azure cloud services and cloud\-based ETL tools.
* Familiarity with data visualization tools such as Power BI or Tableau.
* Understanding of event\-driven architectures, including queues, batch processing, and pub/sub models.
* Exposure to NoSQL databases such as MongoDB or Cassandra.
* Experience working on product engineering teams delivering customer\-facing or operationally critical systems.
* Familiarity with modern engineering practices inspired by XP, including automated testing, pairing, refactoring, and continuous integration.
* Experience operating systems in production environments with uptime, reliability, and observability expectations.
### **Bonus Points For**
* Experience in Data Science or Machine Learning, particularly in model deployment or feature engineering.
* Experience contributing to engineering standards, documentation, or continuous improvement initiatives within an Agile team.</t>
        </is>
      </c>
    </row>
    <row r="31">
      <c r="A31" t="inlineStr">
        <is>
          <t>in-ae5fac7ac325f476</t>
        </is>
      </c>
      <c r="B31" t="inlineStr">
        <is>
          <t>Mid-Level Data Engineer</t>
        </is>
      </c>
      <c r="C31" t="inlineStr">
        <is>
          <t>Dhara Consulting Group</t>
        </is>
      </c>
      <c r="D31" t="inlineStr">
        <is>
          <t>indeed</t>
        </is>
      </c>
      <c r="E31">
        <f>HYPERLINK("https://www.indeed.com/viewjob?jk=ae5fac7ac325f476", "https://www.indeed.com/viewjob?jk=ae5fac7ac325f476")</f>
        <v/>
      </c>
      <c r="F31">
        <f>HYPERLINK("https://www.clearancejobs.com/jobs/8716757/mid-level-data-engineer", "https://www.clearancejobs.com/jobs/8716757/mid-level-data-engineer")</f>
        <v/>
      </c>
      <c r="G31" t="inlineStr">
        <is>
          <t>Reston, VA, US</t>
        </is>
      </c>
      <c r="H31" s="3" t="n">
        <v>46042</v>
      </c>
      <c r="I31" t="inlineStr">
        <is>
          <t>Posted today
Top Secret/SCI
Mid Level Career (5\+ yrs experience)
$156,000 \- $166,400
No Traveling
Full Scope Polygraph
IT \- Data Science
Reston, VA (On\-Site/Office)
What you’ll do:  
Work with team members to operationalize data pipelines and supporting cloud infrastructure  
Collaborate with external data producers and consumers to obtain and provide data through interfaces such as REST APIs and S3  
Provide day\-to\-day support of deploying Python\-native data pipelines and performing data engineering tasks to enable data brokering and exchange capabilities  
Provide Tier 2/3 troubleshooting and incident resolution support for data pipelines in Production  
What you’ll need to succeed:  
Active TS/SCI with CI poly required  
4\+ years of proven experience in data engineering, with expertise in designing, developing, and maintaining data ingestion, transformation, and loading pipelines and components  
Demonstrated experience in designing and deploying data pipelines leveraging AWS cloud infrastructure across multiple classification domains (e.g., IL5 to IL6\+)  
Experience with Infrastructure\-as\-Code (IaC) tools, including Terraform, CloudFormation, or Ansible, to automate deployment of data pipeline cloud infrastructure  
Understanding of RMF security principles and hands\-on experience implementing security controls for data pipelines in cloud environments  
Strong scripting and programming skills in languages such as Go, Python, and Bash  
Experience with data pipeline tools and technologies such as Nifi, Hadoop, HDFS, and Kafka. Experience implementing data pipelines in the Cloudera Data Platform environment is highly preferred.  
Strong communication skills, with the ability to clearly convey complex technical concepts**GROUP ID:** 10105424</t>
        </is>
      </c>
    </row>
    <row r="32">
      <c r="A32" t="inlineStr">
        <is>
          <t>in-14be38c7888b0f90</t>
        </is>
      </c>
      <c r="B32" t="inlineStr">
        <is>
          <t>Senior Data Engineer</t>
        </is>
      </c>
      <c r="C32" t="inlineStr">
        <is>
          <t>Milan Laser Hair Removal</t>
        </is>
      </c>
      <c r="D32" t="inlineStr">
        <is>
          <t>indeed</t>
        </is>
      </c>
      <c r="E32">
        <f>HYPERLINK("https://www.indeed.com/viewjob?jk=14be38c7888b0f90", "https://www.indeed.com/viewjob?jk=14be38c7888b0f90")</f>
        <v/>
      </c>
      <c r="F32">
        <f>HYPERLINK("https://milanlaser.hrmdirect.com/employment/view.php?req=3619463&amp;jbsrc=1014&amp;location=45f4ddf5-cbd1-0af9-d4ba-d991b578e927", "https://milanlaser.hrmdirect.com/employment/view.php?req=3619463&amp;jbsrc=1014&amp;location=45f4ddf5-cbd1-0af9-d4ba-d991b578e927")</f>
        <v/>
      </c>
      <c r="G32" t="inlineStr">
        <is>
          <t>Remote, US</t>
        </is>
      </c>
      <c r="H32" s="3" t="n">
        <v>46042</v>
      </c>
      <c r="I32"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33">
      <c r="A33" t="inlineStr">
        <is>
          <t>in-2fd22964e9807cd0</t>
        </is>
      </c>
      <c r="B33" t="inlineStr">
        <is>
          <t>Senior Data Engineer</t>
        </is>
      </c>
      <c r="C33" t="inlineStr">
        <is>
          <t>Milan Laser Hair Removal</t>
        </is>
      </c>
      <c r="D33" t="inlineStr">
        <is>
          <t>indeed</t>
        </is>
      </c>
      <c r="E33">
        <f>HYPERLINK("https://www.indeed.com/viewjob?jk=2fd22964e9807cd0", "https://www.indeed.com/viewjob?jk=2fd22964e9807cd0")</f>
        <v/>
      </c>
      <c r="F33">
        <f>HYPERLINK("https://milanlaser.hrmdirect.com/employment/view.php?req=3619463&amp;jbsrc=1014&amp;location=fdd7e394-1263-18a1-734c-1d5e194d8ab3", "https://milanlaser.hrmdirect.com/employment/view.php?req=3619463&amp;jbsrc=1014&amp;location=fdd7e394-1263-18a1-734c-1d5e194d8ab3")</f>
        <v/>
      </c>
      <c r="G33" t="inlineStr">
        <is>
          <t>Omaha, NE, US</t>
        </is>
      </c>
      <c r="H33" s="3" t="n">
        <v>46042</v>
      </c>
      <c r="I33"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34">
      <c r="A34" t="inlineStr">
        <is>
          <t>in-e8b7478361dfb589</t>
        </is>
      </c>
      <c r="B34" t="inlineStr">
        <is>
          <t>Senior Data Engineer</t>
        </is>
      </c>
      <c r="C34" t="inlineStr">
        <is>
          <t>The Coca-Cola Company</t>
        </is>
      </c>
      <c r="D34" t="inlineStr">
        <is>
          <t>indeed</t>
        </is>
      </c>
      <c r="E34">
        <f>HYPERLINK("https://www.indeed.com/viewjob?jk=e8b7478361dfb589", "https://www.indeed.com/viewjob?jk=e8b7478361dfb589")</f>
        <v/>
      </c>
      <c r="F34">
        <f>HYPERLINK("https://Coca-Cola.contacthr.com/150734682", "https://Coca-Cola.contacthr.com/150734682")</f>
        <v/>
      </c>
      <c r="G34" t="inlineStr">
        <is>
          <t>Atlanta, GA, US</t>
        </is>
      </c>
      <c r="H34" s="3" t="n">
        <v>46042</v>
      </c>
      <c r="I34" t="inlineStr">
        <is>
          <t>**About Us**
CPS (Commercial Products Supply) is a key part of the Advantaged Supply Chain of the Technical Function of The Coca\-Cola Company. CPS manufactures concentrates and beverage bases for sale to bottling partners all over the world. This global organization manages a network of 19 manufacturing plants in 18 different countries along with 2 office locations (Atlanta \&amp; Drogheda, Ireland). CPS also manages complex additional materials supply chains (e.g. juice, coffee, tea, milk, etc.) on behalf of bottling partners.
The **Senior Data Engineer** will be responsible for the design, development, and operational excellence of the CPS data platform across global plant operations and supply networks. This role provides hands\-on technical leadership, architectural ownership, and strategic partnership while remaining actively involved in data engineering, code reviews, and production support. This role enables scalable, reliable, and secure data solutions that support data\-driven decision\-making across global plant operations and supply networks.
**Function Related Activities / Key Responsibilities**
* Serve as the senior\-most individual contributor and subject matter expert for data engineering solutions across CPS
* Own the technical architecture, design decisions, and implementation of the CPS data platform
* Design, develop, and optimize data pipelines using Azure Data Factory (ADF)
* Build and maintain high\-performance, scalable data transformations using PySpark, SQL, and Python
* Actively contribute code and review/approve pull requests, setting quality and engineering standards
* Define, enforce, and evolve data engineering best practices, standards, and architectural patterns
* Partner with CPS stakeholders, plant teams, and analytics partners to translate business needs into technical solutions
* Lead technical design reviews and provide mentorship and guidance to engineers without direct people management
* Ensure data quality, reliability, monitoring, observability, and performance of production data pipelines
* Influence roadmap planning, estimation, and prioritization for data engineering initiatives
* Drive simplification, standardization, and long\-term maintainability of data pipelines
**Functional Skills**
* Expert\-level proficiency in Python, SQL, and PySpark
* Hands\-on experience with Databricks, Snowflake, or similar analytics platforms
* Strong understanding of data warehousing concepts, analytical modeling, and performance optimization
* Expertise in orchestration frameworks such as Azure Data Factory (ADF), AWS Glue, or similar
* Deep understanding of data architecture, ETL/ELT design, and scalable data modeling
* Experience with cloud\-native platforms, CI/CD, and DevOps practices
* Familiarity with data observability, lineage, and monitoring tooling
* Ability to provide technical leadership through code, reviews, and design guidance
* Excellent critical thinking, analytical and problem\-solving skills
**Related Work Experience**
* **5\+ years** of experience in data engineering, analytics engineering, or software engineering
* Experience supporting data platforms for manufacturing, supply chain, or operations environments strongly preferred
* Proven experience designing and scaling **cloud\-based data platforms**, ideally on Microsoft Azure
**Education Requirements**
* Bachelor’s degree in computer science, Engineering, or a related technical field required
* Master’s degree preferred
**Skills**  
Python (Programming Language); Analytics; Business Intelligence (BI); Microsoft Azure; Data Warehousing (DW); Building Architecture; Structured Query Language (SQL); Data Architecture; Programming Languages; PySpark; Data Modeling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Range:$124,600 \- $148,200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35">
      <c r="A35" t="inlineStr">
        <is>
          <t>in-f82401e42bc331ae</t>
        </is>
      </c>
      <c r="B35" t="inlineStr">
        <is>
          <t>Cloud Data Engineer</t>
        </is>
      </c>
      <c r="C35" t="inlineStr">
        <is>
          <t>West Shore Home</t>
        </is>
      </c>
      <c r="D35" t="inlineStr">
        <is>
          <t>indeed</t>
        </is>
      </c>
      <c r="E35">
        <f>HYPERLINK("https://www.indeed.com/viewjob?jk=f82401e42bc331ae", "https://www.indeed.com/viewjob?jk=f82401e42bc331ae")</f>
        <v/>
      </c>
      <c r="F35">
        <f>HYPERLINK("https://jobs.dayforcehcm.com/en-US/westshorehome/CANDIDATEPORTAL/jobs/20646", "https://jobs.dayforcehcm.com/en-US/westshorehome/CANDIDATEPORTAL/jobs/20646")</f>
        <v/>
      </c>
      <c r="G35" t="inlineStr">
        <is>
          <t>Atlanta, GA, US</t>
        </is>
      </c>
      <c r="H35" s="3" t="n">
        <v>46042</v>
      </c>
      <c r="I35" t="inlineStr">
        <is>
          <t>**Position:** Cloud Data Engineer
**Location:** Virtual within approved company locations
**Schedule:** Monday\-Friday, 8:00AM\-5:00PM (Full\-Time)
**Who We Are:**  
West Shore Home is a technology\-driven and industry\-leading home improvement company specializing in high\-quality and convenient remodels of Bathrooms, Flooring, Windows, and Doors. West Shore Home operates in over 40\+ locations nationwide and is home to over 3,000 employees!
**Purpose of Position:**  
As a Data Engineer at West Shore Home, you will design, develop, test, deploy, and monitor data pipelines using Azure Data Factory, Databricks, and Synapse Analytics required for ELT/ETL from a wide variety of data sources, systems, and platforms that will create solutions and support key stakeholders in informed decision\-making across the enterprise.
**Key Role Accountabilities:**  
* Design, develop, test, deploy, and monitor scalable code with Python and SQL and data pipelines using Azure Data Factory, Databricks, dbt, and Synapse Analytics required for ELT/ETL from a wide variety of data sources.
* Create and design solutions from clean, protected, and effective data management practices that directly support informed decision making and innovation.
* Build data quality dashboards and/or monitoring tools to utilize the data pipeline, providing active monitoring and actionable insights into overall data quality and data governance.
* Integrate source systems with information management solutions and target systems for automated migration processes, e.g., source\-of\-record systems with data warehouses or other systems using common web API frameworks and web services.
**Minimum Requirements:**  
* Bachelor’s degree required, with a degree in a related field preferred.
* Minimum of 3\+ years of experience with enterprise data management, integration, and transformation tools including Azure Data Factory, Databricks, dbt, Azure Storage, Azure SQL DB, Alteryx, Retool, and Power BI.
* Solid understanding of Git\-based version control and experience with GitHub, Azure DevOps, or similar.
* Proven subject matter expert for how systems handle data and develop ELT/ETL solutions based on best practices, their experience, and knowledge of the Company’s goals.
**Benefits:**  
* Comprehensive Health Insurance options (Medical, Dental, Vision, Accident, Life, Critical Illness, Short and Long\-Term Disability)
* 401(k) Retirement Plan with company match
* HSA plan with company match
* Paid holidays and paid time off (PTO)
* Employee Referral Program
* Employee Discount Program
* Paid training and unlimited professional growth potential
**Please note:** Applicants must be authorized to work in the United States at the time of their application on a full\-time basis. The Company will not sponsor applicants for work visas.
**Culture and Community:**  
We believe that when employees feel valued and supported, they perform at their best. Our dedication to fostering a strong, value\-driven culture has consistently earned us the Top Workplaces USA award as one of the nation’s top employers, including recognition in Leadership, Purpose \&amp; Values, and Compensation \&amp; Benefits.
West Shore Home strives to Bring Happiness to Every Home® and that goes beyond our customers and employees. We support positive change in our communities by volunteering, giving back, and supporting nonprofits that make a difference. Learn more here: https://westshorehome.com/community/
\#LI\-RM1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t>
        </is>
      </c>
    </row>
    <row r="36">
      <c r="A36" t="inlineStr">
        <is>
          <t>in-f4d8788a4c3a9a95</t>
        </is>
      </c>
      <c r="B36" t="inlineStr">
        <is>
          <t>Cloud Data Engineer</t>
        </is>
      </c>
      <c r="C36" t="inlineStr">
        <is>
          <t>West Shore Home</t>
        </is>
      </c>
      <c r="D36" t="inlineStr">
        <is>
          <t>indeed</t>
        </is>
      </c>
      <c r="E36">
        <f>HYPERLINK("https://www.indeed.com/viewjob?jk=f4d8788a4c3a9a95", "https://www.indeed.com/viewjob?jk=f4d8788a4c3a9a95")</f>
        <v/>
      </c>
      <c r="F36">
        <f>HYPERLINK("https://jobs.dayforcehcm.com/en-US/westshorehome/CANDIDATEPORTAL/jobs/19890", "https://jobs.dayforcehcm.com/en-US/westshorehome/CANDIDATEPORTAL/jobs/19890")</f>
        <v/>
      </c>
      <c r="G36" t="inlineStr">
        <is>
          <t>Harrisburg, PA, US</t>
        </is>
      </c>
      <c r="H36" s="3" t="n">
        <v>46042</v>
      </c>
      <c r="I36" t="inlineStr">
        <is>
          <t>**Position:** Cloud Data Engineer
**Location:** Mechanicsburg, PA (ONSITE)
**Schedule:** Monday\-Friday, 8:00AM\-5:00PM (Full\-Time)
**Who We Are:**  
West Shore Home is a technology\-driven and industry\-leading home improvement company specializing in high\-quality and convenient remodels of Bathrooms, Flooring, Windows, and Doors. West Shore Home operates in over 40\+ locations nationwide and is home to over 3,000 employees!
**Purpose of Position:**  
As a Data Engineer at West Shore Home, you will design, develop, test, deploy, and monitor data pipelines using Azure Data Factory, Databricks, and Synapse Analytics required for ELT/ETL from a wide variety of data sources, systems, and platforms that will create solutions and support key stakeholders in informed decision\-making across the enterprise.
**Key Role Accountabilities:**  
* Design, develop, test, deploy, and monitor scalable code with Python and SQL and data pipelines using Azure Data Factory, Databricks, dbt, and Synapse Analytics required for ELT/ETL from a wide variety of data sources.
* Create and design solutions from clean, protected, and effective data management practices that directly support informed decision making and innovation.
* Build data quality dashboards and/or monitoring tools to utilize the data pipeline, providing active monitoring and actionable insights into overall data quality and data governance.
* Integrate source systems with information management solutions and target systems for automated migration processes, e.g., source\-of\-record systems with data warehouses or other systems using common web API frameworks and web services.
**Minimum Requirements:**  
* Bachelor’s degree required, with a degree in a related field preferred.
* Minimum of 3\+ years of experience with enterprise data management, integration, and transformation tools including Azure Data Factory, Databricks, dbt, Azure Storage, Azure SQL DB, Alteryx, Retool, and Power BI.
* Solid understanding of Git\-based version control and experience with GitHub, Azure DevOps, or similar.
* Proven subject matter expert for how systems handle data and develop ELT/ETL solutions based on best practices, their experience, and knowledge of the Company’s goals.
**Benefits:**  
* Comprehensive Health Insurance options (Medical, Dental, Vision, Accident, Life, Critical Illness, Short and Long\-Term Disability)
* 401(k) Retirement Plan with company match
* HSA plan with company match
* Paid holidays and paid time off (PTO)
* Employee Referral Program
* Employee Discount Program
* Paid training and unlimited professional growth potential
**Please note:** Applicants must be authorized to work in the United States at the time of their application on a full\-time basis. The Company will not sponsor applicants for work visas.
**Culture and Community:**  
We believe that when employees feel valued and supported, they perform at their best. Our dedication to fostering a strong, value\-driven culture has consistently earned us the Top Workplaces USA award as one of the nation’s top employers, including recognition in Leadership, Purpose \&amp; Values, and Compensation \&amp; Benefits.
West Shore Home strives to Bring Happiness to Every Home® and that goes beyond our customers and employees. We support positive change in our communities by volunteering, giving back, and supporting nonprofits that make a difference. Learn more here: https://westshorehome.com/community/
\#LI\-RM1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t>
        </is>
      </c>
    </row>
    <row r="37">
      <c r="A37" t="inlineStr">
        <is>
          <t>in-1eac15cd452c0222</t>
        </is>
      </c>
      <c r="B37" t="inlineStr">
        <is>
          <t>Senior Data Engineer</t>
        </is>
      </c>
      <c r="C37" t="inlineStr">
        <is>
          <t>Travelers</t>
        </is>
      </c>
      <c r="D37" t="inlineStr">
        <is>
          <t>indeed</t>
        </is>
      </c>
      <c r="E37">
        <f>HYPERLINK("https://www.indeed.com/viewjob?jk=1eac15cd452c0222", "https://www.indeed.com/viewjob?jk=1eac15cd452c0222")</f>
        <v/>
      </c>
      <c r="F37">
        <f>HYPERLINK("https://travelersindex.contacthr.com/150735079", "https://travelersindex.contacthr.com/150735079")</f>
        <v/>
      </c>
      <c r="G37" t="inlineStr">
        <is>
          <t>Hartford, CT, US</t>
        </is>
      </c>
      <c r="H37" s="3" t="n">
        <v>46042</v>
      </c>
      <c r="I37"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Data Engineering team constructs pipelines that contextualize and provide easy access to data by the entire enterprise. As a Senior Data Engineer you will accelerate growth and transformation of our analytics landscape. You will bring a strong desire to guide team members' growth and develop data solutions that translate complex data into user\-friendly terminology.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including incorporating new data sources and ensuring designs are consistent across projects and aligned to data strategies.
* Perform analysis of complex sources to determine value and use and recommend data to include in analytical processes.
* Incorporate core data management competencies including data governance, data security and data quality.
* Act as a data and technology subject matter expert within lines of business to support delivery and educate end users on data products/analytic environment.
* Perform data and system analysis, assessment and resolution for defects and incidents of high complexity and correct as appropriate.
* Collaborate across team to support delivery and educate end users on complex data products/analytic environment.
* Perform other duties as assigned.
**What Will Our Ideal Candidate Have?**
* Bachelor’s Degree in STEM related field or equivalent.
* Ten years of related experience.
* Advanced knowledge of ETL tools like Abinitio \&amp; Databricks, AWS cloud platforms, programming languages like Python, SQL, and modern data engineering practices.
* Strong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Strong problem solver who utilizes data and proofs of concepts to find creative solutions to difficult problems involving a significant number of factors with broad implications, reflects on solutions, measures impact, and uses that information to ideate and optimize.
* Excellent communication skills with the ability to develop business partnerships, describe technology concepts in ways the business can understand, document initiatives in a concise and clear manner, and empathetically and attentively listen to others thoughts and ideas.
* Ability to lead and take action even when there is no clear owner, inspire and motivate others, and be effective at influencing team members.
**What is a Must Have?**
* Bachelor’s degree in computer science, related STEM field, or its equivalent in education and/or work experience.
* 6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8">
      <c r="A38" t="inlineStr">
        <is>
          <t>in-0260294fef27d457</t>
        </is>
      </c>
      <c r="B38" t="inlineStr">
        <is>
          <t>Data Engineer II (Tech Lead) - AWS, Ab Initio, Databricks, Snowflake, Teradata</t>
        </is>
      </c>
      <c r="C38" t="inlineStr">
        <is>
          <t>Travelers</t>
        </is>
      </c>
      <c r="D38" t="inlineStr">
        <is>
          <t>indeed</t>
        </is>
      </c>
      <c r="E38">
        <f>HYPERLINK("https://www.indeed.com/viewjob?jk=0260294fef27d457", "https://www.indeed.com/viewjob?jk=0260294fef27d457")</f>
        <v/>
      </c>
      <c r="F38">
        <f>HYPERLINK("https://travelersindex.contacthr.com/150735072", "https://travelersindex.contacthr.com/150735072")</f>
        <v/>
      </c>
      <c r="G38" t="inlineStr">
        <is>
          <t>Hartford, CT, US</t>
        </is>
      </c>
      <c r="H38" s="3" t="n">
        <v>46042</v>
      </c>
      <c r="I3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Highly proficient in use of ETL tools (Abinitio, Databricks), techniques, and manipulation including AWS cloud platforms, programming languages (Python, SQL), and a full understanding of modern data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9">
      <c r="A39" t="inlineStr">
        <is>
          <t>in-abe2c284b33db038</t>
        </is>
      </c>
      <c r="B39" t="inlineStr">
        <is>
          <t>Data Engineer, Graph Analytics &amp; Machine Learning</t>
        </is>
      </c>
      <c r="C39" t="inlineStr">
        <is>
          <t>Keeper Security, Inc.</t>
        </is>
      </c>
      <c r="D39" t="inlineStr">
        <is>
          <t>indeed</t>
        </is>
      </c>
      <c r="E39">
        <f>HYPERLINK("https://www.indeed.com/viewjob?jk=abe2c284b33db038", "https://www.indeed.com/viewjob?jk=abe2c284b33db038")</f>
        <v/>
      </c>
      <c r="F39">
        <f>HYPERLINK("https://job-boards.greenhouse.io/keepersecurity/jobs/4105259009", "https://job-boards.greenhouse.io/keepersecurity/jobs/4105259009")</f>
        <v/>
      </c>
      <c r="G39" t="inlineStr">
        <is>
          <t>El Dorado Hills, CA, US</t>
        </is>
      </c>
      <c r="H39" s="3" t="n">
        <v>46042</v>
      </c>
      <c r="I39" t="inlineStr">
        <is>
          <t>**Description**
Keeper Security is hiring a Data Engineer to join the AI \&amp; Threat Analytics team and help build KeeperAI Guardian, our AWS Neptune–based knowledge graph platform for behavioral threat detection and analysis. This is a 100% remote position, with an opportunity to work a hybrid schedule for candidates based in the El Dorado Hills, CA or Chicago, IL metro areas.
Keeper’s cybersecurity software is trusted by millions of people and thousands of organizations globally. Join one of the fastest\-growing cybersecurity companies and help design and build data pipelines and graph\-based systems that directly power machine learning models and real\-time threat analytics.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Data Engineer on the KeeperAI Guardian team, you will design and maintain data pipelines, APIs, and graph\-based storage systems that enable behavioral threat analytics. You will transform high\-volume security telemetry from multiple Keeper services into a unified knowledge graph that supports anomaly detection, predictive threat modeling, and intelligent security insights. You will work closely with ML engineers, security researchers, and data analysts to build the data foundation that makes AI\-driven threat detection possible.
**Responsibilities**
* Design and maintain ETL pipelines that ingest, process, and load data into AWS Neptune
* Develop and evolve graph data models representing relationships across users, sessions, devices, and security events
* Integrate diverse data sources including S3, relational databases, streaming services, and APIs into a cohesive graph architecture
* Build tooling and automation for data validation, transformation, enrichment, and quality monitoring
* Optimize graph query performance and ensure pipeline scalability and reliability
* Collaborate with DevOps and security teams to maintain compliance with FedRAMP, NIST, and data privacy requirements
* Document data workflows, schemas, and best practices to support team knowledge sharing
**Requirements**
* 4\+ years of experience in data engineering or backend data systems (SaaS experience preferred)
* Strong proficiency in Python for building and maintaining data pipelines
* Working knowledge of SQL for data analysis and validation
* Hands\-on experience with AWS data services such as S3, Glue, Lambda, Redshift, or similar
* Experience with graph databases such as AWS Neptune or Neo4j, including Gremlin query language
* Solid understanding of ETL best practices, data modeling, and schema design
* Knowledge of data security and privacy principles, including experience handling regulated data (PII, PHI, or similar)
* Strong software engineering fundamentals, including version control, testing, and CI/CD practices
* Strong problem\-solving skills and a commitment to continuous learning
* Bachelor’s degree in Computer Science, Engineering, Statistics, or a related field
* Due to FedRAMP requirements, candidates must be a U.S. Person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40">
      <c r="A40" t="inlineStr">
        <is>
          <t>in-0a2ec0464d136b1c</t>
        </is>
      </c>
      <c r="B40" t="inlineStr">
        <is>
          <t>Manager, Data Engineering</t>
        </is>
      </c>
      <c r="C40" t="inlineStr">
        <is>
          <t>Keeper Security, Inc.</t>
        </is>
      </c>
      <c r="D40" t="inlineStr">
        <is>
          <t>indeed</t>
        </is>
      </c>
      <c r="E40">
        <f>HYPERLINK("https://www.indeed.com/viewjob?jk=0a2ec0464d136b1c", "https://www.indeed.com/viewjob?jk=0a2ec0464d136b1c")</f>
        <v/>
      </c>
      <c r="F40">
        <f>HYPERLINK("https://job-boards.greenhouse.io/keepersecurity/jobs/4091064009", "https://job-boards.greenhouse.io/keepersecurity/jobs/4091064009")</f>
        <v/>
      </c>
      <c r="G40" t="inlineStr">
        <is>
          <t>El Dorado Hills, CA, US</t>
        </is>
      </c>
      <c r="H40" s="3" t="n">
        <v>46042</v>
      </c>
      <c r="I40" t="inlineStr">
        <is>
          <t>**Description**
Keeper Security is hiring a drivenData Engineering Manager to lead our growing Data Engineering team. This is a 100% remote position with an opportunity to work a hybrid schedule for candidates based in the El Dorado Hills, CA or Chicago, IL metro area.
Keeper’s cybersecurity software is trusted by millions of people and thousands of organizations globally. Keeper is published in 23 languages and is sold in over 150 countries. Join one of the fastest\-growing cybersecurity companies and take ownership of guiding the strategy, development and optimization of the data platforms and pipelines that power our business intelligence and data\-driven decision making.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the Manager, Data Engineering, you will lead a team of data engineers and data analysts responsible for architecting, building, and maintaining the data infrastructure and pipelines that support analytics, reporting, and machine learning initiatives across the company. You will enable reliable self\-service business intelligence while ensuring the underlying data platform is scalable, high\-quality, and secure. You will collaborate closely with data scientists, software engineers, and business stakeholders to define data requirements and deliver scalable, high\-impact data solutions. This role requires strong technical leadership, people management experience across mixed skill sets, and the ability to drive strategic direction for the data engineering function.
**Responsibilities**
* Lead, mentor, and develop a high\-performing team of data engineers and data analysts, ensuring strong collaboration between data platform development and analytics delivery.
* Define and communicate the strategic vision for data infrastructure that enables self\-service analytics and accelerates time to insight
* Oversee the design and development of scalable data pipelines to ingest, transform and deliver high\-quality data from various sources
* Implement data quality frameworks, monitoring systems and validation processes to ensure accuracy, consistency and reliability
* Partner with data scientists, analysts and software engineers to design and implement complex data models and analytical solutions
* Guide the development and automation of data processing workflows
* Maintain hands on technical proficiency to accurately assess task complexity, review code and validate time estimates
* Drive performance management processes including goal setting, feedback cycles and performance improvement plans when needed
* Foster a culture of transparency where team members surface risks and delays early
* Collaborate with non\-technical stakeholders to gather requirements, communicate technical concepts and deliver actionable, data\-driven insights
* Drive continuous improvement, operational excellence and innovation within the Data Engineering team
**Requirements**
* 10\+ years of professional experience in data engineering or software engineering, including 4\+ years in a leadership or management role
* Strong expertise in building and optimizing large\-scale data pipelines using modern data technologies (in AWS)
* Experience with cloud\-based data warehousing and transformation tools (e.g., Amazon Redshift, dbt) and supporting downstream analytics platforms
* Proficiency in SQL and Python along with strong knowledge of data modeling principles
* Solid understanding of database systems, including SQL, NoSQL and distributed database concepts
* Experience with data security, privacy principles and regulated data environments
* Strong foundation in software engineering principles, version control, testing and deployment best practices
* Proven track record of building accountability systems and improving team velocity/predictability
* Experience estimating data engineering work and managing against deadlines in a fast paced environment
* Hands on technical skills sufficient to review pull requests, validate architectural decisions and assess technical complexity
* Bachelor’s degree in Computer Science, Engineering, Statistics or a related field
* Keeper is FedRAMP authorized; therefore all applicants must be a U.S. Person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41">
      <c r="A41" t="inlineStr">
        <is>
          <t>in-9639ead26bef9dc7</t>
        </is>
      </c>
      <c r="B41" t="inlineStr">
        <is>
          <t>Data Engineer Graduate (DPUS - Global Live) - 2026 Start (BS/MS)</t>
        </is>
      </c>
      <c r="C41" t="inlineStr">
        <is>
          <t>TikTok</t>
        </is>
      </c>
      <c r="D41" t="inlineStr">
        <is>
          <t>indeed</t>
        </is>
      </c>
      <c r="E41">
        <f>HYPERLINK("https://www.indeed.com/viewjob?jk=9639ead26bef9dc7", "https://www.indeed.com/viewjob?jk=9639ead26bef9dc7")</f>
        <v/>
      </c>
      <c r="F41">
        <f>HYPERLINK("https://lifeattiktok.com/search/7595672941112314117", "https://lifeattiktok.com/search/7595672941112314117")</f>
        <v/>
      </c>
      <c r="G41" t="inlineStr">
        <is>
          <t>San Jose, CA, US</t>
        </is>
      </c>
      <c r="H41" s="3" t="n">
        <v>46042</v>
      </c>
      <c r="I41" t="inlineStr">
        <is>
          <t>Technology
Data Engineer Graduate (DPUS \- Global Live) \- 2026 Start (BS/MS)
Location
:
San Jose
Employment Type
:
Regular
Job Code
:
A39029
Responsibilities
The Data Platform Global Live team is dedicated to empowering the growth of TikTok LIVE business through big data. We support our businesses in achieving their missions by building high quality real\-time and offline data warehouses, creating various forms of efficient and data\-friendly data assets, and exploring and implementing business oriented data solutions. We provide stable and reliable data capabilities for daily operations, analyses, decision\-making of TikTok LIVE features, in addition to robust data support to enhance live performance for streamers.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As an early graduate data engineer in the Global Live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**You will be responsible for:**  
* Understanding business problems, designing and implementing easy\-to\-use data solutions for businesses.
* Collaborating with data engineers to understand the data system and provide a smooth data usage experience for data users, including but not limited to data discovery, data usage guidance, and promotion of the data system.
* Collaborating with business teams from all over the world to drive user growth and revenue growth.
Qualifications
**Minimum Qualifications:**  
* Good experience in data solutions, such as data consulting, product development, and data tools creation.
* Strong problem\-solving and analytical skills with the ability to translate business needs into technical solutions and data metrics.
* Have an understanding of data warehousing and the construction ideas of the data system.
* Experience with coding (SQL, Python, etc.)
* Passionate and self\-motivated about using data to drive business decisions.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$259200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2">
      <c r="A42" t="inlineStr">
        <is>
          <t>in-d31c119fdc2689b7</t>
        </is>
      </c>
      <c r="B42" t="inlineStr">
        <is>
          <t>Data Engineer</t>
        </is>
      </c>
      <c r="C42" t="inlineStr">
        <is>
          <t>Siemens Energy</t>
        </is>
      </c>
      <c r="D42" t="inlineStr">
        <is>
          <t>indeed</t>
        </is>
      </c>
      <c r="E42">
        <f>HYPERLINK("https://www.indeed.com/viewjob?jk=d31c119fdc2689b7", "https://www.indeed.com/viewjob?jk=d31c119fdc2689b7")</f>
        <v/>
      </c>
      <c r="F42">
        <f>HYPERLINK("https://jobs.siemens-energy.com/Jobs/FolderDetail?folderId=288354", "https://jobs.siemens-energy.com/Jobs/FolderDetail?folderId=288354")</f>
        <v/>
      </c>
      <c r="G42" t="inlineStr">
        <is>
          <t>Orlando, FL, US</t>
        </is>
      </c>
      <c r="H42" s="3" t="n">
        <v>46042</v>
      </c>
      <c r="I42" t="inlineStr">
        <is>
          <t>**Data Engineer**
**A Snapshot of Your Day (position overview)**  
In this role, you will play an integral part in ensuring that the gas turbine blades and vanes procurement team has access to stable and consistent supply chain and procurement process data by helping to enable dashboard reporting and advanced analytics projects. As a part of the blades and vanes procurement data science team, you will help design, implement and maintain foundational data architecture that meets both business needs and enables future iterative development. You will also serve as the team’s expert regarding database architecture best practices, data management strategy, compliance with data security rules and being a liaison with Siemens Energy IT regarding database operations. As the blades and vanes procurement data engineer, you will also work closely with data scientists and subject matter experts in the process of crafting project requirements, enabling user testing on data products and helping to shepherd database projects through the development lifecycle.
**How You’ll Make an Impact (responsibilities)**
* Design, develop, deploy and maintain database objects, ETL/ELT pipelines, and system infrastructure for blades and vanes procurement in our Snowflake relational database management system.
* Collaborate with the procurement data science team to help craft requirements, track project progress, document solutions and establish scalable and generalizable database architecture for blades and vanes supply chain data.
* Propose, design and implement architectural improvements to existing data products to help continuously improve our ability to deliver business intelligence services and advanced analytics project value.
* Serve as the main liaison for central Siemens Energy IT services to ensure compliance with data security needs and company policy.
**What You Bring (requirements)**
* Bachelors Degree or higher in computer science or other field of study (STEM, Economics, Quantitative Social Science) with a strong emphasis on quantitative analysis and data management. Advanced degree or strong direct equivalent experience in a previous data engineering role is preferred but not necessary.
* 2\-3 years of experience in data engineering or full\-stack data science role is expected. This is a mid\-level role that requires comfort with foundational entry level skills alongside the ability to operate in a semi\-autonomous and ambiguous environment to help design and drive data engineering projects.
* Advanced proficiency in SQL programming and at least intermediate proficiency in Python or R programming. Strong understanding of systems design/thinking, database architecture frameworks (star schema, data products, etc). Experience working in an agile development environment and comfort with CI/CD pipelines alongside collaborative management of code via Git. Previous experience with Snowflake, Streamlit, AWS cloud tools, Docker, PowerBI and SAP is strongly preferred but not required for candidates that are strong in foundational skills.
* Robust collaboration skills and experience working with both technical and non\-technical teams. Demonstrated ability to operate in an international and multi\-cultural working environment.
* Interest in transitioning legacy systems and solving problems in a fast\-paced and sometimes ambiguous working environment.
Applicants must be legally authorized for employment in the United States without need for current or future employer\-sponsored work authorization. Siemens Energy employees with current visa sponsorship may be eligible for internal transfers.
**About the Team**
**Gas Services**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t>
        </is>
      </c>
    </row>
    <row r="43">
      <c r="A43" t="inlineStr">
        <is>
          <t>in-1518b1933f8d2caf</t>
        </is>
      </c>
      <c r="B43" t="inlineStr">
        <is>
          <t>Data Engineer</t>
        </is>
      </c>
      <c r="C43" t="inlineStr">
        <is>
          <t>Amazon.com</t>
        </is>
      </c>
      <c r="D43" t="inlineStr">
        <is>
          <t>indeed</t>
        </is>
      </c>
      <c r="E43">
        <f>HYPERLINK("https://www.indeed.com/viewjob?jk=1518b1933f8d2caf", "https://www.indeed.com/viewjob?jk=1518b1933f8d2caf")</f>
        <v/>
      </c>
      <c r="F43">
        <f>HYPERLINK("https://www.amazon.jobs/jobs/3163492/data-engineer?cmpid=DA_INAD200785B", "https://www.amazon.jobs/jobs/3163492/data-engineer?cmpid=DA_INAD200785B")</f>
        <v/>
      </c>
      <c r="G43" t="inlineStr">
        <is>
          <t>San Francisco, CA, US</t>
        </is>
      </c>
      <c r="H43" s="3" t="n">
        <v>46042</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Monetization organization you will work on making Twitch’s massive data sets robust and consumable by people around the company. You’ll work with a team of other data engineers to build and maintain data pipelines that allow our stakeholders to understand our business.  
You can work from Twitch’s headquarters in San Francisco, CA.  
You Will  
* Work closely with data scientists and engineers to create robust data architectures and pipelines
* Develop and manage scalable data pipelines to extract, transform, and load data from various sources
* Collaborate with stakeholders to understand business requirements and translate them into data\-driven solutions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 Develop and manage scalable, automated, and fault\-tolerant data solutions using technologies such as Spark, EMR, Python, Redshift, Glue, and S3
Perks  
* Medical, Dental, Vision \&amp; Disability Insurance
* 401(k)
* Maternity \&amp; Parental Leave
* Flexible PTO
* Amazon Employee Discount
**BASIC QUALIFICATIONS**
------------------------
* 1\+ years of data engineering experience
* 1\+ year of experience working in a data engineering, data science, or software engineering capacity
* Deep expertise in writing and maintaining robust data pipelines in SQL and Python
* Ability to turn data requirements from stakeholders into actionable plans
* Extensive experience with cloud computing tools, like AWS, Azure, or Google cloud
* Proven experience implementing best practices in data pipelines, ensuring accuracy, consistency, and reliability
**PREFERRED QUALIFICATIONS**
----------------------------
* Experience with big data technologies such as: Hadoop, Hive, Spark, EMR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\- 116,500\.00 \- 185,000\.00 USD annually  
USA, CA, San Francisco \- 116,500\.00 \- 185,000\.00 USD annually</t>
        </is>
      </c>
    </row>
    <row r="44">
      <c r="A44" t="inlineStr">
        <is>
          <t>in-f73c58eeed7890c5</t>
        </is>
      </c>
      <c r="B44" t="inlineStr">
        <is>
          <t>Data Engineer</t>
        </is>
      </c>
      <c r="C44" t="inlineStr">
        <is>
          <t>Disqo</t>
        </is>
      </c>
      <c r="D44" t="inlineStr">
        <is>
          <t>indeed</t>
        </is>
      </c>
      <c r="E44">
        <f>HYPERLINK("https://www.indeed.com/viewjob?jk=f73c58eeed7890c5", "https://www.indeed.com/viewjob?jk=f73c58eeed7890c5")</f>
        <v/>
      </c>
      <c r="F44">
        <f>HYPERLINK("https://jobs.lever.co/disqo/e65e031d-8454-4df5-9165-acac8b184cb8", "https://jobs.lever.co/disqo/e65e031d-8454-4df5-9165-acac8b184cb8")</f>
        <v/>
      </c>
      <c r="G44" t="inlineStr">
        <is>
          <t>Los Angeles, CA, US</t>
        </is>
      </c>
      <c r="H44" s="3" t="n">
        <v>46042</v>
      </c>
      <c r="I44"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This is a great opportunity to join a high\-impact data engineering team building products that directly power how brands measure advertising effectiveness. At DISQO, we use modern cloud infrastructure, scalable data platforms, and pragmatic engineering practices to solve complex, real\-world problems at scale.  
We are looking for a strong Data Engineer who is hands\-on, curious, and eager to grow. You’ll work closely with staff engineers, product managers, and analytics partners in an environment that values ownership, quality, and continuous improvement. You’ll be encouraged to leverage modern tooling, including AI\-assisted development tools, to move faster while maintaining high engineering standards.  
We believe the best systems are built by small, focused teams that take responsibility for outcomes. We value clean design, data correctness, operational excellence, and thoughtful use of automation to reduce toil and improve developer productivity.  
As a Data Engineer, you will design, build, and operate data pipelines and data products that support DISQO’s ad measurement platform. You’ll work primarily on batch and near\-real\-time data processing systems, contributing to analytics\-ready datasets used by internal teams and customers.  
You’ll own well\-defined components and projects end\-to\-end, from development through production support, while receiving guidance and technical mentorship from senior engineers. Over time, you’ll deepen your expertise across distributed data systems, cloud infrastructure, data modeling, containerized workloads, and modern development workflows, including effective use of AI tools to accelerate development and debugging.
### **What you get to do:**
* + Design, build, and maintain scalable, reliable data pipelines using modern big data technologies
	+ Contribute to core ad measurement data products, including exposure processing, aggregation, and analytics\-ready datasets
	+ Collaborate with Product, Analytics, and Engineering partners to translate business requirements into robust data solutions
	+ Implement and optimize ETL/ELT workflows with a focus on data correctness, performance, and cost efficiency
	+ Develop, deploy, and operate data workloads running on Kubernetes, including Amazon EKS
	+ Write clean, well\-structured, and well\-tested production code in Scala
	+ Leverage AI\-assisted development tools (for example code generation, refactoring, test creation, and debugging support) responsibly to improve productivity and code quality
	+ Implement data quality checks, monitoring, and alerting to support operational excellence and meet SLAs
	+ Participate actively in code reviews, design discussions, and agile ceremonies
	+ Maintain clear documentation to support data governance, onboarding, and long\-term maintainability
### **What you bring to the role:**
* + 3 to 5\+ years of experience building and supporting production data pipelines or backend data systems
	+ Strong proficiency in Scala for data\-intensive applications
	+ Hands\-on experience with Apache Spark for batch and streaming data processing
	+ Experience working in the AWS data ecosystem (for example S3, EMR, Glue, Athena)
	+ Working knowledge of Kubernetes concepts and experience deploying or operating workloads on Amazon EKS
	+ Solid understanding of ETL/ELT concepts, data modeling, and advanced SQL
	+ Experience with workflow orchestration tools such as Airflow or similar
	+ Familiarity with distributed systems and working with large\-scale datasets
	+ Comfortable working in a Linux\-based environment
	+ Strong collaboration and communication skills in an agile, fast\-moving team
	+ Demonstrated ability to learn new tools and technologies, including AI\-powered developer tools for coding and testing
### **Nice to have:**
* + Experience with containerization and Docker\-based development workflows
	+ Experience with Snowflake or other cloud data warehouses
	+ Exposure to streaming or near\-real\-time systems (Kafka, Kinesis, etc.)
	+ Experience with data quality, observability, or monitoring tooling
	+ Familiarity with CI/CD pipelines for data platforms
	+ Experience in AdTech or digital advertising platforms
### **Why DISQO:**
* + Build data products that directly influence how brands measure advertising impact
	+ Work with modern cloud\-based data infrastructure at meaningful scale
	+ Learn from experienced engineers while owning real production systems
	+ A culture that values engineering excellence, pragmatism, and continuous learning
\#LI\-MV1  
At DISQO, we pride ourselves on having a positive, performance\-oriented workplace that includes a flexible hybrid approach, competitive medical benefits, and an amazing vacation policy. **Perks \&amp; Benefits:*** 100% covered Medical/Dental/Vision for employee, competitive dependent coverage
* Stock options
* 401K
* Generous PTO policy
* Team offsites, social events \&amp; happy hours
* Life Insurance
* Health FSA
* Commuter FSA (for hybrid employees)
* Catered lunch and fully stocked kitchen
* Paid Maternity/Paternity leave
* Disability Insurance
* Travel Assistance Program
*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
      <c r="A45" t="inlineStr">
        <is>
          <t>in-9fce87385c3c779f</t>
        </is>
      </c>
      <c r="B45" t="inlineStr">
        <is>
          <t>Data Engineer</t>
        </is>
      </c>
      <c r="C45" t="inlineStr">
        <is>
          <t>Dimensional Fund Advisors</t>
        </is>
      </c>
      <c r="D45" t="inlineStr">
        <is>
          <t>indeed</t>
        </is>
      </c>
      <c r="E45">
        <f>HYPERLINK("https://www.indeed.com/viewjob?jk=9fce87385c3c779f", "https://www.indeed.com/viewjob?jk=9fce87385c3c779f")</f>
        <v/>
      </c>
      <c r="F45">
        <f>HYPERLINK("https://dimensional.wd5.myworkdayjobs.com/en-US/DFA_Careers/job/Remote---Austin-Metro/Data-Engineer_2026-8652-1", "https://dimensional.wd5.myworkdayjobs.com/en-US/DFA_Careers/job/Remote---Austin-Metro/Data-Engineer_2026-8652-1")</f>
        <v/>
      </c>
      <c r="G45" t="inlineStr">
        <is>
          <t>Austin, TX, US</t>
        </is>
      </c>
      <c r="H45" s="3" t="n">
        <v>46042</v>
      </c>
      <c r="I45" t="inlineStr">
        <is>
          <t>Notes to applicants:* Dimensional sees great value from collaborating in our offices and appreciates the benefits of flexibility. Most roles fit our office\-first hybrid approach: We are together on our campuses Tuesdays, Wednesdays, and Thursdays and have the choice to work in the office or remotely, depending on what is best for that work day, on Mondays and Fridays. This approach maximizes in\-person collaboration and interaction while simultaneously providing flexibility and applies to most roles globally with a few exceptions that require more or less time in the office. Please discuss with your Recruiter to confirm the details for this specific role.
* Resumes and portfolios (when applicable) are required as part of your application. When applying from a mobile device or tablet, you may not be able to attach a resume. If you cannot include an attachment at the time of your application, you will receive a follow up email asking you to attach your resume from a computer.
* Here at Dimensional, we strive to be an inclusive workplace for all. Even if you do not match every qualification listed, if you are interested in who we are, what we do, and why we do it, we suggest and encourage you to apply.
* The use of Artificial Intelligence during interviews and skill testing is prohibited, unless Dimensional Fund Advisors has authorized such use.
* If you require reasonable accommodation in completing this application, interviewing, or otherwise participating in the employee selection process, such accommodation is available upon request.
Job Description:
You may be a fit for this role if you:* Have agency: feel empowered to influence outcomes, rather than being passive.
* Are open\-minded, curious, and resourceful
* Are passionate about/stay current with modern technologies
* Solve problems systematically and transparently
* Share ideas, solicit/integrate feedback, design and solve collaboratively
* Take a software engineering approach and demonstrate automation and security mindsets
What you might work on:
As a data engineer at Dimensional, you will have the opportunity to understand the users’ needs and solve problems like database and schema design and engineering, ETL pipelines, APIs, and microservice design and engineering.* Accountable for the design, engineering and ongoing operations of robust, secure, and maintainable data architectures, pipelines, and services.
* Collaborate with data stewards, database administrators, platform engineers, developers, and site reliability engineers to develop and launch solutions for data ingestion, validation, quality control, integration, storage, management, and delivery.
* Independently work with clients to transform business objectives into technical designs, applications, and solutions. Participate in and contribute to the design of agile teams and ceremonies.
* Stay current on technology trends by learning and evaluating modern technologies. Advise business clients on technical capabilities as a data service provider / expert.
* Participate in code reviews and contribute to making continuous improvements to the team’s dev ops processes.
* Provide mentorship to junior team members and provide strategic input to senior management across various business and technology units.
The successful candidate will be self\-motivated and have a strong drive for learning and self\-improvement while working within an engineering focused delivery team with cross\-team departmental collaboration.
Qualifications:* Bachelor’s degree in a technical field or equivalent practical experience
* Deep expertise in designing and implementing various stages of Data lifecycle (from ingestion to distribution) using Snowflake as the core platform.
* 10\+ years of experience with implementation of ETL/ELT pipelines, data governance, data quality controls, data version control, meta data management, and reporting analytics using cloud data technologies.
* Experience messaging and streaming platforms such as Kafka, RabbitMQ, or cloud\-based messaging technologies.
* Experience with Python or equivalent dynamic languages
* Experience with C\#, Java Typescript, or equivalent static languages
* Experience with Relational and Non\-Relational databases and related schema design and development
* Working knowledge of Observability and DevOps concepts, tools, and continuous delivery pipelines.
* A deep understanding of cybersecurity best practices and a demonstrated ability to integrate best practices into development activities
Preferred Competencies:* Interest and ability to learn other coding languages as needed
* Ability to write in English fluently and idiomatically
* Advanced degree in a technical field or equivalent experience in engineering or practical experience
* Experience with agile/scrum methodologies
* Financial services industry experience
* Testing competencies with Test Driven Development, Behavioral Driven Development
Experience with any of the following:* Redis, PostgreSQL, MongoDB, SQL Server
* DBT, FiveTran etc.
* Numpy, Scipy, Pandas
* Airflow, Kafka, AWS, serverless/microservice architecture
Dimensional offers a variety of programs to help take care of you, your family, and your career, including comprehensive benefits, educational initiatives, and special celebrations of our history, culture, and growth.
It is the policy of the Company to provide equal opportunity for all employees and applicants. The Company recruits, hires, trains, promotes, compensates, and administers all personnel actions without regard to actual or perceived race, color, religion, religious practice, creed, sex, sex stereotyping, pregnancy (which includes pregnancy, childbirth, and medical conditions related to pregnancy, childbirth, or breastfeeding), caregiver status, gender, gender identity, gender expression, transgender identity, national origin, age, mental or physical disability, ancestry, medical condition, marital status, familial status, domestic partnership status, military or veteran status or service, unemployment status, citizenship status or alienage, sexual orientation, status as a victim of domestic violence, status as a victim of stalking, status as a victim of sex offenses, genetic information, political activities or recreational activities, arrest or conviction record, salary history, natural hairstyle or any other status protected by applicable law except as otherwise required or permitted by law or regulation applicable to the Company or its affiliates.</t>
        </is>
      </c>
    </row>
    <row r="46">
      <c r="A46" t="inlineStr">
        <is>
          <t>in-87d506c8b8cbbe86</t>
        </is>
      </c>
      <c r="B46" t="inlineStr">
        <is>
          <t>Senior Data Engineer</t>
        </is>
      </c>
      <c r="C46" t="inlineStr"/>
      <c r="D46" t="inlineStr">
        <is>
          <t>indeed</t>
        </is>
      </c>
      <c r="E46">
        <f>HYPERLINK("https://www.indeed.com/viewjob?jk=87d506c8b8cbbe86", "https://www.indeed.com/viewjob?jk=87d506c8b8cbbe86")</f>
        <v/>
      </c>
      <c r="F46">
        <f>HYPERLINK("https://rxpact.isolvedhire.com/jobs/1689918-622109.html", "https://rxpact.isolvedhire.com/jobs/1689918-622109.html")</f>
        <v/>
      </c>
      <c r="G46" t="inlineStr">
        <is>
          <t>Myrtle Point, OR, US</t>
        </is>
      </c>
      <c r="H46" s="3" t="n">
        <v>46042</v>
      </c>
      <c r="I46" t="inlineStr">
        <is>
          <t>**Job Title**: Senior Data Engineer
**Location**: Remote \- Work\-from\-Home
**Reports To:** Solutions Architect
 **Join us in powering a smarter, more flexible approach to GPO engagement!**
RxPact has an exciting opportunity for a Senior Data Engineer. Our team is redefining supply chain purchasing by combining the collective strength and scale of its members with the strategic flexibility of a multi\-GPO relationship model. Built on shared goals and aligned incentives, RxPact delivers industry\-leading savings through collaboration, transparency, and innovative rebate infrastructure \- helping members maximize value in an increasingly complex healthcare landscape.
 **Position Summary**
The Senior Data Engineer designs, builds, and optimizes the organization's core data pipelines and integrations, ensuring reliable, scalable, and highquality data delivery across systems. This role drives technical execution, strengthens data architecture, and supports key business and client needs through robust engineering practices. As a senior contributor, the position also influences technical standards and helps advance the team's overall engineering maturity.
 **Essential Functions**
* Configure and manage technical implementations.
* Support monthly client intake and partner submission routines.
* Utilize Amazon Web Services to implement and manage technical solutions.
* Perform all phases of development, including requirements analysis, design, coding, testing, and deployment.
* Produce clean, highquality, maintainable, and testable code aligned with engineering standards.
* Contribute to system architecture, design reviews, and technical decision
* Support software and hardware maintenance, upgrades, and integrations as needed.
* Troubleshoot and resolve technical issues across multiple systems and environments.
* Create, review, and maintain technical documentation.
* Stay current with emerging technologies and industry trends relevant to the platform and tech stack.
* Perform other duties as assigned to support team and organizational needs.
 **Required Expertise**
* Bachelor's degree in Computer Science or a related field, or equivalent experience
* 5\+ years of experience designing, developing, and maintaining data pipelines
* Strong proficiency in SQL
* Ability to work effectively in a collaborative, fastpaced, and agile team environment
* Strong communication, problemsolving, and analytical skills
* Proven ability to adapt to ambiguity, learn quickly, and innovate
 **Preferred Skills**
* Experience with Amazon Web Services
* Experience with MySQL
* Experience with Flyway
* Software development experience in: Python, Java and/or C\#
* Familiarity with enterpriselevel CI/CD tools and automated deployment pipelines.
* Experience working with Docker or other containerization technologies.
* Experience applying Machine learning solutions
 **What It's Like to Work With Us**
RxPact is a next\-generation supply chain purchasing collaborative that brings together the contracting power, market influence, and rebate capabilities of traditional models \- reimagined for greater flexibility, insight, and alignment. We challenge the status quo by embracing data\-driven strategies, collaborative partnerships, and a forward\-thinking approach to GPO engagement.
We have a distributed workforce so you can work from anywhere in the continental United States. Because of our distributed nature we have cultivated a connected culture that includes town halls, one\-on\-ones with executive leadership, educational forums, and even social clubs.
We offer comprehensive benefits package which includes the following:
* Medical, dental, and vision insurance
* GLP\-1 WeightAssist Program
* Short\- and long\-term disability
* Life insurance and AD\&amp;D
* Supplemental life insurance (Employee/Spouse/Child)
* Voluntary Accident, Critical Illness and Hospital Indemnity Insurance
* Healthcare and dependent care Flexible Spending Accounts
* Healthcare Savings Account
* 401(k) Savings and Investment Plan with company match
* Paid time off
* Phone and Internet allowance
*RxPact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47">
      <c r="A47" t="inlineStr">
        <is>
          <t>in-e94d84a930ab1ba0</t>
        </is>
      </c>
      <c r="B47" t="inlineStr">
        <is>
          <t>Tech Lead – Data Engineer - Assets and Cash Flow</t>
        </is>
      </c>
      <c r="C47" t="inlineStr">
        <is>
          <t>Vanguard</t>
        </is>
      </c>
      <c r="D47" t="inlineStr">
        <is>
          <t>indeed</t>
        </is>
      </c>
      <c r="E47">
        <f>HYPERLINK("https://www.indeed.com/viewjob?jk=e94d84a930ab1ba0", "https://www.indeed.com/viewjob?jk=e94d84a930ab1ba0")</f>
        <v/>
      </c>
      <c r="F47">
        <f>HYPERLINK("https://d.hodes.com/r/tp2?e=se&amp;tv=pixel_tracker&amp;aid=vanguard&amp;p=web&amp;se_ca=indeed&amp;se_ac=click&amp;se_la=22893362&amp;u=http%3A%2F%2Fwww.vanguardjobs.com%2Fjob%2F22893362%2Ftech-lead-data-engineer-assets-and-cash-flow-malvern-pa%2F%3Futm_medium%3Dsymphonytalent-jobads%26utm_campaign%3DTechnology%26utm_content%3DTech%2520Lead%2520%25E2%2580%2593%2520Data%2520Engineer%2520-%2520Assets%2520and%2520Cash%2520Flow%26utm_term%3D173797%26utm_source%3DIndeed%26source%3DIndeed&amp;se_pr=8f19ecbbec75fd01&amp;se_va=15964&amp;tr_af=organic&amp;ti_id=1938_173797&amp;signature=jF-Jx9OggEWw34mUBiTsGkucdKioAG1qRMZDTT8cC1U", "https://d.hodes.com/r/tp2?e=se&amp;tv=pixel_tracker&amp;aid=vanguard&amp;p=web&amp;se_ca=indeed&amp;se_ac=click&amp;se_la=22893362&amp;u=http%3A%2F%2Fwww.vanguardjobs.com%2Fjob%2F22893362%2Ftech-lead-data-engineer-assets-and-cash-flow-malvern-pa%2F%3Futm_medium%3Dsymphonytalent-jobads%26utm_campaign%3DTechnology%26utm_content%3DTech%2520Lead%2520%25E2%2580%2593%2520Data%2520Engineer%2520-%2520Assets%2520and%2520Cash%2520Flow%26utm_term%3D173797%26utm_source%3DIndeed%26source%3DIndeed&amp;se_pr=8f19ecbbec75fd01&amp;se_va=15964&amp;tr_af=organic&amp;ti_id=1938_173797&amp;signature=jF-Jx9OggEWw34mUBiTsGkucdKioAG1qRMZDTT8cC1U")</f>
        <v/>
      </c>
      <c r="G47" t="inlineStr">
        <is>
          <t>Malvern, PA, US</t>
        </is>
      </c>
      <c r="H47" s="3" t="n">
        <v>46042</v>
      </c>
      <c r="I47" t="inlineStr">
        <is>
          <t>Provides expert level IT technical lead services, including the direction, evaluation, selection, configuration, implementation, and integration of new and existing technologies and tools.
Vanguard is seeking a Tech Lead that is passionate about Vanguard and our funds. In this role, you will lead the system which articulates assets and cash flow across each of Vanguard's lines of business. This role will function as a critical liaison with Finance and Technology teams and will engage with clients across the enterprise.
We’re seeking a hands\-on Tech Lead to own the design, build, and reliability of our modern data ETL pipelines and lakehouse platform. This leader will partner with product, analytics, and platform engineering to deliver resilient, cost‑effective data solutions that power high‑quality insights. The ideal candidate is deeply experienced with AWS serverless data services—Lambda, Glue, and Step Functions—and has production expertise operating Apache Iceberg tables at scale (schema evolution, partitioning, compaction, snapshot management, and metadata performance). You will set engineering standards, mentor developers, and drive the roadmap for data ingestion, transformation, and consumption across batch and event\-driven pipelines.
**Core Responsibilities**
* Leads end‑to‑end architecture and delivery of data pipelines.
* Defines patterns for ingestion, transformation, storage, and serving across batch/streaming workflows; selects the right tools and designs SLAs/SLOs for availability, latency, and cost.
* Designs and implements serverless data solutions using AWS Lambda, Glue, and Step Functions.
* Builds Glue Jobs (Spark/Python) and orchestrates state machines for complex dependency management, error handling, retries, and parallelization.
* Owns Apache Iceberg table design and lifecycle.
* Establishes standards for partitioning, clustering, snapshot retention, compaction, merge/delete, schema evolution, and Glue/AWS Lake Formation catalog management.
* Ensures performance, reliability, and observability.
* Implements robust monitoring, logging, and alerting (e.g., CloudWatch, metrics, tracing) and leads incident response, root‑cause analysis, and continuous improvement.
* Elevates code into dev/test/prod safely and on schedule.
* Champions CI/CD and IaC (CloudFormation/CDK/Terraform), automated testing (unit/integration/data quality), canary deployments, and rollback strategies.
* Establishes data quality and governance controls.
* Builds validation frameworks, contracts, and lineage; integrates with catalog, access controls (IAM/Lake Formation), encryption, and compliance requirements.
* Mentors engineers and sets engineering standards.
* Provides code reviews, technical coaching, and career growth guidance; fosters a culture of high‑quality design, documentation, and collaborative delivery.
* Partners with stakeholders to translate business needs into scalable data products.
* Works closely with analytics, product, and platform teams to prioritize backlogs, define SLAs, and deliver user‑centric datasets and APIs.
* Optimizes cost and performance across the stack.
* Tunes Glue (workers, DPUs, job bookmarks), Lambda (memory/timeout/concurrency), Iceberg (file sizing, compaction cadence), and storage/query engines (e.g., S3/Athena/EMR).
* Participates in special projects and performs other duties as assigned.
**Qualifications**
* 8\+ years of related data engineering experience with a strong record of leading delivery for production ETL platforms.
* 5\+ years building on AWS with deep expertise in Lambda, Glue, and Step Functions (state machine patterns, error handling, retries, and parallel branches).
* Strong proficiency in Python and SQL
* Hands‑on experience with batch and event‑driven pipelines (e.g., Kinesis/Kafka), S3‑based data lakes, and Glue/Athena/EMR integration.
* Solid understanding of lakehouse architecture, columnar formats (Parquet), and performance tuning (file sizing, predicate pushdown, metadata operations).
* Familiarity with data quality frameworks, lineage/metadata management, and governance (IAM, Lake Formation, encryption at rest/in transit).
* Excellent communication skills; able to explain complex technical concepts to non‑technical audiences and influence cross‑functional decisions.
* Undergraduate degree or equivalent combination of training and experience; graduate degree preferred.
**Preferred Experience**
* Operating Iceberg with query engines (Athena/Trino/Presto/Spark) and catalog integrations (Glue/HMS).
* Experience in financial services or similarly regulated industries.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48">
      <c r="A48" t="inlineStr">
        <is>
          <t>in-73b849fa73877224</t>
        </is>
      </c>
      <c r="B48" t="inlineStr">
        <is>
          <t>Data Engineer</t>
        </is>
      </c>
      <c r="C48" t="inlineStr">
        <is>
          <t>TelyRx</t>
        </is>
      </c>
      <c r="D48" t="inlineStr">
        <is>
          <t>indeed</t>
        </is>
      </c>
      <c r="E48">
        <f>HYPERLINK("https://www.indeed.com/viewjob?jk=73b849fa73877224", "https://www.indeed.com/viewjob?jk=73b849fa73877224")</f>
        <v/>
      </c>
      <c r="F48">
        <f>HYPERLINK("https://recruiting.paylocity.com/recruiting/jobs/Details/3856820/TELYRX-LLC/Data-Engineer?source=Indeed_Feed", "https://recruiting.paylocity.com/recruiting/jobs/Details/3856820/TELYRX-LLC/Data-Engineer?source=Indeed_Feed")</f>
        <v/>
      </c>
      <c r="G48" t="inlineStr">
        <is>
          <t>Irving, TX, US</t>
        </is>
      </c>
      <c r="H48" s="3" t="n">
        <v>46042</v>
      </c>
      <c r="I48" t="inlineStr">
        <is>
          <t>Description:
**Description**
At TelyRx, we're revolutionizing access to essential medications by combining cutting\-edge
technology with a patient\-centered approach. Inspired by our mission of "A Faster Way to
Wellness," we strive to simplify healthcare and provide seamless, hassle\-free access to the
medications people need.
As a Data Engineer, you will be responsible for designing, building, and maintaining the data
infrastructure that powers our analytics and business intelligence capabilities. You'll work closely
with our analytics team to ensure reliable, scalable, and efficient data pipelines that support
marketing attribution, customer analytics, and operational reporting across the organization.
This role offers the opportunity to own critical data infrastructure, work with modern cloud\-based
tools, and directly impact how we leverage data to improve patient outcomes and business
performance.
**Key Responsibilities**
* Design, build, and maintain scalable ETL/ELT pipelines to ingest data from multiple sources including advertising platforms (Google Ads, Facebook Ads, Bing Ads), CRM systems, and operational databases
* Manage and optimize our Snowflake data warehouse, including schema design, query performance tuning, and cost optimization
* Configure and maintain Fivetran connectors and data integrations, ensuring data quality and timely syncs across all platforms
* Develop and maintain data transformation layers using SQL and dbt to create clean, reliable datasets for analytics consumption
* Build and manage automated workflows and Snowflake tasks for scheduled data refreshes and reporting
* Partner with the analytics team to understand data requirements and translate them into robust technical solutions
* Implement data quality monitoring, alerting, and validation frameworks to ensure accuracy and completeness
* Document data models, pipelines, and processes to maintain institutional knowledge
* Support HIPAA\-compliant data handling practices and maintain appropriate access controls
* Troubleshoot data issues and perform root cause analysis when discrepancies arise
Requirements:
**Basic Qualifications**
* B.S. in Computer Science, Data Engineering, Information Systems, or related technical field
* 5\+ years of experience in data engineering, analytics engineering, or related roles
* Expert\-level SQL skills with experience writing complex queries and optimizing performance
* Hands\-on experience with cloud data warehouses, preferably Snowflake
* Experience with ETL/ELT tools and data integration platforms (Fivetran, Stitch, Airbyte, or similar)
* Proficiency in Python for data processing and automation
* Experience with data transformation tools such as dbt
* Strong understanding of data modeling concepts (dimensional modeling, star schemas)
* Familiarity with version control (Git) and CI/CD practices for data pipelines
* Experience working with marketing and advertising data (Google Ads, Facebook Ads APIs) is a plus
* Strong problem\-solving skills and attention to detail
* Excellent communication skills and ability to collaborate with non\-technical stakeholders
**Preferred Qualifications**
* Experience in healthcare, digital health, or e\-commerce industries
* Familiarity with HIPAA compliance requirements for data handling
* Experience with workflow orchestration tools (Airflow, Dagster, Prefect)
* Knowledge of BI tools such as Sigma Computing, Tableau, or Looker
* Experience with GA4 data exports and BigQuery
* Understanding of marketing attribution models and customer analytics data requirements
* Snowflake certifications or equivalent cloud data platform experience
**Benefits**
* Health Coverage: Comprehensive health, dental, and vision insurance
* Retirement: 401(k) plan
* Time Off: Generous paid time off policy
* Career Growth: Opportunities to grow within a rapidly expanding company
* Mission\-Driven Work: Be part of an organization focused on healthcare accessibility and innovation
If you're eager for the freedom to take ownership of our analytics strategy, develop innovative
optimization solutions, and thrive while being given the room to build and lead a world\-class
analytics organization, this is the perfect opportunity for you. We're looking for someone driven
to make an impact through data, take initiative in establishing best practices, and grow
alongside our company as we tackle new analytical challenges together.</t>
        </is>
      </c>
    </row>
    <row r="49">
      <c r="A49" t="inlineStr">
        <is>
          <t>in-d884b8060473042f</t>
        </is>
      </c>
      <c r="B49" t="inlineStr">
        <is>
          <t>Senior Cloud Data engineer</t>
        </is>
      </c>
      <c r="C49" t="inlineStr">
        <is>
          <t>Solventum</t>
        </is>
      </c>
      <c r="D49" t="inlineStr">
        <is>
          <t>indeed</t>
        </is>
      </c>
      <c r="E49">
        <f>HYPERLINK("https://www.indeed.com/viewjob?jk=d884b8060473042f", "https://www.indeed.com/viewjob?jk=d884b8060473042f")</f>
        <v/>
      </c>
      <c r="F49">
        <f>HYPERLINK("https://click.appcast.io/t/2_sOYWXXv3TMjNbYbOhJMzFO8UxO3tCkyPY60X4klR8=", "https://click.appcast.io/t/2_sOYWXXv3TMjNbYbOhJMzFO8UxO3tCkyPY60X4klR8=")</f>
        <v/>
      </c>
      <c r="G49" t="inlineStr">
        <is>
          <t>Gaithersburg, MD, US</t>
        </is>
      </c>
      <c r="H49" s="3" t="n">
        <v>46042</v>
      </c>
      <c r="I49"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veteran.**Job Description:**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Solventum is seeking a highly motivated **Senior Cloud Data Engineer** to help shape the future of global health informatics. In this role, you’ll collaborate with cross\-functional teams to design and support our Enterprise Data Mesh, enabling data\-driven healthcare innovations on a global scale. You will work closely with SaaS application teams to build robust and scalable data solutions used by a wide network of healthcare providers.
Key Responsibilities
* Design and implement scalable, efficient, and fault‑tolerant data operations across structured and unstructured data systems.
* Develop, build, and maintain AWS data platform services including S3, RDS, SQL/NoSQL databases, and data pipelines.
* Build and maintain robust data pipelines for multi‑tenant database schema changes, ingestion, transformation, and distribution of data streams.
* Partner with senior technical leads, analysts, engineers, and data scientists to deliver scalable cloud\-based data solutions using AWS services.
* Champion data engineering best practices, driving standards for data quality, pipeline reliability, database design, and consumption efficiency.
* Mentor and guide internal engineering teams on pipeline development, database standards, and effective data usage.
 **Your Skills and Expertise**
To set you up for success in this role from day one, Solventum requires (at a minimum) the following qualifications:
Bachelor’s degree (or higher) in Computer Science, Engineering, or related technical field.
* 8\+ years of strong experience deploying, managing, and optimizing cloud data platforms.
* Proven experience building automation for build, test, and deployment workflows for data pipelines.
* Expertise in Python, PySpark, Terraform, CloudFormation and advanced SQL techniques.
* Advanced proficiency in SQL with demonstrated experience in designing and optimizing complex queries.
Additional qualifications that could help you succeed even further in this role include:
* Experience automating workflows in multi\-cloud environments (AWS, GCP, Azure).
* Hands\-on experience with cloud\-native architectures and distributed computing using AWS tools such as EMR, Glue, Databricks, and data Lakehouse architectures.
* Familiarity with GraphQL for API\-based data services.
* Experience with Docker, Kubernetes, and microservice‑based Data API development.
* Expertise in stream processing technologies such as Amazon Kinesis, Apache Spark, Storm, or Kafka.
* Strong collaboration and communication skills, with experience working across cross\-functional teams.
* Professional certifications in AWS, GCP, Azure, or cloud‑native specialties.
**Work location:**
* **Remote**
**Travel: May include up to** 15% domestic/international
**Relocation Assistance: Not authorized**
**Must be legally authorized to work in country of employment without sponsorship for employment visa status (e.g., H1B status).**
**Supporting Your Well\-being**
Solventum offers many programs to help you live your best life – both physically and financially. To ensure competitive pay and benefits, Solventum regularly benchmarks with other companies that are comparable in size and scope.
Onboarding Requirement: To improve the onboarding experience, you will have an opportunity to meet with your manager and other new employees as part of the Solventum new employee orientation. As a result, new employees hired for this position will be required to travel to a designated company location for on\-site onboarding during their initial days of employment. Travel arrangements and related expenses will be coordinated and paid for by the company in accordance with its travel policy. Applies to new hires with a start date of October 1st 2025 or later.
Applicable to US Applicants Only:The expected compensation range for this position is $124,000 \- $170,500,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https://www.solventum.com/en\-us/home/our\-company/careers/\#Total\-Rewards
Responsibilities of this position include that corporate policies, procedures and security standards are complied with while performing assigned duties.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Be wary of unsolicited emails or messages regarding Solventum job opportunities from emails with other email domains.
Please note, Solventum does not expect candidates in this position to perform work in the unincorporated areas of Los Angeles County.
Solventum is an equal opportunity employer. Solventum will not discriminate against any applicant for employment on the basis of race, color, religion, sex, sexual orientation, gender identity, national origin, age, disability, or veteran status.**Please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job at Solventum are conditioned on your acceptance and compliance with these terms.
Please access the linked document. Before submitting your application you will be asked to confirm your agreement with the  
terms.</t>
        </is>
      </c>
    </row>
    <row r="50">
      <c r="A50" t="inlineStr">
        <is>
          <t>in-f6dcbc94875ce59a</t>
        </is>
      </c>
      <c r="B50" t="inlineStr">
        <is>
          <t>AI/ML Data Engineer (Databricks)</t>
        </is>
      </c>
      <c r="C50" t="inlineStr">
        <is>
          <t>QuidelOrtho Corporation</t>
        </is>
      </c>
      <c r="D50" t="inlineStr">
        <is>
          <t>indeed</t>
        </is>
      </c>
      <c r="E50">
        <f>HYPERLINK("https://www.indeed.com/viewjob?jk=f6dcbc94875ce59a", "https://www.indeed.com/viewjob?jk=f6dcbc94875ce59a")</f>
        <v/>
      </c>
      <c r="F50">
        <f>HYPERLINK("https://orthoclinical.wd1.myworkdayjobs.com/en-US/Search/job/US---CA---San-Diego---Summers-Ridge/AI-ML-Data-Engineer--Databricks-_R0015929", "https://orthoclinical.wd1.myworkdayjobs.com/en-US/Search/job/US---CA---San-Diego---Summers-Ridge/AI-ML-Data-Engineer--Databricks-_R0015929")</f>
        <v/>
      </c>
      <c r="G50" t="inlineStr">
        <is>
          <t>San Diego, CA, US</t>
        </is>
      </c>
      <c r="H50" s="3" t="n">
        <v>46042</v>
      </c>
      <c r="I50"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We are seeking an AI/ML Data Engineer to support our Global Data and Analytics team. The AI/ML Data Engineer will be responsible for designing, building, and optimizing data pipelines and infrastructure using Databricks to support AI and machine learning (ML) initiatives. This role will involve working closely with business stakeholders to identify high\-value AI/ML use cases and translating business requirements into technical solutions. The engineer will work to ensure the successful deployment of AI/ML solutions at scale, leveraging Azure services and Databricks tools.
This position is remote eligible, with a strong preference for candidates based in San Diego and able to maintain office presence.
**The Responsibilities**
* Work directly with business stakeholders to identify and define AI/ML use cases, translating business needs into technical requirements.
* Design, develop, and optimize scalable data pipelines in Databricks for AI/ML applications, ensuring efficient data ingestion, transformation, and storage.
* Build and manage Apache Spark\-based data processing jobs in Databricks, ensuring performance optimization and resource efficiency.
* Implement ETL/ELT processes and orchestrate workflows using Azure Data Factory, integrating various data sources such as Azure Data Lake, Blob Storage, and Microsoft Fabric.
* Collaborate with Data Engineering teams to meet data infrastructure needs for model training, tuning, and deployment within Databricks and Azure Machine Learning.
* Monitor, troubleshoot, and resolve issues within Databricks workflows, ensuring smooth operation and minimal downtime.
* Implement best practices for data security, governance, and compliance within Databricks and Azure environments.
* Automate data and machine learning workflows using CI/CD pipelines through Azure DevOps.
* Maintain documentation of workflows, processes, and best practices to ensure knowledge sharing across teams.
* Perform other work\-related duties as assigned.
**The Individual**
Required:
* Bachelor's degree in Computer Science, Engineering, or a related field (or equivalent experience).
* Minimum 3 years of experience in data engineering, with a strong focus on Databricks and AI/ML applications.
* Proven experience working directly with business stakeholders to identify and implement AI/ML use cases.
* Expertise in Apache Spark and hands\-on experience with Databricks for building and optimizing data pipelines.
* Strong programming skills in Python and Scala for data engineering and machine learning workflows in Databricks.
* Experience with Azure Data Factory, Azure Data Lake, Azure Blob Storage, and Azure Synapse Analytics.
* Proficiency with Databricks Delta Lake for data reliability and performance optimization.
* Familiarity with MLflow and Databricks Runtime for Machine Learning for model management and deployment.
* Knowledge of Azure DevOps for implementing CI/CD pipelines in Databricks\-based projects.
* Strong understanding of data governance, security practices, and compliance requirements in cloud environments.
* Familiarity with emerging Databricks features such as Delta Live Tables and Unity Catalog.
* Ability to travel up to 5\-10%.
* **This position is not currently eligible for visa sponsorship.**
**Preferred:**
* Experience with real\-time data processing using Apache Kafka or Azure Event Hubs.
* Master's degree in Computer Science or related technical fields.
**The Key Working Relationships**
**Internal Partners:**
* Regular collaboration with business stakeholders to identify and implement AI/ML solutions that drive business value.
* Close interaction with data engineers and cross\-functional teams to ensure the successful integration of data pipelines and AI/ML models.
* Work alongside IT teams to optimize cloud infrastructure and resource allocation within Databricks and Azure.
**External Partners:**
* Customers and Vendors.
**The Work Environment**
No strenuous physical activity, though occasional light lifting of files and related materials is required. 30% of time in meetings, working with team, or talking on the phone, 70% of the time at the desk on computer, doing analytical work. Minimal travel required 5\-10%. Travel includes airplane, automobile travel and overnight hotel.
**Physical Demands**
Typically, 40% of time in meetings; 60% of time at the desk on computer/doing paperwork/ on phone, doing analytical work. Walking, standing, and sitting for long periods of time are routine to accomplish tasks in this role. Specific vision abilities required by this job include close and distance vision and the ability to adjust focus. Ability to travel on short term notice.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$85,000 to $105,000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t>
        </is>
      </c>
    </row>
    <row r="51">
      <c r="A51" t="inlineStr">
        <is>
          <t>in-4bb8763767c48488</t>
        </is>
      </c>
      <c r="B51" t="inlineStr">
        <is>
          <t>Tech Lead, Data Engineer</t>
        </is>
      </c>
      <c r="C51" t="inlineStr"/>
      <c r="D51" t="inlineStr">
        <is>
          <t>indeed</t>
        </is>
      </c>
      <c r="E51">
        <f>HYPERLINK("https://www.indeed.com/viewjob?jk=4bb8763767c48488", "https://www.indeed.com/viewjob?jk=4bb8763767c48488")</f>
        <v/>
      </c>
      <c r="F51">
        <f>HYPERLINK("https://jobs.ashbyhq.com/intus/074b9f88-1251-4a68-a7e9-4dee2d17e695?utm_source=B11DvZEp0A", "https://jobs.ashbyhq.com/intus/074b9f88-1251-4a68-a7e9-4dee2d17e695?utm_source=B11DvZEp0A")</f>
        <v/>
      </c>
      <c r="G51" t="inlineStr">
        <is>
          <t>US</t>
        </is>
      </c>
      <c r="H51" s="3" t="n">
        <v>46042</v>
      </c>
      <c r="I51" t="inlineStr">
        <is>
          <t>Tech Lead, Data Engineer
*What We Do:*
IntusCare is a leading healthcare analytics platform dedicated to transforming care for PACE programs. By synthesizing complex healthcare data, we help identify risks, visualize trends, and optimize care delivery. Our platform empowers care providers to prevent high\-risk events while equipping executives with the insights needed to make data\-driven decisions based on comprehensive clinical and operational information. Our mission is to drive high\-value, multidisciplinary care for older adults through actionable data.
In addition to our analytics solutions, we offer a range of consulting and technical support services for both new and established PACE programs as they grow and adapt to meet the needs of their communities.
*In This Role You Will:*
Provide technical leadership and hands\-on guidance to a team of software engineers building healthcare analytics solutions.
* Define and drive the technical vision, architecture, and best practices for new and existing products.
* Lead design discussions, code reviews, and ensure high standards for code quality, performance, and security.
* Collaborate with product managers, designers, and stakeholders to translate requirements into scalable technical solutions.
* Plan, prioritize, and delegate tasks to ensure timely and high\-quality project delivery.
* Mentor and support engineers, fostering a culture of knowledge sharing, growth, and continuous improvement.
* Ensure solutions are robust, scalable, and compliant with healthcare industry standards (e.g., HIPAA).
* Identify and address technical risks, bottlenecks, and opportunities for process improvement.
* Stay current on emerging technologies and advocate for their adoption where appropriate.
* Communicate complex technical concepts clearly to both technical and non\-technical audiences.
* Foster a collaborative, innovative, and inclusive team environment.
*Requirements:*
* Bachelor's degree in computer science, Information Systems, or related field.
* 5\+ years of experience as a Data Engineer
* Strong understanding of healthcare data structures and analytics focused on Value\-Based Care metrics.
* Solid understanding of data modeling, data warehousing, and analytics tools (e.g., Tableau, Power BI).
* Proficiency in SQL and experience with at least one programming language (e.g., Python, Java).
* Familiarity with cloud platforms (AWS, Azure, or GCP)
* Strong analytical skills with the ability to solve complex problems and propose innovative solutions.
* Excellent communication skills with the ability to work cross\-functionally with technical and non\-technical teams
*Preferred:*
* Experience with Airflow, DBT, and Selenium
* Snowflake certifications (e.g., SnowPro Core, Architect)
* Experience with healthcare interoperability standards (HL7, FHIR).
* Knowledge of machine learning and AI applications in healthcare analytics.
*Company Core Values:*
What We Offer:
* A chance to be a part of a trailblazing team in healthcare technology
* Competitive salary package
* Comprehensive benefits including health, dental, and vision insurance
* A collaborative, inclusive, and dynamic work environment
* Opportunities for professional growth and development
Company Core Values:
* Take Ownership for Your Responsibilities and Outcomes
* Think With Data First
* Be Passionate About Impact
* Take Strides Toward Growth and Innovation
* Be Supportive of Each Other</t>
        </is>
      </c>
    </row>
    <row r="52">
      <c r="A52" t="inlineStr">
        <is>
          <t>in-0fbc171a285019f2</t>
        </is>
      </c>
      <c r="B52" t="inlineStr">
        <is>
          <t>Data Engineer - Contract ($65 - $95)</t>
        </is>
      </c>
      <c r="C52" t="inlineStr">
        <is>
          <t>The Irvine Company</t>
        </is>
      </c>
      <c r="D52" t="inlineStr">
        <is>
          <t>indeed</t>
        </is>
      </c>
      <c r="E52">
        <f>HYPERLINK("https://www.indeed.com/viewjob?jk=0fbc171a285019f2", "https://www.indeed.com/viewjob?jk=0fbc171a285019f2")</f>
        <v/>
      </c>
      <c r="F52">
        <f>HYPERLINK("https://careers.irvinecompany.com/job/Irvine-Data-Engineer-Contract-%28%2465-%2495%29-CA-92617/1358208300/?feedId=187000&amp;utm_source=Indeed&amp;utm_campaign=Irvine_Indeed", "https://careers.irvinecompany.com/job/Irvine-Data-Engineer-Contract-%28%2465-%2495%29-CA-92617/1358208300/?feedId=187000&amp;utm_source=Indeed&amp;utm_campaign=Irvine_Indeed")</f>
        <v/>
      </c>
      <c r="G52" t="inlineStr">
        <is>
          <t>Irvine, CA, US</t>
        </is>
      </c>
      <c r="H52" s="3" t="n">
        <v>46042</v>
      </c>
      <c r="I52" t="inlineStr">
        <is>
          <t>**Position Summary:**
---------------------
**This is a contract/temporary position. Associate selected will be payrolled (W\-2\) through a staffing agency.**
Develops dimensional models following medallion architecture patterns, ensures data quality, and guarantees reliable data delivery for analytics on a Snowflake platform. This involves building and maintaining dbt transformation pipelines, orchestrating with Dagster, and implementing various data ingestion methods, including Fivetran, Boomi, and custom Python pipelines for unique source systems.
**Key Responsibilities:**
-------------------------
* Design and develop dbt models following the medallion architecture (bronze \&gt; silver \&gt; gold layers).
* Build dimensional models, including fact and dimension tables, for analytics consumption.
* Implement and maintain data quality tests using dbt’s testing framework.
* Optimize SQL transformations within dbt for performance in Snowflake.
* Write and maintain schema documentation with model and column descriptions, and apply dbt best practices (refs, sources, macros, tags).
* Configure and maintain Dagster assets to orchestrate dbt model execution, including implementing schedules and sensors.
* Monitor pipeline health through the Dagster UI and resolve execution failures.
* Build and maintain bespoke Python\-based ingestion pipelines for source systems without native connector support.
* Participate in code reviews for dbt models and Dagster configurations, and use tools like sqlfluff for code quality.
* Collaborate with analysts and data consumers, and document data models, transformation logic, and operational procedures.
**Minimum Qualifications / Other Expectations:**
------------------------------------------------
* Strong SQL skills with ability to write and optimize analytical queries  
Python proficiency for building data ingestion pipelines and scripting
* Bachelor's degree in Computer Science, Engineering, or a related technical field, or equivalent practical experience
* Experience with dbt or willingness to learn quickly (we use dbt extensively)
* Familiarity with data warehousing concepts on Snowflake, BigQuery, or similar comfort with Git\-based development workflows
* Experience with dbt in a production environment
* Familiarity with dimensional modeling (fact and dimension tables)
* Experience with layered data architectures (staging, intermediate, mart patterns)
* Exposure to workflow orchestration tools (Dagster, Airflow, Prefect)
* Understanding of data quality testing approaches
Preferred:
* 3 \- 5 years in analytics engineering or data engineering
**Compensation:**
Base Pay Start Rate: $65 \- 95/hour
The Company also offers competitive benefits for full time employees including paid time off, matching 401(k), and health benefits.
 **About Us:**  
Irvine Company is a privately held real estate investment company and master\-planner committed to creating and sustaining communities that thrive for generations.  
Irvine Company is respected for its master planning and environmental stewardship of the Irvine Ranch in Orange County, including diversified operations throughout coastal California. Irvine Company brings to life neighborhoods and sustainable communities with a full range of housing, jobs, retail centers, schools, parks and open space.  
We take as much pride in our employee community as we do the communities we create. It’s an environment populated with talented and experienced people, a collaborative spirit and abundant opportunities.  
Apply today to join our employee community, and learn more about Irvine Company, our legacy and our guiding principles.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
\#LI\-Onsite</t>
        </is>
      </c>
    </row>
    <row r="53">
      <c r="A53" t="inlineStr">
        <is>
          <t>in-1a668fcdc46b68cc</t>
        </is>
      </c>
      <c r="B53" t="inlineStr">
        <is>
          <t>Snowflake Data Engineer</t>
        </is>
      </c>
      <c r="C53" t="inlineStr">
        <is>
          <t>Lithia &amp; Driveway</t>
        </is>
      </c>
      <c r="D53" t="inlineStr">
        <is>
          <t>indeed</t>
        </is>
      </c>
      <c r="E53">
        <f>HYPERLINK("https://www.indeed.com/viewjob?jk=1a668fcdc46b68cc", "https://www.indeed.com/viewjob?jk=1a668fcdc46b68cc")</f>
        <v/>
      </c>
      <c r="F53">
        <f>HYPERLINK("https://lithia.wd5.myworkdayjobs.com/LithiaCareers/job/Remote---USA/Snowflake-Data-Engineer_R100952", "https://lithia.wd5.myworkdayjobs.com/LithiaCareers/job/Remote---USA/Snowflake-Data-Engineer_R100952")</f>
        <v/>
      </c>
      <c r="G53" t="inlineStr">
        <is>
          <t>Medford, OR, US</t>
        </is>
      </c>
      <c r="H53" s="3" t="n">
        <v>46042</v>
      </c>
      <c r="I53" t="inlineStr">
        <is>
          <t>**Dealership:**
---------------
L0105 Lithia Home Office**Data Engineer \| Lithia \&amp; Driveway**
**Location: Remote (PST work hours, preferred)**
**Compensation:** The full salary range for this position is **$80,000\-$115,000** annually. The anticipated starting pay is **$80,000\-$110,000**, determined by factors such as skills, experience, and organizational considerations. Final compensation will be established through the interview process in accordance with applicable pay equity and transparency laws.
Lithia \&amp; Driveway (LAD) is one of the largest global automotive retailers providing a wide array of products and services throughout the ownership lifecycle with a vision to modernize personal transportation solutions wherever, whenever, and however consumers desire. With a mission of "Growth Powered by People," we are propelled by our colleagues and preferred by our customers, making Lithia \&amp; Driveway the leading automotive retailer in each of our markets. Our success is fueled by four core values: earning customers for life, improving constantly, taking personal ownership, and having fun. Our entrepreneurial, high\-performance culture sets us apart, and our philosophy is straightforward: assemble a team of passionate individuals and cultivate an environment that empowers colleagues to excel. **We’d love to have you join us on our journey!**
 **Role Overview**
The Data Engineer plays a critical role in building and maintaining the data foundation that supports analytics, reporting, and business decision\-making. This position is responsible for developing, implementing, and supporting scalable data pipelines and managing data engineering workflows across modern cloud platforms. With a strong focus on automation, performance, and data quality, the Data Engineer designs, builds, and migrates ETL/ELT processes using technologies such as Azure Data Factory, Azure Synapse, and Snowflake.
Working closely with Data Architects, Data Analysts, and fellow engineers, the Data Engineer contributes to robust data ingestion, transformation, and analytics pipelines. This role receives technical direction from the Lead Data Engineer and operates primarily within Azure and Snowflake environments, partnering across teams to ensure data integrity, operational excellence, and continuous improvement.
 **What You'll Do**
* Design and implement data ingestion and transformation processes to load data from disparate source systems into Snowflake and downstream data platforms to enable reliable enterprise reporting and analytics.
* Migrate existing on\-premises SQL Server data processes and datasets to Azure\-based solutions to improve scalability, performance, and long\-term maintainability.
* Integrate Azure Data Factory with Snowflake for automated data extraction, transformation, and loading processes
* Develop, test, and maintain SQL scripts, stored procedures, and data pipelines to ensure accurate, timely, and efficient data processing.
* Ensure data is created, structured, and maintained according to established standards and documentation requirements to support data governance and usability.
* Build and configure end\-to\-end telemetry, alerting, and self\-healing capabilities to proactively identify and resolve data pipeline issues.
* Collaborate with business stakeholders to understand requirements and translate them into effective data integration and MDM solutions
* Implement CI/CD pipelines for data engineering projects to enhance deployment and automation capabilities
* Ensure thorough documentation and compliance with data standards across all processes
* Mentor and support junior team members through knowledge sharing, technical guidance, and code reviews to strengthen team capability and consistency.
* Strive for continuous improvement of code quality and development practices.
* Participate as part of a Tier\-3 on\-call rotation to support team\-built software
 **What You'll Bring**
**Skills**
* Working knowledge of cloud\-based data platforms and modern data pipeline design principles, including:
	+ **Azure Data Services:** Azure Data Factory, Synapse, Functions, Logic Apps, ADLS, and Blob Storage
	+ **Development \&amp; Integration Tools:** SSMS, Visual Studio, Azure DevOps
	+ **Data Platforms \&amp; Engineering Tools:** Snowflake, Databricks, and DBT
* Proficiency in **Snowflake development**, including stored procedures, UDFs, query performance tuning, and Snowpipe configuration.
* Strong **SQL development** skills, including query optimization and stored procedure design.
* Solid understanding of **ETL/ELT processes**, data integration patterns, and foundational data warehouse concepts.
* Experience supporting and troubleshooting **data integrations across cross\-functional teams**.
* Proficiency with **version control systems** such as Git or TFS.
* Knowledge of **CI/CD pipelines and best practices** for data engineering projects.
* Strong attention to detail with the ability to manage multiple priorities and deadlines effectively.
* Excellent communication and collaboration skills.
**Experience**
* **1\+ year** of experience in analytics or data engineering, working closely with cross\-functional teams.
* **2\+ years** of experience in SQL Server development or equivalent SQL\-based data engineering environments.
**We offer best in class industry benefits:**
* Competitive pay
* Medical, Dental and Vision Plans
* Paid Holidays \&amp; PTO
* Short and Long\-Term Disability
* Paid Life Insurance
* 401(k) Retirement Plan
* Employee Stock Purchase Plan
* Lithia Learning Center
* Vehicle Purchase Discounts
* Wellness Programs
High School graduate or equivalent, 18 years or older required. We are a drug free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t>
        </is>
      </c>
    </row>
    <row r="54">
      <c r="A54" t="inlineStr">
        <is>
          <t>in-2d2c74ae2db0deeb</t>
        </is>
      </c>
      <c r="B54" t="inlineStr">
        <is>
          <t>Senior Data Engineer</t>
        </is>
      </c>
      <c r="C54" t="inlineStr">
        <is>
          <t>Extra Space Storage</t>
        </is>
      </c>
      <c r="D54" t="inlineStr">
        <is>
          <t>indeed</t>
        </is>
      </c>
      <c r="E54">
        <f>HYPERLINK("https://www.indeed.com/viewjob?jk=2d2c74ae2db0deeb", "https://www.indeed.com/viewjob?jk=2d2c74ae2db0deeb")</f>
        <v/>
      </c>
      <c r="F54">
        <f>HYPERLINK("https://extraspace.wd5.myworkdayjobs.com/ESS_External/job/Salt-Lake-City-UT-United-States/Senior-Data-Engineer_R-76532", "https://extraspace.wd5.myworkdayjobs.com/ESS_External/job/Salt-Lake-City-UT-United-States/Senior-Data-Engineer_R-76532")</f>
        <v/>
      </c>
      <c r="G54" t="inlineStr">
        <is>
          <t>Salt Lake City, UT, US</t>
        </is>
      </c>
      <c r="H54" s="3" t="n">
        <v>46042</v>
      </c>
      <c r="I54" t="inlineStr">
        <is>
          <t>***\*\*\* PLEASE NOTE: This is a*** ***hybrid*** ***role, requiring this person to work at our corporate headquarters in Salt Lake City, UT.*** ***We are unable to sponsor or take over sponsorship of an employment visa at this time. \*\*\****
**Job Summary**  
The Sr. Data Engineer serves as a technical expert within the team, owns critical data systems, mentors others, and drives reliability and excellence in modern data engineering. Focuses on optimizing data architectures for scalability, integrating advanced tools beyond traditional warehousing, building proficiency in Python while supporting Fabric migration efforts, and applying Kimball dimensional modeling expertise to ensure robust, performant data solutions. Designs, codes, tests, debugs, and documents complex databases.  
**Primary Responsibilities**
* Architect scalable data pipelines and dimensional models across hybrid environments, applying Kimball methodology (e.g., bus architecture, star/snowflake schemas, fact table granularity, slowly changing dimensions, surrogate keys).
* Lead technical execution of data projects, including migrations to Microsoft Fabric (e.g., refactoring Synapse Pipelines to Fabric equivalents while preserving dimensional integrity).
* Mentor Associates and Mid\-level engineers; review pipeline designs, Python code, dimensional models, and implementations.
* Proactively identify and resolve data performance, quality, security, or scalability issues.
* Ensure adherence to data governance standards, security practices (e.g., encryption, access controls), and compliance requirements.
* Break down complex data initiatives into actionable plans, incorporating Kimball principles and Fabric components (e.g., Dataflows, Notebooks, Lakehouse).
* Implement and maintain Git\-based workflows for data pipelines, notebooks, and transformations, including branching strategies for safe development.
* Configure and execute promotions in Fabric Deployment Pipelines, handling environment\-specific rules and content.
* Conduct data quality and pipeline tests during the development cycle, ensuring changes are reliable before cross\-environment deployment.
* Support migration\-related CI/CD activities, such as refactoring Synapse Pipelines to Fabric equivalents with version\-controlled artifacts.
* Independently interpret business requests into technical requirements through direct engagement with requestors.
* Deliver end\-to\-end solutions for complex or high\-impact requests, including proactive suggestions for improvements.
* Provide technical guidance during requirement refinement and feedback sessions with requesting teams.
* Designs and implements archive, recovery, and load strategies.
* Determines database structural requirements by analyzing client or internal operations, applications, and programming.
* Reviews objectives with clients or internal users and evaluates current systems.
* Coordinates new data development, ensuring consistency and providing for integration with existing warehouse structure.
**Key Tools \&amp; Technologies**
* Advanced SQL for querying, transformations, performance tuning, and Kimball dimensional modeling.
* Python for scripting, automation, custom logic, and Fabric notebooks.
* Azure Synapse Pipelines, SQL Server, and Azure Functions.
* Microsoft Fabric (Lakehouse, OneLake, Pipelines, Notebooks, Dataflows)
* Git integration and Fabric Deployment Pipelines for version control and CI/CD workflows.
**Job Specifications**
* Demonstrates proficiency in all areas of data engineering with advanced in\-depth specialization in dimensional modeling, pipeline architecture, and modern cloud platforms.
* Participates in developing technical/business approaches and new or enhanced technical tools, including CI/CD best practices.
* Has advanced knowledge of scalable data pipelines, lakehouse architectures, and high\-volume processing in Azure Synapse and Microsoft Fabric environments.
**Education and Experience**
* Typically requires 5\+ years of related experience and a bachelor’s degree (or equivalent experience).
* Strong hands\-on experience with Microsoft Azure data services, SQL Server, Python, and data modeling (Kimball methodology preferred).
* Experience supporting or leading migrations to modern platforms like Microsoft Fabric is highly desirable.
**Work Environment \&amp; Physical Requirements**  
Performs sedentary work in an office environment with limited lifting (less than 10 pounds) or walking required. Close visual acuity required to perform work at computer terminal. No exposure to adverse environmental conditions. Requires repetitive typing motion, talking, hearing, grasping and feeling.  
**Disclaimer**  
*The job description outlines the general nature and scope of work employees perform in this role. It's not intended to be an exhaustive list of all duties, responsibilities, or qualifications required for the position. The company reserves the right to modify, revise, or update the job description to meet business needs.*
**If you are a current Extra Space employee, please apply through Jobs Hub in Workday.**
----------------------------------------------------------------------------------------
We are an equal opportunity employer and value diversity at our company. We do not discriminate on the basis of race, religion, color, national origin, gender, sexual orientation, age, marital status, veteran status, or disability status.
Applications Deadline: Applications will be accepted until the position is filled.</t>
        </is>
      </c>
    </row>
    <row r="55">
      <c r="A55" t="inlineStr">
        <is>
          <t>in-044b2be7fed9a8a9</t>
        </is>
      </c>
      <c r="B55" t="inlineStr">
        <is>
          <t>AI/ML Data Engineer</t>
        </is>
      </c>
      <c r="C55" t="inlineStr"/>
      <c r="D55" t="inlineStr">
        <is>
          <t>indeed</t>
        </is>
      </c>
      <c r="E55">
        <f>HYPERLINK("https://www.indeed.com/viewjob?jk=044b2be7fed9a8a9", "https://www.indeed.com/viewjob?jk=044b2be7fed9a8a9")</f>
        <v/>
      </c>
      <c r="F55">
        <f>HYPERLINK("https://roboticstechno.com/view_job?mode=apply&amp;id=36552&amp;hr_id=", "https://roboticstechno.com/view_job?mode=apply&amp;id=36552&amp;hr_id=")</f>
        <v/>
      </c>
      <c r="G55" t="inlineStr">
        <is>
          <t>New York, NY, US</t>
        </is>
      </c>
      <c r="H55" s="3" t="n">
        <v>46042</v>
      </c>
      <c r="I55" t="inlineStr">
        <is>
          <t>* Job ID:
J52952
* Job Title:
AI/ML Data Engineer
* Location:
New York, NY
* Duration:
24 Months \+ Extension
* Hourly Rate:
Depending on Experience (DOE)
* Work Authorization:
US Citizen, Green Card, OPT\-EAD, CPT, H\-1B,  
H4\-EAD, L2\-EAD, GC\-EAD
* Client:
To Be Discussed Later
* Employment Type:
W\-2, 1099, C2C
**JOB DESCRIPTION:**  
"Required Qualifications  
* 6\+ years of hands\-on experience in data engineering and analytics roles.
* Strong proficiency in SQL and experience with relational databases (MySQL, DB2, etc)
* Experience in Software development in Object oriented programming languages like python, Java etc.
* Solid understanding of data modeling, architecture, and governance principles.
* Hands\-on experience with reporting tools such as Power BI, Tableau, or similar.
* 2\+ years of experience or exposure to Machine Learning concepts, including model development, large language model (LLM) implementation, and statistical analysis for predictive and analytical solutions.
* Bachelor’s degree in Computer Science, Data Engineering or a related field.
* Excellent communication and collaboration skills.
Preferred Skills  
* Al/ML experience is plus
* Exposure to Cloud Databases like Snowflake etc.
* Experience in financial services and wealth management domains.
* Experience with cloud platforms (e.g., AWS, Azure, GCP)."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56">
      <c r="A56" t="inlineStr">
        <is>
          <t>in-13fdd9ab09ed44f5</t>
        </is>
      </c>
      <c r="B56" t="inlineStr">
        <is>
          <t>Data Engineer</t>
        </is>
      </c>
      <c r="C56" t="inlineStr">
        <is>
          <t>Xylem</t>
        </is>
      </c>
      <c r="D56" t="inlineStr">
        <is>
          <t>indeed</t>
        </is>
      </c>
      <c r="E56">
        <f>HYPERLINK("https://www.indeed.com/viewjob?jk=13fdd9ab09ed44f5", "https://www.indeed.com/viewjob?jk=13fdd9ab09ed44f5")</f>
        <v/>
      </c>
      <c r="F56">
        <f>HYPERLINK("https://xylem.wd5.myworkdayjobs.com/en-US/xylem-careers/job/Charlotte-North-Carolina/Data-Engineer_R46014", "https://xylem.wd5.myworkdayjobs.com/en-US/xylem-careers/job/Charlotte-North-Carolina/Data-Engineer_R46014")</f>
        <v/>
      </c>
      <c r="G56" t="inlineStr">
        <is>
          <t>Charlotte, NC, US</t>
        </is>
      </c>
      <c r="H56" s="3" t="n">
        <v>46042</v>
      </c>
      <c r="I56"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The Role:
As a Data Engineer, you will design, develop, and optimize scalable data pipelines and workflows to support advanced analytics and business intelligence needs. You will collaborate with cross\-functional teams to ensure data accessibility, integrity, and security.
Core Responsibilities:* Design, develop, and implement robust data pipelines for data collection, transformation, and integration.
* Collaborate with senior engineers to architect scalable data solutions using Azure services, including Azure Data Factory and Databricks.
* Integrate data from SAP ERP systems and other enterprise platforms into modern cloud\-based data ecosystems.
* Leverage Databricks for big data processing and workflow optimization.
* Work with stakeholders to understand data requirements, ensuring data quality and consistency.
* Maintain data governance practices to support compliance and security protocols.
* Support analytics teams by providing well\-structured, reliable data for reporting and machine learning projects.
* Troubleshoot and resolve data pipeline and workflow issues.
NOTE: Xylem does not provide visa sponsorship for this position
Qualifications:* Bachelor’s degree in Computer Science, Data Engineering, Information Systems, or a related field.
* 3–5 years of experience in data engineering or a related role.
* Proficiency in Azure technologies, including Azure Data Factory, Azure SQL Database, and Databricks.
* Experience with SAP data integration is a plus.
* Strong SQL and Python programming skills for data engineering tasks.
* Familiarity with data modeling concepts (e.g., star and snowflake schemas) and best practices.
* Experience with CI/CD pipelines for deploying data workflows and infrastructure.
* Knowledge of distributed file systems like Azure Data Lake or equivalent cloud storage solutions.
* Basic understanding of Apache Spark for distributed data processing.
* Strong problem\-solving skills and a collaborative mindset.
Technical Knowledge:* Deep understanding of Azure cloud infrastructure and services, particularly those related to data management (e.g., Azure Data Lake, Azure Blob Storage, Azure SQL Database).
* Experience with Azure Data Factory (ADF) for orchestrating ETL pipelines and automating data workflows.
* Familiarity with Azure Databricks for big data processing, machine learning, and collaborative analytics.
* Expertise in Apache Spark for distributed data processing and large\-scale analytics.
* Familiarity with Databricks, including managing clusters and optimizing performance for big data workloads.
* Understanding of Databricks Bronze, Silver, and Gold Model.
* Understanding of distributed file systems like HDFS and cloud\-based equivalents like Azure Data Lake.
* Proficiency in SQL and NoSQL databases, including designing schemas, query optimization, and managing large datasets.
* Experience with data warehousing solutions like Databricks, Azure Synapse Analytics or Snowflake.
* Familiarity with connecting data Lakehouse’s with Power BI.
* Understanding of OLAP (Online Analytical Processing) and OLTP (Online Transaction Processing) systems.
* Strong grasp of data modeling techniques, including conceptual, logical, and physical data models.
* Experience with star schema, snowflake schema, and normalization for designing scalable, performant databases.
* Knowledge of data architecture best practices, ensuring efficient data flow, storage, and retrieval.
* Knowledge of CI/CD pipelines for automating the deployment of data pipelines, databases, and infrastructure.
* Experience with infrastructure as code tools like Terraform or Azure Resource Manager to manage cloud resources.
Preferred Qualifications:* Familiarity with tools like Apache Airflow or other workflow orchestration tools.
* Knowledge of Azure Monitor or similar tools for system performance tracking.
* Certifications in Azure Data Engineering or related cloud platforms.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57">
      <c r="A57" t="inlineStr">
        <is>
          <t>in-cdad9640a8914f04</t>
        </is>
      </c>
      <c r="B57" t="inlineStr">
        <is>
          <t>Data Engineer</t>
        </is>
      </c>
      <c r="C57" t="inlineStr">
        <is>
          <t>mLabs</t>
        </is>
      </c>
      <c r="D57" t="inlineStr">
        <is>
          <t>indeed</t>
        </is>
      </c>
      <c r="E57">
        <f>HYPERLINK("https://www.indeed.com/viewjob?jk=cdad9640a8914f04", "https://www.indeed.com/viewjob?jk=cdad9640a8914f04")</f>
        <v/>
      </c>
      <c r="F57">
        <f>HYPERLINK("https://apply.workable.com/j/19C6294FFB", "https://apply.workable.com/j/19C6294FFB")</f>
        <v/>
      </c>
      <c r="G57" t="inlineStr">
        <is>
          <t>New York, NY, US</t>
        </is>
      </c>
      <c r="H57" s="3" t="n">
        <v>46042</v>
      </c>
      <c r="I57" t="inlineStr">
        <is>
          <t>### **Senior Data Engineer (Monitoring \&amp; Parameter Systems)**
**Location:** Porto, Portugal OR New York, NY (Full\-Time)
**Category:** Engineering / Data Science
**Compensation:** $140K \- $300K
We are on a simple mission: to make it possible for anyone with a digital wallet to trade stocks, commodities, currencies, and crypto with full transparency. We are replacing the opaque, offshore brokerage model with a transparent, permissionless trading stack built entirely on\-chain. Every trade, deposit, and withdrawal on our platform is verifiable through open, auditable code.
To date, we have raised **$27\.9M\+** from top\-tier investors including **General Catalyst, Jump, Susquehanna (SIG), Alliance DAO, and Balaji Srinivasan**.
We are seeking a **Data Engineer (Monitoring \&amp; Parameter Systems)** to architect and operate the analytics, observability, and parameter\-proposal infrastructure that keeps our protocol safe and economically sound. You will serve as the critical bridge between protocol mechanics—such as fees, spreads, and liquidations—and production\-grade data systems. Your mandate is to translate complex economic models into reliable pipelines and monitoring services that ensure the protocol remains healthy across all markets.
### **Responsibilities**
* **Data Pipelines:** Architect and maintain robust ingestion and transformation pipelines for on\-chain events and market data using AWS\-native services.
* **Parameter Proposal Systems:** Implement mathematical parameter models (dynamic spreads, risk limits, funding controls) as reproducible code, producing versioned artifacts for protocol upgrades.
* **Monitoring \&amp; Observability:** Design Grafana dashboards and alerting systems for protocol health and economic correctness (execution costs, fee accrual, oracle quality, etc.).
* **Backtesting \&amp; Validation:** Build testing and "replay" frameworks to validate proposed parameter changes against historical data and stress scenarios.
* **Productionization:** Package models and pipelines into reliable services with CI/CD, automated data quality checks, and continuous output monitoring.
**Requirements**
* **Data Engineering Fluency:** Strong proficiency in **Python** (pandas, numpy) and **SQL**, with experience designing analytics schemas for time\-series and high\-frequency trading data.
* **AWS Mastery:** Hands\-on experience with the core AWS stack, including **S3, Athena/Glue, Redshift, ECS/EKS, and Lambda**.
* **Observability Expertise:** Proven ability to build monitoring systems using **Grafana** (ideally with Prometheus/Loki), including metrics definition and incident response workflows.
* **Production Mindset:** Experience turning research\-heavy logic into robust, versioned libraries/services with full CI/CD integration.
* **Education:** Degree in Computer Science, Engineering, or a related quantitative field.
**Preferred Qualifications:**
* A **Data Scientist mindset**: Experience building/validating statistical models for parameter tuning or anomaly detection.
* **DeFi/Trading Domain Knowledge:** Familiarity with PnL, funding/rollover mechanics, and the specific "quirks" of on\-chain event streams.
* **Blockchain Tooling:** Experience with indexing tools (Subgraphs, Dune, RPC parsing) and handling smart contract schema drift.
* **Modern Data Stack:** Familiarity with orchestration and quality tools like **Airflow/Dagster, dbt, and Great Expectations**.
**Benefits**
* **High\-Stakes Impact:** Help architect the economic safety systems for a $27M\+ backed RWA protocol.
* **Cutting\-Edge Tech:** Work at the frontier of blockchain technology and decentralized finance.
* **Competitive Package:** High\-tier salary plus **tokens and equity**.
* **Collaborative Environment:** Join a team of highly skilled engineers and researchers in a flat, fast\-moving structure.
* **Flexibility:** Modern work arrangements with professional development support.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8">
      <c r="A58" t="inlineStr">
        <is>
          <t>in-227f4867db0465a1</t>
        </is>
      </c>
      <c r="B58" t="inlineStr">
        <is>
          <t>Data engineer</t>
        </is>
      </c>
      <c r="C58" t="inlineStr">
        <is>
          <t>Stacklogy</t>
        </is>
      </c>
      <c r="D58" t="inlineStr">
        <is>
          <t>indeed</t>
        </is>
      </c>
      <c r="E58">
        <f>HYPERLINK("https://www.indeed.com/viewjob?jk=227f4867db0465a1", "https://www.indeed.com/viewjob?jk=227f4867db0465a1")</f>
        <v/>
      </c>
      <c r="F58">
        <f>HYPERLINK("https://stacklogy.com/career/", "https://stacklogy.com/career/")</f>
        <v/>
      </c>
      <c r="G58" t="inlineStr">
        <is>
          <t>US</t>
        </is>
      </c>
      <c r="H58" s="3" t="n">
        <v>46042</v>
      </c>
      <c r="I58"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9">
      <c r="A59" t="inlineStr">
        <is>
          <t>in-2f4a2d6d53173556</t>
        </is>
      </c>
      <c r="B59" t="inlineStr">
        <is>
          <t>Data Engineer</t>
        </is>
      </c>
      <c r="C59" t="inlineStr">
        <is>
          <t>HORIZON AIR FREIGHT</t>
        </is>
      </c>
      <c r="D59" t="inlineStr">
        <is>
          <t>indeed</t>
        </is>
      </c>
      <c r="E59">
        <f>HYPERLINK("https://www.indeed.com/viewjob?jk=2f4a2d6d53173556", "https://www.indeed.com/viewjob?jk=2f4a2d6d53173556")</f>
        <v/>
      </c>
      <c r="F59">
        <f>HYPERLINK("https://haf.isolvedhire.com/jobs/1689670-575279.html", "https://haf.isolvedhire.com/jobs/1689670-575279.html")</f>
        <v/>
      </c>
      <c r="G59" t="inlineStr">
        <is>
          <t>US</t>
        </is>
      </c>
      <c r="H59" s="3" t="n">
        <v>46042</v>
      </c>
      <c r="I59" t="inlineStr">
        <is>
          <t>**Key Responsibilities:*** **Data Pipeline DevelopmentIntegration**
	+ Design, implement, and maintain automated data pipelines to ingest, transform, and deliver data across multiple systems.
	+ Build and manage data connectors using tools such as **Fivetran** or custom integrations to ensure seamless data flow from source systems (e.g., CRM, ERP, application databases).
* **Data Warehouse Management**
	+ Maintain and optimize our **Amazon Redshift** data warehouse to ensure high performance, scalability, and cost efficiency.
	+ Monitor, troubleshoot, and improve query performance and warehouse utilization.
	+ Implement data partitioning, clustering, compression, and other optimization strategies.
* **Data QualityGovernance**
	+ Establish and enforce best practices for data modeling, transformation, and validation.
	+ Ensure data accuracy, consistency, and timeliness across all downstream systems.
	+ Collaborate with stakeholders to define data requirements and establish a **single source of truth**.
* **CollaborationStakeholder Support**
	+ Partner with analysts, BI developers, and data scientists to deliver reliable datasets for reporting and advanced analytics.
	+ Work with cross\-functional teams to identify and prioritize data engineering initiatives.
	+ Document data pipelines, models, and workflows to support transparency and maintainability.
* **Continuous Improvement**
	+ Evaluate and implement new tools, frameworks, and technologies to improve efficiency and scalability.
	+ Drive automation and innovation in data engineering practices.
**Preferred Qualifications:*** Experience with **Amazon Redshift** or other cloud data warehouses.
* Hands\-on experience with **Fivetran, dbt, Airflow**, or similar ETL/ELT tools.
* Strong SQL skills and familiarity with query optimization techniques.
* Proficiency in Python or another programming language for data engineering.
* Familiarity with data modeling concepts (Kimball, Data Vault, star/snowflake schemas).
* Experience working in a collaborative, fast\-paced environment.
* **Comfortable helping inform decisions about new pipeline architecture \- and should not shy away from breaking new ground in our data maturation. This includes being comfortable with change and building something from nothing.**</t>
        </is>
      </c>
    </row>
    <row r="60">
      <c r="A60" t="inlineStr">
        <is>
          <t>in-cb720cfbfcc31ea3</t>
        </is>
      </c>
      <c r="B60" t="inlineStr">
        <is>
          <t>Senior Data Engineer</t>
        </is>
      </c>
      <c r="C60" t="inlineStr">
        <is>
          <t>SmartAsset</t>
        </is>
      </c>
      <c r="D60" t="inlineStr">
        <is>
          <t>indeed</t>
        </is>
      </c>
      <c r="E60">
        <f>HYPERLINK("https://www.indeed.com/viewjob?jk=cb720cfbfcc31ea3", "https://www.indeed.com/viewjob?jk=cb720cfbfcc31ea3")</f>
        <v/>
      </c>
      <c r="F60">
        <f>HYPERLINK("https://grnh.se/uvv9ji5e2us", "https://grnh.se/uvv9ji5e2us")</f>
        <v/>
      </c>
      <c r="G60" t="inlineStr">
        <is>
          <t>New York, NY, US</t>
        </is>
      </c>
      <c r="H60" s="3" t="n">
        <v>46042</v>
      </c>
      <c r="I60" t="inlineStr">
        <is>
          <t>### **About SmartAsset:**
SmartAsset is an online destination for consumer\-focused financial information and advice, whose mission is helping people make smart financial decisions, reaching over an estimated 59 million people each month (as of January 2025\) through our educational content and personalized calculators and tools. To extend our mission, we also operate SmartAsset Advisor Marketing Platform (AMP), which helps connect consumers with fiduciary financial advisors.SmartAsset has earned recognition on the Inc. 5000 (\#2574 in 2023\) and Deloitte Technology Fast 500™ (\#250 in 2022\) lists. Currently, SmartAsset ranks on Y Combinator's list of Top 100 Companies. A successful $110 million Series D funding round in 2021 valued the company at over $1 billion.
* *Other than application and licensing fees, SmartAsset did not provide compensation for the aforementioned awards.*
### **About the team:**
SmartAsset's Data Engineering team builds and maintains the scalable, low\-latency systems that power data access across the company. Our platform supports real\-time and batch data needs for analytics, reporting, and machine learning, serving teams across Marketing, Product, Sales, and Finance.
You'll be part of a growing data organization that includes analysts, data scientists, and ML engineers that are at the forefront of AI/ML application for the company. As a Senior Data Engineer, you'll work cross\-functionally to evolve our architecture, optimize data latency, and build robust solutions that enable data\-driven decisions at scale.
### **About the Job:**
SmartAsset is looking for a seasoned Senior Data Engineer with 7\+ years of hands\-on experience to help build and optimize the backbone of our data platform. In this role, you'll design and implement high\-impact, cloud\-native solutions that improve data reliability, reduce latency, and scale with our growing business. You'll play a key role in enabling data products, real\-time analytics, and cross\-functional decision\-making by delivering clean, well\-structured, and accessible data.
### **Responsibilities****:**
Architect, design, implement, and operate end\-to\-end data engineering solutions using Agile methodology.
* Develop and manage robust data integrations with external vendors and organizations (including complex API integrations).
* Collaborate closely with Data Analysts, Data Scientists, DBAs, and cross\-functional teams to understand requirements and deliver high\-impact data solutions.
* Lead and take ownership of assigned technical projects in a fast\-paced environment.
* Drive continuous improvement in the quality, security, efficiency, and scalability of our data pipelines and infrastructure.
### **Skills/Experience you have****:**
* Bachelor of Science degree in Computer Science or equivalent practical experience.
* 4\+ years of dedicated experience building and maintaining complex ETL/ELT pipelines.
* 3\+ years of Python development experience, specifically building production\-grade data APIs using FastAPI or similar frameworks.
* Strong expertise in SQL, including advanced query optimization and performance tuning.
* Expert\-level proficiency in dbt implementation, including managing models, macros, and incremental and dynamic tables.
* Extensive hands\-on experience with Snowflake, including performance optimization, data recovery using Time Travel, and advanced data modeling techniques.
* Practical experience with key AWS data services such as Kinesis, Firehose, Redshift, Spectrum, Elastic MapReduce, and Lambda; and container orchestration services like ECS and EKS for deploying and managing data applications.
### **Skills/Experience preferred****:**
* Proven experience designing and building near real\-time data processing systems.
* Experience with data observability tools for proactive monitoring of data quality, lineage, and pipeline health.
* Familiarity with modern data orchestration platforms such as Argo or Airflow.
* Hands\-on experience with the full software development lifecycle (SDLC), including strong CI/CD practices for data pipelines and proficiency with data testing frameworks.
* Demonstrated ability to identify and adopt new technologies that improve data quality and reliability.
* Deep understanding of the data lifecycle, emphasizing the importance of high\-quality data in applications, machine learning, business analytics, and reporting.
* Proven track record of mentoring junior team members.
* Experience with data ingestion tools like Singer is a plus.
* Knowledge of analytics tools such as Tableau, Plotly, and Pandas.
* Experience in the financial services industry.
**Physical Requirements:**
* Prolonged periods of sitting at a desk and working on a computer
* Must be able to communicate via phone calls and/or video conferences (mainly for concierge and sales roles)
### **Available Benefits and Perks:**
* All roles at SmartAsset are currently and will remain remote \- flexibility to work from anywhere in the Contiguous US.
* Medical, Dental, Vision \- multiple packages available based on your individualized needs
* Life/AD\&amp;D Insurance \- basic coverage at 100% company paid, additional supplemental available
* Supplemental Short\-term and Long\-term Disability
* FSA: Medical and Dependant Care
* 401K
* Equity packages for each role
* Time Off: Vacation, Sick and Parental Leave
* EAP (Employee Assistance Program)
* Financial Literacy Mentoring Program
* Pet Insurance
* Home Office Stipend
*SmartAsset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Recruiting@smartasset.com.*
*California, Colorado, Connecticut, Maryland, Nevada, Rhode Island, Washington, and New York City residents\* $135,500 \- $200,000* *\+ RSUs \+ benefits.*
*Salary at SmartAsset is determined based on permissible, non\-discriminatory factors such as skills, experience, and geographic location within the contiguous United States.*</t>
        </is>
      </c>
    </row>
    <row r="61">
      <c r="A61" t="inlineStr">
        <is>
          <t>in-86a78ff2d04f6d7e</t>
        </is>
      </c>
      <c r="B61" t="inlineStr">
        <is>
          <t>GCP Data Engineer</t>
        </is>
      </c>
      <c r="C61" t="inlineStr">
        <is>
          <t>Infosys</t>
        </is>
      </c>
      <c r="D61" t="inlineStr">
        <is>
          <t>indeed</t>
        </is>
      </c>
      <c r="E61">
        <f>HYPERLINK("https://www.indeed.com/viewjob?jk=86a78ff2d04f6d7e", "https://www.indeed.com/viewjob?jk=86a78ff2d04f6d7e")</f>
        <v/>
      </c>
      <c r="F61">
        <f>HYPERLINK("https://digitalcareers.infosys.com/global-careers/company-job/description/reqid/143090BR?Codes=Indeed", "https://digitalcareers.infosys.com/global-careers/company-job/description/reqid/143090BR?Codes=Indeed")</f>
        <v/>
      </c>
      <c r="G61" t="inlineStr">
        <is>
          <t>Richardson, TX, US</t>
        </is>
      </c>
      <c r="H61" s="3" t="n">
        <v>46042</v>
      </c>
      <c r="I61" t="inlineStr">
        <is>
          <t>**Infosys is seeking a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**Richardson,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Good understanding of Agile software development frameworks
* Ability to work in teams in a diverse, multi\-stakeholder environment comprising of Business and Technology teams.
* Experience and desire to work in a global delivery environment.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t>
        </is>
      </c>
    </row>
    <row r="62">
      <c r="A62" t="inlineStr">
        <is>
          <t>in-dac18f311197fbd2</t>
        </is>
      </c>
      <c r="B62" t="inlineStr">
        <is>
          <t>Staff Analytics Engineer</t>
        </is>
      </c>
      <c r="C62" t="inlineStr">
        <is>
          <t>Twilio</t>
        </is>
      </c>
      <c r="D62" t="inlineStr">
        <is>
          <t>indeed</t>
        </is>
      </c>
      <c r="E62">
        <f>HYPERLINK("https://www.indeed.com/viewjob?jk=dac18f311197fbd2", "https://www.indeed.com/viewjob?jk=dac18f311197fbd2")</f>
        <v/>
      </c>
      <c r="F62">
        <f>HYPERLINK("https://grnh.se/wb0mg6ph1us", "https://grnh.se/wb0mg6ph1us")</f>
        <v/>
      </c>
      <c r="G62" t="inlineStr">
        <is>
          <t>Remote, US</t>
        </is>
      </c>
      <c r="H62" s="3" t="n">
        <v>46042</v>
      </c>
      <c r="I62"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Staff Analytics Engineer, R\&amp;D.
**About the job**
This position is needed to advance the consistency \&amp; quality of our R\&amp;D analytics data layer and accelerate the development velocity of analysts. Our Data Science and Analytics team seeks to empower R\&amp;D to make data\-backed decisions that accelerate innovation and improve product performance. You will work closely within our team and across Product \&amp; Engineering to design and maintain a robust analytics data layer that enables trusted reporting on R\&amp;D metrics.
**Responsibilities**
In this role, you'll:
* Design and implement a formal analytics data layer using AWS Glue, Presto, and LookML
* Collaborate within the Data Science \&amp; Analytics team and across Product \&amp; Engineering to define, document, and maintain alignment on metric definition and data lineage
* Develop and maintain automated data reconciliation and quality checks to proactively identify and resolve discrepancies, ensuring accuracy and consistency of critical reports and dashboards
* Lead investigations into complex data anomalies, conduct root cause analysis, and communicate findings and solutions effectively to both technical and non\-technical audiences
* Mentor and guide members of the data science and analytics team, establishing and enforcing best practices around data modeling, testing, documentation, and code review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6\+ years of professional experience in analytics engineering, data engineering, business intelligence, or a related discipline–ideally in a B2B SaaS environment.
* Advanced expertise in SQL and hands\-on experience designing data models and orchestrating data pipelines using AWS Glue or similar technologies
* Demonstrated ability to partner with cross\-functional stakeholders to codify, document, and reconcile critical business metrics, ensuring company\-wide data alignment
* Proven track record of owning ambiguous projects from beginning to end with minimal guidance  
Strong technical communication and mentorship skills, with the ability to convey complex concepts to a range of audiences
**Desired:**
* Intermediate expertise in Python; distributed computing technologies like Hive, Presto, and Spark; and dashboarding tools like Looker or Tableau
* Proven track record of implementing robust data quality and testing frameworks, including expertise with dbt tests, CI/CD, and data observability
* Experience evangelizing and establishing data culture and best practices within a fast\-paced technology organization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The estimated pay ranges for this role are as follows:
* Based in Colorado, Hawaii, Illinois, Maryland, Massachusetts, Minnesota, Vermont or Washington D.C. : $155,520 \- $194,400\.
* Based in New York, New Jersey, Washington State, or California (outside of the San Francisco Bay area): $164,640 \- $205,800\.
* Based in the San Francisco Bay area, California: $182,960 \- $228,700\.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February 27th,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63">
      <c r="A63" t="inlineStr">
        <is>
          <t>in-61d8d6ccc50baa58</t>
        </is>
      </c>
      <c r="B63" t="inlineStr">
        <is>
          <t>Data Engineer</t>
        </is>
      </c>
      <c r="C63" t="inlineStr">
        <is>
          <t>Viasat</t>
        </is>
      </c>
      <c r="D63" t="inlineStr">
        <is>
          <t>indeed</t>
        </is>
      </c>
      <c r="E63">
        <f>HYPERLINK("https://www.indeed.com/viewjob?jk=61d8d6ccc50baa58", "https://www.indeed.com/viewjob?jk=61d8d6ccc50baa58")</f>
        <v/>
      </c>
      <c r="F63">
        <f>HYPERLINK("https://careers.viasat.com/jobs/5465?lang=en-us", "https://careers.viasat.com/jobs/5465?lang=en-us")</f>
        <v/>
      </c>
      <c r="G63" t="inlineStr">
        <is>
          <t>Carlsbad, CA, US</t>
        </is>
      </c>
      <c r="H63" s="3" t="n">
        <v>46042</v>
      </c>
      <c r="I6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DevOps Commercial Mobility team is focused on providing solutions to provide a world\-class in\-flight connectivity service to commercial airlines. As a key member, you will shape the future of large\-scale distributed systems through innovative designs, architectures, and methodologies. As part of our DevOps model, you will help develop the service and own it from cradle to grave, including conducting periodic on\-call duties using a follow\-the\-sun model.  
The ideal candidate possesses strong communication skills, a commitment to continuous learning, adaptability, creativity, and ingenuity. They demonstrate a passion for resolving complex technical issues through innovative and automated solutions. Furthermore, they are adept at collaborating with operations teams, providing necessary support, analyzing large data sets, and effecting problem resolution.  
**The day\-to\-day**  
As part of the Revenue Assurance product team, you'll be right in the mix, owning the key microservices that measure and calculate Viasat's industry\-leading In\-flight Connectivity SLA's and ensuring our billing system gets the accurate accounting data it needs and that we're hitting our service goals. Day\-to\-day, this means you'll be developing and analyzing the KPIs that really show how passengers are experiencing our service. You'll also be building and maintaining the data pipelines that pull together and organize all the metrics that eventually land on customer invoices.  
**What you'll need**  
* Typically requires 4\+ years of related experience with commercial software development in building distributed applications and with a Master's degree in Computer Science or Computer Engineering; or 6\+ years related experience with a Bachelor's degree in Computer Science or Computer Engineering; or 8\+ years related experience without relevant degree
* Strong working knowledge of two or more of: Java, Python, SQL
* Experience designing and implementing Airflow DAGs for data pipelines and workflows
* Experience with cloud\-based technologies, preferably Google Cloud Platform
* Ability to work on distributed remote agile teams with a high degree of self\-motivation and ability to work independently
* Excellent communication and collaboration skills to drive interaction with peer developers, architects, engineering and product managers
* Experience with or willingness to learn agile methodologies (Kanban, SCRUM, XP), modern software development environments and DevOps practices
* Experience with algorithms, data structures, complexity analysis, and software design
* Ability to travel up to 10%
**What will help you on the job**  
* Experience with Data Engineering
* Experience with data warehousing technologies (e.g., Snowflake, BigQuery) or relational database administration (e.g., Postgres, MySQL, or Oracle)
* Experience with GoLang
* Broad range of technology interests across different disciplines including computer and system architecture, performance analysis, distributed systems design, testing and verification technologies, data processing and networking, and running software services at scale
* Technical and software engineering background in the areas of cloud computing, enterprise computing, servers, and virtualization technology and products
* Expertise in designing, analyzing, and troubleshooting large\-scale distributed systems
* Experience in designing and implementing automated software component and integration tests
* Systematic problem\-solving approach, coupled with a strong sense of ownership and drive
* Experience with development of SOX compliant systems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64">
      <c r="A64" t="inlineStr">
        <is>
          <t>in-8a9724a95a01e9b8</t>
        </is>
      </c>
      <c r="B64" t="inlineStr">
        <is>
          <t>Data Engineer – Data Products &amp; Delivery (On-site Work Schedule)</t>
        </is>
      </c>
      <c r="C64" t="inlineStr">
        <is>
          <t>Parts Town</t>
        </is>
      </c>
      <c r="D64" t="inlineStr">
        <is>
          <t>indeed</t>
        </is>
      </c>
      <c r="E64">
        <f>HYPERLINK("https://www.indeed.com/viewjob?jk=8a9724a95a01e9b8", "https://www.indeed.com/viewjob?jk=8a9724a95a01e9b8")</f>
        <v/>
      </c>
      <c r="F64">
        <f>HYPERLINK("https://app.jobvite.com/CompanyJobs/Job.aspx?j=owYkyfw6&amp;loc=CKerWfw5&amp;s=Indeed", "https://app.jobvite.com/CompanyJobs/Job.aspx?j=owYkyfw6&amp;loc=CKerWfw5&amp;s=Indeed")</f>
        <v/>
      </c>
      <c r="G64" t="inlineStr">
        <is>
          <t>Plattsburgh, NY, US</t>
        </is>
      </c>
      <c r="H64" s="3" t="n">
        <v>46042</v>
      </c>
      <c r="I64" t="inlineStr">
        <is>
          <t>**See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Data Engineer\- Data Products \&amp; Delivery will specialize in turning raw data into business\-ready products within GCP. They will design and optimize data models, marts, and semantic layers in BigQuery, enabling analytics, BI, and ML use cases across the enterprise. You will also support downstream systems and APIs that deliver trusted data for operational and AI\-driven processes. You will play a foundational role in shaping this future — building the pipelines, products, and platforms that power the next generation of digital distribution.
 **A Typical Day**  
* Build silver/gold layers in BigQuery, transforming raw data into clean, business\-ready models.
* Design semantic layers using Looker or dbt for consistent business metrics
* Develop data marts and star schemas optimized for analytics and self\-service BI
* Build APIs and services for data delivery (Cloud Functions, Cloud Run)
* Partner with analysts, data scientists, and ML engineers to ensure data \&amp; AI readiness and support advanced modeling
* Collaborate with the Data Governance team to embed stewardship, lineage, and metadata into Dataplex and other MDM tooling
* Support real\-time analytics using BigQuery streaming and Pub/Sub as needed.
* Optimize query performance and cost efficiency in BigQuery
* Drive adoption of AI/automation by ensuring data models are accessible for predictive and agentic use cases
 **To Land This Opportunity**  
* You have 4\+ years of experience in data engineering or BI\-focused data modeling
* You have hands\-on expertise in BigQuery (partitioning, clustering, performance tuning, cost management)
* You have strong knowledge of dbt, Looker, and SQL for transformation and semantic modeling
* You obtain experience with Cloud Functions, Cloud Run, and APIs for data delivery
* You’re familiar with Pub/Sub and BigQuery streaming for real\-time use cases
* You have exposure to ML feature engineering in Vertex AI or similar platforms a plus
* You have a strong understanding of data governance frameworks, Dataplex, and metadata management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$97,628\.20– 131,752\.87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65">
      <c r="A65" t="inlineStr">
        <is>
          <t>in-01b1d9b08cec8856</t>
        </is>
      </c>
      <c r="B65" t="inlineStr">
        <is>
          <t>Data Engineer – Data Products &amp; Delivery (On-site Work Schedule)</t>
        </is>
      </c>
      <c r="C65" t="inlineStr">
        <is>
          <t>Parts Town</t>
        </is>
      </c>
      <c r="D65" t="inlineStr">
        <is>
          <t>indeed</t>
        </is>
      </c>
      <c r="E65">
        <f>HYPERLINK("https://www.indeed.com/viewjob?jk=01b1d9b08cec8856", "https://www.indeed.com/viewjob?jk=01b1d9b08cec8856")</f>
        <v/>
      </c>
      <c r="F65">
        <f>HYPERLINK("https://app.jobvite.com/CompanyJobs/Job.aspx?j=owYkyfw6&amp;loc=C5Q6WfwH&amp;s=Indeed", "https://app.jobvite.com/CompanyJobs/Job.aspx?j=owYkyfw6&amp;loc=C5Q6WfwH&amp;s=Indeed")</f>
        <v/>
      </c>
      <c r="G65" t="inlineStr">
        <is>
          <t>Fort Wayne, IN, US</t>
        </is>
      </c>
      <c r="H65" s="3" t="n">
        <v>46042</v>
      </c>
      <c r="I65" t="inlineStr">
        <is>
          <t>**See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Data Engineer\- Data Products \&amp; Delivery will specialize in turning raw data into business\-ready products within GCP. They will design and optimize data models, marts, and semantic layers in BigQuery, enabling analytics, BI, and ML use cases across the enterprise. You will also support downstream systems and APIs that deliver trusted data for operational and AI\-driven processes. You will play a foundational role in shaping this future — building the pipelines, products, and platforms that power the next generation of digital distribution.
 **A Typical Day**  
* Build silver/gold layers in BigQuery, transforming raw data into clean, business\-ready models.
* Design semantic layers using Looker or dbt for consistent business metrics
* Develop data marts and star schemas optimized for analytics and self\-service BI
* Build APIs and services for data delivery (Cloud Functions, Cloud Run)
* Partner with analysts, data scientists, and ML engineers to ensure data \&amp; AI readiness and support advanced modeling
* Collaborate with the Data Governance team to embed stewardship, lineage, and metadata into Dataplex and other MDM tooling
* Support real\-time analytics using BigQuery streaming and Pub/Sub as needed.
* Optimize query performance and cost efficiency in BigQuery
* Drive adoption of AI/automation by ensuring data models are accessible for predictive and agentic use cases
 **To Land This Opportunity**  
* You have 4\+ years of experience in data engineering or BI\-focused data modeling
* You have hands\-on expertise in BigQuery (partitioning, clustering, performance tuning, cost management)
* You have strong knowledge of dbt, Looker, and SQL for transformation and semantic modeling
* You obtain experience with Cloud Functions, Cloud Run, and APIs for data delivery
* You’re familiar with Pub/Sub and BigQuery streaming for real\-time use cases
* You have exposure to ML feature engineering in Vertex AI or similar platforms a plus
* You have a strong understanding of data governance frameworks, Dataplex, and metadata management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$97,628\.20– 131,752\.87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66">
      <c r="A66" t="inlineStr">
        <is>
          <t>in-5b27cb6b96eb01c8</t>
        </is>
      </c>
      <c r="B66" t="inlineStr">
        <is>
          <t>Data Engineer – Data Products &amp; Delivery (On-site Work Schedule)</t>
        </is>
      </c>
      <c r="C66" t="inlineStr">
        <is>
          <t>Parts Town</t>
        </is>
      </c>
      <c r="D66" t="inlineStr">
        <is>
          <t>indeed</t>
        </is>
      </c>
      <c r="E66">
        <f>HYPERLINK("https://www.indeed.com/viewjob?jk=5b27cb6b96eb01c8", "https://www.indeed.com/viewjob?jk=5b27cb6b96eb01c8")</f>
        <v/>
      </c>
      <c r="F66">
        <f>HYPERLINK("https://app.jobvite.com/CompanyJobs/Job.aspx?j=owYkyfw6&amp;loc=Cs5sVfwE&amp;s=Indeed", "https://app.jobvite.com/CompanyJobs/Job.aspx?j=owYkyfw6&amp;loc=Cs5sVfwE&amp;s=Indeed")</f>
        <v/>
      </c>
      <c r="G66" t="inlineStr">
        <is>
          <t>Addison, IL, US</t>
        </is>
      </c>
      <c r="H66" s="3" t="n">
        <v>46042</v>
      </c>
      <c r="I66" t="inlineStr">
        <is>
          <t>**See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Job****at a****Glance**  
The Data Engineer\- Data Products \&amp; Delivery will specialize in turning raw data into business\-ready products within GCP. They will design and optimize data models, marts, and semantic layers in BigQuery, enabling analytics, BI, and ML use cases across the enterprise. You will also support downstream systems and APIs that deliver trusted data for operational and AI\-driven processes. You will play a foundational role in shaping this future — building the pipelines, products, and platforms that power the next generation of digital distribution.
 **A Typical Day**  
* Build silver/gold layers in BigQuery, transforming raw data into clean, business\-ready models.
* Design semantic layers using Looker or dbt for consistent business metrics
* Develop data marts and star schemas optimized for analytics and self\-service BI
* Build APIs and services for data delivery (Cloud Functions, Cloud Run)
* Partner with analysts, data scientists, and ML engineers to ensure data \&amp; AI readiness and support advanced modeling
* Collaborate with the Data Governance team to embed stewardship, lineage, and metadata into Dataplex and other MDM tooling
* Support real\-time analytics using BigQuery streaming and Pub/Sub as needed.
* Optimize query performance and cost efficiency in BigQuery
* Drive adoption of AI/automation by ensuring data models are accessible for predictive and agentic use cases
 **To Land This Opportunity**  
* You have 4\+ years of experience in data engineering or BI\-focused data modeling
* You have hands\-on expertise in BigQuery (partitioning, clustering, performance tuning, cost management)
* You have strong knowledge of dbt, Looker, and SQL for transformation and semantic modeling
* You obtain experience with Cloud Functions, Cloud Run, and APIs for data delivery
* You’re familiar with Pub/Sub and BigQuery streaming for real\-time use cases
* You have exposure to ML feature engineering in Vertex AI or similar platforms a plus
* You have a strong understanding of data governance frameworks, Dataplex, and metadata management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$97,628\.20– 131,752\.87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67">
      <c r="A67" t="inlineStr">
        <is>
          <t>in-ccdaa49f3c16c0a7</t>
        </is>
      </c>
      <c r="B67" t="inlineStr">
        <is>
          <t>Staff Analytics Engineer</t>
        </is>
      </c>
      <c r="C67" t="inlineStr">
        <is>
          <t>Twilio</t>
        </is>
      </c>
      <c r="D67" t="inlineStr">
        <is>
          <t>indeed</t>
        </is>
      </c>
      <c r="E67">
        <f>HYPERLINK("https://www.indeed.com/viewjob?jk=ccdaa49f3c16c0a7", "https://www.indeed.com/viewjob?jk=ccdaa49f3c16c0a7")</f>
        <v/>
      </c>
      <c r="F67">
        <f>HYPERLINK("https://jobs.twilio.com/careers/job/1099551320483?domain=twilio.com", "https://jobs.twilio.com/careers/job/1099551320483?domain=twilio.com")</f>
        <v/>
      </c>
      <c r="G67" t="inlineStr">
        <is>
          <t>US</t>
        </is>
      </c>
      <c r="H67" s="3" t="n">
        <v>46042</v>
      </c>
      <c r="I6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Staff Analytics Engineer, R\&amp;D.
**About the job**
This position is needed to advance the consistency \&amp; quality of our R\&amp;D analytics data layer and accelerate the development velocity of analysts. Our Data Science and Analytics team seeks to empower R\&amp;D to make data\-backed decisions that accelerate innovation and improve product performance. You will work closely within our team and across Product \&amp; Engineering to design and maintain a robust analytics data layer that enables trusted reporting on R\&amp;D metrics.
**Responsibilities**
In this role, you’ll:
* Design and implement a formal analytics data layer using AWS Glue, Presto, and LookML
* Collaborate within the Data Science \&amp; Analytics team and across Product \&amp; Engineering to define, document, and maintain alignment on metric definition and data lineage
* Develop and maintain automated data reconciliation and quality checks to proactively identify and resolve discrepancies, ensuring accuracy and consistency of critical reports and dashboards
* Lead investigations into complex data anomalies, conduct root cause analysis, and communicate findings and solutions effectively to both technical and non\-technical audiences
* Mentor and guide members of the data science and analytics team, establishing and enforcing best practices around data modeling, testing, documentation, and code review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6\+ years of professional experience in analytics engineering, data engineering, business intelligence, or a related discipline–ideally in a B2B SaaS environment.
* Advanced expertise in SQL and hands\-on experience designing data models and orchestrating data pipelines using AWS Glue or similar technologies
* Demonstrated ability to partner with cross\-functional stakeholders to codify, document, and reconcile critical business metrics, ensuring company\-wide data alignment
* Proven track record of owning ambiguous projects from beginning to end with minimal guidance  
Strong technical communication and mentorship skills, with the ability to convey complex concepts to a range of audiences
**Desired:**
* Intermediate expertise in Python; distributed computing technologies like Hive, Presto, and Spark; and dashboarding tools like Looker or Tableau
* Proven track record of implementing robust data quality and testing frameworks, including expertise with dbt tests, CI/CD, and data observability
* Experience evangelizing and establishing data culture and best practices within a fast\-paced technology organization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The estimated pay ranges for this role are as follows:
* Based in Colorado, Hawaii, Illinois, Maryland, Massachusetts, Minnesota, Vermont or Washington D.C. : $155,520 \- $194,400\.
* Based in New York, New Jersey, Washington State, or California (outside of the San Francisco Bay area): $164,640 \- $205,800\.
* Based in the San Francisco Bay area, California: $182,960 \- $228,700\.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February 27th,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68">
      <c r="A68" t="inlineStr">
        <is>
          <t>in-8447e83a1199a1df</t>
        </is>
      </c>
      <c r="B68" t="inlineStr">
        <is>
          <t>Senior, Data Engineer</t>
        </is>
      </c>
      <c r="C68" t="inlineStr">
        <is>
          <t>Carrington Mortgage Services, LLC</t>
        </is>
      </c>
      <c r="D68" t="inlineStr">
        <is>
          <t>indeed</t>
        </is>
      </c>
      <c r="E68">
        <f>HYPERLINK("https://www.indeed.com/viewjob?jk=8447e83a1199a1df", "https://www.indeed.com/viewjob?jk=8447e83a1199a1df")</f>
        <v/>
      </c>
      <c r="F68">
        <f>HYPERLINK("https://emvo.fa.us2.oraclecloud.com/hcmUI/CandidateExperience/en/sites/CX_3002/requisitions/preview/3770", "https://emvo.fa.us2.oraclecloud.com/hcmUI/CandidateExperience/en/sites/CX_3002/requisitions/preview/3770")</f>
        <v/>
      </c>
      <c r="G68" t="inlineStr">
        <is>
          <t>US</t>
        </is>
      </c>
      <c r="H68" s="3" t="n">
        <v>46042</v>
      </c>
      <c r="I68" t="inlineStr">
        <is>
          <t>**Come join our amazing team and work remote from home!**
**What you’ll do:**
Under direct supervision, responsible for assisting in the efforts to design, develop, and maintain databases and data integration (ETL) systems to support business applications and business intelligence for the enterprise. Perform all duties in accordance with the company’s policies and procedures, investor guidelines, all US state and federal laws and regulations, wherein the company operates. The target pay range for this position is $140,000\.00 to $160,000\.00\.
* Designs, develops, and optimizes data integration processes, ETL workflows, and data platforms, leading the creation of technical designs and functional specifications to ensure performance, scalability, and reliability while contributing to future cloud migration efforts.
* Collaborates with stakeholders and third\-party vendors to define, evaluate, and align business requirements for scalable data integration, reporting, and business intelligence solutions.
* Leads the design and development of automated solutions to improve business processes, productivity, and operational efficiency.
* Maintains ETL jobs and leads troubleshooting efforts for critical production issues, participating in the off\-hours support rotation and providing SME assistance as needed.
* Leads the design, implementation, and maintenance of data platforms, technical designs, and functional specifications to ensure performance, scalability, and reliability.
* Develops and maintains comprehensive documentation of data processes, reports, applications, and procedures to ensure consistency, knowledge sharing, and alignment with organizational standards.
* Designs, develops, and deploys scalable reporting and dashboard solutions to support business intelligence, data visualization, and operational efficiency, ensuring appropriate security measures.
**What you’ll need:**
* Advanced knowledge of working in the Microsoft SQL Server environment to design, implement, and optimize enterprise data solutions with a focus on scalability and performance.
* Strong understanding of ETL concepts, data integration, and transformation processes, with practical experience implementing ETL solutions using Microsoft SSIS.
* Working knowledge of version control concepts, with experience using Microsoft DevOps for managing code repositories and collaborative development.
* Must have expert knowledge to lead and oversee SDLC processes.
* Advanced expertise in T\-SQL programming, scripting, and optimization techniques, with the ability to write, debug, and optimize complex queries and procedures for enterprise\-level solutions.
* Ability to understand, remember, and apply oral and/or written instructions or other information.
* Demonstrates advanced analytical and problem\-solving abilities to design and optimize complex data solutions while collaborating effectively across teams.
* High school diploma or equivalent work experience, bachelor’s degree in computer sciences preferred
* Four (4\) or more years of experience in the information technology field with a strong focus on relational databases, data integration (ETL), data warehousing, business intelligence, reports development, and dashboard design.
* Four (4\) or more years of experience with ETL tools – SSIS
* Four (4\) or more years of experience with database management systems – MS SQL.
* Strong working knowledge of integrating applications using APIs is preferred.
* Experience with Microsoft BI applications (SSRS, SSAS, Power BI) is preferred.
* Knowledge of cloud\-based database management and integration services (e.g., Azure Data Factory, Fabric, Snowflake, or Databricks) to lead and optimize data integration and transformation processes is a plus.
* Proficiency in programming languages is commonly used in data engineering, such as Python or Java
**Our Company:**
Carrington Mortgage Holdings is a holding company whose primary businesses include asset management, mortgages, real estate transactions and real estate logistics. Collectively, the businesses are vertically and horizontally integrated, and provide a broad range of real estate services encompassing nearly all aspects of single\-family residential real estate transactions in the United States. Guided by a leadership team with a wealth of industry experience and guided by a consistent philosophy, Carrington maintains the necessary infrastructure to ensure stability and maximize value during any market cycle. We hope you’ll consider joining our growing team of uniquely talented professionals as we transform residential real estate. To read more visit: www.carringtonhc.com .
**What We Offer:**
* Comprehensive healthcare plans for you and your family. Plus, a discretionary 401(k) match of 50% of the first 4% of pay contributed.
* Access to several fitness, restaurant, retail (and more!) discounts through our employee portal.
* Customized training programs to help you advance your career.
* Employee referral bonuses so you’ll get paid to help Carrington and Vylla grow.
* Educational Reimbursement.
*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California Privacy Notice: https://oag.ca.gov/privacy/ccpa
**Notice to all applicants: Carrington does not do interviews or make offers via text or chat**</t>
        </is>
      </c>
    </row>
    <row r="69">
      <c r="A69" t="inlineStr">
        <is>
          <t>in-e38864e068893fdb</t>
        </is>
      </c>
      <c r="B69" t="inlineStr">
        <is>
          <t>Palantir Foundry Data Engineer</t>
        </is>
      </c>
      <c r="C69" t="inlineStr">
        <is>
          <t>ALTEN</t>
        </is>
      </c>
      <c r="D69" t="inlineStr">
        <is>
          <t>indeed</t>
        </is>
      </c>
      <c r="E69">
        <f>HYPERLINK("https://www.indeed.com/viewjob?jk=e38864e068893fdb", "https://www.indeed.com/viewjob?jk=e38864e068893fdb")</f>
        <v/>
      </c>
      <c r="F69">
        <f>HYPERLINK("https://grnh.se/hiw7mfda7us", "https://grnh.se/hiw7mfda7us")</f>
        <v/>
      </c>
      <c r="G69" t="inlineStr">
        <is>
          <t>Raymond, OH, US</t>
        </is>
      </c>
      <c r="H69" s="3" t="n">
        <v>46042</v>
      </c>
      <c r="I69"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**Description:**
We are seeking a highly skilled and experienced Senior Data Engineer with deep expertise in Palantir Foundry to lead the design, development, and optimization of scalable data  
solutions. The ideal candidate will have a strong background in data engineering, cloud platforms, and interactive application development using Palantir Foundry modules. This  
role involves building robust data pipelines, developing Ontologies, ensuring robust data governance across enterprise systems, and delivering interactive applications and dashboards to support data\-driven decision\-making across business domains.
* **Key Responsibilities:**
* Design and implement complex pipelines using Palantir Foundry's Pipeline Builder.
* Develop and manage Ontologies, Object Types, Views, and Actions to support semantic data modeling and graph\-based navigation.
* Build interactive applications using Foundry Workshop, Slate, and AIP, integrating UI workflows with Ontology\-backed data.
* Conduct time\-series and ad\-hoc analysis using Quiver and Contour, and leverage Taurus for advanced data modeling and visualization.
* Optimize data models and transformations using PySpark, SQL, and Foundry DSL for high\-performance analytics.
* Integrate machine learning models into Foundry workflows for predictive analytics and real\-time decision support.
* Ensure data governance, lineage tracking, and compliance with privacy regulations (GDPR, HIPAA, SOX).
* Collaborate with cross\-functional teams including data scientists, architects, and business stakeholders to deliver scalable solutions.
* Implement monitoring, alerting, and recovery mechanisms to ensure pipeline reliability and data integrity.
* Maintain version control and CI/CD pipelines for automated deployment and rollback procedures.
* Document architecture, processes, and enhancements using Foundry Documentation App and Confluence.
**Required Skills and Experience:**
* 8\+ years of experience in data engineering, with 5\+ years in Palantir Foundry and AIP working knowledge.
* Proficiency in Palantir Foundry modules: Ontology, Workshop, Quiver, Contour, Taurus.
* Strong programming skills in Python, PySpark, SQL, and TypeScript.
* Experience with AWS cloud services including S3, Lambda, Glue, and Redshift.
* Knowledge of data governance, access control models, and regulatory compliance frameworks.
* Experience in building dashboards and visualizations using Power BI, Tableau, and Foundry Dashboards.
* Strong problem\-solving skills and perform root cause analysis with data and ontology issues within the platform.
* Ability to work in both Waterfall and Agile environments.
**Preferred Certifications:**
* Palantir Foundry Data Engineer Associate
* Palantir Foundry Application Developer Associate
* Palantir Foundry Foundations
* Palantir Foundry \&amp; AIP Builder Foundations
* Azure Data Engineer Associate
* AWS Certified Solutions Architect or AWS Certified Data Analytics
\*\* Application invited from Citizen/CPT/OPT candidates only\*\*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70">
      <c r="A70" t="inlineStr">
        <is>
          <t>in-8477b00aa6c337ed</t>
        </is>
      </c>
      <c r="B70" t="inlineStr">
        <is>
          <t>Cloud &amp; Data Engineer - On-Site Only</t>
        </is>
      </c>
      <c r="C70" t="inlineStr">
        <is>
          <t>Core Natural Resources</t>
        </is>
      </c>
      <c r="D70" t="inlineStr">
        <is>
          <t>indeed</t>
        </is>
      </c>
      <c r="E70">
        <f>HYPERLINK("https://www.indeed.com/viewjob?jk=8477b00aa6c337ed", "https://www.indeed.com/viewjob?jk=8477b00aa6c337ed")</f>
        <v/>
      </c>
      <c r="F70">
        <f>HYPERLINK("https://jobs.dayforcehcm.com/en-US/consol/CANDIDATEPORTAL/jobs/848", "https://jobs.dayforcehcm.com/en-US/consol/CANDIDATEPORTAL/jobs/848")</f>
        <v/>
      </c>
      <c r="G70" t="inlineStr">
        <is>
          <t>Baltimore, MD, US</t>
        </is>
      </c>
      <c r="H70" s="3" t="n">
        <v>46041</v>
      </c>
      <c r="I70" t="inlineStr">
        <is>
          <t>Posted Tuesday, January 20, 2026, 11:00 PM
Privacy Policy – Core Natural Resources, Inc.
**Role Summary:**
The Cloud \&amp; Data Engineer supports the design, build, and maintenance of Core’s cloud infrastructure, data lake environment, and backend service integrations. Operating under the Principal Architect \&amp; Technology Strategy Lead, this role delivers production\-grade systems that enable analytics, automation, and reliable operations across enterprise platforms.
**Key Responsibilities**  
* Implement and maintain cloud infrastructure using infrastructure\-as\-code and CI/CD pipelines (Terraform, Git\-based workflows)
* Develop, test, and monitor ETL/ELT data pipelines for ingestion, transformation, and analytics\-ready data flows
* Maintain and scale Core’s cloud\-native data lake to support business reporting, data quality, and financial operations
* Build, manage, and operationalize backend APIs and service integrations, ensuring secure and stable data exchange
* Support internal applications and operational tooling deployments — focusing on automation, availability, and performance
* Implement observability tools (e.g., logging, tracing, monitoring, alerts) across infra and data systems
* Participate in incident resolution, root\-cause analysis, and ongoing ops improvement
* Create and maintain technical documentation: pipeline architecture, API contracts, infrastructure diagrams, and data lineage
* Collaborate with internal teams to deliver consistent and auditable cloud solutions aligned to enterprise standards
**Required Qualifications**  
* Bachelor’s degree in Computer Science, Software Engineering, Data Engineering, or a related technical discipline
* Professional experience in cloud or data engineering roles, with demonstrated ownership of production\-grade deliverables
* AWS Certified Solutions Architect Associate (or higher) required. Applicants without AWS certification must complete Certified Solutions Architect Associate certification within 60 days of hire
* Must have experience working in environments with multi\-account AWS architectures, enterprise security controls, and cost optimization practices.
* Ability to independently deliver end\-to\-end cloud/data solutions from architecture to production with minimal oversight
* Demonstrated ability to integrate AWS data pipelines with at least one ERP or enterprise financial platform in production
* Hands\-on experience with AWS services including S3, Lambda, RDS, IAM, and ETL tools such as Glue and Step Functions
* Proficiency in Python and SQL for data processing, transformation, and scripting
* Demonstrated experience developing, integrating, or consuming RESTful APIs in a backend context
* Proven experience deploying infrastructure using Terraform in a team\-based GitOps workflow
* Solid understanding of data lake architecture, data modeling principles, and pipeline orchestration (batch and streaming)
* Experience with monitoring and observability tooling (e.g., CloudWatch, Prometheus, Grafana), including alerting and dashboarding
Preferred Qualifications  
* 1–3 years of professional experience in production\-grade cloud, data, or backend engineering roles.
* Hands\-on experience with orchestration platforms such as Apache Airflow, dbt, or AWS\-native equivalents for automated pipeline management.
* Proficiency in containerization and backend service deployment workflows, including Docker and orchestration on ECS or EKS, with knowledge of CI/CD integration.
* Experience developing and maintaining backend applications using Python frameworks such as Django or FastAPI, or Node.js frameworks such as Express.js.
* Familiarity with microservices architecture and service\-to\-service communication using REST or gRPC.
* Understanding of event\-driven architectures using AWS SNS, SQS, Kinesis, or Kafka.
* Experience with unit testing, integration testing, and continuous testing practices (e.g., PyTest, Jest).
* Knowledge of relational and NoSQL databases (e.g., PostgreSQL, DynamoDB, MongoDB) and ORM frameworks (e.g., Django ORM, SQLAlchemy).
* Experience deploying and integrating machine learning models into production systems using frameworks such as scikit\-learn, TensorFlow, or PyTorch.
* Familiarity with MLOps workflows — model packaging, versioning (e.g., MLflow), and monitoring in a cloud environment.
We look forward to seeing you
Job Details
Job Family**Salaried**
Job Function**Salaried Exempt**
Pay Type**Salary**  
CONSOL Marine Terminals, 3800 Newgate Avenue, Baltimore, Maryland, United States of America</t>
        </is>
      </c>
    </row>
    <row r="71">
      <c r="A71" t="inlineStr">
        <is>
          <t>in-b0c53f221c7f9fd6</t>
        </is>
      </c>
      <c r="B71" t="inlineStr">
        <is>
          <t>Machine Learning &amp; Data Engineer</t>
        </is>
      </c>
      <c r="C71" t="inlineStr">
        <is>
          <t>Dynamo Technologies</t>
        </is>
      </c>
      <c r="D71" t="inlineStr">
        <is>
          <t>indeed</t>
        </is>
      </c>
      <c r="E71">
        <f>HYPERLINK("https://www.indeed.com/viewjob?jk=b0c53f221c7f9fd6", "https://www.indeed.com/viewjob?jk=b0c53f221c7f9fd6")</f>
        <v/>
      </c>
      <c r="F71">
        <f>HYPERLINK("https://dynamotechnologies.hrmdirect.com/employment/view.php?req=3618723&amp;jbsrc=1014&amp;location=e61b38e3-8d46-1a63-0102-308efcad1844", "https://dynamotechnologies.hrmdirect.com/employment/view.php?req=3618723&amp;jbsrc=1014&amp;location=e61b38e3-8d46-1a63-0102-308efcad1844")</f>
        <v/>
      </c>
      <c r="G71" t="inlineStr">
        <is>
          <t>Vienna, VA, US</t>
        </is>
      </c>
      <c r="H71" s="3" t="n">
        <v>46041</v>
      </c>
      <c r="I71" t="inlineStr">
        <is>
          <t>**Machine Learning \&amp; Data Engineer \- Innovation Division**
Dynamo Technologies is seeking a hybrid Machine Learning and Data Engineer to join our Innovation Division, a dynamic research and development team focused on rapidly building functional applications that deliver measurable efficiency gains for our clients and internal tools so our existing team can accomplish more. This role is for builders who thrive at the intersection of cutting\-edge AI technology and practical implementation, working in a fast\-paced environment where speed of delivery and thoughtful execution are paramount.
You'll be responsible for developing intelligent systems that transform unstructured data into actionable insights, building pipelines that scale across cloud and self\-hosted environments, and helping clients understand how agentic AI systems can be deployed securely and cost\-effectively in federal environments.
**Job Description**
In this role, you'll work across teams to rapidly prototype and deploy AI\-powered solutions. Your day\-to\-day will involve extracting data from complex documents using multimodal AI models and OCR tools, building data pipelines that convert PDFs and unstructured documents into structured, normalized formats, and implementing PII and IP redaction systems for sensitive applications. You'll design and deploy retrieval\-augmented generation systems for chatbots and knowledge management platforms, integrating graph databases and vector stores to enhance document retrieval and question\-answering capabilities.
You'll also be presenting your work to both internal stakeholders and external clients, demonstrating software capabilities and helping shape solution architectures for federal contracting opportunities. This means understanding the RFP process, solution development, and how to communicate technical capabilities in ways that resonate with decision\-makers.
**Required Skills/Abilities**
* Demonstrated experience with text extraction using multimodal AI models and OCR tools for processing multi\-page applications and forms
* Proven ability to build data pipelines on both AWS and self\-hosted Linux environments that transform unstructured data from PDFs and documents into structured, normalized formats
* Experience implementing PII redaction and name/IP redaction systems
* Strong presentation skills with a track record of presenting software and technical solutions to stakeholders and leaders for internal and external R\&amp;D projects
* Understanding of federal contracting environments, RFP processes, and solution architecture development
**Nice to Have Skills**
* Experience with hybrid database architectures, particularly Neo4j graph databases alongside vector stores like Qdrant and Pinecone
* Working knowledge of retrieval\-augmented generation (RAG) for chatbot and knowledge management system development
* Hands\-on experience deploying agentic systems including LLMs, image generators, image classifiers, and video generators, with understanding of deployment patterns, sizing and scaling considerations, and token architecture
* Ability to design intelligent systems that integrate seamlessly with each other across platforms
* Active security clearance for defense work
* Bachelor's or Master's degree in Computer Science, Data Science, Engineering, or related field
**Technical Skills**
* Proficient in Python, SQL, Git, and Docker
* Cloud\-agnostic and platform\-agnostic mindset with ability to work across different environments
* Helpful: Experience with front\-end application development using frameworks like Tailwind, JavaScript, Svelte/SvelteKit, React, Angular, or similar JavaScript frameworks
* Comfortable building and configuring hardware and infrastructure when needed
**Education/Experience**
Bachelor's degree in Computer Science or 5\- 10 years of equivalent work experience
**Who You Are**
You're a builder and maker at heart who doesn't mind getting hands\-on with infrastructure and hardware. You're someone who gets excited about self\-hosted agentic systems and can articulate why they're more secure and cost\-effective for federal clients. You're comfortable learning new platforms quickly and aren't afraid to switch between tools to find the best solution for each problem. You thrive on being at the edge of what's possible with technology and enjoy the challenge of making functional applications work fast.
You're intellectually curious, always exploring what the next platforms and tools are, and you understand that this role means constantly adapting. You're not looking for a role where you'll do the same thing every day—you want variety, challenge, and the opportunity to work across different technologies and problem spaces.
**About the Innovation Division**
The Innovation Division operates as Dynamo's hybrid research and development and functional application development arm. Our team moves fast, building products across multiple client teams and helping existing clients improve their delivery speed, efficiency, and overall thoughtfulness in solution design. We're focused on delivering tangible results quickly while maintaining the quality and security standards required for federal contracting work.
**Travel Requirement**
Occasional travel required
**Clearance Requirement**
Secret Clearance or ability to obtain a Secret Clearance
Dynamo is a full lifecycle digital transformation company providing best\-in\-class technology and mission support services to our clients. Dynamo’s mission is to lead the digital transformation industry and provide best\-in\-class solutions for our clients with a truly human touch.
We leverage industry leading practices to empower our clients, ultimately providing them with the necessary tools, knowledge, and information required to successfully achieve their strategic goals, while optimizing their operations.
Through our partnerships, boldness, and authenticity, Dynamo goes against the grain of a traditional government contracting company by providing top\-caliber team members, delivering quality results, and always exceeding expectations.
Dynamo Technologies is an Equal Opportunity employer. All qualified applicants will receive consideration for employment without regard to race, color, national origin, religion, sex, pregnancy, disability, protected veteran status, age, or any other characteristic protected by law.</t>
        </is>
      </c>
    </row>
    <row r="72">
      <c r="A72" t="inlineStr">
        <is>
          <t>in-28307ba352299c98</t>
        </is>
      </c>
      <c r="B72" t="inlineStr">
        <is>
          <t>Data Engineer, Denied Party Screening, AWS Compliance &amp; Security Assurance</t>
        </is>
      </c>
      <c r="C72" t="inlineStr">
        <is>
          <t>Amazon.com</t>
        </is>
      </c>
      <c r="D72" t="inlineStr">
        <is>
          <t>indeed</t>
        </is>
      </c>
      <c r="E72">
        <f>HYPERLINK("https://www.indeed.com/viewjob?jk=28307ba352299c98", "https://www.indeed.com/viewjob?jk=28307ba352299c98")</f>
        <v/>
      </c>
      <c r="F72">
        <f>HYPERLINK("https://www.amazon.jobs/jobs/3160403/data-engineer-denied-party-screening-aws-compliance--security-assurance?cmpid=DA_INAD200785B", "https://www.amazon.jobs/jobs/3160403/data-engineer-denied-party-screening-aws-compliance--security-assurance?cmpid=DA_INAD200785B")</f>
        <v/>
      </c>
      <c r="G72" t="inlineStr">
        <is>
          <t>Seattle, WA, US</t>
        </is>
      </c>
      <c r="H72" s="3" t="n">
        <v>46029</v>
      </c>
      <c r="I7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73">
      <c r="A73" t="inlineStr">
        <is>
          <t>in-7ed80642e59ec1bb</t>
        </is>
      </c>
      <c r="B73" t="inlineStr">
        <is>
          <t>Data Engineer, Denied Party Screening, AWS Compliance &amp; Security Assurance</t>
        </is>
      </c>
      <c r="C73" t="inlineStr">
        <is>
          <t>Amazon.com</t>
        </is>
      </c>
      <c r="D73" t="inlineStr">
        <is>
          <t>indeed</t>
        </is>
      </c>
      <c r="E73">
        <f>HYPERLINK("https://www.indeed.com/viewjob?jk=7ed80642e59ec1bb", "https://www.indeed.com/viewjob?jk=7ed80642e59ec1bb")</f>
        <v/>
      </c>
      <c r="F73">
        <f>HYPERLINK("https://www.amazon.jobs/jobs/3160403/data-engineer-denied-party-screening-aws-compliance--security-assurance?cmpid=DA_INAD200785B", "https://www.amazon.jobs/jobs/3160403/data-engineer-denied-party-screening-aws-compliance--security-assurance?cmpid=DA_INAD200785B")</f>
        <v/>
      </c>
      <c r="G73" t="inlineStr">
        <is>
          <t>Dallas, TX, US</t>
        </is>
      </c>
      <c r="H73" s="3" t="n">
        <v>46029</v>
      </c>
      <c r="I7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74">
      <c r="A74" t="inlineStr">
        <is>
          <t>in-408127f095bbbcdb</t>
        </is>
      </c>
      <c r="B74" t="inlineStr">
        <is>
          <t>Data Engineer</t>
        </is>
      </c>
      <c r="C74" t="inlineStr">
        <is>
          <t>Amazon.com</t>
        </is>
      </c>
      <c r="D74" t="inlineStr">
        <is>
          <t>indeed</t>
        </is>
      </c>
      <c r="E74">
        <f>HYPERLINK("https://www.indeed.com/viewjob?jk=408127f095bbbcdb", "https://www.indeed.com/viewjob?jk=408127f095bbbcdb")</f>
        <v/>
      </c>
      <c r="F74">
        <f>HYPERLINK("https://www.amazon.jobs/jobs/3141339/data-engineer?cmpid=DA_INAD200785B", "https://www.amazon.jobs/jobs/3141339/data-engineer?cmpid=DA_INAD200785B")</f>
        <v/>
      </c>
      <c r="G74" t="inlineStr">
        <is>
          <t>Seattle, WA, US</t>
        </is>
      </c>
      <c r="H74" s="3" t="n">
        <v>46001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in-0cc6e84960d27456</t>
        </is>
      </c>
      <c r="B75" t="inlineStr">
        <is>
          <t>Data Engineer</t>
        </is>
      </c>
      <c r="C75" t="inlineStr">
        <is>
          <t>Amazon.com</t>
        </is>
      </c>
      <c r="D75" t="inlineStr">
        <is>
          <t>indeed</t>
        </is>
      </c>
      <c r="E75">
        <f>HYPERLINK("https://www.indeed.com/viewjob?jk=0cc6e84960d27456", "https://www.indeed.com/viewjob?jk=0cc6e84960d27456")</f>
        <v/>
      </c>
      <c r="F75">
        <f>HYPERLINK("https://www.amazon.jobs/jobs/3141339/data-engineer?cmpid=DA_INAD200785B", "https://www.amazon.jobs/jobs/3141339/data-engineer?cmpid=DA_INAD200785B")</f>
        <v/>
      </c>
      <c r="G75" t="inlineStr">
        <is>
          <t>San Francisco, CA, US</t>
        </is>
      </c>
      <c r="H75" s="3" t="n">
        <v>46001</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in-d9705388e1bc87ad</t>
        </is>
      </c>
      <c r="B76" t="inlineStr">
        <is>
          <t>Delivery Consultant - Data Engineer, Data and Machine Learning, WWPS US Federal</t>
        </is>
      </c>
      <c r="C76" t="inlineStr">
        <is>
          <t>Amazon Web Services</t>
        </is>
      </c>
      <c r="D76" t="inlineStr">
        <is>
          <t>indeed</t>
        </is>
      </c>
      <c r="E76">
        <f>HYPERLINK("https://www.indeed.com/viewjob?jk=d9705388e1bc87ad", "https://www.indeed.com/viewjob?jk=d9705388e1bc87ad")</f>
        <v/>
      </c>
      <c r="F76">
        <f>HYPERLINK("https://www.amazon.jobs/jobs/3134583/delivery-consultant--data-engineer-data-and-machine-learning-wwps-us-federal?cmpid=DA_INAD200785B", "https://www.amazon.jobs/jobs/3134583/delivery-consultant--data-engineer-data-and-machine-learning-wwps-us-federal?cmpid=DA_INAD200785B")</f>
        <v/>
      </c>
      <c r="G76" t="inlineStr">
        <is>
          <t>Herndon, VA, US</t>
        </is>
      </c>
      <c r="H76" s="3" t="n">
        <v>45991</v>
      </c>
      <c r="I7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in-387eed1c498765d6</t>
        </is>
      </c>
      <c r="B77" t="inlineStr">
        <is>
          <t>Delivery Consultant - Data Engineer, Data and Machine Learning, WWPS US Federal</t>
        </is>
      </c>
      <c r="C77" t="inlineStr">
        <is>
          <t>Amazon Web Services</t>
        </is>
      </c>
      <c r="D77" t="inlineStr">
        <is>
          <t>indeed</t>
        </is>
      </c>
      <c r="E77">
        <f>HYPERLINK("https://www.indeed.com/viewjob?jk=387eed1c498765d6", "https://www.indeed.com/viewjob?jk=387eed1c498765d6")</f>
        <v/>
      </c>
      <c r="F77">
        <f>HYPERLINK("https://www.amazon.jobs/jobs/3134583/delivery-consultant--data-engineer-data-and-machine-learning-wwps-us-federal?cmpid=DA_INAD200785B", "https://www.amazon.jobs/jobs/3134583/delivery-consultant--data-engineer-data-and-machine-learning-wwps-us-federal?cmpid=DA_INAD200785B")</f>
        <v/>
      </c>
      <c r="G77" t="inlineStr">
        <is>
          <t>Arlington, VA, US</t>
        </is>
      </c>
      <c r="H77" s="3" t="n">
        <v>45991</v>
      </c>
      <c r="I7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in-5f81e8c707f69057</t>
        </is>
      </c>
      <c r="B78" t="inlineStr">
        <is>
          <t>Data Engineer, AWS Health &amp; Safety</t>
        </is>
      </c>
      <c r="C78" t="inlineStr">
        <is>
          <t>Amazon.com</t>
        </is>
      </c>
      <c r="D78" t="inlineStr">
        <is>
          <t>indeed</t>
        </is>
      </c>
      <c r="E78">
        <f>HYPERLINK("https://www.indeed.com/viewjob?jk=5f81e8c707f69057", "https://www.indeed.com/viewjob?jk=5f81e8c707f69057")</f>
        <v/>
      </c>
      <c r="F78">
        <f>HYPERLINK("https://www.amazon.jobs/jobs/3163441/data-engineer-aws-health--safety?cmpid=DA_INAD200785B", "https://www.amazon.jobs/jobs/3163441/data-engineer-aws-health--safety?cmpid=DA_INAD200785B")</f>
        <v/>
      </c>
      <c r="G78" t="inlineStr">
        <is>
          <t>Seattle, WA, US</t>
        </is>
      </c>
      <c r="H78" s="3" t="n">
        <v>45972</v>
      </c>
      <c r="I78" t="inlineStr">
        <is>
          <t>**DESCRIPTION**
---------------
At Amazon, the Leadership Principle “Strive to be Earth’s Best Employer” challenges us to create a safer, more productive, and higher performing environment, and reinforces that nothing is more important than the safety and well\-being of our teams. At AWS Health and Safety (AWS H\&amp;S) we strive to do just this. We work tirelessly to ensure we have the appropriate strategy, technology, and attitude to be successful. We also understand that people are at the center of safety and look to invest in talent that shares in our passion for making our employees and partners lives better.  
The AWS H\&amp;S Data team is hiring a Data Engineer (DE). The Data team spans the Business Intelligence (BI) and Data Engineering (DE) functional areas, and is responsible for providing all reporting solutions required by the AWS H\&amp;S Organization to drive workplace safety and regulatory compliance worldwide. This role drives the design and implementation of data solutions within the AWS H\&amp;S domain, leveraging advanced AWS technologies and big data platforms to deliver scalable data architecture components. The position focuses on solving complex data warehousing challenges through automated ETL processes, optimized model deployments, and robust analytics tools that enable self\-service capabilities. Working directly with stakeholders and technical partners, this role translates business requirements into actionable solutions while maintaining high standards of data governance and system performance. The role also champions innovation by evaluating emerging technologies, implementing best practices, and continuously enhancing the data infrastructure to meet evolving business needs.  
Key job responsibilities  
* Architect and deliver enterprise\-scale data infrastructure solutions, enabling robust dataset management and advanced business intelligence capabilities
* Build and orchestrate complex ETL processes across diverse data sources using SQL and AWS technologies, collaborating with cross\-functional engineering teams
* Drive data architecture decisions through comprehensive technical documentation and evidence\-based recommendations to stakeholder teams
* Streamline reporting workflows and implement automated solutions to enhance stakeholder self\-service capabilities and operational efficiency
* Lead strategic initiatives with BI and technology partners to optimize data pipelines, improve data accessibility, and enhance infrastructure performance
* Learn and influence adoption of latest AWS technologies to expand platform capabilities and drive operational excellence
* Travel up to 25%
A day in the life  
We are looking for an analytical and results\-oriented data engineer to work directly with members of the Data Center Health and Safety (DCHS) teams, Data Center Operations (DCO), and the various AWS teams to focus on developing and implementing data engineering solutions.  
About the team  
The AWS Health and Safety (H\&amp;S) team is an expanding a dynamic team that is critical to enabling AWS’s growth around the world, as well as ensuring compliance of AWS’s global operations, including physical data centers, as well as other AWS facilities, customer\-facing enterprises and products. The H\&amp;S team has responsibility for architecting and implementing AWS’s global safety programs. This includes defining and implementing risk management and compliance systems and driving their continuous improvement; setting and refining global policies and procedures; overseeing the development of standards, tools, auditing and metrics, and employee training; ensuring effective engagement by H\&amp;S teams on global initiatives, including those that are part of Amazon’s ambitious sustainability goals; providing specialist expertise; and engaging with all AWS business units to provide scalable and H\&amp;S compliance strategies that support current and future business objectives while ensuring employee safety and compliance with H\&amp;S regulations.**BASIC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data modeling experience
* 1\+ years of developing and operating large\-scale data structures for business intelligence analytics using SQL experience
* Bachelor's degree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building/operating highly available, distributed systems of data extraction, ingestion, and processing of large data 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li-4365078829</t>
        </is>
      </c>
      <c r="B2" t="inlineStr">
        <is>
          <t>Senior Analytics Engineer</t>
        </is>
      </c>
      <c r="C2" t="inlineStr">
        <is>
          <t>Rhino Federated Computing</t>
        </is>
      </c>
      <c r="D2" t="inlineStr">
        <is>
          <t>linkedin</t>
        </is>
      </c>
      <c r="E2" t="inlineStr"/>
      <c r="F2" t="inlineStr"/>
      <c r="G2" t="inlineStr">
        <is>
          <t>Boston, MA</t>
        </is>
      </c>
      <c r="H2" t="inlineStr"/>
      <c r="I2" t="inlineStr">
        <is>
          <t>**About Rhino Federated Computing**
 Rhino Federated Computing Rhino solves one of the biggest challenges in AI: seamlessly connecting siloed data through federated computing. The Rhino Federated Computing Platform (Rhino FCP) serves as the ‘data collaboration tech stack’, extending from providing computing resources to data preparation \&amp; discoverability, to model development \&amp; monitoring \- all in a secure, privacy preserving environment. To do this, Rhino FCP offers flexible architecture (multi\-cloud and on\-prem hardware), end\-to\-end data management workflows (multimodal data, schema definition, harmonization, and visualization), privacy enhancing technologies (e.g., differential privacy), and allows for the secure deployment of custom code \&amp; 3rd party applications via persistent data pipelines. Rhino is trusted by \&gt;60 leading organizations worldwide \- including 14 of 20 of Newsweek’s ‘Best Smart Hospitals’ and top 20 global biopharma companies \- and is leveraging this foundation for financial services, ecommerce, and beyond.
 The company is headquartered in Boston, with an R\&amp;D center in Tel Aviv.
**About The Role**
 We are seeking a Senior Analytics Engineer to architect, build, and evolve Rhino’s core analytics data infrastructure. This role focuses heavily on data modeling, metrics standardization, data quality and governance, semantic layer design, and building reusable analytics foundations that power decision\-making across the company.
 You will own the creation of Rhino’s analytics data models, governed metrics, documentation, and insights generation layer, ensuring that teams across Sales, Customer Solutions, Product, and Business Operations can rely on consistent, trusted, and high\-quality data.
 This is a high\-impact role combining strong technical rigor with a product\-oriented mindset for enabling data consumers.
 Key Responsibilities
 Data Modeling \&amp; Metrics Layer (Primary Focus)
* Architect and maintain Rhino’s central analytics data warehouse data models, ensuring they are scalable, performant, well\-documented, and aligned with business logic.
* Build and own a consistent metrics layer (semantic layer / metrics catalog) to standardize KPIs across the company and reduce ambiguity in reporting.
* Develop governed, reusable fact and dimension models supporting product usage analytics, platform health analytics, and operational analytics..
 Analytics Stack \&amp; Pipelines
* Design and maintain robust Python/SQL pipelines to ingest, clean, transform, and integrate data from sources such as HubSpot, Jira Service Desk, platform logs/metrics, internal databases, and third\-party systems.
* Build CI/CD\-ready analytics pipelines with monitoring, tests, and data quality alerts.
* Partner closely with Engineering to align data definitions, schemas, and event instrumentation.
 Insights Layer \&amp; Self\-Service Enablement
* Build and maintain the insights/semantic layer that powers dashboards, self\-service exploration, and automated insights.
* Create intuitive self\-service tools (Looker dashboards, data marts) that help teams easily navigate trusted data.
* Document models and metrics clearly to support cross\-team accessibility and adoption.
 Cross\-Functional Collaboration
* Work with Commercial, Customer Solutions and Delivery, Product, and Operations leadership to translate business questions into data models and metric definitions, not just dashboards.
* Serve as the analytics “product manager” for the analytics stack—gather requirements, prioritize improvements, and ensure alignment with strategic needs.
* Close the loop with engineering and product teams to ensure event data, platform telemetry, and operational data are modeled accurately and consistently.
 Advanced Analytics \&amp; AI\-Enabled Insights
* Leverage LLMs and generative AI to build question\-answering capabilities on top of structured data models.
* Build structured embedding\-friendly data layers that support semantic search and automated insights.
* Explore opportunities to accelerate analysis through AI\-assisted workflows and toolchains.
**Required Skills**
* 5\+ years in Analytics Engineering, Data Engineering, Business Intelligence, or related roles, with a strong focus on building data models and governed metrics.
* Expert SQL and Python skills, including experience designing production\-grade data transformations and pipelines.
* Strong experience with enterprise data warehouses (BigQuery preferred), analytics modeling tools and BI platforms (Looker preferred), and workflow orchestration tools (Airflow or simialr)
* Demonstrated ability to design clean, scalable, well\-documented data models and metrics.
* Deep attention to detail regarding data accuracy, definitions, lineage, and quality.
* Strong cross\-functional collaboration and ability to translate business logic into technical data structures.
**Preferred Skills**
* Experience building or scaling analytics engineering foundations in a startup environment.
* Familiarity with GTM analytics, product usage analytics, and operational KPIs.
* Experience with BigQuery, Looker, Vertex AI, Grafana, Streamlit, or similar modern analytics infrastructure.
* Prior experience with applying LLMs to analytics workflows (semantic layers, insights automation, data Q\&amp;A systems).
 Location
 Hybrid \- 3 days onsite in Boston</t>
        </is>
      </c>
    </row>
    <row r="3">
      <c r="A3" t="inlineStr">
        <is>
          <t>li-4342586073</t>
        </is>
      </c>
      <c r="B3" t="inlineStr">
        <is>
          <t>Data Engineer - Data Engineering</t>
        </is>
      </c>
      <c r="C3" t="inlineStr">
        <is>
          <t>Plaid</t>
        </is>
      </c>
      <c r="D3" t="inlineStr">
        <is>
          <t>linkedin</t>
        </is>
      </c>
      <c r="E3" t="inlineStr"/>
      <c r="F3" t="inlineStr"/>
      <c r="G3" t="inlineStr">
        <is>
          <t>San Francisco, CA</t>
        </is>
      </c>
      <c r="H3" t="inlineStr"/>
      <c r="I3" t="inlineStr">
        <is>
          <t>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
* Advocating for adopting industry tools and practices at the right time
* Owning core SQL and Python data pipelines that power our data lake and data warehouse
* Well\-documented data with defined dataset quality, uptime, and usefulness.
**Qualifications**
* 2\+ years of dedicated data engineering experience, solving complex data pipeline issues at scale.
* You have experience building data models and data pipelines on top of large datasets (in the order of 500TB to petabytes)
* You value SQL as a flexible and extensible tool and are comfortable with modern SQL data orchestration tools like DBT, Mode, and Airflow.
* \[Nice to have] You have experience working with different performant warehouses and data lakes; Redshift, Snowflake, Databricks
* \[Nice to have] You have experience building and maintaining batch and real\-time pipelines using technologies like Spark, Kafka.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4">
      <c r="A4" t="inlineStr">
        <is>
          <t>li-4365085604</t>
        </is>
      </c>
      <c r="B4" t="inlineStr">
        <is>
          <t>Data Engineer</t>
        </is>
      </c>
      <c r="C4" t="inlineStr">
        <is>
          <t>MLabs</t>
        </is>
      </c>
      <c r="D4" t="inlineStr">
        <is>
          <t>linkedin</t>
        </is>
      </c>
      <c r="E4" t="inlineStr"/>
      <c r="F4" t="inlineStr"/>
      <c r="G4" t="inlineStr">
        <is>
          <t>New York, NY</t>
        </is>
      </c>
      <c r="H4" t="inlineStr"/>
      <c r="I4" t="inlineStr">
        <is>
          <t>**Senior Data Engineer (Monitoring \&amp; Parameter Systems)**
**Location:** 
 Porto, Portugal OR New York, NY (Full\-Time)
**Category:** 
 Engineering / Data Science
**Compensation:** 
 $140K \- $300K
 We are on a simple mission: to make it possible for anyone with a digital wallet to trade stocks, commodities, currencies, and crypto with full transparency. We are replacing the opaque, offshore brokerage model with a transparent, permissionless trading stack built entirely on\-chain. Every trade, deposit, and withdrawal on our platform is verifiable through open, auditable code.
 To date, we have raised
 **$27\.9M\+** 
 from top\-tier investors including
 **General Catalyst, Jump, Susquehanna (SIG), Alliance DAO, and Balaji Srinivasan** 
 .
 We are seeking a
 **Data Engineer (Monitoring \&amp; Parameter Systems)** 
 to architect and operate the analytics, observability, and parameter\-proposal infrastructure that keeps our protocol safe and economically sound. You will serve as the critical bridge between protocol mechanics—such as fees, spreads, and liquidations—and production\-grade data systems. Your mandate is to translate complex economic models into reliable pipelines and monitoring services that ensure the protocol remains healthy across all markets.
**Responsibilities**
* Data Pipelines: Architect and maintain robust ingestion and transformation pipelines for on\-chain events and market data using AWS\-native services
* Parameter Proposal Systems: Implement mathematical parameter models (dynamic spreads, risk limits, funding controls) as reproducible code, producing versioned artifacts for protocol upgrades
* Monitoring \&amp; Observability: Design Grafana dashboards and alerting systems for protocol health and economic correctness (execution costs, fee accrual, oracle quality, etc.)
* Backtesting \&amp; Validation: Build testing and "replay" frameworks to validate proposed parameter changes against historical data and stress scenarios
* Productionization: Package models and pipelines into reliable services with CI/CD, automated data quality checks, and continuous output monitoring
**Requirements**
* Data Engineering Fluency: Strong proficiency in Python (pandas, numpy) and SQL, with experience designing analytics schemas for time\-series and high\-frequency trading data
* AWS Mastery: Hands\-on experience with the core AWS stack, including S3, Athena/Glue, Redshift, ECS/EKS, and Lambda
* Observability Expertise: Proven ability to build monitoring systems using Grafana (ideally with Prometheus/Loki), including metrics definition and incident response workflows
* Production Mindset: Experience turning research\-heavy logic into robust, versioned libraries/services with full CI/CD integration
* Education: Degree in Computer Science, Engineering, or a related quantitative field
**Preferred Qualifications:**
* A Data Scientist mindset: Experience building/validating statistical models for parameter tuning or anomaly detection
* DeFi/Trading Domain Knowledge: Familiarity with PnL, funding/rollover mechanics, and the specific "quirks" of on\-chain event streams
* Blockchain Tooling: Experience with indexing tools (Subgraphs, Dune, RPC parsing) and handling smart contract schema drift
* Modern Data Stack: Familiarity with orchestration and quality tools like Airflow/Dagster, dbt, and Great Expectations
**Benefits**
* High\-Stakes Impact: Help architect the economic safety systems for a $27M\+ backed RWA protocol
* Cutting\-Edge Tech: Work at the frontier of blockchain technology and decentralized finance
* Competitive Package: High\-tier salary plus tokens and equity
* Collaborative Environment: Join a team of highly skilled engineers and researchers in a flat, fast\-moving structure
* Flexibility: Modern work arrangements with professional development support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
      <c r="A5" t="inlineStr">
        <is>
          <t>li-4237483925</t>
        </is>
      </c>
      <c r="B5" t="inlineStr">
        <is>
          <t>Senior Analytics Engineer</t>
        </is>
      </c>
      <c r="C5" t="inlineStr">
        <is>
          <t>Upstart</t>
        </is>
      </c>
      <c r="D5" t="inlineStr">
        <is>
          <t>linkedin</t>
        </is>
      </c>
      <c r="E5" t="inlineStr"/>
      <c r="F5" t="inlineStr"/>
      <c r="G5" t="inlineStr"/>
      <c r="H5" t="inlineStr"/>
      <c r="I5"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6">
      <c r="A6" t="inlineStr">
        <is>
          <t>li-4317203984</t>
        </is>
      </c>
      <c r="B6" t="inlineStr">
        <is>
          <t>Data Engineer</t>
        </is>
      </c>
      <c r="C6" t="inlineStr">
        <is>
          <t>Carrot</t>
        </is>
      </c>
      <c r="D6" t="inlineStr">
        <is>
          <t>linkedin</t>
        </is>
      </c>
      <c r="E6" t="inlineStr"/>
      <c r="F6" t="inlineStr"/>
      <c r="G6" t="inlineStr"/>
      <c r="H6" t="inlineStr"/>
      <c r="I6"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7">
      <c r="A7" t="inlineStr">
        <is>
          <t>li-4342864568</t>
        </is>
      </c>
      <c r="B7" t="inlineStr">
        <is>
          <t>AVP, Senior Data Engineer (Python)</t>
        </is>
      </c>
      <c r="C7" t="inlineStr">
        <is>
          <t>Jefferies</t>
        </is>
      </c>
      <c r="D7" t="inlineStr">
        <is>
          <t>linkedin</t>
        </is>
      </c>
      <c r="E7" t="inlineStr"/>
      <c r="F7" t="inlineStr"/>
      <c r="G7" t="inlineStr">
        <is>
          <t>Jersey City, NJ</t>
        </is>
      </c>
      <c r="H7" t="inlineStr"/>
      <c r="I7" t="inlineStr">
        <is>
          <t>**Job Description** 
 The JData team is looking for an experienced Data Engineer with experience in Python and Snowflake to join their team! This is an exciting position within the Jefferies IT landscape as an integral member of the team. The ideal candidate will have the desired requirements shown below, along with a willingness to learn new and exciting technologies.
**Responsibilities include:** 
* Developing, overseeing, organizing, storing, and analyzing data and data systems.
* Cloud migrations for data pipelines using AWS and Snowflake,
* Participating in all aspects of the software development lifecycle for AWS and Snowflake solutions, including planning, requirements, development, testing, and quality assurance.
* Collaborating with cross\-functional teams to define, design and ship new features.
* Working in tandem with our engineering team to identify and implement the most optimal cloud\-based solutions.
* Ensuring application performance, uptime, and scale, maintaining high standards for code quality and thoughtful design.
* Troubleshooting incidents, identify root causes, fix and document problems, and implement preventive measures.
**Qualifications:** 
* Working experience on Snowflake Platform
* Strong SQL and PL/SQL
* Working Cloud knowledge on AWS (Certification preferred)
* Working Snowflake knowledge with Designing data warehouses
* Strong hands\-on experience in Python with ETL concepts
* Good understanding on Metadata and data lineage
**Nice to have:** 
* Hands on knowledge on SQL Analytical functions, Views, Materialized Views
* Strong knowledge and hands\-on experience in SQL, Unix shell scripting
 Primary Location Full Time Salary Range of $120,000 \- $160,000\.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8">
      <c r="A8" t="inlineStr">
        <is>
          <t>li-4361997826</t>
        </is>
      </c>
      <c r="B8" t="inlineStr">
        <is>
          <t>Data Engineer</t>
        </is>
      </c>
      <c r="C8" t="inlineStr">
        <is>
          <t>AARATECH</t>
        </is>
      </c>
      <c r="D8" t="inlineStr">
        <is>
          <t>linkedin</t>
        </is>
      </c>
      <c r="E8" t="inlineStr"/>
      <c r="F8" t="inlineStr"/>
      <c r="G8" t="inlineStr"/>
      <c r="H8" t="inlineStr"/>
      <c r="I8"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9">
      <c r="A9" t="inlineStr">
        <is>
          <t>li-3970353535</t>
        </is>
      </c>
      <c r="B9" t="inlineStr">
        <is>
          <t>Data Engineer</t>
        </is>
      </c>
      <c r="C9" t="inlineStr">
        <is>
          <t>Figma</t>
        </is>
      </c>
      <c r="D9" t="inlineStr">
        <is>
          <t>linkedin</t>
        </is>
      </c>
      <c r="E9" t="inlineStr"/>
      <c r="F9" t="inlineStr"/>
      <c r="G9" t="inlineStr">
        <is>
          <t>San Francisco, CA</t>
        </is>
      </c>
      <c r="H9" t="inlineStr"/>
      <c r="I9"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0">
      <c r="A10" t="inlineStr">
        <is>
          <t>li-4361294764</t>
        </is>
      </c>
      <c r="B10" t="inlineStr">
        <is>
          <t>Data Engineer I</t>
        </is>
      </c>
      <c r="C10" t="inlineStr">
        <is>
          <t>Cox Automotive Inc.</t>
        </is>
      </c>
      <c r="D10" t="inlineStr">
        <is>
          <t>linkedin</t>
        </is>
      </c>
      <c r="E10" t="inlineStr"/>
      <c r="F10" t="inlineStr"/>
      <c r="G10" t="inlineStr">
        <is>
          <t>Austin, TX</t>
        </is>
      </c>
      <c r="H10" t="inlineStr"/>
      <c r="I10"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11">
      <c r="A11" t="inlineStr">
        <is>
          <t>li-4362077507</t>
        </is>
      </c>
      <c r="B11" t="inlineStr">
        <is>
          <t>Data Engineer</t>
        </is>
      </c>
      <c r="C11" t="inlineStr">
        <is>
          <t>AARATECH</t>
        </is>
      </c>
      <c r="D11" t="inlineStr">
        <is>
          <t>linkedin</t>
        </is>
      </c>
      <c r="E11" t="inlineStr"/>
      <c r="F11" t="inlineStr"/>
      <c r="G11" t="inlineStr"/>
      <c r="H11" t="inlineStr"/>
      <c r="I1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2">
      <c r="A12" t="inlineStr">
        <is>
          <t>li-4351336244</t>
        </is>
      </c>
      <c r="B12" t="inlineStr">
        <is>
          <t>Senior Data Engineer</t>
        </is>
      </c>
      <c r="C12" t="inlineStr">
        <is>
          <t>Adtalem Global Education</t>
        </is>
      </c>
      <c r="D12" t="inlineStr">
        <is>
          <t>linkedin</t>
        </is>
      </c>
      <c r="E12" t="inlineStr"/>
      <c r="F12" t="inlineStr"/>
      <c r="G12" t="inlineStr">
        <is>
          <t>Lisle, IL</t>
        </is>
      </c>
      <c r="H12" t="inlineStr"/>
      <c r="I12" t="inlineStr">
        <is>
          <t>**About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Adtalem. Adtalem is looking for a Senior Data Engineer who is a technical powerhouse who can scale our data platform to meet ever growing business needs.
 Responsibilities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2\+ years experience in Google cloud with services like BigQuery, Composer, GCS, DataStream, Dataflows Required.
* 6\+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 Experience working in agile environment.
 \#ATGE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13">
      <c r="A13" t="inlineStr">
        <is>
          <t>li-4361948028</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li-4362086128</t>
        </is>
      </c>
      <c r="B14" t="inlineStr">
        <is>
          <t>Data Engineer</t>
        </is>
      </c>
      <c r="C14" t="inlineStr">
        <is>
          <t>AARATECH</t>
        </is>
      </c>
      <c r="D14" t="inlineStr">
        <is>
          <t>linkedin</t>
        </is>
      </c>
      <c r="E14" t="inlineStr"/>
      <c r="F14" t="inlineStr"/>
      <c r="G14" t="inlineStr"/>
      <c r="H14" t="inlineStr"/>
      <c r="I14"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5">
      <c r="A15" t="inlineStr">
        <is>
          <t>li-4354119545</t>
        </is>
      </c>
      <c r="B15" t="inlineStr">
        <is>
          <t>Senior Data Engineer</t>
        </is>
      </c>
      <c r="C15" t="inlineStr">
        <is>
          <t>Gambit Technologies</t>
        </is>
      </c>
      <c r="D15" t="inlineStr">
        <is>
          <t>linkedin</t>
        </is>
      </c>
      <c r="E15" t="inlineStr"/>
      <c r="F15" t="inlineStr"/>
      <c r="G15" t="inlineStr">
        <is>
          <t>New York, NY</t>
        </is>
      </c>
      <c r="H15" t="inlineStr"/>
      <c r="I15" t="inlineStr">
        <is>
          <t>**Senior Software Engineer \- Data and Cloud Modernization \- Hybrid New York City 4 days per week** 
 Our client is seeking a Senior Software Engineer to help modernize their Business Intelligence (BI) and reporting infrastructure as they move from an on\-premise SQL Server–based environment to a cloud\-native data platform.
 This role combines hands\-on engineering with strategic platform design. You will help define our cloud data strategy, design and build a new data warehouse or lakehouse, and ensure the reliability of existing BI and reporting systems. You will also play a key role in reducing technical debt and maintaining production stability throughout the transition.
 Our current BI stack uses SQL Server as a data warehouse and Tableau as the primary BI tool. We are seeking someone who can both move us forward and responsibly operate what exists today.
**This is a hands\-on, onsite position based in New York, NY** 
 .
 What You’ll Do
**Platform \&amp; Strategy** 
* Design and implement a cloud\-based data warehouse or lakehouse
* Define a pragmatic cloud migration strategy for existing BI and reporting workloads
* Evaluate and recommend cloud technologies based on scalability, cost, and usability
**Engineering \&amp; Delivery** 
* Build and maintain reliable, analytics\-ready data pipelines
* Optimize data pipelines and BI performance across legacy and cloud platforms
* Implement best practices for data modeling, testing, observability, and CI/CD
* Identify, prioritize, and reduce technical debt across data models, pipelines, and infrastructure
* Support production BI systems, including troubleshooting, performance tuning, and incident response
* Maintain best practices through code reviews, version control, and adherence to industry standards
**Skills** 
**You’ll need to have** 
* Strong experience building and operating data pipelines, data warehouses and/or data lakehouses
* Advanced SQL skills, including performance tuning and dimensional modeling
* Strong data modeling experience
* Strong programming skills \- Python is our primary language
* Strong experience working in at least one cloud platform (AWS, Azure, GCP, Snowflake, Databricks)
* Experience with orchestration tools (Airflow, Prefect, Dagster, etc)
* Experience designing microservices\-based architectures and APIs to build platforms that are flexible, scalable, and resilient
* Familiarity with Business Intelligence tools (Tableau, Qlik, Power BI)</t>
        </is>
      </c>
    </row>
    <row r="16">
      <c r="A16" t="inlineStr">
        <is>
          <t>li-4362085746</t>
        </is>
      </c>
      <c r="B16" t="inlineStr">
        <is>
          <t>Senior Data Platform Engineer, Agentic AI</t>
        </is>
      </c>
      <c r="C16" t="inlineStr">
        <is>
          <t>ELSA, Corp</t>
        </is>
      </c>
      <c r="D16" t="inlineStr">
        <is>
          <t>linkedin</t>
        </is>
      </c>
      <c r="E16" t="inlineStr"/>
      <c r="F16" t="inlineStr"/>
      <c r="G16" t="inlineStr">
        <is>
          <t>Los Gatos, CA</t>
        </is>
      </c>
      <c r="H16" t="inlineStr"/>
      <c r="I16" t="inlineStr">
        <is>
          <t>**Reporting to:** 
 Director of Data Science
**About ELSA**
 ELSA is a global leader in AI\-powered English communication training, dedicated to transforming how people learn and speak English with confidence. Founded in 2016 and headquartered in San Francisco, we operate across the U.S., Vietnam, Portugal, Indonesia, Brazil and Japan.
 Powered by proprietary speech\-recognition technology and generative AI, ELSA delivers real\-time, hyper\-personalized feedback to help learners improve pronunciation, fluency, and overall communication effectiveness. With over 50 million learners and 1 billion hours of anonymized speech data, ELSAs depth of language training intelligence is unmatched in the industry.
 Our B2B flagship platforms
 **ELSA Enterprise** 
 and
 **ELSA Schools** 
 empower organizations and educational institutions to elevate communication capabilities and unlock personal and professional opportunities for their people. We design engaging, bite\-sized learning experiences that adapt to each learners goals and context, ensuring measurable improvement and lasting confidence.
 Our vision is to become the global standard for real\-time English communication training, enabling 1\.5 billion language learners worldwide to speak clearly, be understood, and share their stories with the world.
 Backed by world\-class investors including Googles Gradient Ventures, Monks Hill Ventures, and SOSV, ELSA has been recognized among the top global AI innovators:
* Forbes Top 4 Companies Using AI to Transform the World
* Research Sniper Top 5 Best AI Apps
* ASU\+GSV EdTech 150
* CB Insights Top 100 AI Companies
 We’re building the next evolution of our AI stack — agentic AI systems that can interact with real\-world data, tools, and workflows in production. To help us design, scale, and operate this platform, we’re looking for a
 **Senior Data Platform Engineer** 
 to join our team.
**Job overview:**
 As a Senior Data Platform Engineer — Agentic AI, you will design and implement the platform foundation for AI agents operating on real\-world data and services at scale. This role sits at the intersection of Data Engineering, Backend Systems, and Applied AI — ideal for engineers who love ownership, reliability, and solving hard platform problems.
 You will work closely with Data Science, Product, and Engineering to take agentic AI from prototype to secure, observable, production\-grade systems.
 This role is ideal for engineers who enjoy building production systems, collaborating cross\-functionally, and owning end\-to\-end platform reliability — rather than focusing primarily on research or prototypes.
**What You'll Do**
* Design and build scalable, reliable data pipelines and feature stores that power AI/ML \&amp; agent workflows
* Productionize Agentic AI systems (tool\-using LLM agents, workflow orchestration, retrieval, context management, guardrails)
* Implement data\-centric AI engineering best\-practices: lineage, governance, testing, monitoring
* Build server\-side APIs, microservices \&amp; orchestration layers supporting AI agent workflows
* Optimize data processing, storage, caching \&amp; latency across structured and unstructured data
* Deploy and operate workloads across cloud environments (AWS/GCP/Azure)
* Partner with ML engineers to enable experimentation, CICD, and observability for AI systems
* Own platform reliability: performance tuning, alerting, SLAs
* Establish security \&amp; compliance standards for AI\-data interactions
* Act as a senior technical contributor \&amp; mentor within the team
**You'll Be Great In This Role If You Have:**
**Core Experience (Required)**
* 5\+ years in Data/Platform/Backend Engineering
* Strong foundations in data engineering concepts — batch, streaming, schema design, ETL/ELT, orchestration
* Hands\-on experience with Python or Node.js (server\-side scripting)
* Expertise with SQL \+ modern data warehouses/lakes
* Experience building \&amp; maintaining production systems at scale
* Strong command of cloud platforms \&amp; containerization (Docker, Kubernetes etc.)
**Agentic AI \&amp; AI Platform Experience (Preferred):** 
 You don't need to be a researcher — but you understand how this runs in PROD
**Working knowledge of**
* LLM orchestration frameworks (LangChain, LlamaIndex, DSPy etc.)
* RAG pipelines \&amp; vector databases
* Agent\-tool execution \&amp; sandboxing
 Prompt/response handling
* Experience deploying AI services behind APIs / microservices
* Understanding of model \&amp; data governance, cost management, safety \&amp; guardrails
**Bonus Skills**
 Experience with:
* Airflow / Prefect / Dagster
* Spark / Flink / distributed compute
* Snowflake / BigQuery / Redshift
* Feature stores / ML pipelines
* Data observability platforms
* Experimentation platforms (AB testing)
**Soft Skills We Value**
* Bias for action \&amp; ownership mindset
* Product\-thinking and customer empathy
* Ability to collaborate across data science, product \&amp; engineering
* Comfort balancing speed with engineering rigor
* Clear \&amp; structured communication
**What We Offer**
* Work with a lean, high\-impact Data \&amp; AI team
* Ownership, autonomy \&amp; visibility
* Supportive learning culture
* Competitive compensation \&amp; benefits
* Opportunity to shape the next\-gen AI data platform
* Comprehensive employee well\-being benefits.
* Free ELSA Premium courses to polish your language skills
* Opportunity to contribute to a fast\-growing, well\-funded Silicon Valley startup with global impact.</t>
        </is>
      </c>
    </row>
    <row r="17">
      <c r="A17" t="inlineStr">
        <is>
          <t>li-4365110028</t>
        </is>
      </c>
      <c r="B17" t="inlineStr">
        <is>
          <t>Data Engineer /Data Architect with AI</t>
        </is>
      </c>
      <c r="C17" t="inlineStr">
        <is>
          <t>Node.Digital LLC</t>
        </is>
      </c>
      <c r="D17" t="inlineStr">
        <is>
          <t>linkedin</t>
        </is>
      </c>
      <c r="E17" t="inlineStr"/>
      <c r="F17" t="inlineStr"/>
      <c r="G17" t="inlineStr">
        <is>
          <t>Herndon, VA</t>
        </is>
      </c>
      <c r="H17" t="inlineStr"/>
      <c r="I17" t="inlineStr">
        <is>
          <t>**Data Engineer /Data Architect**
**Location: Herndon, VA**
**Preferred: US Citizen**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18">
      <c r="A18" t="inlineStr">
        <is>
          <t>li-4359245014</t>
        </is>
      </c>
      <c r="B18" t="inlineStr">
        <is>
          <t>Data Engineer</t>
        </is>
      </c>
      <c r="C18" t="inlineStr">
        <is>
          <t>Ingenio</t>
        </is>
      </c>
      <c r="D18" t="inlineStr">
        <is>
          <t>linkedin</t>
        </is>
      </c>
      <c r="E18" t="inlineStr"/>
      <c r="F18" t="inlineStr"/>
      <c r="G18" t="inlineStr">
        <is>
          <t>San Francisco, CA</t>
        </is>
      </c>
      <c r="H18" t="inlineStr"/>
      <c r="I18" t="inlineStr">
        <is>
          <t>***Before we get started:***
 Here at Ingenio, we'd love to talk with you regardless of your qualifications or years of experience. If you believe you’d be a great fit for this role, we invite you to apply even if you do not meet all points on the job description.
***Who we are:***
 Ingenio is a global media and technology company developing products that provide guidance on love, relationships, careers, and all aspects of life. We are passionate about connecting people with the world’s best advisors and content to empower everyone to live happier lives.
 Ingenio offers the world’s largest portfolio of over 20 marketplace and media brands in the spiritual and emotional wellness space. Our flagship brands include Keen,
 Horoscope.com
 ,
 Astrology.com
 , Purple Garden, Kasamba, and Kang.
***How you’ll be impactful:***
 As a Data Engineer, you will build and maintain data processing pipelines and systems that are critical for data operations and business efficiency. This includes designing scalable data workflows, maintaining new API integrations with marketing and affiliate partners (e.g., Google Ads, GA, Liveramp), and ensuring accurate, reliable data for analytics and machine learning applications.
*Please note: This role will require being in our SF office at least 3 days per week (Tuesday\-Thursday).* 
***What you’ll be doing:***
* Assist in the design, construction, and maintenance of large\-scale data processing systems.
* Design and build scalable data pipelines: Architect and implement data workflows for high\-volume, high\-complexity datasets, ensuring data is reliable, accurate, and accessible for analytics and machine learning applications.
* Work closely with data scientists to deploy models into production using modern MLOps practices (CI/CD for ML, automated retraining, monitoring, and rollout strategies).
* Operationalize feature stores, model registries, and model versioning workflows.
* Design data workflows optimized for AI/ML use cases, including real\-time streaming data, vector data pipelines, or embeddings\-based retrieval systems where applicable.
* Build and maintain data applications in the cloud using FastAPI and other related technologies.
* Implement data flow processes to integrate, transform, and summarize data from disparate sources.
* Develop ETL scripts and SQL queries to manage data across multiple platforms.
* Collaborate with team members to improve data efficiency and quality.
***What you’ll need to be successful:***
* Bachelor’s degree in Computer Science, Engineering, or a related field.
* 4\+ years experience in building data pipes, datalakes, and data warehouses.
* Familiarity with data warehousing solutions like Snowflake.
* Strong knowledge of ETL/ELT concepts, frameworks, or tools (e.g., Apache Airflow, DBT, or similar).
* Experience with ML workflow orchestration tools such as MLflow, Kubeflow, Airflow, SageMaker, or similar.
* Familiarity with model deployment, monitoring, and lifecycle management.
* Strong experience with SQL and familiarity with programming languages such as Python or Java.
* Good understanding of data warehousing and data modeling concepts.
* Strong problem\-solving skills and attention to detail.
***Perks \&amp; Benefits:***
* Opportunity to work alongside a friendly, talented, and highly collaborative team
* Premium medical, dental, and vision insurance
* Generous holiday and PTO policies (including Birthday PTO!)
* Summer Fridays
* Technology stipend
* 401k matching program
* Lunch
* Wellness allowance
* Training and development opportunities and allowance
* Fun and inclusive in\-person and virtual events
***Pay Transparency:***
 The US base salary range for this full\-time position is $125,000\-$155,000\.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*Candidates must have valid work authorization. This role does not sponsor or support new or transferred H\-1B, F\-1, OPT, STEM OPT, or any other visas.* 
***Why Ingenio?***
 Our growing team of over 300 employees is powered by our diverse perspectives and company core values:
* We are humble. We believe the best result is achieved by leveraging others’ perspectives
* We think like owners. We make decisions that optimize for the greater good of the organization
* We challenge limiting beliefs. We are at our best when we identify and shatter status quo expectations
*Ingenio is an equal opportunity workplace and is an affirmative action employer. We are committed to equal employment opportunity regardless of race, color, ancestry, religion, sex, national origin, sexual orientation, age, citizenship, marital status, disability, gender identity or Veteran status.*</t>
        </is>
      </c>
    </row>
    <row r="19">
      <c r="A19" t="inlineStr">
        <is>
          <t>li-4361928128</t>
        </is>
      </c>
      <c r="B19" t="inlineStr">
        <is>
          <t>Data Engineer</t>
        </is>
      </c>
      <c r="C19" t="inlineStr">
        <is>
          <t>AARATECH</t>
        </is>
      </c>
      <c r="D19" t="inlineStr">
        <is>
          <t>linkedin</t>
        </is>
      </c>
      <c r="E19" t="inlineStr"/>
      <c r="F19" t="inlineStr"/>
      <c r="G19" t="inlineStr"/>
      <c r="H19" t="inlineStr"/>
      <c r="I19"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0">
      <c r="A20" t="inlineStr">
        <is>
          <t>li-4365059117</t>
        </is>
      </c>
      <c r="B20" t="inlineStr">
        <is>
          <t>Senior Data Engineer</t>
        </is>
      </c>
      <c r="C20" t="inlineStr">
        <is>
          <t>Microsoft</t>
        </is>
      </c>
      <c r="D20" t="inlineStr">
        <is>
          <t>linkedin</t>
        </is>
      </c>
      <c r="E20" t="inlineStr"/>
      <c r="F20" t="inlineStr"/>
      <c r="G20" t="inlineStr">
        <is>
          <t>Redmond, WA</t>
        </is>
      </c>
      <c r="H20" t="inlineStr"/>
      <c r="I20" t="inlineStr">
        <is>
          <t>**Overview**
 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achieve our mission.
 Cloud Operations \+ Innovation (CO\+I) is the engine that powers Microsoft’s core cloud platforms and services that millions of people use every day. With more than 95% of Fortune 500 business on Azure, 180 million using Office 365, and millions using other services – all running on Microsoft's cloud infrastructure – CO\+I builds and operates the foundation upon which Microsoft’s mission to empower every person and organization comes to life.
 Are you passionate about cloud computing? Do you get excited about taking a hands\-on approach to transforming Microsoft’s most critical business through investigation, data analysis, and automation? If so, come and help us build the most reliable \&amp; efficient datacenter infrastructure on the planet. The CO\+I Critical Environment Systems Intelligence (CESI) team is responsible for designing and delivering solutions to support global datacenter operations and to improve availability. CESI is helping to drive CO\+I’s transition to a customer centric, data driven, live service culture. As a Senior Data Engineer, you will be a key player in this transition.
 As a Senior Data Engineer on the CO\+I Critical Environment Service Intelligence (CESI) team, you will design and deliver the data platforms and tooling required to programmatically understand which customers are impacted by changes occurring within our data centers. This work enables clear, datadriven visibility into customer impact resulting from both planned and unplanned infrastructure events.
 You will partner closely with multiple CO\+I teams, as well as Azure, Exchange, Bing, and other firstparty services, to model, integrate, and deliver this capability at scale. A successful candidate will apply strong data engineering fundamentals—data modeling, pipeline design, automation, and lowlatency processing—while leveraging domain knowledge across data center infrastructure capacity, service management, customer experience (CXP), containers, cloud services, shared responsibility models, and geo and zoneredundant architectures.
 Through this work, you will help establish a clear source of truth for ownership of data center assets and their relationships to customerfacing services, enabling accurate, timely assessment of customer impact during outages and other operational events. The solutions you build will operate over large, complex datasets and directly inform operational decisionmaking across the fleet.
 In alignment with our Microsoft values, we are committed to cultivating an inclusive work environment for all employees to positively impact our culture every day.
**Responsibilities**
 As a Senior Data Engineer, you will:
* Deliver a data\-driven solution to map from servers (and clusters) to their responsible First Party owners and services by exposing leaps of logic that don't explicitly exist between systems
* Develop automations to appropriately calculate risk of impact to customers during an outage in collaboration with responsible parties and Azure Customer Experience.
* Perform thorough data analysis and testing to identify data gaps and ensure data quality.
* Work closely with application, data platform, and data engineering teams to reconfigure data ingestion pipelines to be more reliable and continuously monitored.
* Partner with engineering teams to publish easy\-to\-consume, production\-quality data assets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6\+ years of strong hands\-on experience with Data Analytics applications. (SQL, Kusto, Hadoop, or equivalent large data system).
* 2\+ years of hands\-on experience creating and leveraging data visualization platforms (Power BI, Tableau, etc).
* Experience working with large data sets using SQL/Azure Data Lake/Spark, etc., to derive actionable insights is highly desirable.
* Familiarity with one or more general purpose programming languages including but not limited to: Java, C/C\+\+, C\#, Python, JavaScript, PowerShell.
* Experience with reporting and data analysis systems \&amp; platforms (e.g., Power BI, SAP, CRM, Dynamics 365, etc.).
* Demonstrated experience producing executable and measurable results; focused on delivering impact and identifying, managing, and mitigating risks.
* Demonstrated technical problem solving and excellent analytical, verbal, written, interpersonal communication skills with attention to detail.
* Ability to communicate with a broad range of audiences with varying technical abilities and to use data as a story\-telling device.
* Ability to effectively deal with ambiguity and work independently to derive actionable solutions.
* Ability to successfully influence without authority and manage efforts through relationships.
* Ability to promote a collaborative environment and bring a positive attitude to difficult situations.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li-4309679992</t>
        </is>
      </c>
      <c r="B21" t="inlineStr">
        <is>
          <t>Data Engineer</t>
        </is>
      </c>
      <c r="C21" t="inlineStr">
        <is>
          <t>DataAnnotation</t>
        </is>
      </c>
      <c r="D21" t="inlineStr">
        <is>
          <t>linkedin</t>
        </is>
      </c>
      <c r="E21" t="inlineStr"/>
      <c r="F21" t="inlineStr"/>
      <c r="G21" t="inlineStr">
        <is>
          <t>California, United States</t>
        </is>
      </c>
      <c r="H21" t="inlineStr"/>
      <c r="I21"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
      <c r="A22" t="inlineStr">
        <is>
          <t>li-4360989095</t>
        </is>
      </c>
      <c r="B22" t="inlineStr">
        <is>
          <t>Data Engineer</t>
        </is>
      </c>
      <c r="C22" t="inlineStr">
        <is>
          <t>Monument Search Group</t>
        </is>
      </c>
      <c r="D22" t="inlineStr">
        <is>
          <t>linkedin</t>
        </is>
      </c>
      <c r="E22" t="inlineStr"/>
      <c r="F22" t="inlineStr"/>
      <c r="G22" t="inlineStr">
        <is>
          <t>Billerica, MA</t>
        </is>
      </c>
      <c r="H22" t="inlineStr"/>
      <c r="I22" t="inlineStr">
        <is>
          <t>\*\*\*\*\*\*MUST CURRENTLY LIVE IN MASSACHUSETTS OR NORTH CAROLINA\*\*\*\*\*\*
**My client is an international pre\-IPO silicon startup with development offices in Boston MA, Durham NC, and San Jose, CA. Named one of the 10 hottest semiconductor startups of 2025, we are developing and delivering revolutionary new silicon devices to address the cloud datacenter core and edge at scale. We are well funded by some of the leading investment firms in the world. Come join our team and be part of revolutionizing the future of the cloud!** 
**About the Role** 
 We are looking for a Principal Dataplane Engineer to join our US software engineering team. In this role, you will be a technical lead for a strategic networking initiative focused on extracting maximum performance from our next\-generation silicon. You will design, implement, and optimize dataplane software that interfaces directly with custom hardware pipelines, enabling line\-rate packet processing, advanced offloads, and scalable cloud networking features.
 As part of this effort, you will work closely with silicon architects, firmware, and control\-plane teams, and actively engage with the open\-source community to help define and influence dataplane models, APIs, and performance frameworks. Location is flexible between our East Coast offices in Billerica, Massachusetts or Durham, North Carolina.
**Required Experience** 
 · Strong understanding of dataplane architectures and high\-performance packet processing.
 · Experience developing Linux\-based dataplane software targeting embedded or server\-class CPUs (x86 and/or ARM).
 · Expertise in designing low\-latency, high\-throughput systems with strict performance constraints.
 · Ability to translate hardware specifications and networking requirements into efficient, testable dataplane implementations.
 · Experience profiling, debugging, and optimizing dataplane code across CPU, memory, and I/O subsystems.
 · Proven ability to collaborate closely with hardware, firmware, and control\-plane teams.
**Desired Experience:** 
 · Hands\-on experience with DPDK, including PMDs, RTE Flow, and performance tuning.
 · Familiarity with NIC offloads, hardware accelerators, or programmable packet processing pipelines.
 · Knowledge of L2/L3 forwarding, encapsulation, and tunneling protocols (Ethernet, VLAN, VXLAN, IP, TCP/UDP).
 · Experience with highly available and scalable networking systems.
 · Exposure to hardware/software co\-simulation, emulation, or FPGA\-based validation environments.
 · Prior or active contributions to open source dataplane or networking projects.
**Required Skills** 
 ·Expert\-level proficiency in C
 ·Performance\-driven, detail\-oriented engineering mindset
 · Strong problem\-solving and debugging skills
 ·Self\-learner with the ability to ramp quickly on new hardware and architectures
 · Team\-player with excellent verbal and written communication skills</t>
        </is>
      </c>
    </row>
    <row r="23">
      <c r="A23" t="inlineStr">
        <is>
          <t>li-4365058561</t>
        </is>
      </c>
      <c r="B23" t="inlineStr">
        <is>
          <t>Data Engineer</t>
        </is>
      </c>
      <c r="C23" t="inlineStr">
        <is>
          <t>ProMach</t>
        </is>
      </c>
      <c r="D23" t="inlineStr">
        <is>
          <t>linkedin</t>
        </is>
      </c>
      <c r="E23" t="inlineStr"/>
      <c r="F23" t="inlineStr"/>
      <c r="G23" t="inlineStr">
        <is>
          <t>Atlanta, GA</t>
        </is>
      </c>
      <c r="H23" t="inlineStr"/>
      <c r="I23" t="inlineStr">
        <is>
          <t>At ProMach, we’re looking for people who want to shine. You’ll have opportunities to take your career in the direction you want. You can be creative. Strategic. Persuasive. Influential. Mechanical marvel. Customer service authority. Meticulous. A closer. A futurist.
 You’ll be challenged and rewarded. Improve our customers’ packaging performance and efficiency every day. Help build the future of packaging automation. We’re proud of that and hope you will be too.
**Do we have your attention? Keep reading.**
 ProMach is excited to add a skilled Data Engineer to the team. This role is responsible for designing, building, and maintaining data flows between Corporate IT systems. Leveraging tools such as Apache Spark and Delta Lake, this position will manage data ingestion and transformation, integrate with cloud services, ensure data quality, and collaborate with analysts to deliver data\-driven insights. Success in this position requires expertise in data modeling, SQL, Python, and CI/CD pipelines.
**Do you enjoy this work?**
* Design, build, and maintain scalable data pipelines using Databricks, Apache Spark, and Delta Lake.
* Develop and manage robust ETL/ELT workflows for data extraction, transformation, and loading from diverse source systems.
* Monitor and resolve any issues with scheduled jobs that move data.
* Contribute to designing and implementing data models and architecture for data lakes and data warehouses.
* Provide guidance on architecture and platforms that facilitate reporting and analytics needs.
* Integrate data solutions with cloud platforms (Azure, AWS, or GCP) and related services.
* Implement data quality checks, monitoring, and data governance best practices to ensure consistency, accuracy, and reliability.
* Implement and maintain CI/CD pipelines to automate deployment and streamline workflows.
* Work closely with business analysts and stakeholders to define data requirements and deliver actionable insights.
**What’s in it for you?**
 There's no monopoly on good ideas or limits to how far you can advance with our team. We offer an open, communicative environment that fosters individual initiative. We pride ourselves in being a company where people are happy and choose to build a career.
 In addition to growth opportunities, as a ProMach employee, you receive more than just a paycheck. Total compensation includes your salary,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*Please note that the pay ranges listed on external job boards, outside our posting details, do not accurately reflect our internal compensation ranges*
**If this sounds like you, we want to connect!**
* Bachelor’s Degree in Information Systems, Computer Science, or related field, or equivalent work experience.
* 3\+ years experience.
* Proven experience in data engineering and cloud\-based development.
* Expertise in Databricks and the broader Databricks ecosystem (Databricks SQL, Delta Lake, Databricks Runtime).
* Proficiency in SQL, Python, and Apache Spark.
* Experience with cloud platforms such as Azure, AWS, or GCP.
* Strong understanding of data modeling, ETL/ELT, and data warehousing concepts.
* Experience with CI/CD tools and practices.
* Excellent problem\-solving, analytical, and communication skills.
* Eager to learn new skills and step in to deliver where needed.
* Experience with SyteLine ERP, Salesforce CRM, and familiarity with BI tools such as Tableau preferred.
 Pro Mach, Inc. was named to the Inc. 5,000 list of the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**Curious about life at ProMach?** 
 Follow us on LinkedIn, Twitter, and Instagram!
 Pro 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4">
      <c r="A24" t="inlineStr">
        <is>
          <t>li-4309681935</t>
        </is>
      </c>
      <c r="B24" t="inlineStr">
        <is>
          <t>Data Engineer</t>
        </is>
      </c>
      <c r="C24" t="inlineStr">
        <is>
          <t>DataAnnotation</t>
        </is>
      </c>
      <c r="D24" t="inlineStr">
        <is>
          <t>linkedin</t>
        </is>
      </c>
      <c r="E24" t="inlineStr"/>
      <c r="F24" t="inlineStr"/>
      <c r="G24" t="inlineStr">
        <is>
          <t>Colorado, United States</t>
        </is>
      </c>
      <c r="H24" t="inlineStr"/>
      <c r="I2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li-4309682953</t>
        </is>
      </c>
      <c r="B25" t="inlineStr">
        <is>
          <t>Data Engineer</t>
        </is>
      </c>
      <c r="C25" t="inlineStr">
        <is>
          <t>DataAnnotation</t>
        </is>
      </c>
      <c r="D25" t="inlineStr">
        <is>
          <t>linkedin</t>
        </is>
      </c>
      <c r="E25" t="inlineStr"/>
      <c r="F25" t="inlineStr"/>
      <c r="G25" t="inlineStr">
        <is>
          <t>Ohio, United States</t>
        </is>
      </c>
      <c r="H25" t="inlineStr"/>
      <c r="I2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li-4309680920</t>
        </is>
      </c>
      <c r="B26" t="inlineStr">
        <is>
          <t>Data Engineer</t>
        </is>
      </c>
      <c r="C26" t="inlineStr">
        <is>
          <t>DataAnnotation</t>
        </is>
      </c>
      <c r="D26" t="inlineStr">
        <is>
          <t>linkedin</t>
        </is>
      </c>
      <c r="E26" t="inlineStr"/>
      <c r="F26" t="inlineStr"/>
      <c r="G26" t="inlineStr">
        <is>
          <t>North Carolina, United States</t>
        </is>
      </c>
      <c r="H26" t="inlineStr"/>
      <c r="I2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7">
      <c r="A27" t="inlineStr">
        <is>
          <t>li-4309695599</t>
        </is>
      </c>
      <c r="B27" t="inlineStr">
        <is>
          <t>Data Engineer</t>
        </is>
      </c>
      <c r="C27" t="inlineStr">
        <is>
          <t>DataAnnotation</t>
        </is>
      </c>
      <c r="D27" t="inlineStr">
        <is>
          <t>linkedin</t>
        </is>
      </c>
      <c r="E27" t="inlineStr"/>
      <c r="F27" t="inlineStr"/>
      <c r="G27" t="inlineStr">
        <is>
          <t>Arizona, United States</t>
        </is>
      </c>
      <c r="H27" t="inlineStr"/>
      <c r="I27"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li-4365052663</t>
        </is>
      </c>
      <c r="B28" t="inlineStr">
        <is>
          <t>Data Engineer</t>
        </is>
      </c>
      <c r="C28" t="inlineStr">
        <is>
          <t>ProMach</t>
        </is>
      </c>
      <c r="D28" t="inlineStr">
        <is>
          <t>linkedin</t>
        </is>
      </c>
      <c r="E28" t="inlineStr"/>
      <c r="F28" t="inlineStr"/>
      <c r="G28" t="inlineStr">
        <is>
          <t>Detroit, MI</t>
        </is>
      </c>
      <c r="H28" t="inlineStr"/>
      <c r="I28" t="inlineStr">
        <is>
          <t>At ProMach, we’re looking for people who want to shine. You’ll have opportunities to take your career in the direction you want. You can be creative. Strategic. Persuasive. Influential. Mechanical marvel. Customer service authority. Meticulous. A closer. A futurist.
 You’ll be challenged and rewarded. Improve our customers’ packaging performance and efficiency every day. Help build the future of packaging automation. We’re proud of that and hope you will be too.
**Do we have your attention? Keep reading.**
 ProMach is excited to add a skilled Data Engineer to the team. This role is responsible for designing, building, and maintaining data flows between Corporate IT systems. Leveraging tools such as Apache Spark and Delta Lake, this position will manage data ingestion and transformation, integrate with cloud services, ensure data quality, and collaborate with analysts to deliver data\-driven insights. Success in this position requires expertise in data modeling, SQL, Python, and CI/CD pipelines.
**Do you enjoy this work?**
* Design, build, and maintain scalable data pipelines using Databricks, Apache Spark, and Delta Lake.
* Develop and manage robust ETL/ELT workflows for data extraction, transformation, and loading from diverse source systems.
* Monitor and resolve any issues with scheduled jobs that move data.
* Contribute to designing and implementing data models and architecture for data lakes and data warehouses.
* Provide guidance on architecture and platforms that facilitate reporting and analytics needs.
* Integrate data solutions with cloud platforms (Azure, AWS, or GCP) and related services.
* Implement data quality checks, monitoring, and data governance best practices to ensure consistency, accuracy, and reliability.
* Implement and maintain CI/CD pipelines to automate deployment and streamline workflows.
* Work closely with business analysts and stakeholders to define data requirements and deliver actionable insights.
**What’s in it for you?**
 There's no monopoly on good ideas or limits to how far you can advance with our team. We offer an open, communicative environment that fosters individual initiative. We pride ourselves in being a company where people are happy and choose to build a career.
 In addition to growth opportunities, as a ProMach employee, you receive more than just a paycheck. Total compensation includes your salary,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*Please note that the pay ranges listed on external job boards, outside our posting details, do not accurately reflect our internal compensation ranges*
**If this sounds like you, we want to connect!**
* Bachelor’s Degree in Information Systems, Computer Science, or related field, or equivalent work experience.
* 3\+ years experience.
* Proven experience in data engineering and cloud\-based development.
* Expertise in Databricks and the broader Databricks ecosystem (Databricks SQL, Delta Lake, Databricks Runtime).
* Proficiency in SQL, Python, and Apache Spark.
* Experience with cloud platforms such as Azure, AWS, or GCP.
* Strong understanding of data modeling, ETL/ELT, and data warehousing concepts.
* Experience with CI/CD tools and practices.
* Excellent problem\-solving, analytical, and communication skills.
* Eager to learn new skills and step in to deliver where needed.
* Experience with SyteLine ERP, Salesforce CRM, and familiarity with BI tools such as Tableau preferred.
 Pro Mach, Inc. was named to the Inc. 5,000 list of the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**Curious about life at ProMach?** 
 Follow us on LinkedIn, Twitter, and Instagram!
 Pro 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9">
      <c r="A29" t="inlineStr">
        <is>
          <t>li-4309802012</t>
        </is>
      </c>
      <c r="B29" t="inlineStr">
        <is>
          <t>Data Engineer</t>
        </is>
      </c>
      <c r="C29" t="inlineStr">
        <is>
          <t>DataAnnotation</t>
        </is>
      </c>
      <c r="D29" t="inlineStr">
        <is>
          <t>linkedin</t>
        </is>
      </c>
      <c r="E29" t="inlineStr"/>
      <c r="F29" t="inlineStr"/>
      <c r="G29" t="inlineStr">
        <is>
          <t>Nebraska, United States</t>
        </is>
      </c>
      <c r="H29" t="inlineStr"/>
      <c r="I29"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
      <c r="A30" t="inlineStr">
        <is>
          <t>li-4309680931</t>
        </is>
      </c>
      <c r="B30" t="inlineStr">
        <is>
          <t>Data Engineer</t>
        </is>
      </c>
      <c r="C30" t="inlineStr">
        <is>
          <t>DataAnnotation</t>
        </is>
      </c>
      <c r="D30" t="inlineStr">
        <is>
          <t>linkedin</t>
        </is>
      </c>
      <c r="E30" t="inlineStr"/>
      <c r="F30" t="inlineStr"/>
      <c r="G30" t="inlineStr">
        <is>
          <t>New Jersey, United States</t>
        </is>
      </c>
      <c r="H30" t="inlineStr"/>
      <c r="I3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1">
      <c r="A31" t="inlineStr">
        <is>
          <t>li-4309680923</t>
        </is>
      </c>
      <c r="B31" t="inlineStr">
        <is>
          <t>Data Engineer</t>
        </is>
      </c>
      <c r="C31" t="inlineStr">
        <is>
          <t>DataAnnotation</t>
        </is>
      </c>
      <c r="D31" t="inlineStr">
        <is>
          <t>linkedin</t>
        </is>
      </c>
      <c r="E31" t="inlineStr"/>
      <c r="F31" t="inlineStr"/>
      <c r="G31" t="inlineStr">
        <is>
          <t>Washington, United States</t>
        </is>
      </c>
      <c r="H31" t="inlineStr"/>
      <c r="I31"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li-4309688809</t>
        </is>
      </c>
      <c r="B32" t="inlineStr">
        <is>
          <t>Data Engineer</t>
        </is>
      </c>
      <c r="C32" t="inlineStr">
        <is>
          <t>DataAnnotation</t>
        </is>
      </c>
      <c r="D32" t="inlineStr">
        <is>
          <t>linkedin</t>
        </is>
      </c>
      <c r="E32" t="inlineStr"/>
      <c r="F32" t="inlineStr"/>
      <c r="G32" t="inlineStr">
        <is>
          <t>Massachusetts, United States</t>
        </is>
      </c>
      <c r="H32" t="inlineStr"/>
      <c r="I32"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3">
      <c r="A33" t="inlineStr">
        <is>
          <t>li-4309684873</t>
        </is>
      </c>
      <c r="B33" t="inlineStr">
        <is>
          <t>Data Engineer</t>
        </is>
      </c>
      <c r="C33" t="inlineStr">
        <is>
          <t>DataAnnotation</t>
        </is>
      </c>
      <c r="D33" t="inlineStr">
        <is>
          <t>linkedin</t>
        </is>
      </c>
      <c r="E33" t="inlineStr"/>
      <c r="F33" t="inlineStr"/>
      <c r="G33" t="inlineStr">
        <is>
          <t>Indiana, United States</t>
        </is>
      </c>
      <c r="H33" t="inlineStr"/>
      <c r="I33"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
      <c r="A34" t="inlineStr">
        <is>
          <t>li-4309687790</t>
        </is>
      </c>
      <c r="B34" t="inlineStr">
        <is>
          <t>Data Engineer</t>
        </is>
      </c>
      <c r="C34" t="inlineStr">
        <is>
          <t>DataAnnotation</t>
        </is>
      </c>
      <c r="D34" t="inlineStr">
        <is>
          <t>linkedin</t>
        </is>
      </c>
      <c r="E34" t="inlineStr"/>
      <c r="F34" t="inlineStr"/>
      <c r="G34" t="inlineStr">
        <is>
          <t>South Dakota, United States</t>
        </is>
      </c>
      <c r="H34" t="inlineStr"/>
      <c r="I3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
      <c r="A35" t="inlineStr">
        <is>
          <t>li-4309684871</t>
        </is>
      </c>
      <c r="B35" t="inlineStr">
        <is>
          <t>Data Engineer</t>
        </is>
      </c>
      <c r="C35" t="inlineStr">
        <is>
          <t>DataAnnotation</t>
        </is>
      </c>
      <c r="D35" t="inlineStr">
        <is>
          <t>linkedin</t>
        </is>
      </c>
      <c r="E35" t="inlineStr"/>
      <c r="F35" t="inlineStr"/>
      <c r="G35" t="inlineStr">
        <is>
          <t>Montana, United States</t>
        </is>
      </c>
      <c r="H35" t="inlineStr"/>
      <c r="I3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
      <c r="A36" t="inlineStr">
        <is>
          <t>li-4346695985</t>
        </is>
      </c>
      <c r="B36" t="inlineStr">
        <is>
          <t>Senior Data Engineer</t>
        </is>
      </c>
      <c r="C36" t="inlineStr">
        <is>
          <t>Enformion</t>
        </is>
      </c>
      <c r="D36" t="inlineStr">
        <is>
          <t>linkedin</t>
        </is>
      </c>
      <c r="E36" t="inlineStr"/>
      <c r="F36" t="inlineStr"/>
      <c r="G36" t="inlineStr">
        <is>
          <t>Sacramento, CA</t>
        </is>
      </c>
      <c r="H36" t="inlineStr"/>
      <c r="I36" t="inlineStr">
        <is>
          <t>Enformion is a dynamic and innovative data and analytics company that assists digital marketplaces in fraud prevention, risk management, seamless user onboarding, and fostering trust between shoppers and merchants. Our AI\-powered solutions leverage extensive data intelligence and advanced behavioral analysis, enabling continuous monitoring for emerging risk indicators.
**Who We Want**
 Do you live for working on challenging Big Data problems at a massive scale? Are you the type that intimately knows the ins and outs of Big data development with the expert knowledge and experience to push your hardware to the limits? If yes, then we want you.
 We are looking for a Senior Data Engineer to help our engineering team build a modern data processing platform using Spark, EMR and other relational and noSQL databases. We are investing resources into setting up a more flexible and scalable data infrastructure to support the addition of new data sets and improve overall data quality. An ideal candidate will be excited to be in a small size company with a startup mindset that moves quickly on a constant flow of ideas, is able to weed through the maze of Big data tools and potential approaches to find the best possible solution and architecture.
**Salary \- $110K \- $125K**
**Responsibilities**
* Implement and maintain big data platform and infrastructure
* Develop, optimize and tune MySQL stored procedures, scripts, and indexes
* Develop Hive schemas and scripts, Spark Jobs using pyspark and Scala and UDFs in Java
* Design, develop and maintain automated, complex, and efficient ETL processes to do batch records\-matching of multiple large\-scale datasets, including supporting documentation
* Develop and maintains pipelines using Airflow or any other tools to monitor, debug, and analyze data pipelines
* Troubleshoot Hadoop cluster and query issues, evaluate query plans, and optimize schemas and queries
* Strong interpersonal skills to resolve problems in a professional manner, lead working groups, and negotiate consensus
**Qualifications \&amp; Skills**
* BS, MS, or PhD in Computer Science or related field
* 5\+ years minimum experience in language such as Java, Scala, PySpark, Perl, Shell Scripting and Python
* Working knowledge of the Hadoop ecosystem applications (MapReduce, YARN, Pig, Hbase, Hive, Spark and more!)
* Strong Experience working with data pipelines in multi\-terabyte data warehouses. Experience in dealing with performance and scalability issues
* Strong SQL (MySQL, Hive, etc.) and No\-SQL (MongoDB, Hbase, etc.) skills, including writing complex queries and performance tuning
* Knowledge of data modeling, partitioning, indexing, and architectural database design.
* Experience using Source Code and Version Control systems like GIT etc.
* Experience on continuous build and test process using tools such as GitLab, SBT, Postman, etc.
* Experience with Search Engines, Name/Address Matching, or Linux text processing
**Preferred:**
* Knowledge of cluster configuration, Hadoop administration and performance tuning are a huge plus.
* Distributed computing principles and experience in big data technologies including performance tuning
* Machine Learning
**Location**
 Remote</t>
        </is>
      </c>
    </row>
    <row r="37">
      <c r="A37" t="inlineStr">
        <is>
          <t>li-4309682950</t>
        </is>
      </c>
      <c r="B37" t="inlineStr">
        <is>
          <t>Data Engineer</t>
        </is>
      </c>
      <c r="C37" t="inlineStr">
        <is>
          <t>DataAnnotation</t>
        </is>
      </c>
      <c r="D37" t="inlineStr">
        <is>
          <t>linkedin</t>
        </is>
      </c>
      <c r="E37" t="inlineStr"/>
      <c r="F37" t="inlineStr"/>
      <c r="G37" t="inlineStr">
        <is>
          <t>Virginia, United States</t>
        </is>
      </c>
      <c r="H37" t="inlineStr"/>
      <c r="I37"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8">
      <c r="A38" t="inlineStr">
        <is>
          <t>li-4309686846</t>
        </is>
      </c>
      <c r="B38" t="inlineStr">
        <is>
          <t>Data Engineer</t>
        </is>
      </c>
      <c r="C38" t="inlineStr">
        <is>
          <t>DataAnnotation</t>
        </is>
      </c>
      <c r="D38" t="inlineStr">
        <is>
          <t>linkedin</t>
        </is>
      </c>
      <c r="E38" t="inlineStr"/>
      <c r="F38" t="inlineStr"/>
      <c r="G38" t="inlineStr">
        <is>
          <t>Kentucky, United States</t>
        </is>
      </c>
      <c r="H38" t="inlineStr"/>
      <c r="I38"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9">
      <c r="A39" t="inlineStr">
        <is>
          <t>li-4309688816</t>
        </is>
      </c>
      <c r="B39" t="inlineStr">
        <is>
          <t>Data Engineer</t>
        </is>
      </c>
      <c r="C39" t="inlineStr">
        <is>
          <t>DataAnnotation</t>
        </is>
      </c>
      <c r="D39" t="inlineStr">
        <is>
          <t>linkedin</t>
        </is>
      </c>
      <c r="E39" t="inlineStr"/>
      <c r="F39" t="inlineStr"/>
      <c r="G39" t="inlineStr">
        <is>
          <t>Vermont, United States</t>
        </is>
      </c>
      <c r="H39" t="inlineStr"/>
      <c r="I39"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0">
      <c r="A40" t="inlineStr">
        <is>
          <t>li-4309687779</t>
        </is>
      </c>
      <c r="B40" t="inlineStr">
        <is>
          <t>Data Engineer</t>
        </is>
      </c>
      <c r="C40" t="inlineStr">
        <is>
          <t>DataAnnotation</t>
        </is>
      </c>
      <c r="D40" t="inlineStr">
        <is>
          <t>linkedin</t>
        </is>
      </c>
      <c r="E40" t="inlineStr"/>
      <c r="F40" t="inlineStr"/>
      <c r="G40" t="inlineStr">
        <is>
          <t>Utah, United States</t>
        </is>
      </c>
      <c r="H40" t="inlineStr"/>
      <c r="I4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1">
      <c r="A41" t="inlineStr">
        <is>
          <t>li-4365071053</t>
        </is>
      </c>
      <c r="B41" t="inlineStr">
        <is>
          <t>Data Engineer</t>
        </is>
      </c>
      <c r="C41" t="inlineStr">
        <is>
          <t>ProMach</t>
        </is>
      </c>
      <c r="D41" t="inlineStr">
        <is>
          <t>linkedin</t>
        </is>
      </c>
      <c r="E41" t="inlineStr"/>
      <c r="F41" t="inlineStr"/>
      <c r="G41" t="inlineStr">
        <is>
          <t>Minneapolis, MN</t>
        </is>
      </c>
      <c r="H41" t="inlineStr"/>
      <c r="I41" t="inlineStr">
        <is>
          <t>At ProMach, we’re looking for people who want to shine. You’ll have opportunities to take your career in the direction you want. You can be creative. Strategic. Persuasive. Influential. Mechanical marvel. Customer service authority. Meticulous. A closer. A futurist.
 You’ll be challenged and rewarded. Improve our customers’ packaging performance and efficiency every day. Help build the future of packaging automation. We’re proud of that and hope you will be too.
**Do we have your attention? Keep reading.**
 ProMach is excited to add a skilled Data Engineer to the team. This role is responsible for designing, building, and maintaining data flows between Corporate IT systems. Leveraging tools such as Apache Spark and Delta Lake, this position will manage data ingestion and transformation, integrate with cloud services, ensure data quality, and collaborate with analysts to deliver data\-driven insights. Success in this position requires expertise in data modeling, SQL, Python, and CI/CD pipelines.
**Do you enjoy this work?**
* Design, build, and maintain scalable data pipelines using Databricks, Apache Spark, and Delta Lake.
* Develop and manage robust ETL/ELT workflows for data extraction, transformation, and loading from diverse source systems.
* Monitor and resolve any issues with scheduled jobs that move data.
* Contribute to designing and implementing data models and architecture for data lakes and data warehouses.
* Provide guidance on architecture and platforms that facilitate reporting and analytics needs.
* Integrate data solutions with cloud platforms (Azure, AWS, or GCP) and related services.
* Implement data quality checks, monitoring, and data governance best practices to ensure consistency, accuracy, and reliability.
* Implement and maintain CI/CD pipelines to automate deployment and streamline workflows.
* Work closely with business analysts and stakeholders to define data requirements and deliver actionable insights.
**What’s in it for you?**
 There's no monopoly on good ideas or limits to how far you can advance with our team. We offer an open, communicative environment that fosters individual initiative. We pride ourselves in being a company where people are happy and choose to build a career.
 In addition to growth opportunities, as a ProMach employee, you receive more than just a paycheck. Total compensation includes your salary,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*Please note that the pay ranges listed on external job boards, outside our posting details, do not accurately reflect our internal compensation ranges*
**If this sounds like you, we want to connect!**
* Bachelor’s Degree in Information Systems, Computer Science, or related field, or equivalent work experience.
* 3\+ years experience.
* Proven experience in data engineering and cloud\-based development.
* Expertise in Databricks and the broader Databricks ecosystem (Databricks SQL, Delta Lake, Databricks Runtime).
* Proficiency in SQL, Python, and Apache Spark.
* Experience with cloud platforms such as Azure, AWS, or GCP.
* Strong understanding of data modeling, ETL/ELT, and data warehousing concepts.
* Experience with CI/CD tools and practices.
* Excellent problem\-solving, analytical, and communication skills.
* Eager to learn new skills and step in to deliver where needed.
* Experience with SyteLine ERP, Salesforce CRM, and familiarity with BI tools such as Tableau preferred.
 Pro Mach, Inc. was named to the Inc. 5,000 list of the fastest growing private companies in the U.S. seven times. We continue to introduce innovative products, enter new markets, expand our global presence, and actively acquire new capabilities.
 We have the rewards, opportunities, and the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**Curious about life at ProMach?** 
 Follow us on LinkedIn, Twitter, and Instagram!
 Pro 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42">
      <c r="A42" t="inlineStr">
        <is>
          <t>li-4309689757</t>
        </is>
      </c>
      <c r="B42" t="inlineStr">
        <is>
          <t>Data Engineer</t>
        </is>
      </c>
      <c r="C42" t="inlineStr">
        <is>
          <t>DataAnnotation</t>
        </is>
      </c>
      <c r="D42" t="inlineStr">
        <is>
          <t>linkedin</t>
        </is>
      </c>
      <c r="E42" t="inlineStr"/>
      <c r="F42" t="inlineStr"/>
      <c r="G42" t="inlineStr">
        <is>
          <t>Minnesota, United States</t>
        </is>
      </c>
      <c r="H42" t="inlineStr"/>
      <c r="I42"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3">
      <c r="A43" t="inlineStr">
        <is>
          <t>li-4365073987</t>
        </is>
      </c>
      <c r="B43" t="inlineStr">
        <is>
          <t>Data Engineer, Sr.</t>
        </is>
      </c>
      <c r="C43" t="inlineStr">
        <is>
          <t>Centene Corporation</t>
        </is>
      </c>
      <c r="D43" t="inlineStr">
        <is>
          <t>linkedin</t>
        </is>
      </c>
      <c r="E43" t="inlineStr"/>
      <c r="F43" t="inlineStr"/>
      <c r="G43" t="inlineStr"/>
      <c r="H43" t="inlineStr"/>
      <c r="I43" t="inlineStr">
        <is>
          <t>**About The Company** 
 Centene Corporation is a diversified, national healthcare enterprise committed to transforming the health of our communities. With a focus on providing high\-quality, affordable healthcare solutions, Centene serves over 28 million members across the United States. The organization leverages innovative technology and data\-driven strategies to improve health outcomes and enhance patient experiences. Centene's dedication to diversity, inclusion, and community engagement makes it a leader in the healthcare industry, offering a dynamic work environment where professionals can contribute to meaningful change.
**About The Role** 
 We are seeking a highly skilled Data Engineer to join our team and play a pivotal role in developing and operationalizing complex data pipelines. The ideal candidate will be responsible for ensuring data is accessible, reliable, and optimized for reporting and advanced analytics. This role involves collaborating with DevSecOps engineers during continuous integration and deployment processes, guiding the design and implementation of data management procedures, and supporting the development of high\-performance data structures for business intelligence. The Data Engineer will also be instrumental in designing real\-time processing applications and maintaining data quality across Centene’s environments. This position offers an exciting opportunity to utilize cutting\-edge technologies to enhance data\-driven decision\-making and improve healthcare outcomes for millions of members.
**Qualifications** 
* Bachelor’s degree in statistics, mathematics, engineering, computer science, or a related quantitative/business field
* 4 to 6 years of relevant experience in data engineering or similar roles
* Proficiency in Python and SQL programming languages
* Experience working with Snowflake or similar cloud data platforms
* Strong understanding of data pipelines, data ingestion, transformation, validation, and automation
* Knowledge of DevSecOps practices and continuous integration/continuous deployment (CI/CD)
* Experience with real\-time data processing and high\-volume data structures
* Excellent problem\-solving and analytical skills
* Ability to work collaboratively in a team environment and communicate complex technical concepts effectively
**Responsibilities** 
* Develop and operationalize data pipelines to facilitate data consumption for reports and analytics, ensuring data ingestion, transformation, validation, and pipeline optimization
* Collaborate with DevSecOps engineers to support continuous integration and deployment activities
* Design and implement complex data management procedures, including data staging, ingestion, preparation, provisioning, and destruction
* Guide data engineers in creating large\-scale, high\-performance data structures for business intelligence and analytics
* Design, develop, and maintain real\-time processing applications and data pipelines to support live data analytics
* Ensure the quality, accuracy, and security of data as it moves across different environments
* Provide senior\-level insights into evolving data environments, processing, storage, and utilization requirements
* Develop architecture solutions using advanced programming languages and tools, ensuring scalability and efficiency
* Identify opportunities to improve data reliability, automate tasks, and enhance data quality
* Perform other duties as assigned to support organizational data initiatives
* Ensure compliance with all organizational policies and standards related to data security and management
**Benefits** 
* Competitive salary range of $87,000 to $161,300 annually
* Comprehensive health insurance plans
* 401(k) retirement savings plan with company matching
* Stock purchase plans
* Tuition reimbursement programs
* Paid time off and holiday leave
* Flexible work arrangements including remote, hybrid, field, or office\-based schedules
* Opportunities for professional growth and development
 Equal Opportunity
 Centene is an equal opportunity employer committed to fostering a diverse and inclusive workplace. We value the unique perspectives and experiences of all applicants and employees. All qualified individuals will receive consideration for employment without regard to race, color, religion, sex, sexual orientation, gender identity, national origin, disability, veteran status, or other protected characteristics.</t>
        </is>
      </c>
    </row>
    <row r="44">
      <c r="A44" t="inlineStr">
        <is>
          <t>li-4362086059</t>
        </is>
      </c>
      <c r="B44" t="inlineStr">
        <is>
          <t>Principal Data Engineer - Red Hat Sales Data Management (Raleigh Office)</t>
        </is>
      </c>
      <c r="C44" t="inlineStr">
        <is>
          <t>Red Hat</t>
        </is>
      </c>
      <c r="D44" t="inlineStr">
        <is>
          <t>linkedin</t>
        </is>
      </c>
      <c r="E44" t="inlineStr"/>
      <c r="F44" t="inlineStr"/>
      <c r="G44" t="inlineStr">
        <is>
          <t>Raleigh, NC</t>
        </is>
      </c>
      <c r="H44" t="inlineStr"/>
      <c r="I44" t="inlineStr">
        <is>
          <t>Red Hat’s Global Sales Go\-To\-Market Strategy, Incentives \&amp; Data Analytics organization is seeking a Principal Data Engineer to work with a high degree of autonomy to lead the integration, automation, and optimization of complex data solutions. In this role, you will move beyond simple execution to provide technical leadership in data massaging, reconciliation, and architectural design. You will be responsible for building robust data pipelines, ensuring data governance, and collaborating with cross\-functional teams to deliver high\-quality data products that drive business decisions.
****What will you do?****
* Advanced SQL Development: Write complex, highly optimized SQL queries across large datasets. You will be the subject matter expert for SQL query tuning and providing performance recommendations to the wider team.
* Python Automation: utilize advanced Python proficiency (including libraries such as Pandas and NumPy) to clean, massage, and merge raw datasets, automating complex data extraction and loading processes.
* Pipeline Orchestration: Design, schedule, and monitor robust data pipelines using tools like Airflow. You will take ownership of debugging workflows and resolving performance bottlenecks.
* Data Stewardship: Act as a guardian of data integrity. This includes leading initiatives on data governance, compliance, transformation, and validation audits.
* Automated Testing \&amp; CI/CD: Develop and maintain automated unit, end\-to\-end, and integration tests to ensure data accuracy. Participate actively in version control (Git) and CI/CD processes for deploying pipeline changes across environments.
* Cross\-Functional Leadership: Partner with Analysts, Engineers, and Operations teams to understand data needs and ensure data accessibility for business stakeholders from the finance and operations organizations.
* Problem Solving: Apply strong analytical skills to translate complex algorithms into efficient software solutions, converting raw data into actionable insights by identifying trends, outliers, and distributions.
****What will you bring?****
* Experience: 5\+ years of experience as a Data Engineer, BI Engineer, or Systems Analyst in an enterprise environment with large, complex data sources.
* Education: Master’s degree in Computer Science, IT, Engineering, or equivalent experience.
* Expert SQL: Deep expertise in relational databases (PostgreSQL, MSSQL, etc.) and query optimization.
* Expert Python: Strong programming skills for data querying, cleaning, and presentation, with hands\-on experience in data\-centric libraries.
* Modern Stack Experience: Working knowledge of DBT (Data Build Tool) and Snowflake data warehousing is highly desirable.
* ELT/ETL Tools: Experience with Fivetran or similar integration tools.
* Autonomy: Ability to manage multiple projects simultaneously in a fast\-paced, distributed team environment across different time zones and cultures.
* Troubleshooting: Exceptional logic and reasoning skills to troubleshoot complex data issues.
* Planning: Ability to think strategically about data architecture and project planning.
 The salary range for this position is $120,720\.00 \- $199,120\.00\.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45">
      <c r="A45" t="inlineStr">
        <is>
          <t>li-4362028605</t>
        </is>
      </c>
      <c r="B45" t="inlineStr">
        <is>
          <t>1608 - Mid-level Data Engineer</t>
        </is>
      </c>
      <c r="C45" t="inlineStr">
        <is>
          <t>Sigma Defense Systems LLC</t>
        </is>
      </c>
      <c r="D45" t="inlineStr">
        <is>
          <t>linkedin</t>
        </is>
      </c>
      <c r="E45" t="inlineStr"/>
      <c r="F45" t="inlineStr"/>
      <c r="G45" t="inlineStr">
        <is>
          <t>San Diego, CA</t>
        </is>
      </c>
      <c r="H45" t="inlineStr"/>
      <c r="I45" t="inlineStr">
        <is>
          <t>Sigma Defense is seeking a highly skilled
 **Mid\-level Data Engineer** 
 to support the Readiness and Effectiveness Measuring (SHAREM) support contract at Surface and Mine Warfighting Development Center (SMWDC) in San Diego, CA. The ideal candidate should have database entry, management, and monitoring experience.
***Equal Opportunity Employer/Veterans/Disabled: Sigma Defense Systems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**Requirements**
 Mid\-level Data Scientist shall have a minimum of the following qualifications (which may be gained concurrently):
* 5\+ years of Navy experience managing Navy computer networks
* 3\+ years of experience using Python and other programming tools to script data analysis products
* Hold and maintain certifications and/or training to maintain FLANKSPEED IL6 AZURE Privileged Access to include:
+ AZURE Administrator Associate AZ\-104
+ IAT Level II iaw DoD 8750 Approved Baseline Certifications
+ Others as required by FLANKSPEED IL6 services
* Must be a U.S. Citizen
**Computer Programs/Software:**
* Python
* Azure
**Personnel Clearance Level:**
* Candidate must possess or have the ability to obtain an active Secret security clearance or higher
* Clearance will be sponsored for the right candidate
**Essential Job Duties (** 
***not all\-inclusive***
**):**
* System administration for Naval Ship Tracking, Reporting and Analysis Tool (NSTRAT) System, to monitor the application and/or services and troubleshoot issues affecting availability
* Software Engineering and testing to develop data analysis tools and event reconstruction
* Performs database query analysis
**Salary Range:** 
 $75,000 \- $90,000 annually.
**Benefits**
* Dental and Vision Insurance
* Medical Insurance to Include HSA, FSA, and DFSA Plans
* Life and AD\&amp;D coverage
* Employee Assistance Program (EAP)
* 401(k) Plan with Company Matching Contributions
* 160 Hours of Paid Time Off (PTO)
* 12 (Floating) Holidays
* Educational Assistance
* Highly Competitive Salary</t>
        </is>
      </c>
    </row>
    <row r="46">
      <c r="A46" t="inlineStr">
        <is>
          <t>li-4345862281</t>
        </is>
      </c>
      <c r="B46" t="inlineStr">
        <is>
          <t>Data Engineer</t>
        </is>
      </c>
      <c r="C46" t="inlineStr">
        <is>
          <t>Top Stack</t>
        </is>
      </c>
      <c r="D46" t="inlineStr">
        <is>
          <t>linkedin</t>
        </is>
      </c>
      <c r="E46" t="inlineStr"/>
      <c r="F46" t="inlineStr"/>
      <c r="G46" t="inlineStr">
        <is>
          <t>Philadelphia, PA</t>
        </is>
      </c>
      <c r="H46" t="inlineStr"/>
      <c r="I46" t="inlineStr">
        <is>
          <t>Our client, an organization located in Center City, Philadelphia has retained Top Stack to assist them in hiring a Data Engineer to join their team. This is a hybrid (Tues/Wed/Thurs in office and Mon/Fri work from home), full\-time, salaried position with a competitive base, annual bonus, and a comprehensive benefits package.
 In this role, there would be a strong focus on data engineering and SQL. You would be building and maintaining robust data pipelines, ETL processes, and scalable data models to support analytics and reporting across the organization
 .
 RESPONSIBILITIE
* S:Design, develop, and maintain ETL processes using SSIS and Python, ensuring accuracy and efficiency of dat
* a.Develop and optimize SQL scripts, stored procedures, and queries for large, complex datasets in SQL Server data warehouse
* s.Collaborate with stakeholders to define data requirements, build data models, and deliver analytical solutions that drive decision
* s.Support and enhance Tableau dashboard and SSRS reports, ensuring data consistency and usabilit
* y.Monitor, troubleshoot, and optimize existing workflows and data pipelines for performance and reliability
* .Identify opportunities to improve data quality, architecture and BI processe
* s.Provide documentation and communicate project progress and updates to BI leadership and business stakeholder
* s.Support both FP\&amp;A and Business Intelligence teams in day\-to\-day operations, analysis, and reportin
* g.Utilize proprietary AI tools to enhance reporting accuracy, streamline workflows, and uncover new insight
 s.
 REQUIREMEN
* TS:Strong proficiency in SQL – complex joins, stored procedures, indexing and query optimizati
* on.Hands\-on experience with SSIS for ETL and data ingesti
* on.Strong foundation in Microsoft Excel; familiarity with pivot tables, advanced formulas, and data modeli
* ng.Experience with Tableau for reporting and visualization is a pl
* us.Exposure to SSRS and SSAS is a pl
* us.Python for data analysis or automation is a pl
 us.
 EDUCATION AND EXPERIE
* NCE:Bachelor's Degree in Computer Science, Information Systems, or a related field (or equivalent work experien
* ce).3\-5 years of relevant experience in business intelligence or data development ro
* les.Familiarity with service\-based industries and/or financial systems (e.g., general ledger) is a p
* lus.Understanding of data warehousing concepts, such as star/snowflake schema design is a p
 lus.</t>
        </is>
      </c>
    </row>
    <row r="47">
      <c r="A47" t="inlineStr">
        <is>
          <t>li-4365084721</t>
        </is>
      </c>
      <c r="B47" t="inlineStr">
        <is>
          <t>Data Engineer II (Data Stage)</t>
        </is>
      </c>
      <c r="C47" t="inlineStr">
        <is>
          <t>First Citizens Bank</t>
        </is>
      </c>
      <c r="D47" t="inlineStr">
        <is>
          <t>linkedin</t>
        </is>
      </c>
      <c r="E47" t="inlineStr"/>
      <c r="F47" t="inlineStr"/>
      <c r="G47" t="inlineStr"/>
      <c r="H47" t="inlineStr"/>
      <c r="I47" t="inlineStr">
        <is>
          <t>**About The Company**
 First Citizens Bank is a leading financial institution committed to providing exceptional banking services and innovative financial solutions to its clients. With a strong reputation for integrity, customer focus, and technological advancement, the bank continuously invests in cutting\-edge technologies to enhance its service offerings. The organization values diversity, collaboration, and professional growth, fostering an inclusive environment where employees are empowered to excel and contribute meaningfully to the company's success. As a forward\-thinking institution, First Citizens Bank emphasizes leveraging data\-driven insights to support strategic decision\-making and operational excellence.
**About The Role**
 This is a remote role that is exclusively available to candidates located in North Carolina (NC) and Arizona (AZ). The position involves end\-to\-end delivery and ongoing maintenance of both cloud\-based and on\-premises data solutions. The successful candidate will be responsible for managing analytics data platforms, data integration processes (ETL/ELT), data quality assurance, data lineage, metadata management, and data governance tools. The role requires ensuring that data projects are delivered on schedule, meet functional requirements, and uphold data integrity crucial for business operations and strategic decision\-making. The position also involves serving as a technical expert and mentor to less experienced team members, engaging in vendor management, budget planning, and auditing activities to optimize resource allocation and project efficiency. The role demands a proactive approach to building and supporting data services that align with organizational standards and business needs.
**Qualifications**
* Bachelor's Degree in Computer Science, Information Technology, Data Science, or related field and at least 2 years of experience in data engineering, database management, or similar roles.
* Alternatively, High School Diploma or GED with a minimum of 6 years of relevant experience in data engineering or related disciplines.
* Preferred qualifications include:
* 5\+ years of hands\-on experience with data engineering and data integration tools such as SQL, SAP BODS, Oracle, SQL Server, Informatica, DataStage, Netezza, SSIS.
* 3\+ years of experience working in agile engineering environments, leading multi\-time zone data teams.
* 2\+ years of experience with cloud platforms such as AWS, Snowflake, and dbt.
* 1\+ year of hands\-on experience with cloud computing services.
* Knowledge of cloud data warehousing, transactional and analytical data modeling, data quality, business reporting, and dashboards.
* Familiarity with analytics platforms, data integration, big data management, and related technologies.
* Experience with analytics delivery tools such as Python, Power BI, SSAS, and SSRS.
* Experience working with finance and regulatory reporting is a plus.
**Responsibilities**
* Lead efforts to evaluate, enhance, and optimize department systems, processes, and applications, ensuring alignment with organizational goals.
* Design, develop, and test data modules and components based on programming specifications, ensuring robust and scalable solutions.
* Develop comprehensive testing plans, validate application functions, and implement modifications within existing system architecture.
* Provide technical support for production systems by troubleshooting complex issues, anticipating maintenance needs, and ensuring system functionality for end users.
* Lead major projects, delegate tasks, and oversee quality assurance to ensure timely and accurate delivery of data solutions.
* Mentor and train team members, sharing technical expertise to foster growth and knowledge sharing within the group.
* Gather and analyze data related to user requests, determine project scope, estimate timelines, and assess system impacts.
* Review business and programming specifications, coding, documentation, and implementation plans for accuracy and compliance.
* Collaborate with architects and development teams to understand data requirements, design data pipelines, build reusable frameworks, and ensure implementation aligns with standards.
* Code complex solutions to facilitate data integration, cleansing, transformation, and control, including building processes for data transformation, metadata management, and data quality controls.
* Lead efforts with technology partners and stakeholders to address gaps in data standards, negotiate solutions, and resolve complex technical issues creatively.
**Benefits**
* Competitive salary and comprehensive benefits package.
* Health, dental, and vision insurance options.
* Retirement savings plans with company contributions.
* Paid time off and holiday leave.
* Professional development and training opportunities.
* Flexible work arrangements supporting remote work.
* Resources and support for work\-life balance.
 Equal Opportunity
 First Citizens Bank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in accordance with applicable laws.</t>
        </is>
      </c>
    </row>
    <row r="48">
      <c r="A48" t="inlineStr">
        <is>
          <t>li-4365103128</t>
        </is>
      </c>
      <c r="B48" t="inlineStr">
        <is>
          <t>Lead Data Engineer</t>
        </is>
      </c>
      <c r="C48" t="inlineStr">
        <is>
          <t>Adapture</t>
        </is>
      </c>
      <c r="D48" t="inlineStr">
        <is>
          <t>linkedin</t>
        </is>
      </c>
      <c r="E48" t="inlineStr"/>
      <c r="F48" t="inlineStr"/>
      <c r="G48" t="inlineStr"/>
      <c r="H48" t="inlineStr"/>
      <c r="I48" t="inlineStr">
        <is>
          <t>The Lead Data Engineer develops and supports business analytic reporting utilizing the latest BI tools in a cloud\-based environment.
 This position works with Data Engineers, Analysts, and Business customers to develop and deliver reports that are critical for business operational and forecasting needs.
 How you will impact the company:
 • Collaborate with Data Engineers and Business customers to automate and build analytic reporting that will reduce manual effort and assist in making business decisions.
 • Apply best practices to deliver high\-quality intuitive reporting of manufacturing data to advance the state of the art in efficiency optimization and predictive analytics.
 • Develop reports utilizing connections to manufacturing system databases and data lake to curate Enterprise\-wide financial and operational views for Business customers.
 • Provide them with leadership with highly valuable and transparent reporting that will drive decisions for the entire enterprise.
 What you need to succeed:
 • Education: Bachelor’s degree in computer science or similar
 • At least 7\-10 years of strong Data Analytics and Engineering experience
 • At least 3\-5 years of Power BI development and support
 • Experience with Microsoft Fabric and Azure
 • Experience with Microsoft One Lake, Lakehouse, Data Factory
 • Experience with Power Query and DAX
 • Experience with scripting/coding (Python and/or SQL preferred)
 • Experience developing analytic reporting and data visualizations
 • Good analytical and troubleshooting abilities
 • Good communication abilities to interact with clients, internal and external customers
 Preferred Qualifications:
 • Power BI Admin experience
 • Power Platforms admin experience
 • Experience with ETL concepts and technologies
 • Experience with Cloud\-based Big Data platforms and services.
 • Experience with databases (MS SQL Server, MySQL, Oracle, etc.) and data stores
 • Experience assembling large, complex sets of data that meet non\-functional and functional business requirements</t>
        </is>
      </c>
    </row>
    <row r="49">
      <c r="A49" t="inlineStr">
        <is>
          <t>li-4365036979</t>
        </is>
      </c>
      <c r="B49" t="inlineStr">
        <is>
          <t>Senior Data Engineer</t>
        </is>
      </c>
      <c r="C49" t="inlineStr">
        <is>
          <t>Divit Technologies, Inc.</t>
        </is>
      </c>
      <c r="D49" t="inlineStr">
        <is>
          <t>linkedin</t>
        </is>
      </c>
      <c r="E49" t="inlineStr"/>
      <c r="F49" t="inlineStr"/>
      <c r="G49" t="inlineStr"/>
      <c r="H49" t="inlineStr"/>
      <c r="I49" t="inlineStr">
        <is>
          <t>* Must have a minimum of 10\+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nodes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the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an Architect hat when required to bring new ideas to the table, thought leadership and forward thinking.
* Take a holistic approach to building solutions by thinking of the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the best solution in the industry, apply correct design patterns during development and learn best practices and data engineering tools and technologies.
* Performs any other functions and duties assigned and necessary for the smooth and efficient operation
**EDUCATION \&amp; EXPERIENCE:** 
* BS or MS in Computer Science (or related field) with 12\+ years of hands\-on software development experience working in large\-scale data processing pipelines.
* Must have skills are Apache Spark, Scala and PySpark with 2\-4 years of experience building production grade batch pipelines that handle large volumes of data.
* Must have at least 8\+ years of experience in Java and API / Microservices.
* Must have at least 5\+ years of experience in Python.
* 5\+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and Java / Spark.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systems.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Exposure to Machine Learning (ML), LLM models, using AI during coding, build with AI.
* Knowledge of Elastic APM, ELK stack and search technologies such as Elasticsearch / Solr.
* Some experience in workflow orchestration tools such as Air Flow or Apache NiFi.</t>
        </is>
      </c>
    </row>
    <row r="50">
      <c r="A50" t="inlineStr">
        <is>
          <t>li-4365090837</t>
        </is>
      </c>
      <c r="B50" t="inlineStr">
        <is>
          <t>Azure Data Engineer</t>
        </is>
      </c>
      <c r="C50" t="inlineStr">
        <is>
          <t>Themesoft Inc.</t>
        </is>
      </c>
      <c r="D50" t="inlineStr">
        <is>
          <t>linkedin</t>
        </is>
      </c>
      <c r="E50" t="inlineStr"/>
      <c r="F50" t="inlineStr"/>
      <c r="G50" t="inlineStr">
        <is>
          <t>Atlanta, GA</t>
        </is>
      </c>
      <c r="H50" t="inlineStr"/>
      <c r="I50" t="inlineStr">
        <is>
          <t>**Job Role \- Azure Data Engineer** 
**Location \- Atlanta, GA(Hybrid)** 
**Hire Type: Contract on W2** 
**Key Responsibilities** 
 • Design and implement serverless solutions using Azure Functions and Azure Durable Functions with Java.
 • Build event\-driven architectures leveraging Azure Service Bus and Azure Event Grid.
 • Deploy, manage, and optimize containerized Java applications on Azure Kubernetes Service (AKS).
 • Integrate Azure services into enterprise Java applications ensuring scalability, reliability, and security.
 • Collaborate with DevOps teams to implement CI/CD pipelines for Java\-based workloads.
 • Troubleshoot and resolve complex issues in distributed systems and microservices environments.
**Skills/Experience:** 
 • Performs as a key contributor to an engineering team that builds and supports exceptional products that provide innovative solutions to challenging business use cases, existing system and operational problems
**YOU HAVE:** 
 • 5\+ w/Bachelor’s degree
 • Experience designing and developing secure application and products.
 • BS in computer science or equivalent technical field or equivalent work experience.
 • Experience with developing, configuring and deploying applications on Microsoft Azure or any other cloud platform.
**Required Skills:** 
 • Very strong hands\-on experience with:
 • Azure Functions and Azure Durable Functions using Java
 • Azure Service Bus (messaging and queueing)
 • Azure Event Grid (event routing and pub/sub)
 • Azure Kubernetes Service (AKS) (container orchestration)
 • Proficiency in Java 11\+, Spring Boot, and microservices architecture.
 • Strong knowledge of Azure DevOps, CI/CD pipelines, and Infrastructure as Code (IaC) tools like Terraform or Bicep.
 • Experience with monitoring and logging using Azure Monitor, Application Insights, etc.
 • Solid understanding of security best practices in Azure (RBAC, Managed Identities, Networking).</t>
        </is>
      </c>
    </row>
    <row r="51">
      <c r="A51" t="inlineStr">
        <is>
          <t>li-4362067167</t>
        </is>
      </c>
      <c r="B51" t="inlineStr">
        <is>
          <t>Analytics Engineer</t>
        </is>
      </c>
      <c r="C51" t="inlineStr">
        <is>
          <t>RemoteHunter</t>
        </is>
      </c>
      <c r="D51" t="inlineStr">
        <is>
          <t>linkedin</t>
        </is>
      </c>
      <c r="E51" t="inlineStr"/>
      <c r="F51" t="inlineStr"/>
      <c r="G51" t="inlineStr"/>
      <c r="H51" t="inlineStr"/>
      <c r="I51"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li-4365079775</t>
        </is>
      </c>
      <c r="B52" t="inlineStr">
        <is>
          <t>Data Engineer</t>
        </is>
      </c>
      <c r="C52" t="inlineStr">
        <is>
          <t>Michael Page</t>
        </is>
      </c>
      <c r="D52" t="inlineStr">
        <is>
          <t>linkedin</t>
        </is>
      </c>
      <c r="E52" t="inlineStr"/>
      <c r="F52" t="inlineStr"/>
      <c r="G52" t="inlineStr">
        <is>
          <t>Philadelphia, PA</t>
        </is>
      </c>
      <c r="H52" t="inlineStr"/>
      <c r="I52" t="inlineStr">
        <is>
          <t>We are seeking a skilled Data Engineer. The ideal candidate will be responsible for designing, implementing, and maintaining robust data pipelines and systems to support business goals.
**Client Details** 
 The consultancy firm is known for its innovative approach to technology and its commitment to delivering cutting\-edge solutions to its clients.
**Description** 
* Design and develop scalable data pipelines and systems to meet business needs.
* Collaborate with cross\-functional teams to gather and interpret data requirements.
* Optimize data storage and retrieval processes for efficiency and performance.
* Ensure data accuracy, integrity, and security within the database systems.
* Develop and maintain ETL processes for data integration and transformation.
* Monitor and troubleshoot data workflows to ensure seamless operations.
* Implement best practices for data architecture and engineering.
* Stay updated on emerging data engineering technologies and trends.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A successful Data Engineer should have:
* Proficiency in data engineering tools and technologies such as SQL, Python, and cloud platforms.
* Strong problem\-solving skills and attention to detail.
* Experience in building and managing data pipelines and ETL processes.
* Knowledge of data modeling and database design principles.
* Ability to work collaboratively in a team\-oriented environment.
**Job Offer** 
* Opportunity to work with a leading company in the Technology \&amp; Telecoms industry.
* Comprehensive benefits package and supportive work environment.
* Engaging projects with room for professional growth and development.
 If you are passionate about data engineering and are excited about this opportunity, we encourage you to apply today!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is>
      </c>
    </row>
    <row r="53">
      <c r="A53" t="inlineStr">
        <is>
          <t>li-4365073229</t>
        </is>
      </c>
      <c r="B53" t="inlineStr">
        <is>
          <t>Lead Data Engineer-AWS (Full Time Role)</t>
        </is>
      </c>
      <c r="C53" t="inlineStr">
        <is>
          <t>Infojini Inc</t>
        </is>
      </c>
      <c r="D53" t="inlineStr">
        <is>
          <t>linkedin</t>
        </is>
      </c>
      <c r="E53" t="inlineStr"/>
      <c r="F53" t="inlineStr"/>
      <c r="G53" t="inlineStr">
        <is>
          <t>New Jersey, United States</t>
        </is>
      </c>
      <c r="H53" t="inlineStr"/>
      <c r="I53" t="inlineStr">
        <is>
          <t>**Job Title: Lead Data Engineer\-AWS** 
**Location: Jersey City, NJ – 4 days in a week (Hybrid)** 
**Job Type: Full Time Permanent Role (NO C2C/C2H/1099\)** 
**Work Authorization: This role is not eligible for company sponsorship now or in future** 
**Overall Experience: 12\+ Years** 
**Key Skills: Migration** 
 ,
 **Snowflake, SQL, Python, Spark, AWS\- Glue, Big Data** 
**Responsibilities:** 
* Lead the design, development, and implementation of data solutions using AWS and Snowflake.
* Collaborate with cross\-functional teams to understand business requirements and translate them into technical solutions.
* Develop and maintain data pipelines, ensuring data quality, integrity, and security.
* Optimize data storage and retrieval processes to support data warehousing and analytics.
* Provide technical leadership and mentorship to junior data engineers.
* Work closely with stakeholders to gather requirements and deliver data\-driven insights.
* Ensure compliance with industry standards and best practices in data engineering.
* Utilize knowledge of insurance, particularly claims and loss, to enhance data solutions.
**Must have:** 
* 8\+ years of relevant experience in Data Engineering and delivery.
* 8\+ years of relevant work experience in Big Data Concepts. Worked on cloud implementations.
* Strong experience with SQL, python and Pyspark
* Good understanding of Data ingestion and data processing frameworks
* Good experience in Snowflake, SQL, AWS (glue, EMR, S3, Aurora, RDS, AWS architecture)
* Good aptitude, strong problem\-solving abilities, analytical skills, and ability to take ownership as appropriate.
* Should be able to do coding, debugging, performance tuning, and deploying the apps to the Production environment.
* Experience working in Agile Methodology
**Good to have:** 
 Have experience in DevOps tools (Jenkins, GIT etc.) and practices, continuous integration, and delivery (CI/CD) pipelines.
 Worked on cloud implementations, data migration, Data Vault 2\.0, etc.</t>
        </is>
      </c>
    </row>
    <row r="54">
      <c r="A54" t="inlineStr">
        <is>
          <t>li-4362132650</t>
        </is>
      </c>
      <c r="B54" t="inlineStr">
        <is>
          <t>Data Engineer</t>
        </is>
      </c>
      <c r="C54" t="inlineStr">
        <is>
          <t>Jobs via Dice</t>
        </is>
      </c>
      <c r="D54" t="inlineStr">
        <is>
          <t>linkedin</t>
        </is>
      </c>
      <c r="E54" t="inlineStr"/>
      <c r="F54" t="inlineStr"/>
      <c r="G54" t="inlineStr"/>
      <c r="H54" t="inlineStr"/>
      <c r="I54" t="inlineStr">
        <is>
          <t>Dice is the leading career destination for tech experts at every stage of their careers. Our client, Excelra Inc., is seeking the following. Apply via Dice today!
**Role responsibilities:**
* Build automated computational pipelines for in vitro data capture, processing, quality control, and ingestion into centralized databases.
* Develop scalable data visualization dashboards and reporting tools to enable routine analysis, experiment review, and crossstudy comparisons.
* Contribute to the development and integration of AIenabled tools, including earlystage AI agent workflows, to enhance data accessibility and scientific productivity.
* Collaborate with biologists, data scientists, and informatics partners to understand data needs and deliver robust, analysisready solutions.
* Communicate project progress, challenges, and deliverables proactively with the manager and key stakeholder
* MS or BS in Computer Science, Data Engineering, Bioinformatics, Data Science, or a related field.
* 4\-5 years (MS) or 5\-7 years (BS) post\-graduate working experience in biotech/pharma industry.
* Strong experience developing data pipelines and analytical workflows using Python and/or R.
* Demonstrated experience building interactive data visualization dashboards or reporting tools.
* Experience working with backend databases and exposure to machine learning operations (MLOps) concepts</t>
        </is>
      </c>
    </row>
    <row r="55">
      <c r="A55" t="inlineStr">
        <is>
          <t>li-4359651807</t>
        </is>
      </c>
      <c r="B55" t="inlineStr">
        <is>
          <t>Data Engineer - Viasat Government</t>
        </is>
      </c>
      <c r="C55" t="inlineStr">
        <is>
          <t>Viasat</t>
        </is>
      </c>
      <c r="D55" t="inlineStr">
        <is>
          <t>linkedin</t>
        </is>
      </c>
      <c r="E55" t="inlineStr"/>
      <c r="F55" t="inlineStr"/>
      <c r="G55" t="inlineStr">
        <is>
          <t>Rhode Island, United States</t>
        </is>
      </c>
      <c r="H55" t="inlineStr"/>
      <c r="I5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56">
      <c r="A56" t="inlineStr">
        <is>
          <t>li-4361958308</t>
        </is>
      </c>
      <c r="B56" t="inlineStr">
        <is>
          <t>Lead AWS Data Engineer (Visa independents- USC GC only)</t>
        </is>
      </c>
      <c r="C56" t="inlineStr">
        <is>
          <t>Yochana</t>
        </is>
      </c>
      <c r="D56" t="inlineStr">
        <is>
          <t>linkedin</t>
        </is>
      </c>
      <c r="E56" t="inlineStr"/>
      <c r="F56" t="inlineStr"/>
      <c r="G56" t="inlineStr">
        <is>
          <t>St Louis, MO</t>
        </is>
      </c>
      <c r="H56" t="inlineStr"/>
      <c r="I56" t="inlineStr">
        <is>
          <t>**Role :** 
**Lead AWS Data Engineer** 
**Location :** 
**St. Louis, MO(Onsite)** 
**Job Type: Full Time** 
**Over All Work Experience : 12\+ Years** 
 Job Description
 • Design and build scalable, cloud\-native data platforms using
 **PySpark, Python,** 
 and modern data engineering practices.
 Solid understanding of EMR Serverless, Apache Airflow, DAGs, Iceberg
 **S3, SQS, DLQ, Lambda, AWS** 
 Lake Formation, Glue, Athena, Data Pipelines, Databricks Unity catalog, DBX S3
**Regards** 
**Mamatha k,** 
**Sr. Resource Specialist,** 
 Email:
 **mamatha@yochana.com**
 /
 **www.yochana.com**</t>
        </is>
      </c>
    </row>
    <row r="57">
      <c r="A57" t="inlineStr">
        <is>
          <t>li-4311398315</t>
        </is>
      </c>
      <c r="B57" t="inlineStr">
        <is>
          <t>Senior Staff Data Engineer</t>
        </is>
      </c>
      <c r="C57" t="inlineStr">
        <is>
          <t>CME Group</t>
        </is>
      </c>
      <c r="D57" t="inlineStr">
        <is>
          <t>linkedin</t>
        </is>
      </c>
      <c r="E57" t="inlineStr"/>
      <c r="F57" t="inlineStr"/>
      <c r="G57" t="inlineStr">
        <is>
          <t>Chicago, IL</t>
        </is>
      </c>
      <c r="H57" t="inlineStr"/>
      <c r="I57" t="inlineStr">
        <is>
          <t>We are seeking a hands\-on Technology Specialist to lead our database modernization efforts as we migrate from legacy on\-premise databases to strategic cloud platforms. This role requires deep expertise in Google Cloud Platform \- specifically Cloud SQL, AlloyDB, and Bigtable \- alongside advanced proficiency in Python for building scalable data pipelines and automation. You will be responsible for tackling systemic performance challenges, managing our database fleet programmatically, and serving as the go\-to expert for our development and reliability teams. Your technical leadership will directly ensure our new cloud infrastructure is performant, stable, and built for scale.
**Core Responsibilities**
* Cloud Architecture: Design robust, scalable, and cost\-effective data architectures on Google Cloud Platform (GCP), focusing on Cloud SQL, AlloyDB, and Bigtable.
* Database Performance \&amp; Optimization: Lead performance tuning and optimization efforts for PostgreSQL, diagnosing and resolving complex issues stemming from our legacy Oracle Exadata environment.
* Data Pipeline Development: Build and maintain resilient, cloud\-native data pipelines (ETL/ELT) using Python and GCP services such as Dataflow, BigQuery, and Pub/Sub.
* Automation \&amp; Infrastructure as Code (IaC): Develop and implement automation in Python for performance monitoring, remediation, and infrastructure management using IaC tools like Terraform.
* Migration \&amp; Modernization: Guide the technical execution of migrating large, complex databases from Oracle to PostgreSQL on GCP, ensuring data integrity and performance.
* Mentorship \&amp; Guidance: Serve as a subject matter expert and mentor for development and data reliability teams on PostgreSQL and GCP best practices, helping to elevate the team's technical capabilities.
**Required Qualifications \&amp; Experience**
* Experience: 7\-10 years of professional experience in a data engineering or database specialist role, with a proven track record of building and maintaining production\-grade cloud data systems.
* Google Cloud Platform (GCP) Expertise: Deep, hands\-on expertise with GCP, including architecting solutions with BigQuery, Dataflow, Cloud Storage, Pub/Sub, Cloud SQL, and AlloyDB.
* Python Proficiency: 6\+ years of advanced Python development experience for data processing, automation, and building ETL/ELT pipelines.
* Database Expertise:
+ Expert\-level knowledge of PostgreSQL internals (query planner, indexing, vacuuming, locking mechanisms) and performance tuning.
+ Proven experience migrating large, complex databases from Oracle (ideally Exadata) to PostgreSQL.
+ Strong professional experience with other enterprise databases like MS SQL Server.
* DevOps \&amp; IaC: Demonstrable experience building CI/CD pipelines (e.g., GitLab CI, Jenkins) and managing infrastructure as code (IaC) with Terraform.
* Experience with data orchestration tools such as Apache Airflow or Cloud Composer.
* Experience with other GCP data services like Bigtable and Memory Store (Redis).
* Experience with enterprise database monitoring and administration tools (e.g., IDERA, SCOM, Oracle OEM).
* Understanding of data privacy and compliance standards (e.g., HIPAA, GDPR).
 CME Group is committed to offering a competitive total rewards package for our employees that recognizes their contributions to the business and reflects our long\-term investment in their future. The pay range for this role is $135,000\-$225,000\.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58">
      <c r="A58" t="inlineStr">
        <is>
          <t>li-4346713118</t>
        </is>
      </c>
      <c r="B58" t="inlineStr">
        <is>
          <t>Data Engineer - SailPoint IAM</t>
        </is>
      </c>
      <c r="C58" t="inlineStr">
        <is>
          <t>First American</t>
        </is>
      </c>
      <c r="D58" t="inlineStr">
        <is>
          <t>linkedin</t>
        </is>
      </c>
      <c r="E58" t="inlineStr"/>
      <c r="F58" t="inlineStr"/>
      <c r="G58" t="inlineStr">
        <is>
          <t>Santa Ana, CA</t>
        </is>
      </c>
      <c r="H58" t="inlineStr"/>
      <c r="I58"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\*\*Remote Work Welcome\*\*
 Be part of a transformative team that is shaping the way First American builds and delivers world\-class technology products that fuel the real estate industry. We are looking for the best\-of\-the\-best technology experts who will envision, design, build, and deliver innovative solutions that provide exceptional experiences and lasting value to our customers.
 First American is seeking identity and access management engineering candidates to grow our team. An ideal candidate has strong technical expertise, a data and integration mindset, and takes a hands\-on approach to building high\-quality, scalable, and secure identity solutions. As a SailPoint IAM Data Engineer, you will design, build, and maintain identity data integrations and pipelines that drive enterprise access governance, automation, and compliance.
**What You’ll Do:**
* Design, develop, and maintain SailPoint integrations with enterprise systems including HR platforms, Active Directory/LDAP, cloud applications, databases, and ERPs.
* Build and optimize identity data pipelines to support accurate aggregation, correlation, normalization, and reconciliation of identity and access data.
* Develop and maintain SailPoint rules, transforms, and aggregation logic to support identity lifecycle events, access certifications, and role\-based access models.
* Partner with IAM engineers, security teams, HR, and application owners to onboard systems and define integration requirements.
* Troubleshoot and resolve data ingestion and correlation issues to ensure reliable and auditable SailPoint operations.
* Support audit and compliance efforts by ensuring data accuracy, traceability, and documentation.
* Contribute to improvements in data performance, scalability, and IAM integration patterns.
**What You’ll Bring:**
* Bachelor’s degree in Computer Science, Information Systems, or a related field, or equivalent practical experience.
* 3\+ years of experience in data engineering, identity and access management, or enterprise system integrations.
* Hands\-on experience with SailPoint IdentityIQ and/or SailPoint IdentityNow in a production enterprise environment.
* Strong understanding of identity and access management concepts including accounts, entitlements, roles, access certifications, and lifecycle events.
* Experience working with SQL and relational databases to query, transform, and validate identity data.
* Proficiency in Java, BeanShell, or Groovy, particularly for developing SailPoint rules and custom logic.
* Experience integrating systems using REST and SOAP APIs and working with CSV, XML, and JSON data formats.
* Knowledge of Active Directory, LDAP, and cloud\-based identity sources.
* Familiarity with ETL processes, data transformation techniques, and data quality best practices.
* Strong verbal and written communication skills with the ability to collaborate effectively across technical and non\-technical teams.
**Ideally, you will also have experience with:**
* Additional IAM platforms or technologies such as Okta, CyberArk, Azure Active Directory, or Workday.
* Access governance concepts, SOX controls, or other regulatory and compliance frameworks.
* Supporting large\-scale, enterprise IAM environments with complex identity data integrations.
* Scripting or automation experience to support data processing, monitoring, or operational tasks.
* Working within highly regulated industries such as Financial Services, Insurance, or Healthcare.
 \#ST2
 Pay Range: $97,700\.00 \- $130,300\.00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59">
      <c r="A59" t="inlineStr">
        <is>
          <t>li-4361997584</t>
        </is>
      </c>
      <c r="B59" t="inlineStr">
        <is>
          <t>Data Engineer</t>
        </is>
      </c>
      <c r="C59" t="inlineStr">
        <is>
          <t>Jobs via Dice</t>
        </is>
      </c>
      <c r="D59" t="inlineStr">
        <is>
          <t>linkedin</t>
        </is>
      </c>
      <c r="E59" t="inlineStr"/>
      <c r="F59" t="inlineStr"/>
      <c r="G59" t="inlineStr">
        <is>
          <t>Sandy, UT</t>
        </is>
      </c>
      <c r="H59" t="inlineStr"/>
      <c r="I59" t="inlineStr">
        <is>
          <t>Dice is the leading career destination for tech experts at every stage of their careers. Our client, ConsultNet, LLC, is seeking the following. Apply via Dice today!
 Data Engineer (hybrid)
 Salt Lake City (hybrid)
 6\-month contract
 Pay: $65 \- $75/hr
 Job Description:
 Our client is looking for a Data Engineer to help build out a new data warehouse. This engineer understands collaboration and attention to detail as well as data visualization and has experience within the insurance industry. This is a fast\-paced working environment, and embraces change to keep up with industry trends and technology.
 Responsibilities:
* Support the internal company community by offering guidance on data governance, facilitating training, and encouraging collaboration across teams.
* Use critical thinking and creative approaches to design new data warehousing.
* Design and create large data warehousing.
* Keep abreast of emerging technologies to explore innovative ways to enhance analytics, automation, and enterprise decision\-making.
 Required Skills:
* Bachelor's degree preferred (data science or statistics). More than 5 years of experience if no degree.
* Minimum of five years of relevant professional experience; insurance industry experience is a plus.
* Pyspark
* Python
* Fabric \- data governance, notifications, optimization (we want a unicorn who is amazing at Fabric)
* Very strong SQL experience
* Building facts and dims in a data warehouse (Kimball/dimensional/star schema experience)
* Any insurance data experience is a huge plus
* Demonstrated initiative and strong problem\-solving abilities.
 Welcome to ConsultNet and the family of companies, Tekne, SaltClick, TechBridge, and OmniMedia. As a premier national provider of technology talent and solutions, our expertise spans across project services, contract\-to\-hire, direct placement, and managed services both onshore and nearshore.
 Celebrating more than 25 years of partnership with a diverse client base, we've crafted rewarding opportunities for our consultants, fostering high\-performing teams that deliver impactful results.
 Over the last few years thousands of consultants have found their calling with us in roles that have made a meaningful impact on their lives, enhanced their career, challenged them, and propelled them towards achieving their personal and professional goals. At the ConsultNet family of companies, we believe effective communication is crucial in aligning the right job with your unique skills and professional aspirations. To us, it's all about the personal approach we take and the values we uphold.
 Our comprehensive service offerings cover a wide range of technology positions across key markets nationwide. Client more at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60">
      <c r="A60" t="inlineStr">
        <is>
          <t>li-4336717965</t>
        </is>
      </c>
      <c r="B60" t="inlineStr">
        <is>
          <t>Sr. AI/ML Data Engineer</t>
        </is>
      </c>
      <c r="C60" t="inlineStr">
        <is>
          <t>Public Storage</t>
        </is>
      </c>
      <c r="D60" t="inlineStr">
        <is>
          <t>linkedin</t>
        </is>
      </c>
      <c r="E60" t="inlineStr"/>
      <c r="F60" t="inlineStr"/>
      <c r="G60" t="inlineStr">
        <is>
          <t>Plano, TX</t>
        </is>
      </c>
      <c r="H60" t="inlineStr"/>
      <c r="I60" t="inlineStr">
        <is>
          <t>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
 We've been recognized as
 **A Great Place to Work** 
 by the Great Place to Work Institute. And, our employees have also voted us as having
 **Best Career Growth** 
 , ranked us in the
 **Top 5% for Work Culture** 
 , and in the
 **Top 10% for Diversity and Inclusion** 
 .
 We're a member of the
 **S\&amp;P 500** 
 and
 **FT Global 500** 
 . Our common and preferred stocks trade on the New York Stock Exchange.
**\*\*Sponsorship for Work Authorization is not available for this posting. Candidates must be authorized to work in the U.S. without requiring sponsorship now or in the future\*\***
**Job Description**
**Overview**
 Public Storage is the world’s best owner and operator of self\-storage facilities, serving millions of customers across 3,000\+ locations. Public Storage’s
 **Data and AI organization operates like a high\-velocity startup inside the enterprise** 
 —modern cloud stack, rapid iteration, small expert teams, and direct impact on revenue\-critical decisions every day. Our platform is built on
 **Google Cloud (BigQuery, Vertex AI, Pub/Sub, DataFlow, Cloud Run, GKE/Terraform), dbt cloud, Airflow/Cloud Composer,** 
 and modern CI/CD practices. We build solutions that driver significant business impact across both digital and physical. Engineers on our team work end\-to\-end: designing systems, shipping production workloads, influencing architecture, and shaping how AI is applied at national scale.
 We build for both short and long\-term – we are a
 **dynamic, high\-velocity engineering team** 
 that moves quickly from idea to production. This is a role for someone who wants to own key parts of the data \&amp; ML platform, make immediate impact, and thrive in an environment where requirements evolve, decisions matter, and results are visible.
 You are a passionate, full\-stack data \&amp; ML engineer who loves to write code, build systems, fun and spirited debates about the “right” architecture for the specific use case.
 **In addition to tech skills, we believe in teaching the soft leadership skills you need to advance your career over the long term.**
**Data Engineering \&amp; Pipeline Development (Primary) (60%)**
* Architect, build and maintain
 **batch and streaming pipelines** 
 using BigQuery, dbt, Airflow/Cloud Composer, and Pub/Sub
* Define and implement layered data models, semantic layers, and modular pipelines that scale as use\-cases evolve
* Establish and enforce data\-quality, observability, lineage, and schema governance practices
* Drive efficient BigQuery design (clustering, partitioning, cost\-awareness) for structured tabluar data primarily and unstructured data (web logs, call center transcripts, images/videos etc) when the use case requires it.
* Leverage ML/DS capabilities in BQML for anomaly detection and disposition
* **You will be accountable for delivering reliable, performant pipelines that enable downstream ML and analytics**
**ML/AI Platform Engineering (20%)**
* Transform prototype notebooks / models into
 **production\-grade, versioned, testable Python packages**
* Deploy and manage training and inference workflows on GCP (Cloud Run, GKE, Vertex AI) with CI/CD, version tracking, rollback capabilities
* Evaluate new products from GCP or vendors; build internal toolkits, shared libraries and pipeline templates that accelerate delivery across teams
* **You will enable the ML team to ship faster with fewer failure\-modes**
**Applied AI \&amp; Real\-Time Decisioning (20%)**
* Support
 **real\-time, event‐driven inference** 
 and streaming feature delivery for mission\-critical decisions such as but not limited to real time recommendation systems, dynamice A/B testing and agentic AI interfacing
* Contribute to internal LLM\-based assistants, retrieval\-augmented decision models, and automation agents as the platform evolves
* Implement model monitoring, drift detection, alerting, and performance tracking frameworks
**Cross\-Functional Collaboration**
* Partner with data scientists and engineers to operationalize models, semantic layers and pipelines into maintainable production systems
* Work with pricing, digital product, analytics, and business teams to stage rollouts, support experiments and define metric\-driven success
* Participate in architecture reviews, mentor engineers, and drive technical trade\-offs with clarity
**Qualifications**
* MS in CS \+ 4\+ years experience
 **or** 
 BS in CS \+ 6\+ years experience.
* 3\+ years hands\-on building data pipelines in a code\-first environment (Python, SQL, dbt)
* At least 1 year experience in real\-time or event\-driven systems (Pub/Sub, DataFlow batch/streaming frameworks)
* At least 2 years owning technical decisions or leading engineering direction
* Demonstrated expert proficiency in:
	+ SQL \&amp; BigQuery (schema design, query performance, modeling)
	+ dbt (semantic modeling, macros, testing frameworks)
	+ Airflow/Cloud Composer (DAG patterns, retries, alerting, SLAs)
	+ GCP fundamentals (IAM, networking, container deployments)
	+ Python (structure, testing, packaging)
* You can explain why you chose a data model, how you improved it, what it mattered and how you measured it
**Preferred Experience**
* GCP or AWS cloud experience
* Experience with ML monitoring or platform tooling (MLflow, Evidently, Vertex AI)
* Knowledge of semantic search, vector embeddings, or LLM orchestration (RAG workflows)
* Domain familiarity in pricing, recommendations, forecasting or large\-scale customer analytics
* Awareness of geospatial data / map\-based modeling (nice to have)
* Some JavaScript experience (for lightweight UI/prototyping)
**Why This Role Will Excite You**
* You’ll work in
 **a fast\-moving environment** 
 where decisions aren’t put on hold and you’ll see your work drive real business outcomes
* You’ll
 **own meaningful parts of the platform** 
 , not just small tasks or legacy maintenance
* You’ll build end\-to\-end: from raw data ingestion to ML inference and finally into production integrations
* You’ll learn fast—new challenges, new tools, new domains every quarter
**Additional Information**
**Workplace**
* One of our values pillars is to work as OneTeam and we believe that there is no replacement for in\-person collaboration but understand the value of some flexibility. Public Storage teammates are expected to work in the office five days each week with the option to take up to three flexible remote days per month.
	+ Our office is based in Plano, TX \- 2201 K. Ave, Plano, TX 75074
 Public Storage is an equal opportunity employer and embraces diversity. We do not discriminate on the basis of race, color, religion, sex, sexual orientation, gender identity, national origin, age, disability, or any other protected status. All qualified candidates are encouraged to apply.
**\*\*Sponsorship for Work Authorization is not available for this posting. Candidates must be authorized to work in the U.S. without requiring sponsorship now or in the future\*\***
 REF3481D</t>
        </is>
      </c>
    </row>
    <row r="61">
      <c r="A61" t="inlineStr">
        <is>
          <t>li-4365095493</t>
        </is>
      </c>
      <c r="B61" t="inlineStr">
        <is>
          <t>Data Engineer (Microsoft Fabric)</t>
        </is>
      </c>
      <c r="C61" t="inlineStr">
        <is>
          <t>Empiric</t>
        </is>
      </c>
      <c r="D61" t="inlineStr">
        <is>
          <t>linkedin</t>
        </is>
      </c>
      <c r="E61" t="inlineStr"/>
      <c r="F61" t="inlineStr"/>
      <c r="G61" t="inlineStr"/>
      <c r="H61" t="inlineStr"/>
      <c r="I61" t="inlineStr">
        <is>
          <t>We are working with a new, fast\-growing data company in NYC. This is a small, tight\-knit team where your work truly matters. We are looking for someone entrepreneurial, hands\-on, and excited to build the backbone of their clients’ data systems.
**What You Will Do:** 
* Build and own end\-to\-end data pipelines from client ERPs, CRMs, and other systems.
* Ensure high\-quality, accurate, and efficient data flows.
* Collaborate with the team to power Power BI dashboards and reports.
* Work directly in Microsoft Fabric to design, optimize, and manage scalable data pipelines.
* Solve complex data challenges independently and document scalable processes.
**Must\-Haves:** 
* \~5\+ years of hands\-on data engineering experience building ELT/ETL pipelines.
* Strong experience with Microsoft data stack including Fabric, Data Factory, and Power BI.
* Experience with ERP systems such as SAP, NetSuite, MS Dynamics, or Oracle.
* Advanced SQL skills for optimized queries.
* U.S. Citizen or Green Card holder.
* **Entrepreneurial, self\-starter mindset, comfortable taking ownership and shaping the company’s future.**
**Why This Role:** 
* Be a core team member where your work has real impact.
* Work with a modern, cutting\-edge tech stack including Microsoft Fabric and AI tools.
* Rapid growth opportunity as the company scales.</t>
        </is>
      </c>
    </row>
    <row r="62">
      <c r="A62" t="inlineStr">
        <is>
          <t>li-4362311559</t>
        </is>
      </c>
      <c r="B62" t="inlineStr">
        <is>
          <t>Senior Software Engineer, Search Analytics Engineering</t>
        </is>
      </c>
      <c r="C62" t="inlineStr">
        <is>
          <t>Google</t>
        </is>
      </c>
      <c r="D62" t="inlineStr">
        <is>
          <t>linkedin</t>
        </is>
      </c>
      <c r="E62" t="inlineStr"/>
      <c r="F62" t="inlineStr"/>
      <c r="G62" t="inlineStr">
        <is>
          <t>Mountain View, CA</t>
        </is>
      </c>
      <c r="H62" t="inlineStr"/>
      <c r="I62" t="inlineStr">
        <is>
          <t>**Minimum qualifications:**
* Bachelor’s degree or equivalent practical experience.
* 5 years of experience with software development in Kotlin and Typescript programming languages.
* 5 years of experience designing user interfaces and user experiences for web, mobile, or desktop applications.
* 3 years of experience testing, maintaining, or launching software products, and 1 year of experience with software design and architecture.
**Preferred qualifications:**
* Master's degree or PhD in Computer Science or related technical fields.
* Experience in thought\-leadership, relationship building and management skills, with internal stakeholders and external partners.
* Experience developing accessible technologies.
* Strong technical background in front\-end or full\-stack\-related roles.
* Proficiency in Java, SQL, or Go.
* Excellent communication/presentation skills, and strong strategic and problem\-solving skills, with the ability to communicate a technical goal and roadmap.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li-4362069966</t>
        </is>
      </c>
      <c r="B63" t="inlineStr">
        <is>
          <t>Data Engineer</t>
        </is>
      </c>
      <c r="C63" t="inlineStr">
        <is>
          <t>Rio Tinto</t>
        </is>
      </c>
      <c r="D63" t="inlineStr">
        <is>
          <t>linkedin</t>
        </is>
      </c>
      <c r="E63">
        <f>HYPERLINK("https://www.linkedin.com/jobs/view/4362069966", "https://www.linkedin.com/jobs/view/4362069966")</f>
        <v/>
      </c>
      <c r="F63" t="inlineStr"/>
      <c r="G63" t="inlineStr">
        <is>
          <t>Boron, CA</t>
        </is>
      </c>
      <c r="H63" t="inlineStr"/>
      <c r="I63" t="inlineStr">
        <is>
          <t>**Data Engineer Specialist – Boron, CA**
* Propose, engage, and support data analytics and business intelligence projects
* Engineer and design complex and efficient data pipelines using Python and SQL
* Turning business use cases and requirements into technical solutions
* Continuous improvement of the data solutions for the mine technical services team
* For California based roles the expected salary is $90,000 \- $ 123,750
**About The Role**
**All progress begins with pioneers. At Rio Tinto, it begins with you.**
 We have an opportunity for a
 **Data Engineer Specialist** 
 to work with challenging and exciting analytics problems and positively impact the business while engaging with a team of engineers, geologists, and data engineers. This role will involve gaining substantial experience working with our data systems to develop state\-of\-the\-art data solutions for our business’s data problems.
 You will be regularly challenged but given the support to drive your innovations!
 Reporting to the Senior Engineer\-Strategic Mine Planning, you will support the Mine Technical Services team to design and continually improve services that solve business problems and provide insight to making improved decisions for our borates business. You will utilize your hands\-on solid coding skills in Python and SQL to
* Ensure best in class processes and techniques to develop and deploy data analytics solutions to the business
* Collect, aggregate, and analyze structured/unstructured data from multiple internal sources and provide patterns, insights, and trends to the business decision\-maker
* Utilize Palantir Foundry to flexibly manage and scale data pipelines
* Foster an innovative and “disruptive” technology culture to identify and drive value\-creating opportunities
* Help the broader Rio Tinto Borates function by advising technical complexity of identified opportunities
* Provide training and knowledge transfer to support the deployment and continuity of the analytics products developed
**About You**
 Ideally, you will have a qualification in mining engineering or an earth science related field, computer science, data science, or related fields. Experience in the mining industry would be advantageous.
 You should also have experience with some or all of the below
* Proficiency in exploring and manipulating large datasets through applications or programming interfaces.
* Demonstrated experience preparing data for business intelligence
* Ability to write and optimize SQL queries and create efficient data extract/transform/load (ETL) programs and tasks.
* Pipeline development, across different data architectures, (transactional, time series, streaming, unstructured) and storage solutions including use of APIs
* Strong analytical and problem\-solving skills to diagnose and logically resolve technical problems
* Proficiency in SQL and Python, and Power BI is a must
* Software engineering experience desirable
* Knowledge and skills in one or more of the big data frameworks, i.e., Spark, Hive, Hadoop (desirable)
* Exposure in, or willingness to learn, Palantir Foundry analytics platform
* Ability and desire to learn new skills on demand
**Where you will be working**
 This role is based in Boron, California. Flexible work arrangements are possible, but considerable time on site is required.
**About Rio Tinto**
 Rio Tinto is a leading global mining and materials company. We operate in 35 countries where we produce iron ore, copper, aluminium, critical minerals, and other materials needed for the global energy transition and for people, communities, and nations to thrive.
 We have been mining for 150 years and operate with knowledge built up across generations and continents. Our purpose is finding better ways to provide the materials the world needs – striving for innovation and continuous improvement to produce materials with low emissions and to the right environmental, social and governance standards. But we can’t do it on our own, so we’re focused on creating partnerships to solve problems, create win\-win situations and meet opportunities.
**Respect and Inclusion**
 Rio Tinto is committed to equal employment opportunity. All qualified applicants will be considered without regard to race, color, sex, age, religion, national origin, disability, or any other characteristic protected by federal, state, or local law.
 We are committed to an inclusive environment where people feel safe, respected and valued. We want our people to feel that all voices are heard and that a variety of perspectives are not only welcome but are essential to our success. We treat all our people fairly and with dignity.
 Rio Tinto participates in E\- Verify to confirm work authorization. Please visit http //www.ucis.gov/ for more information.</t>
        </is>
      </c>
    </row>
    <row r="64">
      <c r="A64" t="inlineStr">
        <is>
          <t>li-4354155682</t>
        </is>
      </c>
      <c r="B64" t="inlineStr">
        <is>
          <t>Data Engineer (Special Projects)</t>
        </is>
      </c>
      <c r="C64" t="inlineStr">
        <is>
          <t>Major League Baseball (MLB)</t>
        </is>
      </c>
      <c r="D64" t="inlineStr">
        <is>
          <t>linkedin</t>
        </is>
      </c>
      <c r="E64">
        <f>HYPERLINK("https://www.linkedin.com/jobs/view/4354155682", "https://www.linkedin.com/jobs/view/4354155682")</f>
        <v/>
      </c>
      <c r="F64">
        <f>HYPERLINK("https://www.mlb.com/careers/opportunities?gh_jid=7526889&amp;source=LinkedIn&amp;urlHash=rhUu", "https://www.mlb.com/careers/opportunities?gh_jid=7526889&amp;source=LinkedIn&amp;urlHash=rhUu")</f>
        <v/>
      </c>
      <c r="G64" t="inlineStr">
        <is>
          <t>New York, NY</t>
        </is>
      </c>
      <c r="H64" t="inlineStr"/>
      <c r="I64" t="inlineStr">
        <is>
          <t>The LAI (League Analytics and Infrastructure) team occupies a crucial strategic position, functioning at the nexus of modern analytics technology and operational strategy. This team is fundamentally responsible for the comprehensive design, deployment, and ongoing maintenance of the robust analytic cloud infrastructure. This infrastructure is the essential foundation that underpins and powers Major League Baseball's (MLB) advanced analytics operations, ensuring data accessibility, scalability, and performance for critical decision\-making across the league.
 In the role of Data Engineer, the successful candidate will operate as a hands\-on contributor, focused primarily on the technical execution of data\-centric projects and initiatives. This position reports into a Data Engineering Lead, working closely within a dedicated sub\-team of the LAI team to implement and manage the complex data pipelines and storage solutions necessary for MLB's analytical demands. Key responsibilities include, but are not limited to, developing data pipeline processes, ensuring data quality, and collaborating with other engineers and analysts to provision high\-quality, reliable data sets.
**Responsibilities**
* Pipeline Development: Build and maintain production\-grade data pipelines using Airflow and dbt to orchestrate transformations within Google Cloud Platform (GCP).
* Data Modeling: Design, build, and execute clean, reliable data models that serve as the single source of truth for downstream engineers and analysts.
* Cloud Operations: Utilize GCP services (Pub/Sub, GCS, Dataflow, DataPlex) to handle batch and streaming data ingestion from internal and external sources.
* CI/CD \&amp; Governance: Manage code deployment via GitHub and adhere to data governance best practices to ensure security and compliance.
**Qualifications \&amp; Skills** 
* Experience: 1\-2 years of hands\-on experience with data engineering in a professional or project\-based setting
* Core Stack Proficiency:
+ Python: High\-level scripting ability for data processing and automation
+ Orchestration: Experience with Airflow (DAG creation, management)
+ SQL: High\-level proficiency; ability to write complex freehand SQL
* Cloud Native: Familiarity with Google Cloud Platform (GCP) or equivalent AWS/Azure services
***Nice to Have***
* Experience with Infrastructure as Code (Terraform).
* Familiarity with containerization (Docker/Kubernetes)
* Hands\-on experience with dbt (data build tool)
* Understanding of BI platforms (Looker, Tableau) to better understand downstream needs
* A passion for baseball or previous experience in sports/media/entertainment
**Pay Rate:** 
 $23\.00\-$30\.00 per hour
 The actual offer will carefully consider a wide range of factors, including your work experience, education, skills, and any other factors MLB considers relevant to the hiring decision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65">
      <c r="A65" t="inlineStr">
        <is>
          <t>li-4365120843</t>
        </is>
      </c>
      <c r="B65" t="inlineStr">
        <is>
          <t>Data Engineer</t>
        </is>
      </c>
      <c r="C65" t="inlineStr">
        <is>
          <t>Screenverse</t>
        </is>
      </c>
      <c r="D65" t="inlineStr">
        <is>
          <t>linkedin</t>
        </is>
      </c>
      <c r="E65">
        <f>HYPERLINK("https://www.linkedin.com/jobs/view/4365120843", "https://www.linkedin.com/jobs/view/4365120843")</f>
        <v/>
      </c>
      <c r="F65" t="inlineStr"/>
      <c r="G65" t="inlineStr"/>
      <c r="H65" t="inlineStr"/>
      <c r="I65" t="inlineStr">
        <is>
          <t>**About Us**
 Screenverse stands as the world's largest and most diverse digital screen network. Our approach blends top\-tier technology with exceptional talent to optimize the monetization of digital screens in the physical world for our networks. As programmatic experts, we provide a streamlined experience through a single access point, offering expansive reach through our extensive coverage and delivering comprehensive support alongside strategic collaboration.
 We're looking for a collaborative Data Engineer who enjoys building reliable, scalable data systems that make a real\-world impact. Join our small and focused engineering team in transforming Digital out of Home, reporting to the Engineering Manager. As our founding Data Engineer, you'll build the foundation for data\-driven decision making across our continually growing customer base.
**What You'll Be Doing**
* Building out ETL pipelines and data infrastructure to support our reporting and analytics needs, owning efforts currently handled by senior engineering leadership.
* Taking ownership of data quality and reliability, implementing monitoring and governance practices that ensure our Finance, Sales, Customer Success, and Supply Partnership teams can trust the data they rely on daily.
* Stabilizing and improving our existing Postgres\-based data pipelines that power billing and revenue reconciliation processes for our Finance team. Your work will directly enable the team to scale efficiently and grow our partner base.
* Designing and implementing our migration to a modern data warehouse architecture, laying the groundwork for improved analytics and self\-service reporting capabilities.
* Contributing to our data strategy roadmap, from identifying pain points to independently driving infrastructure improvements. We’re open to adding new tools and implementing new infrastructure based on utility.
* Collaborating closely with stakeholders from our Product team to business users across the organization to understand requirements and deliver reliable data solutions.
* Establishing data engineering best practices and documentation standards as we build out the data function for future team growth.
**Who You Are**
* 3\+ years of data engineering experience, but we value quality of experience over quantity.
* Expert\-level SQL skills with deep knowledge of PostgreSQL, including database design, performance optimization, and working with large datasets.
* Experience building and maintaining high\-throughput production data pipelines, with a heavy emphasis on data quality.
* Delivery\-focused and able to succeed in a dynamic startup environment where initiative and ownership are celebrated..
* Capable of diagnosing and fixing complex data pipeline issues while simultaneously planning for future infrastructure needs.
* Data evangelist who champions best practices throughout the organization and understands the value in monitoring, testing, and proper documentation.
* Excels in a collaborative, fully remote environment and can communicate effectively with both technical and business stakeholders. Comfortable with asynchronous dialogue.
* Located anywhere in or between Pacific and Central Europe timezones. Able to join meetings between 10am and 1pm ET.
* Comfortable taking lead role on build vs buy when faced with infrastructure decisions and capable of vetting potential solutions
* Nice to haves:
+ Familiarity with Elixir or a similar programming language
+ Previous experience as first data hire or building data functions from scratch
+ Background in high\-throughput systems or ad tech platforms
**Our tech stack**
* PostgreSQL
* Elixir
* AWS
* QuickSight
* Prometheus
* Github Actions CI/CD
* Axiom
* ...and open to modern data stack tools!
**What we offer**
* Fully remote employment from anywhere in, or between, Pacific and Central Europe timezones.
* Flexible PTO and unlimited sick days.
* Comprehensive health and wellness benefits.
* Company\-matched retirement savings.
* Life, short\-term, long\-term disability coverage.
* $500 home office stipend.
* Stock options.
* Parental leave: 6 weeks of leave at full pay. Primary caregivers receive an additional 6 weeks.
* Annual Company Offsite: A dedicated time each year for the full team to connect in person, reflect, collaborate, and have fun together.
* Summer Fridays: Extra flexibility during the summer months to start the weekend early and recharge.
**Interview Plan:**
* Recruiter Screen \- 30 Minutes
* Hiring Manager Interview \- 30 Minutes
+ SVP of Engineering \&amp; Engineering Manager
* Live Technical Exercise \- 45 minutes
* Panel Interview \- 45 minutes
* 1 Engineer, 1 TAM member, VP of Product
**Salary:**
*Salary is based on a range of factors that include relevant experience, knowledge, skills and other job\-related qualifications. We expect the base salary range for this role to be between:* 
 $125,000\-$165,000 USD
 *. Our salary ranges are determined by role level and location. The actual base pay for the successful candidate in the role is dependent upon many factors, such as location, transferable, or job related skills, work experience, relevant training, business needs, and market demands. The salary range may be subject to change.*
 Screenverse is An Equal Opportunity Employer. All qualified applicants shall receive equal consideration regardless of race, color, religion, gender, marital status, gender identity or expression, sexual orientation, national origin, age, veteran status, or disability.
 Compensation Range: $125K \- $165K</t>
        </is>
      </c>
    </row>
    <row r="66">
      <c r="A66" t="inlineStr">
        <is>
          <t>li-4354241285</t>
        </is>
      </c>
      <c r="B66" t="inlineStr">
        <is>
          <t>Data Engineer</t>
        </is>
      </c>
      <c r="C66" t="inlineStr">
        <is>
          <t>Vestwell</t>
        </is>
      </c>
      <c r="D66" t="inlineStr">
        <is>
          <t>linkedin</t>
        </is>
      </c>
      <c r="E66">
        <f>HYPERLINK("https://www.linkedin.com/jobs/view/4354241285", "https://www.linkedin.com/jobs/view/4354241285")</f>
        <v/>
      </c>
      <c r="F66" t="inlineStr"/>
      <c r="G66" t="inlineStr">
        <is>
          <t>Austin, TX</t>
        </is>
      </c>
      <c r="H66" t="inlineStr"/>
      <c r="I66" t="inlineStr">
        <is>
          <t>Vestwell is the financial technology company powering the new savings economy. The New York City\-based fintech platform redefines how people save for the critical aspects of life across retirement, education, and healthcare savings needs. Today, Vestwell enables over 350,000 businesses and nearly 1\.5 Million active savers, with over $30 billion in assets saved across all 50 United States.
 Vestwell offers a range of products, including workplace\-delivered retirement plans, employer\-offered student loan repayment benefits, and various savings accounts for education, emergencies, and individuals with disabilities.
 Vestwell's platform serves a diverse clientele, including financial advisers, employers, third\-party administrators, financial institutions, payroll providers, government agencies, and individual savers. To learn more, visit vestwell.com
**Who Are We Looking For?**
 The Engineering team is looking for a Data Engineer who can confidently contribute across our reporting and data stack and is ready to take on increasing ownership over time. You will work closely with senior engineers, but you will also drive your own projects, contribute to technical decisions, and help improve our data platform.
 You are a great fit for our team if you:
* Have solid hands\-on experience with data engineering patterns and tools
* Can balance detail\-oriented implementation work with an eye toward long\-term scalability and maintainability
* Care deeply about the quality, reliability, and impact of the systems you build
 You will collaborate with more senior engineers on architecture and design, but you should be comfortable proposing solutions, estimating work, and seeing projects through from design to production.
**What Will You Be Doing?**
**You May**
* Design, build, and maintain reliable data pipelines and workflows that support reporting and analytics use cases
* Work with large, complex data sets to meet business requirements, improve data quality, and ensure data is accurate and timely
* Develop and optimize infrastructure for extracting, loading, and transforming data from a variety of sources
* Build and enhance analytics tools and data models that power reporting and provide actionable insights into key business metrics
* Collaborate with stakeholders on the Product, Operations, and Executive teams to understand their data needs and deliver solutions that meet those needs
* Support production systems, including monitoring, troubleshooting, incident response, and continuous improvement of performance and reliability
* Contribute to team practices, including code reviews, documentation, and occasionally helping more junior teammates
**Requirements**
* 3–5 years of experience as a Data Engineer or in a closely related data\-focused engineering role
* Strong SQL skills and experience working with relational databases
* Hands\-on experience building and optimizing cloud data pipelines (ETL/ELT)
* Experience building processes that support data transformation, data modeling, metadata management, and dependency/workload management
* Experience with AWS cloud services such as EMR, S3, Glue, SES, SNS/SQS, or EC2 (or similar services on another cloud provider) is preferred but not required.
* Strong analytical skills and experience working with unstructured or semi\-structured data
* Working knowledge of message queuing, stream processing, and highly scalable data stores
* Experience working with and supporting cross\-functional teams
* Python programming experience, especially in data engineering contexts
* Experience with Snowflake or another modern cloud data warehouse
* Experience with ETL/ELT and data transformation tools such as Fivetran, dbt, etc.
* Experience with Business Intelligence tools such as Sigma, Tableau, Metabase, Looker, etc.
* A Computer Science or related technical degree, or equivalent practical experience
 This role will be based in either the Austin office, and will be part of Vestwell's hybrid in\-office operation.
 The expected base salary range for this position is $115K \- $130K base. This position is eligible to participate in the Company Bonus Pool and is eligible to receive new hire equity in the Company. Please note that salary bands are based on NY and other similar metro areas and may differ based on where the role is ultimately hired.
**Our Benefits**
 We’re an innovative, high\-growth company, with lots of exciting milestones ahead. We value health and wellness at Vestwell and in addition to a dedicated Employee Wellbeing Committee, we offer competitive health coverage and generous vacation offering. We have adopted a hybrid office policy, but all employees are welcome at our bright, comfortable office with many workspace options in our Midtown Manhattan, Austin, King of Prussia, and Phoenix offices, so everyone has a setting that is the most productive for them. Oh, and naturally we have a great 401(k) plan!
**OUR PROCESS**
 It starts the same for every candidate: getting to know the team members through 1\-2 conversations about Vestwell, your experience, and your interests. Next steps can vary by role, but the usual next steps are a skill or experience screen (e.g. a coding interview for an Engineer, a portfolio review for a Designer, deeper experience call for other roles) which leads to a virtual or in\-person interview panel after that if the screens go well.
 *Before making an offer, our interview process concludes with a references check stage for your recruiter to meet with a current or former supervisor and peer.* 
 We prioritize transparency and lack of surprise throughout the process.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row>
    <row r="67">
      <c r="A67" t="inlineStr">
        <is>
          <t>li-4365107622</t>
        </is>
      </c>
      <c r="B67" t="inlineStr">
        <is>
          <t>Data Engineer</t>
        </is>
      </c>
      <c r="C67" t="inlineStr">
        <is>
          <t>Advantage Tech Services</t>
        </is>
      </c>
      <c r="D67" t="inlineStr">
        <is>
          <t>linkedin</t>
        </is>
      </c>
      <c r="E67">
        <f>HYPERLINK("https://www.linkedin.com/jobs/view/4365107622", "https://www.linkedin.com/jobs/view/4365107622")</f>
        <v/>
      </c>
      <c r="F67" t="inlineStr"/>
      <c r="G67" t="inlineStr"/>
      <c r="H67" t="inlineStr"/>
      <c r="I67" t="inlineStr">
        <is>
          <t>**Data Engineer w/ Global software company** 
 On\-site Role in Phoenix, AZ – US Citizenship or Green Card Required
 Not eligible for OPT or visa sponsorship
 Our client is a fast\-growing global software company with 4,000 employees and a 27\-year track record of innovation for the world’s leading travel brands. The company provides a broad range of industry\-leading products and services that manage mission\-critical operations of airlines, airports, cruise lines, hospitality partners, tour operators, and oil \&amp; gas companies. These products improve safety, revenue, and workflow efficiency while managing growth and reducing operating costs. Certified as a Great Place to Work®, our client has a culture built on the values of precision, commitment, passion, integrity, and respect for the individual.
 Our client is currently seeking an experienced, dynamic, organized self\-starter to join as a Data Engineer for its Consulting and Digital Transformation (CDx) line of business. An AWS Data Engineer is responsible for designing, building, and maintaining robust and scalable data architectures leveraging Amazon Web Services (AWS). This role plays a vital part in transforming raw data into actionable insights, enabling data\-driven decision\-making within the organization.
**Key responsibilities** 
* Lead the design and development of robust ETL/ELT data pipelines, ensuring efficient data ingestion, processing, and transformation from diverse sources into AWS data warehouses and data lakes, including batch and streaming data and formats such as JSON, CSV, Parquet, and Avro.
* Architect, build, and optimize scalable data architectures, including data lakes (e.g., S3, Delta Lake, Iceberg) and data warehouses (e.g., Redshift, Snowflake) on AWS, ensuring optimal performance and data accessibility.
* Collaborate closely with data scientists, analysts, and other stakeholders to understand data requirements, design appropriate data models and schemas, and deliver tailored data solutions that enable data\-driven decision\-making.
* Implement advanced data quality and governance practices, ensuring data accuracy, consistency, and compliance with relevant regulations.
* Optimize data retrieval and develop dashboards and reports using various tools, leveraging deep understanding of data warehousing and analytics concepts.
* Mentor and guide junior data engineers, fostering a culture of technical excellence and continuous improvement within the team.
* Proactively identify and resolve operational issues, troubleshoot complex data pipeline failures, and implement recommendations for system improvements.
**Required experience and skills** 
* 6–8 years of hands\-on experience as a Data Engineer, with a strong focus on AWS cloud services for data solutions.
* Expertise in designing, developing, optimizing, and troubleshooting complex data pipelines, leveraging AWS services like Glue, Lambda, EMR, S3, Redshift, Athena, Kinesis, Step Functions, DynamoDB, and Lake Formation.
* Proficiency in programming languages such as Python (including PySpark) and SQL (including advanced SQL, PL/SQL, query tuning), with the ability to write and optimize complex queries and scripts for data manipulation and transformation.
* Experience with big data technologies like Apache Spark, Hadoop, Kafka, and potentially real\-time streaming platforms like Kinesis or Flink.
* In\-depth knowledge of data modeling techniques, including relational and dimensional (star schema, snowflake schema), and schema design for data warehouses and data lakes.
* Experience with containerization technologies like Docker and Kubernetes for scalable deployments.
* Strong understanding of data security and compliance principles and best practices.
* Familiarity with DevOps practices for managing data infrastructure and CI/CD pipelines using tools like AWS CodePipeline, Jenkins, or others.
* Demonstrated experience in supporting ML/AI projects, including deploying pipelines for feature engineering and model inference.
* Excellent problem\-solving, analytical, and communication skills, with the ability to collaborate effectively with cross\-functional teams and stakeholders.
* Experience with version control systems like Git.
- 
**Educational background and certifications** 
* Bachelor’s degree in Computer Science, Information Systems, or a related field is typically required or preferred.
* Master’s degree preferred.
* AWS certifications such as AWS Certified Data Analytics – Specialty or AWS Certified Solutions Architect – Associate are a plus.
- 
**Desired soft skills** 
* Strong communication and collaboration skills to interact with various stakeholders.
* Ability to mentor and support junior team members.
* Strong analytical and problem\-solving skills, with a focus on data quality and operational efficiency.
* Ability to adapt and thrive in a fast\-paced, agile environment.
 Work Authorization
* Must be authorized to work in the United States and hold a valid passport.
**Travel** 
* This position requires frequent travel, up to 50%. Most travel is outside the local area and overnight, with some international travel.
- 
 At our client you can look forward to:
* Operating with some of the brightest minds in the hotel software industry.
* Receiving global exposure.
* Benefiting from continuous learning programs.
* Performance\-based career growth.
* Competitive compensation that includes fixed compensation, variable compensation based on achieving set goals, company\-paid employee benefits, vacation, sick and personal leave, and a company\-matched 401(k).</t>
        </is>
      </c>
    </row>
    <row r="68">
      <c r="A68" t="inlineStr">
        <is>
          <t>li-4365149558</t>
        </is>
      </c>
      <c r="B68" t="inlineStr">
        <is>
          <t>Data Analytics Engineer</t>
        </is>
      </c>
      <c r="C68" t="inlineStr">
        <is>
          <t>Highnote</t>
        </is>
      </c>
      <c r="D68" t="inlineStr">
        <is>
          <t>linkedin</t>
        </is>
      </c>
      <c r="E68">
        <f>HYPERLINK("https://www.linkedin.com/jobs/view/4365149558", "https://www.linkedin.com/jobs/view/4365149558")</f>
        <v/>
      </c>
      <c r="F68" t="inlineStr"/>
      <c r="G68" t="inlineStr">
        <is>
          <t>San Francisco, CA</t>
        </is>
      </c>
      <c r="H68" t="inlineStr"/>
      <c r="I68" t="inlineStr">
        <is>
          <t>**About Highnote**
 Founded in 2020 by a team of leaders from Braintree, PayPal, and Lending Club, Highnote is an embedded finance company that sets the standard in modern card platform management. As an all\-in\-one card issuer processor and program management platform, we provide digital\-first organizations with the flexibility to seamlessly issue and process payment cards, embed virtual and physical card payments, and integrate ledger and wallet functionalities—empowering businesses to drive growth and profitability.
 We've raised $145M\+ and have grown our team to 140\+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**Job Description**
 The Reporting and Analytics Team is a crucial part of the Data Organization, responsible for designing, building, and maintaining scalable reporting systems and analytics solutions. This team drives data\-informed decision\-making by generating actionable insights for both internal and external stakeholders while ensuring the reliability and performance of reporting pipelines and dashboards.
**What you'll be doing**
* Developing scalable, robust, and automated reporting systems to handle high\-volume data needs and power data\-driven decision\-making.
* Creating analytics reports that provide actionable insights and meet diverse business and customer requirements.
* Modeling and designing modern data structures in SQL databases, ensuring optimal performance and scalability.
* Developing and maintaining dashboards using tools like Looker, Looker Studio, and other BI platforms to visualize high\-volume data effectively.
* Crafting and optimizing complex SQL queries to handle high\-volume data efficiently.
* Writing robust, performant, and maintainable code for data processing and analytics.
* Collaborating with internal business teams and external stakeholders to define requirements and deliver impactful reporting solutions.
* Documenting and maintaining workflows to support the scalability and reliability of reporting and analytics systems.
**What we are looking for**
* 5\+ years of experience in designing and developing high\-volume reporting solutions and analytics pipelines.
* Master of Business Administration (MBA) preferred, with a focus on Accounting and/or Finance.
* Accounting or Finance domain experience.
* Deep understanding of data modeling and working with relational databases.
* Ability to create highly performant, scalable, and maintainable codebases.
* Hands\-on experience with reporting tools or frameworks (e.g., Tableau, Looker, or custom solutions).
**Bonus skills**
* Experience with data visualization best practices to design impactful dashboards.
* Python for building reporting jobs and data processing.
* Experience with cloud platforms such as GCP or AWS
* A background in the fin\-tech space
**Why Highnote?**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Adams Street Partners, Westcap, and Pinegrove Venture Partners. Angel Investors include Bill Ready (CEO at Pinterest) and Renaud Laplanche (Co\-Founder \&amp; CEO of Upgrade).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$170,000\-230,000\.
 Please note that positions located in San Francisco are hybrid and include core working days of Tuesday, Wednesday, Thursday in office. We provide flexible work options based on distance from our downtown SF office. Highnote believes in the power of face\-to\-face, personal connection. As a result, we prioritize in\-person candidates.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69">
      <c r="A69" t="inlineStr">
        <is>
          <t>li-4364833079</t>
        </is>
      </c>
      <c r="B69" t="inlineStr">
        <is>
          <t>Azure Data Engineer</t>
        </is>
      </c>
      <c r="C69" t="inlineStr">
        <is>
          <t>Ascend Technologies</t>
        </is>
      </c>
      <c r="D69" t="inlineStr">
        <is>
          <t>linkedin</t>
        </is>
      </c>
      <c r="E69">
        <f>HYPERLINK("https://www.linkedin.com/jobs/view/4364833079", "https://www.linkedin.com/jobs/view/4364833079")</f>
        <v/>
      </c>
      <c r="F69" t="inlineStr"/>
      <c r="G69" t="inlineStr"/>
      <c r="H69" t="inlineStr"/>
      <c r="I69" t="inlineStr">
        <is>
          <t>This position is a fully remote position, however, occasional travel within the United States may be required.
**Purpose**
 Seeking an Azure Data Engineer (3–5 years) to join cross\-functional teams of Developers, Azure engineers, and Azure Security professionals. In this role, you will also design, deploy, and maintain Azure Data within various SQL and NoSQL platforms. Operational support and optimizations including performance optimization, replication, backup, restore and disaster recovery. Expert level skills in Azure and Microsoft Database platforms including IaaS, PaaS and SAS solutions.
 CI/CD pipelines; automate operations with Bash, PowerShell, and Python; design and implement Zero Trust and least\-privilege models; and manage Azure DevOps security and permissions. Close collaboration with application developers and infrastructure colleagues in a team setting.
**Responsibilities**
**Databases**
* Microsoft SQL, Mongo, Postgres, Qdrant
* Wide area network data replication
* On\-Premises to Azure migrations
* Secure Identities and groups
**Security \&amp; Permissions**
* Configure Azure Database security, service connections, user/group permissions
* Implement least\-privilege access with Azure RBAC and Management Groups
* Enforce Azure Policy assignments
**Agile Process \&amp; Boards Management**
* Create and maintain work items (Epics, Features, Tasks)
* Team sprint planning, backlog creation, and reporting on velocity and cycle time
**Automation \&amp; Scripting**
* Write and maintain deployment and operational scripts in Bash, PowerShell, and Python
* Other Responsibilities as assigned by management
**Minimum Skills, Education And Experience**
* Expert at designing, deploying, and operating Azure data infrastructure
* Working Azure infrastructure knowledge: compute (VMs, scale sets), storage accounts, load balancers, networking, and identity services, App Service, Web Application Gateway
* Scripting skills in Bash, PowerShell, and Python
* Strong understanding of Zero Trust and least\-privilege security models
* Experience managing Azure DevOps security and permissions
* Experience facilitating Agile ceremonies and reporting metrics
* Self\-starter with strong communication skills
* SSIS, SSRS, PowerBI, T\-SQL, Microsoft Fabric
* Azure Certifications
* Azure Security tools, Key Vault, Entra identity
* Exposure to application development (C\#, Python, etc.)
* Linux and Windows experience
 Starting Compensation: $130,000/year
 At Ascend Technologies we firmly believe that diversity, equity, and inclusion are not only fundamental values but also powerful drivers of innovation, growth, and success. We are committed to fostering an environment where every individual feels valued, respected, and empowered.
**CORE VALUES**
 We are seeking highly motivated individuals who have the willingness and ability to demonstrate Ascend core values:
* Committed to Client Success: Our actions and our words always align with the best interest of the client.
* One Team: We work collaboratively to overcome challenges with humility and respect and do what it takes to find innovative solutions.
* Integrity: We are unquestionably committed to doing the right thing even when it is hard.
* Accountability: We hold ourselves and each other accountable for keeping our commitments to our clients, our communities, and one another.
* Transparency: We create open lines of communication with each other and our clients, fostering relationships founded on candor and trust.
 The salary for this position is commensurate with experience, skills, and qualifications. The range is intended to reflect our commitment to attracting top talent, and the final offer will be based on factors including, but not limited to, the candidate's previous experience, expertise in the field, relevant certifications, and the specific requirements of the role. In addition, internal equity, market trends, and geographic location may also influence the final salary.
 Along with a competitive salary, we offer a comprehensive benefits package, including health, dental, and vision insurance, retirement savings options, flexible time off (FTO), and professional development opportunities. We are open to discussing compensation and benefits further during the interview process to ensure alignment with the candidate’s expectations and experience.</t>
        </is>
      </c>
    </row>
    <row r="70">
      <c r="A70" t="inlineStr">
        <is>
          <t>li-4365110028</t>
        </is>
      </c>
      <c r="B70" t="inlineStr">
        <is>
          <t>Data Engineer /Data Architect with AI</t>
        </is>
      </c>
      <c r="C70" t="inlineStr">
        <is>
          <t>Node.Digital LLC</t>
        </is>
      </c>
      <c r="D70" t="inlineStr">
        <is>
          <t>linkedin</t>
        </is>
      </c>
      <c r="E70">
        <f>HYPERLINK("https://www.linkedin.com/jobs/view/4365110028", "https://www.linkedin.com/jobs/view/4365110028")</f>
        <v/>
      </c>
      <c r="F70" t="inlineStr"/>
      <c r="G70" t="inlineStr">
        <is>
          <t>Herndon, VA</t>
        </is>
      </c>
      <c r="H70" t="inlineStr"/>
      <c r="I70" t="inlineStr">
        <is>
          <t>**Data Engineer /Data Architect**
**Location: Herndon, VA**
**Preferred: US Citizen**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71">
      <c r="A71" t="inlineStr">
        <is>
          <t>li-4362530063</t>
        </is>
      </c>
      <c r="B71" t="inlineStr">
        <is>
          <t>Senior Data Engineer - Boston/Burlington</t>
        </is>
      </c>
      <c r="C71" t="inlineStr">
        <is>
          <t>Emburse</t>
        </is>
      </c>
      <c r="D71" t="inlineStr">
        <is>
          <t>linkedin</t>
        </is>
      </c>
      <c r="E71">
        <f>HYPERLINK("https://www.linkedin.com/jobs/view/4362530063", "https://www.linkedin.com/jobs/view/4362530063")</f>
        <v/>
      </c>
      <c r="F71" t="inlineStr"/>
      <c r="G71" t="inlineStr">
        <is>
          <t>Boston, MA</t>
        </is>
      </c>
      <c r="H71" t="inlineStr"/>
      <c r="I71" t="inlineStr">
        <is>
          <t>**Who We Are:**
 At Emburse, you’ll not just imagine the future – you’ll build it. As a leader in travel and expense solutions, we are creating a future where technology drives business value and inspires extraordinary results. Our AI\-powered platform helps organizations modernize financial operations, increase visibility, and optimize spend across the enterprise.
 Emburse is seeking a
 **Senior Data Engineer** 
 to help power how we measure, understand, and grow our business. In this role, you’ll own key parts of our enterprise data platform—building trusted, scalable data pipelines that support usage metering, billing, revenue recognition, and executive reporting.
 This role will start
 **fully remote** 
 and transition to a
 **hybrid schedule (3 days per week)** 
 once our
 **Greater Boston–area office is established** 
 (anticipated near the Burlington area). You’ll work closely with Finance, Business Systems, and Analytics partners to ensure our data is accurate, complete, and decision\-ready.
 This is a highly hands\-on role for someone who enjoys connecting complex systems, solving ambiguous data problems, and translating business needs into reliable data solutions.
**What You Will Do**
* Design, build, and own data pipelines and models that support usage, billing, revenue, and executive reporting.
* Manage and optimize Snowflake as Emburse’s enterprise data warehouse, ensuring performance, scalability, and security.
* Build and maintain ETL/ELT workflows integrating data from systems such as Salesforce, BillingPlatform, and NetSuite.
* Partner closely with Finance and Business Systems teams to ensure accurate usage, billing, and ARR reporting.
* Identify and resolve data quality issues, implementing durable solutions that prevent repeat problems.
* Define data models, standards, and governance practices that enable consistent and trusted reporting.
* Collaborate with engineers and system owners to improve upstream data quality and integration design.
* Support automation, monitoring, and version control of data pipelines using modern tooling (e.g., dbt, Airflow).
* Provide technical mentorship and raise data engineering best practices across the team.
**What You Will Bring:**
* 5–7\+ years of experience in data engineering or analytics engineering, ideally in a SaaS or subscription\-based environment.
* Strong expertise in Snowflake, SQL, and analytical data modeling.
* Hands\-on experience with ETL/ELT tools such as dbt, Fivetran, Informatica, or similar.
* Proficiency with Python, Git, Airflow, and cloud\-based data platforms.
* Experience working with usage, billing, revenue, or ARR data is highly preferred.
* A track record of identifying data quality gaps and driving scalable, long\-term solutions.
* Strong communication skills and comfort working directly with Finance, Product, and Leadership stakeholders.
* Bachelor’s degree in Computer Science, Information Systems, or a related field preferred.
**Why Emburse?**
 Finance is changing—and at Emburse, we’re leading the way. Our AI\-powered solutions help organizations eliminate inefficiencies, gain real\-time visibility, and optimize spend—so they can focus on what’s next, not what’s slowing them down.
* A Company with Momentum – We serve 12M\+ users across 120 countries, helping businesses modernize
 their finance operations.
* A Team That Innovates – Work alongside some of the brightest minds in finance, tech, and AI to solve real\-
 world challenges.
* A Culture That Empowers – Competitive pay, flexible work, and an inclusive, collaborative environment that
 supports your success.
* A Career That Matters – Your work here drives efficiency, innovation, and smarter financial decision\-making
 for businesses everywhere.
**Shape your future \&amp; find what’s next at Emburse.**
 Emburse provides equal employment opportunities (EEO) to all employees and applicants for employment without regard to race, color, religion, sex, national origin, age, disability or genetics. In addition to federal law requirements, Emburse complies with applicable state and local laws governing nondiscrimination in employment in every location where the company has facilities. This policy applies to all terms and conditions of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li-4362163173</t>
        </is>
      </c>
      <c r="B72" t="inlineStr">
        <is>
          <t>Data Engineer</t>
        </is>
      </c>
      <c r="C72" t="inlineStr">
        <is>
          <t>DISQO</t>
        </is>
      </c>
      <c r="D72" t="inlineStr">
        <is>
          <t>linkedin</t>
        </is>
      </c>
      <c r="E72">
        <f>HYPERLINK("https://www.linkedin.com/jobs/view/4362163173", "https://www.linkedin.com/jobs/view/4362163173")</f>
        <v/>
      </c>
      <c r="F72" t="inlineStr"/>
      <c r="G72" t="inlineStr">
        <is>
          <t>Los Angeles, CA</t>
        </is>
      </c>
      <c r="H72" t="inlineStr"/>
      <c r="I72"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This is a great opportunity to join a high\-impact data engineering team building products that directly power how brands measure advertising effectiveness. At DISQO, we use modern cloud infrastructure, scalable data platforms, and pragmatic engineering practices to solve complex, real\-world problems at scale.
 We are looking for a strong Data Engineer who is hands\-on, curious, and eager to grow. You’ll work closely with staff engineers, product managers, and analytics partners in an environment that values ownership, quality, and continuous improvement. You’ll be encouraged to leverage modern tooling, including AI\-assisted development tools, to move faster while maintaining high engineering standards.
 We believe the best systems are built by small, focused teams that take responsibility for outcomes. We value clean design, data correctness, operational excellence, and thoughtful use of automation to reduce toil and improve developer productivity.
 As a Data Engineer, you will design, build, and operate data pipelines and data products that support DISQO’s ad measurement platform. You’ll work primarily on batch and near\-real\-time data processing systems, contributing to analytics\-ready datasets used by internal teams and customers.
 You’ll own well\-defined components and projects end\-to\-end, from development through production support, while receiving guidance and technical mentorship from senior engineers. Over time, you’ll deepen your expertise across distributed data systems, cloud infrastructure, data modeling, containerized workloads, and modern development workflows, including effective use of AI tools to accelerate development and debugging.
**What you get to do:** 
* Design, build, and maintain scalable, reliable data pipelines using modern big data technologies
* Contribute to core ad measurement data products, including exposure processing, aggregation, and analytics\-ready datasets
* Collaborate with Product, Analytics, and Engineering partners to translate business requirements into robust data solutions
* Implement and optimize ETL/ELT workflows with a focus on data correctness, performance, and cost efficiency
* Develop, deploy, and operate data workloads running on Kubernetes, including Amazon EKS
* Write clean, well\-structured, and well\-tested production code in Scala
* Leverage AI\-assisted development tools (for example code generation, refactoring, test creation, and debugging support) responsibly to improve productivity and code quality
* Implement data quality checks, monitoring, and alerting to support operational excellence and meet SLAs
* Participate actively in code reviews, design discussions, and agile ceremonies
* Maintain clear documentation to support data governance, onboarding, and long\-term maintainability
**What you bring to the role:** 
* 3 to 5\+ years of experience building and supporting production data pipelines or backend data systems
* Strong proficiency in Scala for data\-intensive applications
* Hands\-on experience with Apache Spark for batch and streaming data processing
* Experience working in the AWS data ecosystem (for example S3, EMR, Glue, Athena)
* Working knowledge of Kubernetes concepts and experience deploying or operating workloads on Amazon EKS
* Solid understanding of ETL/ELT concepts, data modeling, and advanced SQL
* Experience with workflow orchestration tools such as Airflow or similar
* Familiarity with distributed systems and working with large\-scale datasets
* Comfortable working in a Linux\-based environment
* Strong collaboration and communication skills in an agile, fast\-moving team
* Demonstrated ability to learn new tools and technologies, including AI\-powered developer tools for coding and testing
**Nice to have:** 
* Experience with containerization and Docker\-based development workflows
* Experience with Snowflake or other cloud data warehouses
* Exposure to streaming or near\-real\-time systems (Kafka, Kinesis, etc.)
* Experience with data quality, observability, or monitoring tooling
* Familiarity with CI/CD pipelines for data platforms
* Experience in AdTech or digital advertising platforms
**Why DISQO:** 
* Build data products that directly influence how brands measure advertising impact
* Work with modern cloud\-based data infrastructure at meaningful scale
* Learn from experienced engineers while owning real production systems
* A culture that values engineering excellence, pragmatism, and continuous learning
 At DISQO, we pride ourselves on having a positive, performance\-oriented workplace that includes a flexible hybrid approach, competitive medical benefits, and an amazing vacation policy. Read more about our culture on
 Glassdoor
 .
 You can learn more about what’s happening at DISQO by visiting the
 DISQO Company Blog
 .
**Perks \&amp; Benefits:
 ·100% covered Medical/Dental/Vision for employee, competitive dependent coverage
 ·Stock options
 ·401K
 ·Generous PTO policy
 ·Team offsites, social events \&amp; happy hours
 ·Life Insurance
 ·Health FSA
 ·Commuter FSA (for hybrid employees)
 ·Catered lunch and fully stocked kitchen
 ·Paid Maternity/Paternity leave
 ·Disability Insurance
 ·Travel Assistance Program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li-4351336244</t>
        </is>
      </c>
      <c r="B73" t="inlineStr">
        <is>
          <t>Senior Data Engineer</t>
        </is>
      </c>
      <c r="C73" t="inlineStr">
        <is>
          <t>Adtalem Global Education</t>
        </is>
      </c>
      <c r="D73" t="inlineStr">
        <is>
          <t>linkedin</t>
        </is>
      </c>
      <c r="E73">
        <f>HYPERLINK("https://www.linkedin.com/jobs/view/4351336244", "https://www.linkedin.com/jobs/view/4351336244")</f>
        <v/>
      </c>
      <c r="F73" t="inlineStr"/>
      <c r="G73" t="inlineStr">
        <is>
          <t>Lisle, IL</t>
        </is>
      </c>
      <c r="H73" t="inlineStr"/>
      <c r="I73" t="inlineStr">
        <is>
          <t>**About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Adtalem. Adtalem is looking for a Senior Data Engineer who is a technical powerhouse who can scale our data platform to meet ever growing business needs.
 Responsibilities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2\+ years experience in Google cloud with services like BigQuery, Composer, GCS, DataStream, Dataflows Required.
* 6\+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 Experience working in agile environment.
 \#ATGE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74">
      <c r="A74" t="inlineStr">
        <is>
          <t>li-4362116784</t>
        </is>
      </c>
      <c r="B74" t="inlineStr">
        <is>
          <t>AppleCare Finance Data Engineer</t>
        </is>
      </c>
      <c r="C74" t="inlineStr">
        <is>
          <t>Apple</t>
        </is>
      </c>
      <c r="D74" t="inlineStr">
        <is>
          <t>linkedin</t>
        </is>
      </c>
      <c r="E74">
        <f>HYPERLINK("https://www.linkedin.com/jobs/view/4362116784", "https://www.linkedin.com/jobs/view/4362116784")</f>
        <v/>
      </c>
      <c r="F74" t="inlineStr"/>
      <c r="G74" t="inlineStr">
        <is>
          <t>Austin, TX</t>
        </is>
      </c>
      <c r="H74" t="inlineStr"/>
      <c r="I74" t="inlineStr">
        <is>
          <t>**Summary**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essential to upholding our global commitment to excellence, and it is directly responsible for shaping the company’s future. Join us, and you’ll have a meaningful role in continuing Apple’s legacy of efficiency and success.
**Description**
 We are looking for a skilled Data Engineer with a proven track record in building and troubleshooting issues in complex data sets from multiple data sources. This role requires candidate with hands\-on expertise in advanced SQL scripting, ETL methodologies, data visualization, data validations, and problem\-solving skills to uncover insights and drive business decisions.
**Responsibilities**
* Design and implement advanced analytical models and pipelines using SQL and R/Python.
* Develop and optimize data extraction and transformation processes to improve accessibility and performance.
* Build intuitive visualizations and dashboards to communicate insights effectively to technical and business audiences.
* Document methodologies and share analytical best practices to strengthen data culture across teams.
* Lead end\-to\-end analytics initiatives, from scoping and exploration to analysis, interpretation, and executive presentations.
* Support backend SQL database of a WebApp, redesign it and convert it into a Dataiku solution
* Collaborate with India based Tech Support invoicing team in rebuilding the WebApp
**Minimum Qualifications**
* 7\+ years of applied experience in data engineering, business analytics, or business intelligence roles.
* Strong proficiency in SQL and R/Python (pandas, NumPy, scikit\-learn).
* Hands\-on experience in Dataiku Data Modeling platform.
* Experience with data modeling, transformation, and analytics frameworks such as Snowflake.
* Skilled in building data visualizations using Tableau, and presenting insights to diverse audiences.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$146,300 and $244,100,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li-4323458468</t>
        </is>
      </c>
      <c r="B75" t="inlineStr">
        <is>
          <t>Data Engineer II</t>
        </is>
      </c>
      <c r="C75" t="inlineStr">
        <is>
          <t>SimpliSafe</t>
        </is>
      </c>
      <c r="D75" t="inlineStr">
        <is>
          <t>linkedin</t>
        </is>
      </c>
      <c r="E75">
        <f>HYPERLINK("https://www.linkedin.com/jobs/view/4323458468", "https://www.linkedin.com/jobs/view/4323458468")</f>
        <v/>
      </c>
      <c r="F75">
        <f>HYPERLINK("https://grnh.se/inixg8ma1us?gh_src=db88fc841us&amp;urlHash=kjRz", "https://grnh.se/inixg8ma1us?gh_src=db88fc841us&amp;urlHash=kjRz")</f>
        <v/>
      </c>
      <c r="G75" t="inlineStr">
        <is>
          <t>Boston, MA</t>
        </is>
      </c>
      <c r="H75" t="inlineStr"/>
      <c r="I75" t="inlineStr">
        <is>
          <t>**About SimpliSafe**
 SimpliSafe is a leading innovator in the home security industry, dedicated to making every home a safe home. With a mission to provide accessible and comprehensive security solutions, we design and build user\-centric products that empower individuals and families to protect what matters most.
 We believe in a collaborative and agile environment where learning and growth are continuous. Our teams are composed of talented individuals who are passionate about technology, security, and delivering exceptional customer experiences.
 We're embracing a hybrid work model that enables our teams to split their time between office and home. Hybrid for us means we expect our teams to come together in our state\-of\-the\-art office on two core days, typically Tuesday and Wednesday, to work together in person, and teams can choose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**About the Role**
 As a Data Engineer II on our Core Engineering Data Team, you will focus on building, maintaining, and optimizing the critical data pipelines and infrastructure that power our analytical and application platforms. You will play a key role in ensuring our data is accurate, reliable, and accessible for downstream ML, Engineering, and Product teams. If you have a passion for data, cloud technology, and continuous improvement, we encourage you to apply.
**Responsibilities:**
 The Data Engineer II will focus on executing core data engineering tasks, supporting the senior team members, and contributing to platform improvements:
* Develop and maintain efficient and reliable ETL/ELT data pipelines from product and service data sources to our centralized analytical platforms.
* Implement and monitor data pipeline orchestration using tools like Airflow or Dagster to ensure timely and accurate data delivery.
* Collaborate with senior engineers and analysts to understand requirements and implement technical solutions for data workflows.
* Perform routine monitoring of pipeline performance and reliability, assisting with troubleshooting and optimizing for efficiency.
* Contribute to the optimization of table structures and data storage to support various query and usage patterns.
* Support and maintain data discovery, catalog, and analytics tooling for internal teams.
* Assist in implementing data security measures and ensuring compliance with data governance policies.
* Write and maintain data quality validation checks and unit tests to ensure the integrity and reliability of data pipelines.
* Participate in team\-wide discussions to help develop and refine team norms and engineering best practices.
**Qualifications**
* Bachelor's degree in Computer Science, Engineering, Mathematics, or a related field or equivalent practical experience
* 2\+ years of experience in software engineering, data engineering, or a related field
* Foundational knowledge of AWS or other public cloud platforms (e.g., Azure, GCP)
* Strong SQL knowledge and experience optimizing for data warehousing technologies like AWS Athena
* Strong knowledge of Python for use in data transformation
* Experience with ETL/ELT, schema design, and datalake technologies
* Familiarity with various data and table formats (JSON, Avro, Parquet, Iceberg)
* Love of data and a passion for building reliable data products
**Nice to Have**
* Experience with CI/CD pipelines, Docker, Kubernetes, and infrastructure\-as\-code tools (e.g., Terraform, CloudFormation)
* Familiarity with data orchestration tools like Dagster, Airflow, or Prefect
* Experience in home security technology and/or consumer IoT products
* Experience using and managing data analytics, data quality, and data catalog tools
* Familiarity with data streaming platforms like Kafka, Kinesis, or Spark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$93,200 to $136,600\.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 
*.*</t>
        </is>
      </c>
    </row>
    <row r="76">
      <c r="A76" t="inlineStr">
        <is>
          <t>li-4362018951</t>
        </is>
      </c>
      <c r="B76" t="inlineStr">
        <is>
          <t>Principal Data Engineer</t>
        </is>
      </c>
      <c r="C76" t="inlineStr">
        <is>
          <t>DUOS</t>
        </is>
      </c>
      <c r="D76" t="inlineStr">
        <is>
          <t>linkedin</t>
        </is>
      </c>
      <c r="E76">
        <f>HYPERLINK("https://www.linkedin.com/jobs/view/4362018951", "https://www.linkedin.com/jobs/view/4362018951")</f>
        <v/>
      </c>
      <c r="F76" t="inlineStr"/>
      <c r="G76" t="inlineStr"/>
      <c r="H76" t="inlineStr"/>
      <c r="I76" t="inlineStr">
        <is>
          <t>**Principal Data Engineer** 
 This is a full\-time, remote, and exempt position.
**Overview** 
 The Principal Analytics Platform Engineer owns DUOS’ entire data foundation. They build the pipelines, models, tools, and AI\-driven capabilities that empower every team—Product, Ops, Client, and Executive—to access clean, consistent, trustworthy data at scale.
 This role is responsible for evolving DUOS from manual analytics and ad\-hoc SQL stitching into a modern, automated, AI\-enabled analytics platform. They ensure that DUOS’ Data Analyst and business teams spend time on insights, not data plumbing.
 This is a hands\-on technical role requiring production\-quality software engineering skills.  The successful candidate will directly implement, maintain, and extend code within DUOS’ existing engineering ecosystem.  Code ownership means writing maintainable, readable, well\-tested code that integrates cleanly with our existing pipelines and engineering standards.
**What You’ll Do** 
**Data Pipeline Architecture \&amp; Pipeline Ownership** 
* Design and own DUOS' data architecture on AWS, ensuring scalable, maintainable infrastructure for all data operations
* Build robust, automated pipelines for client file ingestion, normalization, deduping, and enrichment.
* Architect scalable ingestion into Salesforce, Iterable, or other operational systems.
* Implement versioned, testable, observable data transformations and modeling layers.
**Production Code Ownership and Engineering Standards** 
* Write and maintain production\-quality code that integrates with DUOS’ existing engineering pipelines and CI/CD workflows
* Own the full software development lifecycle for data platform components: design, implementation, testing, deployment, and maintenance
* Ensure all code meets engineering standards for readability, maintainability, documentation, and test coverage
* Contribute to and follow shared coding standards, code review processes, and version control practices
* Build reusable libraries, modules, and frameworks that other engineers can extend and maintain
**AI\-Enabled Self\-Serve Analytics** 
* Build AI\-driven tools enabling natural\-language querying, automated insights, metadata discovery, and semantic layer navigation.
* Define and maintain DUOS’ metrics layer enabling self\-serve dashboards and consistent KPI definitions.
* Evaluate and integrate modern AI analytics tools.
**High Quality Data Models \&amp; Business Logic** 
* Create reusable, well\-documented data models powering all dashboards and operational reporting.
* Ensure consistent, durable logic for funnels, cohorting, attribution, ROI calculations, provider/member analytics, etc.
* Serve as the architectural owner of “source of truth” data assets.
**Cross\-Functional Integration** 
* Own data flows into and out of client systems, marketing systems, Salesforce, and product pipelines.
* Partner with Engineering to ensure product features are instrumented correctly.
* Partner with Ops to ensure operational workflows are accurately captured and measurable.
**Data Quality, Governance, \&amp; Observability** 
* Implement systematic validation, schema monitoring, anomaly detection, and SLAs for critical data assets.
* Resolve upstream data issues proactively and improve reliability across ingestion paths.
* Define standards for naming, modeling, versioning, and documentation.
**Platform Vision \&amp; Leadership** 
* Set the long\-term vision for DUOS’ analytics platform and data architecture.
* Mentor data analysts, engineers, and cross\-functional teams on best practices in analytics engineering, AI\-enabled analytics, and data governance.
* Lead multi\-quarter initiatives transforming DUOS into a mature, scalable data organization.
**What We Are Looking For** 
**Software Engineering \&amp; Code Ownership** 
* Proficiency in at least one general\-purpose programming language (Python, Java, Go, or Scala) with demonstrated ability to write production\-quality, maintainable code \- not just ad\-hoc scripts
* Experience working within established engineering codebases, including familiarity with version control (Git), code review workflows, CI/CD pipelines, and automated testing
* Ability to design and implement modular, well\-structured code that other engineers can read, maintain, and extend
* Understanding of software engineering best practices: clean code principles, appropriate abstraction, error handling, logging, and documentation
**Data Platform \&amp; Analytics** 
* Expert\-level SQL (Athena and PostgreSQL), data modeling, and analytics engineering.
* Deep experience building data pipelines on AWS
* Strong understanding of analytics tools and semantic layer design
* Experience building or integrating AI\-driven analytics tools
* Ability to design complex ingestion workflows with multiple external data sources (Salesforce, Iterable, AWS, etc.)
**Leadership \&amp; Ownership** 
* High autonomy, strong architectural judgment, and ability to own company\-critical systems end\-to\-end
* Track record of delivering production systems that are robust, observable, and maintainable over time
**What DUOS is All About** 
 DUOS is more than just a consumer\-focused healthcare company. We’re on a mission to reimagine freedom at any age. We form trusted relationships with older adults using technology and community to support fulfilling lives at home. We hire awesome people who are wired for service and arm them with the tools they need to have a life\-changing impact on others.
 Benefits: Medical, Vision, Dental, 401K, Competitive PTO.</t>
        </is>
      </c>
    </row>
    <row r="77">
      <c r="A77" t="inlineStr">
        <is>
          <t>li-4362162461</t>
        </is>
      </c>
      <c r="B77" t="inlineStr">
        <is>
          <t>Senior Data Engineer</t>
        </is>
      </c>
      <c r="C77" t="inlineStr">
        <is>
          <t>Milan Laser Hair Removal</t>
        </is>
      </c>
      <c r="D77" t="inlineStr">
        <is>
          <t>linkedin</t>
        </is>
      </c>
      <c r="E77">
        <f>HYPERLINK("https://www.linkedin.com/jobs/view/4362162461", "https://www.linkedin.com/jobs/view/4362162461")</f>
        <v/>
      </c>
      <c r="F77" t="inlineStr"/>
      <c r="G77" t="inlineStr"/>
      <c r="H77" t="inlineStr"/>
      <c r="I77"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78">
      <c r="A78" t="inlineStr">
        <is>
          <t>li-4354240653</t>
        </is>
      </c>
      <c r="B78" t="inlineStr">
        <is>
          <t>Data Engineer</t>
        </is>
      </c>
      <c r="C78" t="inlineStr">
        <is>
          <t>GENNTE Technologies</t>
        </is>
      </c>
      <c r="D78" t="inlineStr">
        <is>
          <t>linkedin</t>
        </is>
      </c>
      <c r="E78">
        <f>HYPERLINK("https://www.linkedin.com/jobs/view/4354240653", "https://www.linkedin.com/jobs/view/4354240653")</f>
        <v/>
      </c>
      <c r="F78" t="inlineStr"/>
      <c r="G78" t="inlineStr"/>
      <c r="H78" t="inlineStr"/>
      <c r="I78" t="inlineStr">
        <is>
          <t>**Job Summary:** 
 We are seeking experienced Data Engineers to support a high\-impact data modernization initiative. The ideal candidate will be responsible for building and maintaining scalable data pipelines and foundational components of Datawarehouse. This role requires strong technical expertise, the ability to work independently, and collaboration with client teams.
**Key Responsibilities:** 
* Design, develop, and maintain robust data pipelines aligned with medallion architecture principles.
* Source and integrate data from diverse systems including Oracle, MSSQL, MarkLogic, SAS, DB2, and Mainframe.
* Collaborate with client stakeholders to gather requirements and deliver solutions independently or as part of a team.
* Ensure data quality, consistency, and reliability across ingestion and transformation processes.
* Participate in code reviews, performance tuning, and documentation of data workflows.
**Required Skills \&amp; Qualifications:** 
* 10\+ years of hands\-on experience in Data Engineering.
* Proficiency in building data pipelines using AWS, Snowflake, and Flexter.
* Strong knowledge of ETL processes and data integration from multiple sources.
* Familiarity with medallion architecture and modern data lakehouse concepts.
* Experience with scripting and programming languages such as Python and SQL.
* Understanding of MDM and reference data management concepts.
* Excellent communication and problem\-solving skills.
* Insurance domain experience is a plus but not mandatory.</t>
        </is>
      </c>
    </row>
    <row r="79">
      <c r="A79" t="inlineStr">
        <is>
          <t>li-4365102394</t>
        </is>
      </c>
      <c r="B79" t="inlineStr">
        <is>
          <t>Data Engineer</t>
        </is>
      </c>
      <c r="C79" t="inlineStr">
        <is>
          <t>Xylem</t>
        </is>
      </c>
      <c r="D79" t="inlineStr">
        <is>
          <t>linkedin</t>
        </is>
      </c>
      <c r="E79">
        <f>HYPERLINK("https://www.linkedin.com/jobs/view/4365102394", "https://www.linkedin.com/jobs/view/4365102394")</f>
        <v/>
      </c>
      <c r="F79">
        <f>HYPERLINK("https://xylem.wd5.myworkdayjobs.com/xylem-careers/job/Charlotte-North-Carolina/Data-Engineer_R46014?source=LinkedIn&amp;urlHash=I-rN", "https://xylem.wd5.myworkdayjobs.com/xylem-careers/job/Charlotte-North-Carolina/Data-Engineer_R46014?source=LinkedIn&amp;urlHash=I-rN")</f>
        <v/>
      </c>
      <c r="G79" t="inlineStr">
        <is>
          <t>Charlotte, NC</t>
        </is>
      </c>
      <c r="H79" t="inlineStr"/>
      <c r="I79"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**The Role**
 As a Data Engineer, you will design, develop, and optimize scalable data pipelines and workflows to support advanced analytics and business intelligence needs. You will collaborate with cross\-functional teams to ensure data accessibility, integrity, and security.
**Core Responsibilities**
* Design, develop, and implement robust data pipelines for data collection, transformation, and integration.
* Collaborate with senior engineers to architect scalable data solutions using Azure services, including Azure Data Factory and Databricks.
* Integrate data from SAP ERP systems and other enterprise platforms into modern cloud\-based data ecosystems.
* Leverage Databricks for big data processing and workflow optimization.
* Work with stakeholders to understand data requirements, ensuring data quality and consistency.
* Maintain data governance practices to support compliance and security protocols.
* Support analytics teams by providing well\-structured, reliable data for reporting and machine learning projects.
* Troubleshoot and resolve data pipeline and workflow issues.
**NOTE: Xylem does not provide visa sponsorship for this position**
**Qualifications**
* Bachelor’s degree in Computer Science, Data Engineering, Information Systems, or a related field.
* 3–5 years of experience in data engineering or a related role.
* Proficiency in Azure technologies, including Azure Data Factory, Azure SQL Database, and Databricks.
* Experience with SAP data integration is a plus.
* Strong SQL and Python programming skills for data engineering tasks.
* Familiarity with data modeling concepts (e.g., star and snowflake schemas) and best practices.
* Experience with CI/CD pipelines for deploying data workflows and infrastructure.
* Knowledge of distributed file systems like Azure Data Lake or equivalent cloud storage solutions.
* Basic understanding of Apache Spark for distributed data processing.
* Strong problem\-solving skills and a collaborative mindset.
**Technical Knowledge**
* Deep understanding of Azure cloud infrastructure and services, particularly those related to data management (e.g., Azure Data Lake, Azure Blob Storage, Azure SQL Database).
* Experience with Azure Data Factory (ADF) for orchestrating ETL pipelines and automating data workflows.
* Familiarity with Azure Databricks for big data processing, machine learning, and collaborative analytics.
* Expertise in Apache Spark for distributed data processing and large\-scale analytics.
* Familiarity with Databricks, including managing clusters and optimizing performance for big data workloads.
* Understanding of Databricks Bronze, Silver, and Gold Model.
* Understanding of distributed file systems like HDFS and cloud\-based equivalents like Azure Data Lake.
* Proficiency in SQL and NoSQL databases, including designing schemas, query optimization, and managing large datasets.
* Experience with data warehousing solutions like Databricks, Azure Synapse Analytics or Snowflake.
* Familiarity with connecting data Lakehouse’s with Power BI.
* Understanding of OLAP (Online Analytical Processing) and OLTP (Online Transaction Processing) systems.
* Strong grasp of data modeling techniques, including conceptual, logical, and physical data models.
* Experience with star schema, snowflake schema, and normalization for designing scalable, performant databases.
* Knowledge of data architecture best practices, ensuring efficient data flow, storage, and retrieval.
* Knowledge of CI/CD pipelines for automating the deployment of data pipelines, databases, and infrastructure.
* Experience with infrastructure as code tools like Terraform or Azure Resource Manager to manage cloud resources.
**Preferred Qualifications**
* Familiarity with tools like Apache Airflow or other workflow orchestration tools.
* Knowledge of Azure Monitor or similar tools for system performance tracking.
* Certifications in Azure Data Engineering or related cloud platforms.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80">
      <c r="A80" t="inlineStr">
        <is>
          <t>li-4365157398</t>
        </is>
      </c>
      <c r="B80" t="inlineStr">
        <is>
          <t>AI/ML Data Engineer (Databricks)</t>
        </is>
      </c>
      <c r="C80" t="inlineStr">
        <is>
          <t>QuidelOrtho</t>
        </is>
      </c>
      <c r="D80" t="inlineStr">
        <is>
          <t>linkedin</t>
        </is>
      </c>
      <c r="E80">
        <f>HYPERLINK("https://www.linkedin.com/jobs/view/4365157398", "https://www.linkedin.com/jobs/view/4365157398")</f>
        <v/>
      </c>
      <c r="F80">
        <f>HYPERLINK("https://orthoclinical.wd1.myworkdayjobs.com/Search/job/US\u002d\u002d-CA\u002d\u002d-San-Diego\u002d\u002d-Summers-Ridge/AI-ML-Data-Engineer\u002d\u002dDatabricks-_R0015929/apply?source=LinkedIn&amp;urlHash=Bo8x", "https://orthoclinical.wd1.myworkdayjobs.com/Search/job/US\u002d\u002d-CA\u002d\u002d-San-Diego\u002d\u002d-Summers-Ridge/AI-ML-Data-Engineer\u002d\u002dDatabricks-_R0015929/apply?source=LinkedIn&amp;urlHash=Bo8x")</f>
        <v/>
      </c>
      <c r="G80" t="inlineStr">
        <is>
          <t>San Diego, CA</t>
        </is>
      </c>
      <c r="H80" t="inlineStr"/>
      <c r="I80" t="inlineStr">
        <is>
          <t>The Opportunity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We are seeking an AI/ML Data Engineer to support our Global Data and Analytics team. The AI/ML Data Engineer will be responsible for designing, building, and optimizing data pipelines and infrastructure using Databricks to support AI and machine learning (ML) initiatives. This role will involve working closely with business stakeholders to identify high\-value AI/ML use cases and translating business requirements into technical solutions. The engineer will work to ensure the successful deployment of AI/ML solutions at scale, leveraging Azure services and Databricks tools.
 This position is remote eligible, with a strong preference for candidates based in San Diego and able to maintain office presence.
**The Responsibilities**
* Work directly with business stakeholders to identify and define AI/ML use cases, translating business needs into technical requirements.
* Design, develop, and optimize scalable data pipelines in Databricks for AI/ML applications, ensuring efficient data ingestion, transformation, and storage.
* Build and manage Apache Spark\-based data processing jobs in Databricks, ensuring performance optimization and resource efficiency.
* Implement ETL/ELT processes and orchestrate workflows using Azure Data Factory, integrating various data sources such as Azure Data Lake, Blob Storage, and Microsoft Fabric.
* Collaborate with Data Engineering teams to meet data infrastructure needs for model training, tuning, and deployment within Databricks and Azure Machine Learning.
* Monitor, troubleshoot, and resolve issues within Databricks workflows, ensuring smooth operation and minimal downtime.
* Implement best practices for data security, governance, and compliance within Databricks and Azure environments.
* Automate data and machine learning workflows using CI/CD pipelines through Azure DevOps.
* Maintain documentation of workflows, processes, and best practices to ensure knowledge sharing across teams.
* Perform other work\-related duties as assigned.
**The Individual**
**Required**
* Bachelor's degree in Computer Science, Engineering, or a related field (or equivalent experience).
* Minimum 3 years of experience in data engineering, with a strong focus on Databricks and AI/ML applications.
* Proven experience working directly with business stakeholders to identify and implement AI/ML use cases.
* Expertise in Apache Spark and hands\-on experience with Databricks for building and optimizing data pipelines.
* Strong programming skills in Python and Scala for data engineering and machine learning workflows in Databricks.
* Experience with Azure Data Factory, Azure Data Lake, Azure Blob Storage, and Azure Synapse Analytics.
* Proficiency with Databricks Delta Lake for data reliability and performance optimization.
* Familiarity with MLflow and Databricks Runtime for Machine Learning for model management and deployment.
* Knowledge of Azure DevOps for implementing CI/CD pipelines in Databricks\-based projects.
* Strong understanding of data governance, security practices, and compliance requirements in cloud environments.
* Familiarity with emerging Databricks features such as Delta Live Tables and Unity Catalog.
* Ability to travel up to 5\-10%.
* This position is not currently eligible for visa sponsorship.
**Preferred**
* Experience with real\-time data processing using Apache Kafka or Azure Event Hubs.
* Master's degree in Computer Science or related technical fields.
**The Key Working Relationships**
**Internal Partners**
* Regular collaboration with business stakeholders to identify and implement AI/ML solutions that drive business value.
* Close interaction with data engineers and cross\-functional teams to ensure the successful integration of data pipelines and AI/ML models.
* Work alongside IT teams to optimize cloud infrastructure and resource allocation within Databricks and Azure.
**External Partners**
* Customers and Vendors.
**The Work Environment**
 No strenuous physical activity, though occasional light lifting of files and related materials is required. 30% of time in meetings, working with team, or talking on the phone, 70% of the time at the desk on computer, doing analytical work. Minimal travel required 5\-10%. Travel includes airplane, automobile travel and overnight hotel.
**Physical Demands**
 Typically, 40% of time in meetings; 60% of time at the desk on computer/doing paperwork/ on phone, doing analytical work. Walking, standing, and sitting for long periods of time are routine to accomplish tasks in this role. Specific vision abilities required by this job include close and distance vision and the ability to adjust focus. Ability to travel on short term notice.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$85,000 to $105,000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t>
        </is>
      </c>
    </row>
    <row r="81">
      <c r="A81" t="inlineStr">
        <is>
          <t>li-4365080682</t>
        </is>
      </c>
      <c r="B81" t="inlineStr">
        <is>
          <t>Data Engineer</t>
        </is>
      </c>
      <c r="C81" t="inlineStr">
        <is>
          <t>Wiraa</t>
        </is>
      </c>
      <c r="D81" t="inlineStr">
        <is>
          <t>linkedin</t>
        </is>
      </c>
      <c r="E81">
        <f>HYPERLINK("https://www.linkedin.com/jobs/view/4365080682", "https://www.linkedin.com/jobs/view/4365080682")</f>
        <v/>
      </c>
      <c r="F81">
        <f>HYPERLINK("https://www.wiraa.com/job-description/usB6AF7CE18C6137A583625CFA80BC992E?source=Linkedin&amp;urlHash=aa-Q", "https://www.wiraa.com/job-description/usB6AF7CE18C6137A583625CFA80BC992E?source=Linkedin&amp;urlHash=aa-Q")</f>
        <v/>
      </c>
      <c r="G81" t="inlineStr"/>
      <c r="H81" t="inlineStr"/>
      <c r="I81" t="inlineStr">
        <is>
          <t>**About The Company** 
 NerdWallet is dedicated to empowering consumers by providing clarity and transparency in all of life's financial decisions. Our mission is to help individuals make smarter financial choices through innovative tools, expert guidance, and reliable data. We foster an inclusive, flexible, and candid culture where employees are encouraged to grow, take calculated risks, and express their authentic selves. Whether working remotely or in\-office, we prioritize your well\-being, development, and impact, recognizing that when one Nerd levels up, the entire team benefits. Our commitment to diversity and inclusion is woven into our core values, ensuring a supportive environment for all.
**About The Role** 
 We are seeking a highly experienced Staff Data Engineer to join our Core Engineering team. In this role, you will be instrumental in designing, developing, and maintaining scalable and reliable data pipelines that serve as the backbone for analytics, experimentation, and strategic decision\-making across NerdWallet. You will work closely with cross\-functional teams, including product, engineering, and business stakeholders, to translate complex data challenges into innovative solutions. Your technical expertise, combined with strong communication skills, will ensure our data systems are not only robust and efficient but also aligned with our strategic goals. This position offers a unique opportunity to influence data architecture directly within specific product verticals, translating data insights into tangible business outcomes that drive our mission forward.
**Qualifications** 
* 7\+ years of professional experience in data engineering
* 5\+ years of hands\-on experience with AWS, Snowflake, DBT, and Airflow
* Advanced proficiency in Python and SQL
* Strong working knowledge of relational databases and query performance tuning
* Experience with streaming technologies such as Storm, Kafka, Kinesis, and Flume
* Bachelor’s or Master’s degree in Computer Science, Engineering, or a related field, or equivalent professional experience
* Proven ability to design, build, and operate robust data systems with reliable monitoring and logging practices
* Excellent communication skills, both written and verbal, with the ability to articulate complex technical concepts to diverse audiences
* Strong analytical and logical thinking skills, with the ability to define problems, collect data, and draw valid conclusions
* Experience leading cross\-functional initiatives and providing technical mentorship
**Responsibilities** 
* Lead the design, development, and maintenance of critical data assets ensuring accuracy, reliability, and alignment with business priorities
* Drive innovation by evaluating emerging technologies and implementing scalable, efficient data pipeline solutions
* Address complex technical challenges related to scalability, security, and performance, providing clear rationale for architectural decisions
* Ensure the reliability and observability of data pipelines through proactive issue identification, anomaly investigation, and monitoring enhancements
* Collaborate effectively with cross\-functional teams, fostering trust and alignment through transparent communication and problem\-solving
* Take ownership of initiatives spanning multiple domains, providing technical leadership and ensuring successful delivery
* Prioritize work strategically based on business impact, risk, and feasibility to achieve measurable outcomes
* Act as a trusted technical advisor, shaping the long\-term architecture and influencing best practices within the team
* Mentor and foster a culture of technical excellence, promoting modern data engineering practices including AI and automation solutions
**Benefits** 
* Industry\-leading medical, dental, and vision health plans for employees and dependents
* Generous vacation policy including paid time off, 11 holidays, and 4 mental health days annually
* New Parent Leave for employees welcoming a new child through birth, adoption, or foster care
* Access to mental health support services
* Paid sabbatical opportunities for personal and professional growth
* Health and Dependent Care FSA and HSA plans with company contributions
* Monthly stipends for wellness, cell phone, and Wi\-Fi expenses
* Work from home equipment stipend and co\-working space subsidies
* Participation in employee resource groups and team\-building events
* Paid volunteer time off and charitable donation matching programs
* 401(k) plan with company matching contributions
* Access to exclusive financial products, tools, and guidance including unlimited sessions with a Certified Financial Planner
* Disability and life insurance with employer\-paid premiums
 Equal Opportunity
 NerdWallet is committed to fostering an inclusive and diverse workforce. We are an equal opportunity employer and do not discriminate based on race, color, religion, gender, sexual orientation, gender identity or expression, national origin, age, disability, veteran status, or any other characteristic protected by applicable law.</t>
        </is>
      </c>
    </row>
    <row r="82">
      <c r="A82" t="inlineStr">
        <is>
          <t>li-4365145720</t>
        </is>
      </c>
      <c r="B82" t="inlineStr">
        <is>
          <t>Data Engineer</t>
        </is>
      </c>
      <c r="C82" t="inlineStr">
        <is>
          <t>HarbourVest Partners</t>
        </is>
      </c>
      <c r="D82" t="inlineStr">
        <is>
          <t>linkedin</t>
        </is>
      </c>
      <c r="E82">
        <f>HYPERLINK("https://www.linkedin.com/jobs/view/4365145720", "https://www.linkedin.com/jobs/view/4365145720")</f>
        <v/>
      </c>
      <c r="F82" t="inlineStr"/>
      <c r="G82" t="inlineStr">
        <is>
          <t>Boston, MA</t>
        </is>
      </c>
      <c r="H82" t="inlineStr"/>
      <c r="I82"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Our Quantitative Investment Science group is looking for a motivated Data Engineer to help produce innovative applications that create competitive advantage for HarbourVest in the Private Equity space. This engineer will contribute to this effort through their focus on application and data quality as well as process automation.
 The ideal candidate is someone who is:
* A self\-starter with a love for technology, software application delivery, and mathematical applications!
* Excellent interpersonal and team collaboration capabilities
* Strong analytical, organizational, and problem\-solving skills coupled with outstanding attention to detail
* A passion for finance and financial markets
 What you will do:
* Assist the Quantitative Investment Systems group in testing and deploying internal applications
* Code, run and maintain test suites for applications and data validation purposes
* Take ownership of feature implementation on our Data Platform
* Work with Data, DevOps and Application development teams on integrating automated testing with CI/CD processes
* Implement data quality pipeline frameworks
* Implement data warehouse pipelines and modeling
 What you bring:
* Demonstrated ability in Data Engineering and Analysis
* Proven experience with data\-centric testing and deployment of FinTech based applications, data analysis, data pipelines and ETL for large datasets
* Proficiency in MSSQL or equivalent SQL RDBMS
* Proficiency in Python
* Familiarity working in a scrum/agile SDLC environment
* Experience with DBT
* Experience with Azure resources like ADF, App services
* Experience with MS Synapse and Snowflake desired
* Preferred but not vital: Business Intelligence and experience in Analytics applications
**Education Preferred**
* Bachelor of Science (B.S) or equivalent experience
* Master of Science (M.S) or equivalent experience
**Experience**
* 2\-3 Years of Data Engineering experience preferred
**Salary Range**
 $132,000\.00 \- $198,000\.00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83">
      <c r="A83" t="inlineStr">
        <is>
          <t>li-4365132708</t>
        </is>
      </c>
      <c r="B83" t="inlineStr">
        <is>
          <t>Senior Data Engineer</t>
        </is>
      </c>
      <c r="C83" t="inlineStr">
        <is>
          <t>Extra Space Storage</t>
        </is>
      </c>
      <c r="D83" t="inlineStr">
        <is>
          <t>linkedin</t>
        </is>
      </c>
      <c r="E83">
        <f>HYPERLINK("https://www.linkedin.com/jobs/view/4365132708", "https://www.linkedin.com/jobs/view/4365132708")</f>
        <v/>
      </c>
      <c r="F83">
        <f>HYPERLINK("https://extraspace.wd5.myworkdayjobs.com/ESS_External/job/Salt-Lake-City-UT-United-States/Senior-Data-Engineer_R-76532?source=LinkedIn&amp;urlHash=MGji", "https://extraspace.wd5.myworkdayjobs.com/ESS_External/job/Salt-Lake-City-UT-United-States/Senior-Data-Engineer_R-76532?source=LinkedIn&amp;urlHash=MGji")</f>
        <v/>
      </c>
      <c r="G83" t="inlineStr">
        <is>
          <t>Salt Lake City, UT</t>
        </is>
      </c>
      <c r="H83" t="inlineStr"/>
      <c r="I83" t="inlineStr">
        <is>
          <t>* PLEASE NOTE: This is a hybrid role, requiring this person to work at our corporate headquarters in Salt Lake City, UT. We are unable to sponsor or take over sponsorship of an employment visa at this time. \*\*\*
**Job Summary**
 The Sr. Data Engineer serves as a technical expert within the team, owns critical data systems, mentors others, and drives reliability and excellence in modern data engineering. Focuses on optimizing data architectures for scalability, integrating advanced tools beyond traditional warehousing, building proficiency in Python while supporting Fabric migration efforts, and applying Kimball dimensional modeling expertise to ensure robust, performant data solutions. Designs, codes, tests, debugs, and documents complex databases.
**Primary Responsibilities**
* Architect scalable data pipelines and dimensional models across hybrid environments, applying Kimball methodology (e.g., bus architecture, star/snowflake schemas, fact table granularity, slowly changing dimensions, surrogate keys).
* Lead technical execution of data projects, including migrations to Microsoft Fabric (e.g., refactoring Synapse Pipelines to Fabric equivalents while preserving dimensional integrity).
* Mentor Associates and Mid\-level engineers; review pipeline designs, Python code, dimensional models, and implementations.
* Proactively identify and resolve data performance, quality, security, or scalability issues.
* Ensure adherence to data governance standards, security practices (e.g., encryption, access controls), and compliance requirements.
* Break down complex data initiatives into actionable plans, incorporating Kimball principles and Fabric components (e.g., Dataflows, Notebooks, Lakehouse).
* Implement and maintain Git\-based workflows for data pipelines, notebooks, and transformations, including branching strategies for safe development.
* Configure and execute promotions in Fabric Deployment Pipelines, handling environment\-specific rules and content.
* Conduct data quality and pipeline tests during the development cycle, ensuring changes are reliable before cross\-environment deployment.
* Support migration\-related CI/CD activities, such as refactoring Synapse Pipelines to Fabric equivalents with version\-controlled artifacts.
* Independently interpret business requests into technical requirements through direct engagement with requestors.
* Deliver end\-to\-end solutions for complex or high\-impact requests, including proactive suggestions for improvements.
* Provide technical guidance during requirement refinement and feedback sessions with requesting teams.
* Designs and implements archive, recovery, and load strategies.
* Determines database structural requirements by analyzing client or internal operations, applications, and programming.
* Reviews objectives with clients or internal users and evaluates current systems.
* Coordinates new data development, ensuring consistency and providing for integration with existing warehouse structure.
**Key Tools \&amp; Technologies**
* Advanced SQL for querying, transformations, performance tuning, and Kimball dimensional modeling.
* Python for scripting, automation, custom logic, and Fabric notebooks.
* Azure Synapse Pipelines, SQL Server, and Azure Functions.
* Microsoft Fabric (Lakehouse, OneLake, Pipelines, Notebooks, Dataflows)
* Git integration and Fabric Deployment Pipelines for version control and CI/CD workflows.
**Job Specifications**
* Demonstrates proficiency in all areas of data engineering with advanced in\-depth specialization in dimensional modeling, pipeline architecture, and modern cloud platforms.
* Participates in developing technical/business approaches and new or enhanced technical tools, including CI/CD best practices.
* Has advanced knowledge of scalable data pipelines, lakehouse architectures, and high\-volume processing in Azure Synapse and Microsoft Fabric environments.
**Education And Experience**
* Typically requires 5\+ years of related experience and a bachelor’s degree (or equivalent experience).
* Strong hands\-on experience with Microsoft Azure data services, SQL Server, Python, and data modeling (Kimball methodology preferred).
* Experience supporting or leading migrations to modern platforms like Microsoft Fabric is highly desirable.
**Work Environment \&amp; Physical Requirements**
 Performs sedentary work in an office environment with limited lifting (less than 10 pounds) or walking required. Close visual acuity required to perform work at computer terminal. No exposure to adverse environmental conditions. Requires repetitive typing motion, talking, hearing, grasping and feeling.
**Disclaimer**
*The job description outlines the general nature and scope of work employees perform in this role. It's not intended to be an exhaustive list of all duties, responsibilities, or qualifications required for the position. The company reserves the right to modify, revise, or update the job description to meet business needs.*
**If you are a current Extra Space employee, please apply through Jobs Hub in Workday.**
 We are an equal opportunity employer and value diversity at our company. We do not discriminate on the basis of race, religion, color, national origin, gender, sexual orientation, age, marital status, veteran status, or disability status.
 Applications Deadline: Applications will be accepted until the position is filled.</t>
        </is>
      </c>
    </row>
    <row r="84">
      <c r="A84" t="inlineStr">
        <is>
          <t>li-4364061929</t>
        </is>
      </c>
      <c r="B84" t="inlineStr">
        <is>
          <t>Data Engineer</t>
        </is>
      </c>
      <c r="C84" t="inlineStr">
        <is>
          <t>Medical Mutual</t>
        </is>
      </c>
      <c r="D84" t="inlineStr">
        <is>
          <t>linkedin</t>
        </is>
      </c>
      <c r="E84">
        <f>HYPERLINK("https://www.linkedin.com/jobs/view/4364061929", "https://www.linkedin.com/jobs/view/4364061929")</f>
        <v/>
      </c>
      <c r="F84" t="inlineStr"/>
      <c r="G84" t="inlineStr">
        <is>
          <t>Cleveland, OH</t>
        </is>
      </c>
      <c r="H84" t="inlineStr"/>
      <c r="I84" t="inlineStr">
        <is>
          <t>***Note: Requires working in the Brooklyn, Ohio office one set day per week, with additional as\-needed onsite requirements.***
 Founded in 1934, Medical Mutual is the oldest and one of the largest health insurance companies based in Ohio. We provide peace of mind to more than 1\.2 million members through our high\-quality health, life, disability, dental, vision and indemnity plans. We offer fully insured and self\-funded group coverage, including stop loss, as well as Medicare Advantage, Medicare Supplement, and individual plans.
**Data Engineer III**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**Data Engineer IV**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****Qualifications****
**Data Engineer III**
* Bachelors degree in Computer Science, Computer Information Systems, business degree with focus on data transformation or analysis, or equivalent work experience.
* Four or more years professional experience developing software to solve business problems.
* Three or more years’ experience with data engineering system design and software implementation.
* Experience with all parts of the systems development life cycle.
* Experience with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IV**
* Bachelors degree in Computer Science, Computer Information Systems, business degree with focus on data transformation or analysis, or equivalent work experience.
* Seven or more years professional experience developing software to solve business problems.
* Five or more years’ experience with data engineering system design and software implementation.
* Proficient with all parts of the systems development life cycle.
* Experience with database technologies and query semantics.
* Experience leading and coordinating technical initiatives.
* Experience with public cloud database technology (e.g. RedShift, SnowFlake, DataBricks, Azure Synapse, BigQuery).
* Experience programming in ETL or ELT technology.
* Understanding of data warehouse data model theory and techniques.
* Experience with Python programming language.</t>
        </is>
      </c>
    </row>
    <row r="85">
      <c r="A85" t="inlineStr">
        <is>
          <t>li-4362610011</t>
        </is>
      </c>
      <c r="B85" t="inlineStr">
        <is>
          <t>Data Engineer</t>
        </is>
      </c>
      <c r="C85" t="inlineStr">
        <is>
          <t>Siemens Energy</t>
        </is>
      </c>
      <c r="D85" t="inlineStr">
        <is>
          <t>linkedin</t>
        </is>
      </c>
      <c r="E85">
        <f>HYPERLINK("https://www.linkedin.com/jobs/view/4362610011", "https://www.linkedin.com/jobs/view/4362610011")</f>
        <v/>
      </c>
      <c r="F85" t="inlineStr"/>
      <c r="G85" t="inlineStr">
        <is>
          <t>Orlando, FL</t>
        </is>
      </c>
      <c r="H85" t="inlineStr"/>
      <c r="I85" t="inlineStr">
        <is>
          <t>**A Snapshot Of Your Day (position Overview)**
 In this role, you will play an integral part in ensuring that the gas turbine blades and vanes procurement team has access to stable and consistent supply chain and procurement process data by helping to enable dashboard reporting and advanced analytics projects. As a part of the blades and vanes procurement data science team, you will help design, implement and maintain foundational data architecture that meets both business needs and enables future iterative development. You will also serve as the team’s expert regarding database architecture best practices, data management strategy, compliance with data security rules and being a liaison with Siemens Energy IT regarding database operations. As the blades and vanes procurement data engineer, you will also work closely with data scientists and subject matter experts in the process of crafting project requirements, enabling user testing on data products and helping to shepherd database projects through the development lifecycle.
**How You’ll Make An Impact (responsibilities)**
* Design, develop, deploy and maintain database objects, ETL/ELT pipelines, and system infrastructure for blades and vanes procurement in our Snowflake relational database management system.
* Collaborate with the procurement data science team to help craft requirements, track project progress, document solutions and establish scalable and generalizable database architecture for blades and vanes supply chain data.
* Propose, design and implement architectural improvements to existing data products to help continuously improve our ability to deliver business intelligence services and advanced analytics project value.
* Serve as the main liaison for central Siemens Energy IT services to ensure compliance with data security needs and company policy.
**What You Bring (requirements)**
* Bachelors Degree or higher in computer science or other field of study (STEM, Economics, Quantitative Social Science) with a strong emphasis on quantitative analysis and data management. Advanced degree or strong direct equivalent experience in a previous data engineering role is preferred but not necessary.
* 2\-3 years of experience in data engineering or full\-stack data science role is expected. This is a mid\-level role that requires comfort with foundational entry level skills alongside the ability to operate in a semi\-autonomous and ambiguous environment to help design and drive data engineering projects.
* Advanced proficiency in SQL programming and at least intermediate proficiency in Python or R programming. Strong understanding of systems design/thinking, database architecture frameworks (star schema, data products, etc). Experience working in an agile development environment and comfort with CI/CD pipelines alongside collaborative management of code via Git. Previous experience with Snowflake, Streamlit, AWS cloud tools, Docker, PowerBI and SAP is strongly preferred but not required for candidates that are strong in foundational skills.
* Robust collaboration skills and experience working with both technical and non\-technical teams. Demonstrated ability to operate in an international and multi\-cultural working environment.
* Interest in transitioning legacy systems and solving problems in a fast\-paced and sometimes ambiguous working environment.
 Applicants must be legally authorized for employment in the United States without need for current or future employer\-sponsored work authorization. Siemens Energy employees with current visa sponsorship may be eligible for internal transfers.
**About The Team**
**Gas Services**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t>
        </is>
      </c>
    </row>
    <row r="86">
      <c r="A86" t="inlineStr">
        <is>
          <t>li-4365095493</t>
        </is>
      </c>
      <c r="B86" t="inlineStr">
        <is>
          <t>Data Engineer (Microsoft Fabric)</t>
        </is>
      </c>
      <c r="C86" t="inlineStr">
        <is>
          <t>Empiric</t>
        </is>
      </c>
      <c r="D86" t="inlineStr">
        <is>
          <t>linkedin</t>
        </is>
      </c>
      <c r="E86">
        <f>HYPERLINK("https://www.linkedin.com/jobs/view/4365095493", "https://www.linkedin.com/jobs/view/4365095493")</f>
        <v/>
      </c>
      <c r="F86" t="inlineStr"/>
      <c r="G86" t="inlineStr"/>
      <c r="H86" t="inlineStr"/>
      <c r="I86" t="inlineStr">
        <is>
          <t>We are working with a new, fast\-growing data company in NYC. This is a small, tight\-knit team where your work truly matters. We are looking for someone entrepreneurial, hands\-on, and excited to build the backbone of their clients’ data systems.
**What You Will Do:** 
* Build and own end\-to\-end data pipelines from client ERPs, CRMs, and other systems.
* Ensure high\-quality, accurate, and efficient data flows.
* Collaborate with the team to power Power BI dashboards and reports.
* Work directly in Microsoft Fabric to design, optimize, and manage scalable data pipelines.
* Solve complex data challenges independently and document scalable processes.
**Must\-Haves:** 
* \~5\+ years of hands\-on data engineering experience building ELT/ETL pipelines.
* Strong experience with Microsoft data stack including Fabric, Data Factory, and Power BI.
* Experience with ERP systems such as SAP, NetSuite, MS Dynamics, or Oracle.
* Advanced SQL skills for optimized queries.
* U.S. Citizen or Green Card holder.
* **Entrepreneurial, self\-starter mindset, comfortable taking ownership and shaping the company’s future.**
**Why This Role:** 
* Be a core team member where your work has real impact.
* Work with a modern, cutting\-edge tech stack including Microsoft Fabric and AI tools.
* Rapid growth opportunity as the company scales.</t>
        </is>
      </c>
    </row>
    <row r="87">
      <c r="A87" t="inlineStr">
        <is>
          <t>li-4362172231</t>
        </is>
      </c>
      <c r="B87" t="inlineStr">
        <is>
          <t>Data Engineer</t>
        </is>
      </c>
      <c r="C87" t="inlineStr">
        <is>
          <t>Brooksource</t>
        </is>
      </c>
      <c r="D87" t="inlineStr">
        <is>
          <t>linkedin</t>
        </is>
      </c>
      <c r="E87">
        <f>HYPERLINK("https://www.linkedin.com/jobs/view/4362172231", "https://www.linkedin.com/jobs/view/4362172231")</f>
        <v/>
      </c>
      <c r="F87" t="inlineStr"/>
      <c r="G87" t="inlineStr">
        <is>
          <t>Denver, CO</t>
        </is>
      </c>
      <c r="H87" t="inlineStr"/>
      <c r="I87" t="inlineStr">
        <is>
          <t>**Title:** 
 Data Engineer – Mobile Connectivity Insights
**Type:** 
 Contract
**Location:** 
 Greenwood Village, CO (4 days onsite/1 day remote)
**Pay:** 
 $55\-$60/hr
 Long Term Contract. 12\-24 months. Possibility of extension or conversion to FTE
 Contract is W2 with benefits
**About the Team** 
 You’ll join the
 **Mobile Connectivity Insights** 
 group — the engineering team responsible for building and maintaining the data pipelines that power mobile analytics across the enterprise. This role backfills a contractor who recently rolled off, giving you an opportunity to step into a high‑impact, established workflow from day one.
**What You’ll Work On** 
 This is a
 **hands‑on data engineering role** 
 focused on the backend and ongoing health of our analytics ecosystem. Day‑to‑day, you’ll:
* Develop, enhance, and support
 **ETL data pipelines** 
 used across mobile analytics programs
* Build new pipelines as incoming initiatives arrive (including occasional support of T‑Mobile/MVNO‑related work — though not dedicated to that cost center)
* Troubleshoot and maintain production data workflows
* Partner with senior engineers and analysts to ensure reliable data delivery across cloud‑based environments
**Core Skills Needed** 
* **SQL – Strong proficiency** 
 (this is skill \#1\)
* **Python – Proficient for data engineering use cases**
* **Cloud experience – AWS preferred, but cloud‑agnostic candidates are welcome**
* If you’ve worked in
 *any* 
 enterprise cloud data environment, the skills translate
* Experience building enterprise‑grade ETL pipelines
* Ability to work collaboratively in a culture that values humility, pragmatism, and authenticity</t>
        </is>
      </c>
    </row>
    <row r="88">
      <c r="A88" t="inlineStr">
        <is>
          <t>li-4365110168</t>
        </is>
      </c>
      <c r="B88" t="inlineStr">
        <is>
          <t>Senior Data Platform Engineer</t>
        </is>
      </c>
      <c r="C88" t="inlineStr">
        <is>
          <t>ECP</t>
        </is>
      </c>
      <c r="D88" t="inlineStr">
        <is>
          <t>linkedin</t>
        </is>
      </c>
      <c r="E88">
        <f>HYPERLINK("https://www.linkedin.com/jobs/view/4365110168", "https://www.linkedin.com/jobs/view/4365110168")</f>
        <v/>
      </c>
      <c r="F88" t="inlineStr"/>
      <c r="G88" t="inlineStr">
        <is>
          <t>Wisconsin, United States</t>
        </is>
      </c>
      <c r="H88" t="inlineStr"/>
      <c r="I88" t="inlineStr">
        <is>
          <t>**Description:**
 ECP is a market\-leading SaaS platform that helps senior living communities provide better care for their residents and is trusted by more than 8,000 communities around the world. As we continue to grow, we're expanding both our customer base and the scope of our products to deliver even greater value to the senior living industry.
 We're seeking a Senior Data Platform Engineer who is passionate about building scalable, reliable, and high\-performance data infrastructure in the AWS ecosystem. In this role, you'll be responsible for designing, implementing, and optimizing our data ingestion and transformation platform, which integrates data from Microsoft SQL Server databases into AWS Redshift using AWS DMS and Change Data Capture (CDC).
 You'll collaborate closely with our data engineering and infrastructure teams to ensure our platform can scale efficiently, maintain data integrity, and enable analytics at enterprise scale. This is a highly impactful role for someone who thrives on solving complex data engineering challenges and enjoys working in a fast\-growing SaaS environment. 
 Join our talented infrastructure team and company culture that values creativity, opportunity, and professional development!
 We are open to fully remote candidates within the United States.
* Design, build, and maintain data ingestion pipelines from Microsoft SQL Server to AWS Redshift using AWS DMS and CDC.
* Architect scalable and fault\-tolerant data workflows that ensure high data quality, low latency, and consistent performance.
* Develop frameworks and automation to streamline onboarding of new databases into the data platform.
* Collaborate with data analysts, application developers, and DevOps engineers to ensure seamless data availability and integrity across systems.
* Implement monitoring, alerting, and recovery mechanisms for large\-scale data movement pipelines.
* Optimize AWS DMS configurations, Redshift performance, and SQL Server CDC processes for throughput and efficiency.
* Manage and tune database replication strategies to handle high data volume and concurrency.
* Ensure compliance with data security, privacy, and healthcare standards.
* Document platform architecture, pipeline workflows, configurations, and standard operating procedures.
* Stay current with AWS data services and modern data platform best practices.
**Requirements**
* 5\+ years of experience in data engineering or data platform development, preferably in large\-scale, distributed data environments.
* Strong expertise in Microsoft SQL Server, including CDC, replication, performance tuning, and query optimization.
* Proficiency with AWS data services such as DMS, Redshift, S3, Glue, Lambda, and CloudWatch.
* Experience designing and maintaining ETL/ELT pipelines using tools like DBT for large, high\-volume data ingestion.
* Familiarity with Python or other scripting languages for automation and data transformation.
* Working knowledge of Infrastructure as Code (Terraform, CloudFormation) and CI/CD practices.
* Deep understanding of data modeling, schema evolution, and data lineage concepts.
* Excellent communication and documentation skills with a collaborative mindset.
* Bachelor's degree in Computer Science, Engineering, Information Systems, or equivalent experience.
* Legally authorized to work in the United States without sponsorship.</t>
        </is>
      </c>
    </row>
    <row r="89">
      <c r="A89" t="inlineStr">
        <is>
          <t>li-4365161281</t>
        </is>
      </c>
      <c r="B89" t="inlineStr">
        <is>
          <t>Sr. Data Engineer</t>
        </is>
      </c>
      <c r="C89" t="inlineStr">
        <is>
          <t>HarbourVest Partners</t>
        </is>
      </c>
      <c r="D89" t="inlineStr">
        <is>
          <t>linkedin</t>
        </is>
      </c>
      <c r="E89">
        <f>HYPERLINK("https://www.linkedin.com/jobs/view/4365161281", "https://www.linkedin.com/jobs/view/4365161281")</f>
        <v/>
      </c>
      <c r="F89">
        <f>HYPERLINK("https://harbourvest.wd5.myworkdayjobs.com/HVP/job/Boston/Sr-Data-Engineer_R2151-1&amp;urlHash=Fiu-", "https://harbourvest.wd5.myworkdayjobs.com/HVP/job/Boston/Sr-Data-Engineer_R2151-1&amp;urlHash=Fiu-")</f>
        <v/>
      </c>
      <c r="G89" t="inlineStr">
        <is>
          <t>Boston, MA</t>
        </is>
      </c>
      <c r="H89" t="inlineStr"/>
      <c r="I89"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Our Quantitative Investment Science group is seeking a Lead Data Engineer to fully manage and deliver our private equity data platform. This hands\-on leadership role requires a proven history of guiding software projects to successful production. You should have extensive experience with private equity financial data and an entrepreneurial approach. You will build scalable data systems that directly support investment, fund, and portfolio decision\-making.
 The ideal candidate is someone who is:
* A self\-starter with a love for technology, software application delivery, and mathematical applications!
* Excellent interpersonal and team collaboration capabilities
* Strong analytical, organizational, and problem\-solving skills coupled with outstanding attention to detail
* A passion for finance and financial markets!
* A track record of successful SaaS software delivery
 What you will do:
* Take ownership and lead on features and functionality, design, code, run and maintain pipelines, transformations, views, test suites for applications and data validation purposes
* Mentor team members on software and data engineer guidelines and processes
* Lead work with Data, DevOps and Application development teams on integrating automated testing with CI/CD processes
* Involved in testing and deploying internal data quality applications
* Implement and delivery data quality pipeline frameworks
* Implement and deliver data warehouse pipelines and modeling
 What you bring:
* Demonstrated ability Leading Data Engineering and Analysis teams
* Experience mentoring engineers on standard methodologies and establish guidelines while remaining hands\-on
* Proven experience with data\-centric testing and deployment of FinTech based applications, data analysis, data pipelines and ETL for large datasets
* Proficiency in MSSQL or equivalent SQL RDBMS
* Proficiency in Python
* Experience with DBT and Azure Data Factory and Pipelines
* Experience with MS Synapse and Snowflake desired
* Familiarity working in a scrum/agile SDLC environment
* Preferred but not vital: Business Intelligence and Analytics application experience
* Experience delivering software applications and data to a wide audience
**Education Preferred**
* Bachelor of Science (B.S) or equivalent experience
* Master of Science (M.S) or equivalent experience
**Experience**
* 8\+ Years of Data Engineering and software delivery experience preferred
* 3\-5 Years of Technical Project Leadership experience
* Partner directly with investment, finance, and operations teams
**Salary Range**
 $160,000\.00 \- $240,000\.00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90">
      <c r="A90" t="inlineStr">
        <is>
          <t>li-4365105290</t>
        </is>
      </c>
      <c r="B90" t="inlineStr">
        <is>
          <t>Snowflake Data Engineer</t>
        </is>
      </c>
      <c r="C90" t="inlineStr">
        <is>
          <t>CitiusTech</t>
        </is>
      </c>
      <c r="D90" t="inlineStr">
        <is>
          <t>linkedin</t>
        </is>
      </c>
      <c r="E90">
        <f>HYPERLINK("https://www.linkedin.com/jobs/view/4365105290", "https://www.linkedin.com/jobs/view/4365105290")</f>
        <v/>
      </c>
      <c r="F90" t="inlineStr"/>
      <c r="G90" t="inlineStr"/>
      <c r="H90" t="inlineStr"/>
      <c r="I90" t="inlineStr">
        <is>
          <t>**Snowflake Data Engineer** 
**Who we are: \-** 
 At
 **CitiusTech** 
 , we constantly strive to solve the industry's greatest challenges with technology, creativity, and agility. With over 8,500 healthcare technology professionals worldwide, CitiusTech powers healthcare digital innovation, business transformation, and industry\-wide convergence for over 140 organizations through next\-generation technologies, solutions, and products. We aim to accelerate the transition to a human\-first, sustainable, and digital healthcare ecosystem with the world's leading Healthcare and life sciences organizations and our partners.
 Here is an opportunity for you to make a difference and collaborate with global leaders to shape the future of healthcare and positively impact human lives.
**Our vision: \-** 
 To inspire new possibilities for the health ecosystem with technology and human ingenuity.
**What is in it for you?** 
 We are seeking a highly skilled and motivated Data Engineer with strong expertise in Matillion, Snowflake, and SQL, preferably with experience in the Epic Cogito stack. The candidate will be responsible for designing, building, and managing scalable data pipelines and supporting data warehousing solutions in a healthcare data environment.
**Responsibilities: \-** 
* Design, develop, and maintain data pipelines using Matillion for efficient data ingestion and transformation.
* Develop and support Snowflake\-based solutions, including data ingestion, processing, and performance tuning.
* Write and optimize complex SQL queries to support data transformation and analytics use cases.
* Troubleshoot and resolve issues within Matillion pipelines and Snowflake objects swiftly and effectively.
* Collaborate with cross\-functional teams to understand data requirements and deliver high\-quality solutions.
* Work with Epic Cogito stack components such as Clarity and Caboodle to integrate and manage healthcare datasets.
* Ensure data quality, integrity, and security across all data processes.
* Participate in data migration projects, handling large volumes of healthcare data.
* Contribute to the design and architecture of scalable data warehousing solutions.
**Experience: \-** 
* 7\+ Years
**Location: \-** 
* This role is remote\-friendly. Candidates must reside in or be authorized to work in the United States.
**Educational Qualifications: \-** 
* Engineering Degree – BE/ME/BTech/MTech/BSc/MSc.
* Technical certification in multiple technologies is desirable.
**Skills: \-** 
**Mandatory skills** 
* 7\+ years of hands\-on experience in data engineering roles.
* Proven expertise in Matillion ETL for building and managing data pipelines.
* **Strong proficiency in Snowflake development and performance optimization** 
 .
* Advanced SQL skills with the ability to debug and optimize queries.
* Experience working with Epic Cogito stack – Clarity, Caboodle, etc.
* Solid understanding of data warehousing concepts, data migration strategies, and healthcare data standards.
* Experience working with large\-scale healthcare datasets and familiarity with HIPAA compliance.
* Excellent problem\-solving and communication skills.
* Ability to work independently and in a collaborative team environment
**Preferred Qualifications:** 
* Experience with cloud platforms such as AWS, Azure, or GCP.
* Familiarity with data governance and metadata management tools.
* Knowledge of BI tools like Tableau, Power BI, or Looker.
* Certification in Snowflake or Matillion is a plus.
**Salary:** 
**The estimated salary range for this position is $115,000 to $130,000 annually. Final compensation will be based on experience, skills, and location. We offer a comprehensive benefits package including medical, dental, and vision insurance, paid time off, parental leave, and other benefits.** 
**Disclosures:** 
**If you require assistance or accommodation during the application process due to a disability, please contact @ santosh.pandey@citiustech.com. This posting complies with applicable pay transparency laws in states such as California, Colorado, New York, New Jersey, Illinois, and others.** 
**CitiusTech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**Life at CitiusTech** 
 We focus on building highly motivated engineering teams and thought leaders with an entrepreneurial mindset, centered on our core values of
 **Passion, Respect, Openness, Unity, and Depth (PROUD) of knowledge** 
 . Our success lies in creating a fun, transparent, non\-hierarchical, diverse work culture that focuses on continuous learning and work\-life balance.
 Rated by our employees as the
 **‘Great Place to Work** 
 for’ according to the Great Place to Work survey. We offer you a comprehensive set of benefits to ensure that you have a long and rewarding career with us.
**Our EVP** 
**Be You Be Awesome** 
 is our EVP and it reflects our continuing efforts to create CitiusTech as a great place to work where our employees can thrive, both personally and professionally. It encompasses the unique benefits and opportunities we offer to support your growth, well\-being, and success throughout your journey with us and beyond. Together with our clients, we are solving some of the greatest healthcare challenges and positively impacting human lives. Welcome to the world of Faster Growth, Higher Learning, and Stronger Impact.
 Join CitiusTech.
 **Be You. Be Awesome.** 
 To learn more about CitiusTech, visit www.citiustech.com</t>
        </is>
      </c>
    </row>
    <row r="91">
      <c r="A91" t="inlineStr">
        <is>
          <t>li-4362510548</t>
        </is>
      </c>
      <c r="B91" t="inlineStr">
        <is>
          <t>Data Engineer</t>
        </is>
      </c>
      <c r="C91" t="inlineStr">
        <is>
          <t>PA Consulting</t>
        </is>
      </c>
      <c r="D91" t="inlineStr">
        <is>
          <t>linkedin</t>
        </is>
      </c>
      <c r="E91">
        <f>HYPERLINK("https://www.linkedin.com/jobs/view/4362510548", "https://www.linkedin.com/jobs/view/4362510548")</f>
        <v/>
      </c>
      <c r="F91" t="inlineStr"/>
      <c r="G91" t="inlineStr">
        <is>
          <t>Boston, MA</t>
        </is>
      </c>
      <c r="H91" t="inlineStr"/>
      <c r="I91" t="inlineStr">
        <is>
          <t>**Company Description**
 We believe in the power of ingenuity to build a positive human future.
 As strategies, technologies, and innovation collide, we create opportunity from complexity.
 Our diverse teams of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**Job Description**
**Your day to day**
 We’re an innovation and transformation consultancy that believes in the power of ingenuity to build a positive\-human future in a technology\-driven world. Our diverse teams of experts combine innovative thinking with breakthrough\-technologies to progress further, faster.
 Are you ready to harness the power of data to drive advancements in healthcare? Are you passionate about designing, building, and maintaining data infrastructure that plays a pivotal role in improving patient outcomes and shaping the future of medicine? If you're seeking a rewarding career at the intersection of healthcare and technology, we invite you to be part of our dynamic team. This is a unique, multi\-year, project\-based opportunity to build and grow a clinical data registry platform over many years working with a dedicated team of collaborators and customers. As a Data Engineer for our cutting\-edge medical data registry, you'll be at the forefront of managing, optimizing, and expanding our data infrastructure, enabling critical insights that can positively impact patient outcomes. If you're excited about leveraging your data engineering skills to make a difference in the world of healthcare, we want to hear from you.
**Qualifications**
**Applicants must be authorized to work for any employer in the U.S. We are unable to sponsor or take over sponsorship of an employment visa at this time**
 The salary range for this role is between $80,000 \- $100,000\.
 Minimum qualifications:
* 2\-4 years of industry working experience
* Advanced SQL and Python
* Expertise in the design and construction of Big Data Lakes and Data Warehouses capable of ingesting, standardizing, and serving billions of data rows spanning diverse datasets ranging from tens to hundreds
* Experience building dynamic, metadata driven pipelines and analyses
* Building and managing fully automated data pipelines (ETL, ELT, ELTL) including:
+ Designing and building data interfaces to source systems
+ Combining and transforming data into the appropriate format for storage
+ Developing data sets for analytics purposes
+ Developing pipelines that can handle common issues/errors in a robust and automated way
* Cloud experience in Azure, AWS or GCP
 Preferred qualifications:
* Spark / PySpark experience highly preferable
* Working in Agile and DevOps environments
* Basic Python, Bash, or PowerShell for automation
* Data modelling – Kimball, Data Vault, Star/Snowflake schema, Query\-first etc.
* Data visualisation in Power BI, Tableau, Qlik or similar
* Architecting Data Platforms \- designing BI/MI/Analytics solutions using Big Data, Relational or Streaming technologies
* One or more of the following certifications:
+ Microsoft Certified: Azure Data Engineer Associate
+ AWS Certified Data Analytics \- Specialty
+ GCP Professional Data Engineers
**Additional Information**
 Additional Information
 Hybrid working \- our approach is to be in the office or on client site a minimum of 2 days per week. However, the actual time you spend and where you spend it will vary by role or assignment, including up to 5 days per week on a client site
 Life At PA encompasses our peoples' experience at PA. It's about how we enrich peoples’ working lives by giving them access to unique people and growth opportunities and purpose led meaningful work.
 We are currently operating a discretionary hybrid working model which is designed to help you plan your work and your life. We want our people to come into the office at least two days a week.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We are dedicated to supporting the physical, emotional, social and financial well\-being of our people.
**Benefits**
* Group medical insurance
* Health Savings Account with company match
* Teladoc and informed Nurse line resources
* Long term care plan
* Group dental insurance
* Vision plan
* 401(k) Savings Plan with company profit sharing contribution
* Commuter and Parking tax\-savings benefit
* 15 days paid vacation days with the opportunity to buy five additional days
* 10 paid Holidays plus 10 paid sick days
* Company and Voluntary income protection benefits
* Gym and health incentive reimbursement
* Pet and legal insurance Plans
* Employee Assistance Plan
* Annual performance\-based bonus</t>
        </is>
      </c>
    </row>
    <row r="92">
      <c r="A92" t="inlineStr">
        <is>
          <t>li-4365073987</t>
        </is>
      </c>
      <c r="B92" t="inlineStr">
        <is>
          <t>Data Engineer, Sr.</t>
        </is>
      </c>
      <c r="C92" t="inlineStr">
        <is>
          <t>Centene Corporation</t>
        </is>
      </c>
      <c r="D92" t="inlineStr">
        <is>
          <t>linkedin</t>
        </is>
      </c>
      <c r="E92">
        <f>HYPERLINK("https://www.linkedin.com/jobs/view/4365073987", "https://www.linkedin.com/jobs/view/4365073987")</f>
        <v/>
      </c>
      <c r="F92" t="inlineStr"/>
      <c r="G92" t="inlineStr"/>
      <c r="H92" t="inlineStr"/>
      <c r="I92" t="inlineStr">
        <is>
          <t>**About The Company** 
 Centene Corporation is a diversified, national healthcare enterprise committed to transforming the health of our communities. With a focus on providing high\-quality, affordable healthcare solutions, Centene serves over 28 million members across the United States. The organization leverages innovative technology and data\-driven strategies to improve health outcomes and enhance patient experiences. Centene's dedication to diversity, inclusion, and community engagement makes it a leader in the healthcare industry, offering a dynamic work environment where professionals can contribute to meaningful change.
**About The Role** 
 We are seeking a highly skilled Data Engineer to join our team and play a pivotal role in developing and operationalizing complex data pipelines. The ideal candidate will be responsible for ensuring data is accessible, reliable, and optimized for reporting and advanced analytics. This role involves collaborating with DevSecOps engineers during continuous integration and deployment processes, guiding the design and implementation of data management procedures, and supporting the development of high\-performance data structures for business intelligence. The Data Engineer will also be instrumental in designing real\-time processing applications and maintaining data quality across Centene’s environments. This position offers an exciting opportunity to utilize cutting\-edge technologies to enhance data\-driven decision\-making and improve healthcare outcomes for millions of members.
**Qualifications** 
* Bachelor’s degree in statistics, mathematics, engineering, computer science, or a related quantitative/business field
* 4 to 6 years of relevant experience in data engineering or similar roles
* Proficiency in Python and SQL programming languages
* Experience working with Snowflake or similar cloud data platforms
* Strong understanding of data pipelines, data ingestion, transformation, validation, and automation
* Knowledge of DevSecOps practices and continuous integration/continuous deployment (CI/CD)
* Experience with real\-time data processing and high\-volume data structures
* Excellent problem\-solving and analytical skills
* Ability to work collaboratively in a team environment and communicate complex technical concepts effectively
**Responsibilities** 
* Develop and operationalize data pipelines to facilitate data consumption for reports and analytics, ensuring data ingestion, transformation, validation, and pipeline optimization
* Collaborate with DevSecOps engineers to support continuous integration and deployment activities
* Design and implement complex data management procedures, including data staging, ingestion, preparation, provisioning, and destruction
* Guide data engineers in creating large\-scale, high\-performance data structures for business intelligence and analytics
* Design, develop, and maintain real\-time processing applications and data pipelines to support live data analytics
* Ensure the quality, accuracy, and security of data as it moves across different environments
* Provide senior\-level insights into evolving data environments, processing, storage, and utilization requirements
* Develop architecture solutions using advanced programming languages and tools, ensuring scalability and efficiency
* Identify opportunities to improve data reliability, automate tasks, and enhance data quality
* Perform other duties as assigned to support organizational data initiatives
* Ensure compliance with all organizational policies and standards related to data security and management
**Benefits** 
* Competitive salary range of $87,000 to $161,300 annually
* Comprehensive health insurance plans
* 401(k) retirement savings plan with company matching
* Stock purchase plans
* Tuition reimbursement programs
* Paid time off and holiday leave
* Flexible work arrangements including remote, hybrid, field, or office\-based schedules
* Opportunities for professional growth and development
 Equal Opportunity
 Centene is an equal opportunity employer committed to fostering a diverse and inclusive workplace. We value the unique perspectives and experiences of all applicants and employees. All qualified individuals will receive consideration for employment without regard to race, color, religion, sex, sexual orientation, gender identity, national origin, disability, veteran status, or other protected characteristics.</t>
        </is>
      </c>
    </row>
    <row r="93">
      <c r="A93" t="inlineStr">
        <is>
          <t>li-4365144286</t>
        </is>
      </c>
      <c r="B93" t="inlineStr">
        <is>
          <t>Data Engineer</t>
        </is>
      </c>
      <c r="C93" t="inlineStr">
        <is>
          <t>Viasat</t>
        </is>
      </c>
      <c r="D93" t="inlineStr">
        <is>
          <t>linkedin</t>
        </is>
      </c>
      <c r="E93">
        <f>HYPERLINK("https://www.linkedin.com/jobs/view/4365144286", "https://www.linkedin.com/jobs/view/4365144286")</f>
        <v/>
      </c>
      <c r="F93">
        <f>HYPERLINK("https://careers.viasat.com/jobs/5465?lang=en-us&amp;iis=Job+Board&amp;iisn=LinkedIn&amp;source=LinkedIn&amp;urlHash=Jeux", "https://careers.viasat.com/jobs/5465?lang=en-us&amp;iis=Job+Board&amp;iisn=LinkedIn&amp;source=LinkedIn&amp;urlHash=Jeux")</f>
        <v/>
      </c>
      <c r="G93" t="inlineStr">
        <is>
          <t>Marlborough, MA</t>
        </is>
      </c>
      <c r="H93" t="inlineStr"/>
      <c r="I9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DevOps Commercial Mobility team is focused on providing solutions to provide a world\-class in\-flight connectivity service to commercial airlines. As a key member, you will shape the future of large\-scale distributed systems through innovative designs, architectures, and methodologies. As part of our DevOps model, you will help develop the service and own it from cradle to grave, including conducting periodic on\-call duties using a follow\-the\-sun model.
 The ideal candidate possesses strong communication skills, a commitment to continuous learning, adaptability, creativity, and ingenuity. They demonstrate a passion for resolving complex technical issues through innovative and automated solutions. Furthermore, they are adept at collaborating with operations teams, providing necessary support, analyzing large data sets, and effecting problem resolution.
**The day\-to\-day**
 As part of the Revenue Assurance product team, you'll be right in the mix, owning the key microservices that measure and calculate Viasat's industry\-leading In\-flight Connectivity SLA's and ensuring our billing system gets the accurate accounting data it needs and that we're hitting our service goals. Day\-to\-day, this means you'll be developing and analyzing the KPIs that really show how passengers are experiencing our service. You'll also be building and maintaining the data pipelines that pull together and organize all the metrics that eventually land on customer invoices.
**What You'll Need**
* Typically requires 4\+ years of related experience with commercial software development in building distributed applications and with a Master's degree in Computer Science or Computer Engineering; or 6\+ years related experience with a Bachelor's degree in Computer Science or Computer Engineering; or 8\+ years related experience without relevant degree
* Strong working knowledge of two or more of: Java, Python, SQL
* Experience designing and implementing Airflow DAGs for data pipelines and workflows
* Experience with cloud\-based technologies, preferably Google Cloud Platform
* Ability to work on distributed remote agile teams with a high degree of self\-motivation and ability to work independently
* Excellent communication and collaboration skills to drive interaction with peer developers, architects, engineering and product managers
* Experience with or willingness to learn agile methodologies (Kanban, SCRUM, XP), modern software development environments and DevOps practices
* Experience with algorithms, data structures, complexity analysis, and software design
* Ability to travel up to 10%
**What Will Help You On The Job**
* Experience with Data Engineering
* Experience with data warehousing technologies (e.g., Snowflake, BigQuery) or relational database administration (e.g., Postgres, MySQL, or Oracle)
* Experience with GoLang
* Broad range of technology interests across different disciplines including computer and system architecture, performance analysis, distributed systems design, testing and verification technologies, data processing and networking, and running software services at scale
* Technical and software engineering background in the areas of cloud computing, enterprise computing, servers, and virtualization technology and products
* Expertise in designing, analyzing, and troubleshooting large\-scale distributed systems
* Experience in designing and implementing automated software component and integration tests
* Systematic problem\-solving approach, coupled with a strong sense of ownership and drive
* Experience with development of SOX compliant systems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94">
      <c r="A94" t="inlineStr">
        <is>
          <t>li-4365136332</t>
        </is>
      </c>
      <c r="B94" t="inlineStr">
        <is>
          <t>Senior Data Engineer</t>
        </is>
      </c>
      <c r="C94" t="inlineStr">
        <is>
          <t>Amtex Systems Inc</t>
        </is>
      </c>
      <c r="D94" t="inlineStr">
        <is>
          <t>linkedin</t>
        </is>
      </c>
      <c r="E94">
        <f>HYPERLINK("https://www.linkedin.com/jobs/view/4365136332", "https://www.linkedin.com/jobs/view/4365136332")</f>
        <v/>
      </c>
      <c r="F94" t="inlineStr"/>
      <c r="G94" t="inlineStr">
        <is>
          <t>Boston, MA</t>
        </is>
      </c>
      <c r="H94" t="inlineStr"/>
      <c r="I94" t="inlineStr">
        <is>
          <t>We’re looking for a senior Data Engineering leader with deep expertise in Snowflake, DBT, SQL \&amp; Python to build scalable, secure, enterprise\-grade data platforms in the cloud.</t>
        </is>
      </c>
    </row>
    <row r="95">
      <c r="A95" t="inlineStr">
        <is>
          <t>li-4365142810</t>
        </is>
      </c>
      <c r="B95" t="inlineStr">
        <is>
          <t>Data Engineer</t>
        </is>
      </c>
      <c r="C95" t="inlineStr">
        <is>
          <t>Barracuda</t>
        </is>
      </c>
      <c r="D95" t="inlineStr">
        <is>
          <t>linkedin</t>
        </is>
      </c>
      <c r="E95">
        <f>HYPERLINK("https://www.linkedin.com/jobs/view/4365142810", "https://www.linkedin.com/jobs/view/4365142810")</f>
        <v/>
      </c>
      <c r="F95" t="inlineStr"/>
      <c r="G95" t="inlineStr">
        <is>
          <t>Alpharetta, GA</t>
        </is>
      </c>
      <c r="H95" t="inlineStr"/>
      <c r="I95" t="inlineStr">
        <is>
          <t>Req ID: 26\-491
 Come join our passionate team! Barracuda is a leading cybersecurity company providing complete protection against complex threats. Our platform protects email, data, applications, and networks with innovative solutions, and a managed XDR service, to strengthen cyber resilience. Hundreds of thousands of IT professionals and managed service providers worldwide trust us to protect and support them with solutions that are easy to buy, deploy, and use.
 We know a diverse workforce adds to our collective value and strength as an organization. Barracuda Networks is proud to be an Equal Opportunity Employer, committed to equal employment opportunity and equitable compensation regardless of race, gender, religion, sex, sexual orientation, national origin, or disability.
**Envision yourself at Barracuda**
 We currently have an exciting new position open for a
 **Data Engineer** 
 . This person will assist in driving technology innovation for engineering projects and work on architecture of AWS, Data Lake (Databricks/Elastic) and Kubernetes. They will also work closely with the Technology Architect to create and drive the Architecture Review Board.
**What You’ll Be Working On**
* Determine internal / external customer data needs and identify system specifications.
* Analyze the needs of large systems and breaking them down into smaller manageable parts.
* Responsible for designing the journey of data from various sources to the database and everything in between.
* Plan and design the structure of data, brainstorm with team.
* Analyze best technology products and systems for internal teams.
* Help provide build vs buy decisions on data architecture.
* Communicate data requirements to engineers; explain data architecture to them and aid throughout SDLC.
* Choose / maintain suitable software, hardware and integration methods.
* Assist security analysts in creating SIEM rules.
* Help resolve technical problems as and when they arise.
* Review testing procedures to ensure data performant and error free.
* Ensure that database satisfy quality standards and procedures. Setup such standards.
* Work with senior IT personnel to devise plans for future IT requirements of the organization.
* Produce progress reports on key infrastructures – Databricks, Elastic and Data Pipelines
**What You Bring To The Role**
* Bachelor Degree or Post Graduate in Computer Science, or relevant work experience
* 3\+ years of experience in an Engineering / Data ingestion and process heavy organization
* 1\+ years of experience as a Data Analysis and Data Design responsible for data architecture of a SaaS application
* Experience in understanding and designing of data streaming (like, Kafka) and data pipelines for ingestion and transformation, data sharding in a distributed database.
* Some Hands\-on experience in software development and system administration
* Knowledge of strategic IT solutions
* Familiarity with programming languages like Java or Python or PySpark
* Familiarity with Linux OS and Windows alike
* Experience in cloud computing and cloud Technologies (AWS, GCP, Azure)
* Excellent communication skills – you should be adept at listening to, understanding, and explaining key concepts to managerial and technical resources.
* Ability to prioritize and manage time – responsible for multiple streams of work at the same time.
* Relationship building \- Ability to form a good rapport with internal and external stakeholders.
* In\-depth knowledge about quality standards and security best practices
**Preferred Skills**
* Expert level understanding of Databricks, Structured streaming, Delta Live Tables (DLT), Notebooks, PySpark
* Good knowledge of Elastic eco system \- Elasticsearch, Logstash, Kibana, Filebeats.
* Good understanding of machine learning concepts, algorithms (e.g., natural language processing, predictive analytics), and specialized AI tools like LangChain.
* Understanding of secure tunnel communication using VPN
* Experience designing data at scale.
* AWS experience is preferred in Cloud Technologies
**What You’ll Get From Us**
 A team where you can voice your opinion, make an impact, and where you and your experience are valued. Internal mobility – there are opportunities for cross training and the ability to attain your next career step within Barracuda.
* Equity, in the form of non\-qualifying options
* High\-quality health benefits
* Retirement Plan with employer match
* Career\-growth opportunities
* Flexible Time Off and Paid Time Off benefits
* Volunteer opportunities
 The anticipated on\-target earnings range for this role is $80,000 to $125,000\. Actual compensation offered will be dependent upon the individual's skills, experience, and qualifications as they directly relate to the requirements of the position, the budget for the position, and applicable employment laws.</t>
        </is>
      </c>
    </row>
    <row r="96">
      <c r="A96" t="inlineStr">
        <is>
          <t>li-4362079982</t>
        </is>
      </c>
      <c r="B96" t="inlineStr">
        <is>
          <t>Data Engineer</t>
        </is>
      </c>
      <c r="C96" t="inlineStr">
        <is>
          <t>Insight Global</t>
        </is>
      </c>
      <c r="D96" t="inlineStr">
        <is>
          <t>linkedin</t>
        </is>
      </c>
      <c r="E96">
        <f>HYPERLINK("https://www.linkedin.com/jobs/view/4362079982", "https://www.linkedin.com/jobs/view/4362079982")</f>
        <v/>
      </c>
      <c r="F96" t="inlineStr"/>
      <c r="G96" t="inlineStr"/>
      <c r="H96" t="inlineStr"/>
      <c r="I96" t="inlineStr">
        <is>
          <t>Required Skills \&amp; Experience
 \-3\+ years of Data Engineering experience, including: Advanced SQL, Python, Cloud data warehouses (GCP BigQuery preferred)
 \-SAP S4 HANA
 – Experience with backend tables, structures, and supply‑chain data models such as SAP Table Structures: table structures (MARA, MARC, etc) and ideally Experience with SQVI (S4 HANA quick viewer).
 \-Supply Chain Experience: Inventory management, demand planning, logistics, or related domains.
 \-Ability to build scalable schemas, transformations, and curated datasets for analytics and AI/ML.
 Nice to Have Skills \&amp; Experience
 \-SAP IBP \-Experience cleaning or standardizing legacy/custom application data. \-Familiarity with inventory planning concepts (safety stock, SKU optimization, replenishment). \-Background in top\-tier supply\-chain organizations. \-Experience building Tableau dashboards (plus).
 Job Description
 Insight Global is looking for a Data Engineer to join a Fortune 100 company's Supply Chain organization. This role is heavily focused on data transformation and wrangling—approximately 80% of the work—and involves working extensively with SAP S4 HANA and other supply‑chain datasets to clean, standardize, join, and model data for analytics, forecasting, and AI/ML use cases. The position requires cleaning, normalizing, and reconciling large datasets across internal systems while building unified views that support inventory\-to\-demand analysis, historical project performance, and BOM structures tied to project schedules. You will design and maintain GCP/BigQuery schemas as a single source of truth, develop automated ETL/ELT pipelines using SQL and Python with robust data quality checks, and conduct gap analysis to identify missing fields or inconsistencies while recommending upstream improvements. The role also includes preparing curated datasets for supply‑chain analysts and business stakeholders.</t>
        </is>
      </c>
    </row>
    <row r="97">
      <c r="A97" t="inlineStr">
        <is>
          <t>li-4362182276</t>
        </is>
      </c>
      <c r="B97" t="inlineStr">
        <is>
          <t>Snowflake Data Engineer</t>
        </is>
      </c>
      <c r="C97" t="inlineStr">
        <is>
          <t>Lithia &amp; Driveway</t>
        </is>
      </c>
      <c r="D97" t="inlineStr">
        <is>
          <t>linkedin</t>
        </is>
      </c>
      <c r="E97">
        <f>HYPERLINK("https://www.linkedin.com/jobs/view/4362182276", "https://www.linkedin.com/jobs/view/4362182276")</f>
        <v/>
      </c>
      <c r="F97" t="inlineStr"/>
      <c r="G97" t="inlineStr"/>
      <c r="H97" t="inlineStr"/>
      <c r="I97" t="inlineStr">
        <is>
          <t>**Dealership**
 L0105 Lithia Home Office
**Data Engineer \| Lithia \&amp; Driveway**
**Location: Remote (PST work hours, preferred)**
**Compensation:** 
 The full salary range for this position is
 **$80,000\-$115,000** 
 annually. The anticipated starting pay is
 **$80,000\-$110,000** 
 , determined by factors such as skills, experience, and organizational considerations. Final compensation will be established through the interview process in accordance with applicable pay equity and transparency laws.
 Lithia \&amp; Driveway (LAD) is one of the largest global automotive retailers providing a wide array of products and services throughout the ownership lifecycle with a vision to modernize personal transportation solutions wherever, whenever, and however consumers desire. With a mission of "Growth Powered by People," we are propelled by our colleagues and preferred by our customers, making Lithia \&amp; Driveway the leading automotive retailer in each of our markets. Our success is fueled by four core values: earning customers for life, improving constantly, taking personal ownership, and having fun. Our entrepreneurial, high\-performance culture sets us apart, and our philosophy is straightforward: assemble a team of passionate individuals and cultivate an environment that empowers colleagues to excel.
 **We’d love to have you join us on our journey!**
**Role Overview**
 The Data Engineer plays a critical role in building and maintaining the data foundation that supports analytics, reporting, and business decision\-making. This position is responsible for developing, implementing, and supporting scalable data pipelines and managing data engineering workflows across modern cloud platforms. With a strong focus on automation, performance, and data quality, the Data Engineer designs, builds, and migrates ETL/ELT processes using technologies such as Azure Data Factory, Azure Synapse, and Snowflake.
 Working closely with Data Architects, Data Analysts, and fellow engineers, the Data Engineer contributes to robust data ingestion, transformation, and analytics pipelines. This role receives technical direction from the Lead Data Engineer and operates primarily within Azure and Snowflake environments, partnering across teams to ensure data integrity, operational excellence, and continuous improvement.
**What You'll Do**
* Design and implement data ingestion and transformation processes to load data from disparate source systems into Snowflake and downstream data platforms to enable reliable enterprise reporting and analytics.
* Migrate existing on\-premises SQL Server data processes and datasets to Azure\-based solutions to improve scalability, performance, and long\-term maintainability.
* Integrate Azure Data Factory with Snowflake for automated data extraction, transformation, and loading processes
* Develop, test, and maintain SQL scripts, stored procedures, and data pipelines to ensure accurate, timely, and efficient data processing.
* Ensure data is created, structured, and maintained according to established standards and documentation requirements to support data governance and usability.
* Build and configure end\-to\-end telemetry, alerting, and self\-healing capabilities to proactively identify and resolve data pipeline issues.
* Collaborate with business stakeholders to understand requirements and translate them into effective data integration and MDM solutions
* Implement CI/CD pipelines for data engineering projects to enhance deployment and automation capabilities
* Ensure thorough documentation and compliance with data standards across all processes
* Mentor and support junior team members through knowledge sharing, technical guidance, and code reviews to strengthen team capability and consistency.
* Strive for continuous improvement of code quality and development practices.
* Participate as part of a Tier\-3 on\-call rotation to support team\-built software
**Skills**
**What You'll Bring**
* Working knowledge of cloud\-based data platforms and modern data pipeline design principles, including:
+ Azure Data Services: Azure Data Factory, Synapse, Functions, Logic Apps, ADLS, and Blob Storage
+ Development \&amp; Integration Tools: SSMS, Visual Studio, Azure DevOps
+ Data Platforms \&amp; Engineering Tools: Snowflake, Databricks, and DBT
* Proficiency in Snowflake development, including stored procedures, UDFs, query performance tuning, and Snowpipe configuration.
* Strong SQL development skills, including query optimization and stored procedure design.
* Solid understanding of ETL/ELT processes, data integration patterns, and foundational data warehouse concepts.
* Experience supporting and troubleshooting data integrations across cross\-functional teams.
* Proficiency with version control systems such as Git or TFS.
* Knowledge of CI/CD pipelines and best practices for data engineering projects.
* Strong attention to detail with the ability to manage multiple priorities and deadlines effectively.
* Excellent communication and collaboration skills.
**Experience**
* 1\+ year of experience in analytics or data engineering, working closely with cross\-functional teams.
* 2\+ years of experience in SQL Server development or equivalent SQL\-based data engineering environments.
**We Offer Best In Class Industry Benefits**
* Competitive pay
* Medical, Dental and Vision Plans
* Paid Holidays \&amp; PTO
* Short and Long\-Term Disability
* Paid Life Insurance
* 401(k) Retirement Plan
* Employee Stock Purchase Plan
* Lithia Learning Center
* Vehicle Purchase Discounts
* Wellness Programs
 High School graduate or equivalent, 18 years or older required. We are a drug free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t>
        </is>
      </c>
    </row>
    <row r="98">
      <c r="A98" t="inlineStr">
        <is>
          <t>li-4365148477</t>
        </is>
      </c>
      <c r="B98" t="inlineStr">
        <is>
          <t>Healthcare Data Engineer III</t>
        </is>
      </c>
      <c r="C98" t="inlineStr">
        <is>
          <t>University of Utah Health Research</t>
        </is>
      </c>
      <c r="D98" t="inlineStr">
        <is>
          <t>linkedin</t>
        </is>
      </c>
      <c r="E98">
        <f>HYPERLINK("https://www.linkedin.com/jobs/view/4365148477", "https://www.linkedin.com/jobs/view/4365148477")</f>
        <v/>
      </c>
      <c r="F98" t="inlineStr"/>
      <c r="G98" t="inlineStr">
        <is>
          <t>Salt Lake City, UT</t>
        </is>
      </c>
      <c r="H98" t="inlineStr"/>
      <c r="I98" t="inlineStr">
        <is>
          <t>Details
**Open Date** 
 12/18/2025
**Requisition Number** 
 PRN43881B
**Job Title** 
 Data Engineers
**Working Title** 
 Healthcare Data Engineer III
**Career Progression Track** 
 P00
**Track Level** 
 P3 \- Career
**FLSA Code** 
 Computer Employee
**Patient Sensitive Job Code?** 
 No
**Standard Hours per Week** 
 40
**Full Time or Part Time?** 
 Full Time
**Shift** 
 Day
**Work Schedule Summary**
**VP Area** 
 U of U Health \- Academics
**Department** 
 00943 \- HSC Core Resrch Facility Oper
**Location** 
 Campus
**City** 
 Salt Lake City, UT
**Type of Recruitment** 
 External Posting
**Pay Rate Range** 
 $95,000\.00 \- $125,000\.00
**Close Date** 
 04/18/2026
**Priority Review Date (Note \- Posting may close at any time)**
**Job Summary**
**Data Engineers**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Work collaboratively with end\-users including researchers to recommend strategies for problem analysis, study design, and apply rigorous data science methods. Serve as the front\-line support for data\-related questions from end\-users, and be responsible for standardization, documentation, and maintaining a repertoire of answers and solutions to common problems.
**Learn more about the great benefits of working for University of Utah: benefits.utah.edu**
**The department may choose to hire at any of the below job levels and associated pay rates based on their business need and budget.**
**Responsibilities**
**Data Engineer, III**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Considered highly skilled and proficient in discipline. Conducts complex, important work under minimal supervision and with wide latitude for independent judgment.
 Requires a bachelor’s (or equivalency) \+ 6 years or a master’s (or equivalency) \+ 4 years of directly related work experience.
 This is a Career\-Level position in the General Professional track.
**Minimum Qualifications**
**EQUIVALENCY STATEMENT :** 
 1 year of higher education can be substituted for 1 year of directly related work experience (Example: bachelor’s degree \= 4 years of directly related work experience).
**Data Engineer, III :** 
 Requires a bachelor’s (or equivalency) \+ 6 years or a master’s (or equivalency) \+ 4 years of directly related work experience.
**Preferences**
* Master’s degree in biomedical informatics, computer science, information systems, bioengineering or equivalent, with an emphasis on healthcare.
* 4\+ years of experience with healthcare data warehousing, electronic health records (ideally, Epic), and data preparation \&amp; analysis.
* Knowledge and experience in applying controlled medical terminologies like SNOMEDCT , LOINC , RxNorm, etc. in healthcare.
* Clinical training (e.g., medicine, nursing, pharmacy, etc.).
* Demonstrated expertise in a broad array of data science theories and techniques.
**Type** 
 Benefited Staff
**Special Instructions Summary**
**Additional Information**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The University of Utah values candidates who have experience working in settings with students and possess a strong commitment to improving access to higher education.
 Veterans’ preference is extended to qualified applicants, upon request and consistent with University policy and Utah state law. Upon request, reasonable accommodations in the application process will be provided to individuals with disabilities.
 Consistent with state and federal law, the University of Utah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Title IX ( OEO ). More information, including the Director/Title IX Coordinator’s office address, electronic mail address, and telephone number can be located at: https://www.utah.edu/nondiscrimination/
 Online reports may be submitted at oeo.utah.edu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is>
      </c>
    </row>
    <row r="99">
      <c r="A99" t="inlineStr">
        <is>
          <t>li-4361929593</t>
        </is>
      </c>
      <c r="B99" t="inlineStr">
        <is>
          <t>Senior Data Engineer (AI &amp; Marketing Focus)</t>
        </is>
      </c>
      <c r="C99" t="inlineStr">
        <is>
          <t>dentsu</t>
        </is>
      </c>
      <c r="D99" t="inlineStr">
        <is>
          <t>linkedin</t>
        </is>
      </c>
      <c r="E99">
        <f>HYPERLINK("https://www.linkedin.com/jobs/view/4361929593", "https://www.linkedin.com/jobs/view/4361929593")</f>
        <v/>
      </c>
      <c r="F99" t="inlineStr"/>
      <c r="G99" t="inlineStr"/>
      <c r="H99" t="inlineStr"/>
      <c r="I99" t="inlineStr">
        <is>
          <t>**TL;DR** 
 This is a
 **Senior Data Engineer** 
 role requiring
 **6\+ years of experience** 
 . You will focus on designing and optimizing data pipeline architecture, building analytics tools, and leading technical initiatives on
 **Snowflake** 
 and
 **AWS** 
 . As a Staff Engineer, the role splits time between hands\-on Python/SQL development and high\-level responsibilities like mentorship, architecture design, and stakeholder management.
**The Tech Stack** 
* **Core Languages:** 
 Python (Expertise required), SQL. (Java is a plus).
* **Data/DB:** 
 Snowflake (Preferred), Relational/Non\-relational models.
* **Snowflake Specifics:** 
 Native App framework, Snowpark, Streams/Tasks.
* **Orchestration/Workflow:** 
 Airflow.
* **Infrastructure/Cloud:** 
 AWS (Preferred), Azure/GCP, Docker/Containers.
* **Tooling:** 
 Git/Bitbucket, CI/CD pipelines, Unix/Bash.
* **Methodology:** 
 Agile, "Vibe Coding".
**Key Engineering Deliverables** 
**1\. Pipeline \&amp; Architecture** 
* Create and maintain optimal data pipeline architecture.
* Assemble and manipulate large, complex datasets for functional and non\-functional requirements.
* Re\-design infrastructure for greater scalability and automate manual processes.
* Maintain, clean, and separate data in operational/analytics databases (security focused).
**2\. Product \&amp; Tooling** 
* Build analytics tools and data assets to provide insights on customer acquisition and operational efficiency.
* Work specifically on the
 **Snowflake Native App framework** 
 and use Snowpark.
* Implement solutions using AI tools to speed up delivery.
**3\. Operations \&amp; Quality** 
* Apply CI/CD best practices (design, implement, test, deploy).
* Handle Quality Assurance (QA), automated testing, and
 **on\-call support** 
 .
* Troubleshoot performance issues and database requirements.
**The "Senior" Responsibilities (Leadership)** 
* **Mentorship:** 
 Mentor and support engineers in their career growth.
* **Strategy:** 
 Lead project initiatives and search for innovative solutions.
* **Collaboration:** 
 Partner with Executive, Product, Data, and Design teams to solve technical challenges.
* **Communication:** 
 Document processes for technical and non\-technical audiences and coordinate cross\-team data sharing.
**Requirements** 
* **Experience:** 
 6\+ years software development.
* **Education:** 
 Degree in CS, Engineering, Info Systems, or equivalent experience.
* **Location:** 
 Remote available (outside commutable range).
***'\* Note: These roles are 100% Remote unless you live within 90 minutes from our hub (New York, Chicago, Detroit, Los Angeles) then Hybrid \*'***</t>
        </is>
      </c>
    </row>
    <row r="100">
      <c r="A100" t="inlineStr">
        <is>
          <t>li-4362069974</t>
        </is>
      </c>
      <c r="B100" t="inlineStr">
        <is>
          <t>Analytics Engineer</t>
        </is>
      </c>
      <c r="C100" t="inlineStr">
        <is>
          <t>RemoteHunter</t>
        </is>
      </c>
      <c r="D100" t="inlineStr">
        <is>
          <t>linkedin</t>
        </is>
      </c>
      <c r="E100">
        <f>HYPERLINK("https://www.linkedin.com/jobs/view/4362069974", "https://www.linkedin.com/jobs/view/4362069974")</f>
        <v/>
      </c>
      <c r="F100" t="inlineStr"/>
      <c r="G100" t="inlineStr"/>
      <c r="H100" t="inlineStr"/>
      <c r="I100"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li-4365105072</t>
        </is>
      </c>
      <c r="B101" t="inlineStr">
        <is>
          <t>Senior Data Engineer</t>
        </is>
      </c>
      <c r="C101" t="inlineStr">
        <is>
          <t>Anblicks</t>
        </is>
      </c>
      <c r="D101" t="inlineStr">
        <is>
          <t>linkedin</t>
        </is>
      </c>
      <c r="E101">
        <f>HYPERLINK("https://www.linkedin.com/jobs/view/4365105072", "https://www.linkedin.com/jobs/view/4365105072")</f>
        <v/>
      </c>
      <c r="F101" t="inlineStr"/>
      <c r="G101" t="inlineStr">
        <is>
          <t>Dallas, TX</t>
        </is>
      </c>
      <c r="H101" t="inlineStr"/>
      <c r="I101" t="inlineStr">
        <is>
          <t>**Job Title: Senior Data Engineer** 
**Location: Dallas, TX** 
**Responsibilities:** 
* Contribute to full development life cycle, including requirements analysis, functional design, technical design, programming, testing, documentation, implementation, and on\-going technical support.
* Contribute to projects/CR’s utilizing Ab\-Initio (ETL), Python, Oracle SQL/PLSQL, Snowflake and Cloud Technologies.
* Ability and willingness to learn newer tools and technologies in cloud\-based data analytics/Artificial intelligence arena and successfully deliver projects utilizing the same.
* Expected to provide sound understanding of application development concepts / principles and a basic knowledge of concepts and principles in other technology areas. Expected to Develop/Modify/Test/Migrate Reports.
* Expected to clearly articulate development and timeline dependencies. Improve team development related processes that accelerate delivery, drive innovation, lower costs, and improve quality.
**Required Skills:** 
* ETL: 4\+ years of Hands on experiencing in building data pipelines using Apache Spark.
* Big Data: Hands on experience of working on "Big Data" platforms such as Hadoop, Hive or Snowflake for data storage and processing.
* Data Warehousing \&amp; Database Management: Understanding of Data Warehousing concepts, Relational (Oracle, MSSQL, MySQL) and NoSQL (MongoDB, DynamoDB) database design
* Data Modeling \&amp; Design: Good exposure to data modeling techniques; design, optimization and maintenance of data models and data structures
* Languages: Proficient in one or more programming languages commonly used in data engineering such as Python, Java or Scala
* DevOps: Exposure to concepts and enablers \- CI/CD platforms, version control, automated quality control management.</t>
        </is>
      </c>
    </row>
    <row r="102">
      <c r="A102" t="inlineStr">
        <is>
          <t>li-4320523702</t>
        </is>
      </c>
      <c r="B102" t="inlineStr">
        <is>
          <t>Senior Data Engineer</t>
        </is>
      </c>
      <c r="C102" t="inlineStr">
        <is>
          <t>Trepp, Inc.</t>
        </is>
      </c>
      <c r="D102" t="inlineStr">
        <is>
          <t>linkedin</t>
        </is>
      </c>
      <c r="E102">
        <f>HYPERLINK("https://www.linkedin.com/jobs/view/4320523702", "https://www.linkedin.com/jobs/view/4320523702")</f>
        <v/>
      </c>
      <c r="F102" t="inlineStr"/>
      <c r="G102" t="inlineStr"/>
      <c r="H102" t="inlineStr"/>
      <c r="I102"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103">
      <c r="A103" t="inlineStr">
        <is>
          <t>li-4362560457</t>
        </is>
      </c>
      <c r="B103" t="inlineStr">
        <is>
          <t>Data Engineer</t>
        </is>
      </c>
      <c r="C103" t="inlineStr">
        <is>
          <t>Haystack</t>
        </is>
      </c>
      <c r="D103" t="inlineStr">
        <is>
          <t>linkedin</t>
        </is>
      </c>
      <c r="E103">
        <f>HYPERLINK("https://www.linkedin.com/jobs/view/4362560457", "https://www.linkedin.com/jobs/view/4362560457")</f>
        <v/>
      </c>
      <c r="F103">
        <f>HYPERLINK("https://us.haystackapp.io/roles/69700b6049b60748f905ca18?src=linkedin&amp;urlHash=Lc01", "https://us.haystackapp.io/roles/69700b6049b60748f905ca18?src=linkedin&amp;urlHash=Lc01")</f>
        <v/>
      </c>
      <c r="G103" t="inlineStr"/>
      <c r="H103" t="inlineStr"/>
      <c r="I103" t="inlineStr">
        <is>
          <t>**Data Engineer \| Alexandria, VA \| Remote\-Friendly \| $112,800 \- $257,000** 
 We're working with Booz Allen Hamilton on this exciting opportunity.
 Are you a seasoned Data Engineer with a passion for national security? Join a leading team to drive innovative data solutions for critical defense missions. Leverage your expertise in data architecture, machine learning, and full\-stack development to build and secure cutting\-edge systems that keep our nation safe.
**The Role** 
 • Lead a team to improve, modify, and re\-engineer business processes and policies.
 • Develop and deliver enterprise data architecture strategies, including data modeling and design.
 • Support the identification of disparate data sources and data sharing requirements.
 • Identify, recommend, and implement AI/ML technologies to enhance data management and analysis.
 • Provide advanced technical knowledge and analysis of specialized applications and operational environments.
**What You'll Need** 
 • 10\+ years of experience in data science or data engineering.
 • 3\+ years of experience designing and deploying full\-stack web services environments (NIPR, SIPR, JWICS).
 • TS/SCI clearance is required.
 • Bachelor's degree.
 • Strong analytical and problem\-solving skills with a focus on national security.
**What's On Offer** 
 • Comprehensive benefits package including health, life, disability, and retirement plans.
 • Opportunity for professional development and tuition assistance.
 • Recognition awards program for exceptional performance.
 • Flexible work model with remote options.
**Apply via Haystack today!**</t>
        </is>
      </c>
    </row>
    <row r="104">
      <c r="A104" t="inlineStr">
        <is>
          <t>li-4354201201</t>
        </is>
      </c>
      <c r="B104" t="inlineStr">
        <is>
          <t>Data Engineer – Data Products &amp; Delivery (On-site Work Schedule)</t>
        </is>
      </c>
      <c r="C104" t="inlineStr">
        <is>
          <t>Parts Town</t>
        </is>
      </c>
      <c r="D104" t="inlineStr">
        <is>
          <t>linkedin</t>
        </is>
      </c>
      <c r="E104">
        <f>HYPERLINK("https://www.linkedin.com/jobs/view/4354201201", "https://www.linkedin.com/jobs/view/4354201201")</f>
        <v/>
      </c>
      <c r="F104" t="inlineStr"/>
      <c r="G104" t="inlineStr">
        <is>
          <t>Plattsburgh, NY</t>
        </is>
      </c>
      <c r="H104" t="inlineStr"/>
      <c r="I104" t="inlineStr">
        <is>
          <t>**Description**
*Position at Parts Town*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 at a Glance
 The Data Engineer\- Data Products \&amp; Delivery will specialize in turning raw data into business\-ready products within GCP. They will design and optimize data models, marts, and semantic layers in BigQuery, enabling analytics, BI, and ML use cases across the enterprise. You will also support downstream systems and APIs that deliver trusted data for operational and AI\-driven processes. You will play a foundational role in shaping this future — building the pipelines, products, and platforms that power the next generation of digital distribution.
 A Typical Day
* Build silver/gold layers in BigQuery, transforming raw data into clean, business\-ready models.
* Design semantic layers using Looker or dbt for consistent business metrics
* Develop data marts and star schemas optimized for analytics and self\-service BI
* Build APIs and services for data delivery (Cloud Functions, Cloud Run)
* Partner with analysts, data scientists, and ML engineers to ensure data \&amp; AI readiness and support advanced modeling
* Collaborate with the Data Governance team to embed stewardship, lineage, and metadata into Dataplex and other MDM tooling
* Support real\-time analytics using BigQuery streaming and Pub/Sub as needed.
* Optimize query performance and cost efficiency in BigQuery
* Drive adoption of AI/automation by ensuring data models are accessible for predictive and agentic use cases
 To Land This Opportunity
* You have 4\+ years of experience in data engineering or BI\-focused data modeling
* You have hands\-on expertise in BigQuery (partitioning, clustering, performance tuning, cost management)
* You have strong knowledge of dbt, Looker, and SQL for transformation and semantic modeling
* You obtain experience with Cloud Functions, Cloud Run, and APIs for data delivery
* You’re familiar with Pub/Sub and BigQuery streaming for real\-time use cases
* You have exposure to ML feature engineering in Vertex AI or similar platforms a plus
* You have a strong understanding of data governance frameworks, Dataplex, and metadata management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$97,628\.20– 131,752\.87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105">
      <c r="A105" t="inlineStr">
        <is>
          <t>li-4365129206</t>
        </is>
      </c>
      <c r="B105" t="inlineStr">
        <is>
          <t>Data Engineer, Mid</t>
        </is>
      </c>
      <c r="C105" t="inlineStr">
        <is>
          <t>Booz Allen Hamilton</t>
        </is>
      </c>
      <c r="D105" t="inlineStr">
        <is>
          <t>linkedin</t>
        </is>
      </c>
      <c r="E105">
        <f>HYPERLINK("https://www.linkedin.com/jobs/view/4365129206", "https://www.linkedin.com/jobs/view/4365129206")</f>
        <v/>
      </c>
      <c r="F105">
        <f>HYPERLINK("https://careers.boozallen.com/careers/JobDetail?jobId=119746&amp;source=JB-16500&amp;urlHash=7r5V", "https://careers.boozallen.com/careers/JobDetail?jobId=119746&amp;source=JB-16500&amp;urlHash=7r5V")</f>
        <v/>
      </c>
      <c r="G105" t="inlineStr">
        <is>
          <t>Falls Church, VA</t>
        </is>
      </c>
      <c r="H105" t="inlineStr"/>
      <c r="I105" t="inlineStr">
        <is>
          <t>**Job Number: R0232443**
 Data Engineer, Mid
**The Opportunity:**
 Apply broad understanding of the principles of computer and information science to build data pipelines using Python and PySpark. Import and sync to various data sources, clean and standardize data elements, and fix data quality issues. Collect, manage, and convert raw data into usable information for clients, data scientists, and business analysts to interpret. Use code authoring tools in designated platforms to make data accessible so that organizations can use it to evaluate and optimize policy. Build processes for users and data owners to interact with their data in platform, using a variety of technologies, including Python, TypeScript, and JavaScript. Develop innovative solutions to complex data\-driven problems and operate with substantial latitude for unreviewed action or decision.
**You Have:**
* 2\+ years of experience working in a professional environment
* Experience with Python
* Experience with data integration and management
* Knowledge of fundamental principles of programming or web development
* Ability to obtain and maintain a Public Trust or Suitability/Fitness determination based on client requirements
* Bachelor's degree
**Nice If You Have:**
* Experience with Palantir Foundry
* Experience with R
* Experience with JavaScript, TypeScript, HTML, and CSS
* Experience with version control systems, including GIT
* Experience working in a public health environment
* Knowledge of PySpark
* Knowledge of Agile and Scrum processes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6">
      <c r="A106" t="inlineStr">
        <is>
          <t>li-4362125126</t>
        </is>
      </c>
      <c r="B106" t="inlineStr">
        <is>
          <t>DATA ENGINEER - DATABRICKS - REMOTE</t>
        </is>
      </c>
      <c r="C106" t="inlineStr">
        <is>
          <t>Jobs via Dice</t>
        </is>
      </c>
      <c r="D106" t="inlineStr">
        <is>
          <t>linkedin</t>
        </is>
      </c>
      <c r="E106">
        <f>HYPERLINK("https://www.linkedin.com/jobs/view/4362125126", "https://www.linkedin.com/jobs/view/4362125126")</f>
        <v/>
      </c>
      <c r="F106" t="inlineStr"/>
      <c r="G106" t="inlineStr"/>
      <c r="H106" t="inlineStr"/>
      <c r="I106" t="inlineStr">
        <is>
          <t>Dice is the leading career destination for tech experts at every stage of their careers. Our client, Contract Staffing Recruiters, is seeking the following. Apply via Dice today!
 More roles for our client on CareersInConnecticut.com
 Contact for more info
 Mike Toohey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07">
      <c r="A107" t="inlineStr">
        <is>
          <t>li-4334782345</t>
        </is>
      </c>
      <c r="B107" t="inlineStr">
        <is>
          <t>Staff Data Engineer</t>
        </is>
      </c>
      <c r="C107" t="inlineStr">
        <is>
          <t>SailPoint</t>
        </is>
      </c>
      <c r="D107" t="inlineStr">
        <is>
          <t>linkedin</t>
        </is>
      </c>
      <c r="E107">
        <f>HYPERLINK("https://www.linkedin.com/jobs/view/4334782345", "https://www.linkedin.com/jobs/view/4334782345")</f>
        <v/>
      </c>
      <c r="F107" t="inlineStr"/>
      <c r="G107" t="inlineStr"/>
      <c r="H107" t="inlineStr"/>
      <c r="I107" t="inlineStr">
        <is>
          <t>**Staff Data Engineer – Streaming Data Systems** 
**Location:** 
 REMOTE
**Team:** 
 Data Platform
**Level:** 
 Staff
**About the Role**
 We are looking for a
 **Staff Data Engineer** 
 with deep expertise in
 **streaming data architectures** 
 to drive the evolution of our real\-time data platform. This role is highly technical and hands\-on — ideal for someone who thrives on solving complex scaling challenges, architecting low\-latency systems, and leading teams to deliver high\-quality streaming data solutions that power analytics, machine learning, and core product features.
 As a senior member of the data engineering team, you’ll shape the technical direction of our streaming ecosystem and help define best practices for how data flows through our organization.
**Responsibilities**
* **Architect and lead** 
 the design and implementation of scalable, fault\-tolerant
 **streaming data pipelines** 
 using platforms such as
 **Apache Kafka, Flink, Spark Structured Streaming, or Kinesis** 
 .
* **Evolve the real\-time data platform** 
 to support new business use cases, ensuring low\-latency data delivery and high reliability.
* Partner with
 **data scientists, product engineers, and platform teams** 
 to design data models and streaming APIs that enable real\-time insights and decision\-making.
* Drive
 **data quality, observability, and governance** 
 across streaming systems, including schema management, lineage, and monitoring.
* Optimize pipeline performance, reliability, and cost across multiple environments (cloud and on\-prem).
* Lead
 **code reviews, architecture reviews, and technical mentoring** 
 for other engineers.
* Establish and champion
 **best practices** 
 for streaming data engineering, deployment automation, and CI/CD for data systems.
* Collaborate with platform teams to ensure data systems are
 **secure, compliant, and highly available** 
 .
**Qualifications**
**Required:** 
* 8\+ years of experience in
 **data engineering** 
 , with at least 3\+ years in
 **real\-time or streaming systems** 
 .
* Deep expertise with
 **Kafka** 
 (or equivalent message brokers), including schema registry, partitioning strategies, and consumer group management.
* Hands\-on experience with
 **stream processing frameworks** 
 (e.g., Apache Flink, Spark Structured Streaming, Kafka Streams).
* Strong proficiency in
 **Python, Scala, or Java** 
 , and familiarity with data pipeline orchestration tools (Airflow, Dagster, etc.).
* Solid understanding of
 **distributed systems, networking, and storage** 
 .
* Experience with
 **cloud platforms** 
 (AWS, GCP, or Azure) and managed streaming services (Kinesis, Pub/Sub, etc.).
* Familiarity with
 **data modeling, lakehouse architectures, and batch \+ streaming integration** 
 .
**Preferred:** 
* Experience building
 **exactly\-once** 
 or
 **idempotent** 
 streaming pipelines.
* Knowledge of
 **data governance, lineage, and observability tools** 
 (e.g., Datadog, Prometheus, OpenLineage).
* Prior experience leading a data platform or mentoring senior engineers.
* Exposure to
 **machine learning feature pipelines** 
 or
 **event\-driven microservices** 
 .
**What You’ll Bring** 
* A strong sense of ownership and curiosity for optimizing data flow in complex environments.
* Ability to think strategically while delivering practical, scalable solutions.
* Leadership in driving cross\-team collaboration and influencing architectural direction.
* Passion for helping teams move from
 **batch\-oriented thinking** 
 to
 **event\-driven design** 
 .
**Why Join Us**
 You’ll play a pivotal role in
 **building the next generation of our data platform** 
 , enabling real\-time insights that directly impact business outcomes. We invest in engineering excellence, autonomy, and continuous learning — and we’re looking for a Staff Data Engineer who shares that vision.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$127,800 \- $182,500 \- $237,300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108">
      <c r="A108" t="inlineStr">
        <is>
          <t>li-4365124402</t>
        </is>
      </c>
      <c r="B108" t="inlineStr">
        <is>
          <t>Qlik Data Engineer</t>
        </is>
      </c>
      <c r="C108" t="inlineStr">
        <is>
          <t>Protégé Hunters</t>
        </is>
      </c>
      <c r="D108" t="inlineStr">
        <is>
          <t>linkedin</t>
        </is>
      </c>
      <c r="E108">
        <f>HYPERLINK("https://www.linkedin.com/jobs/view/4365124402", "https://www.linkedin.com/jobs/view/4365124402")</f>
        <v/>
      </c>
      <c r="F108" t="inlineStr"/>
      <c r="G108" t="inlineStr"/>
      <c r="H108" t="inlineStr"/>
      <c r="I108" t="inlineStr">
        <is>
          <t>**Qlik Data Engineer** 
**Atlanta, GA** 
**EST** 
**USC** 
**Direct Hire** 
**No Calls No third parties** 
**Protege Hunters has an immediate direct hire position for a Qlik Data Engineer. This position is for the intellectually curious Data Engineer that has strong analytical and troubleshooting capabilities with complex integration challenges.** 
**Qualifications:** 
* **Must Have** 
**4\+ years of experience in enterprise data integration with at least 2 years of hands\-on with Qlik**
* **Qlik Expertise: 3\-7\+ years of experience with Qlik Sense, QlikView, or Qlik Data Integration Suite.**
* **Strong SQL skills and experience with relational/non\-relational databases.**
* **Familiarity with AWS, Azure, or Snowflake.**
* **Data Modeling: Solid understanding of dimensional modeling, Star Schema, and data warehousing concepts.**
* **Automation: Experience with Python or other scripting languages for automating data tasks.**
* **Strong understanding of change data capture (CDC) technologies and real\-time data streaming concepts**
* **Strong understanding of data lake and data warehouse strategies, and data modelling**
* **Advanced SQL skills with expertise in database replication, synchronization, and performance tuning**
* **Experience with enterprise ETL/ELT tools and data integration patterns**
* **Proficiency in at least one programming language (Java, Python, or SQL scripting).**
* **Qlik Data Integration certification or Talend certification (Data Integration, Data Quality, or Big Data)**
* **Experience with cloud platforms (AWS or Azure) and hybrid integration scenarios**
* **Experience with Snowflake preferred**
* **Understanding of data governance frameworks and regulatory compliance requirements**
* **Strong analytical and troubleshooting capabilities with complex integration challenges**
* **Excellent communication skills with ability to explain technical integration concepts to business stakeholders**
* **Collaborative approach with experience in cross\-functional enterprise teams**
* **Detail\-oriented mindset with commitment to data accuracy and system reliability**
* **Adaptability to evolving integration requirements and emerging technologies**
* **Experience with API management and microservices architectur**
**(Nice\-to\-Haves)** 
* **Qlik Data Integration or Talend certifications.**
* **Experience with Change Data Capture (CDC) technologies.**
**Responsibilities:** 
**Responsible for designing, developing, and maintaining data pipelines and infrastructure that support Qlik Sense applications, focusing on transforming raw data into actionable insights.** 
**In addition but not limited to:** 
* **Configure and manage Qlik Data Integration components including pipeline projects, lineage, data catalog, data quality, and data marketplace**
* **Implement data quality rules and monitoring using Qlik and Talend tools**
* **Manage Qlik Tenant, security, access and manage Data Movement Gate way**
* **Develop and maintain ETL/ELT data pipelines leveraging Qlik Data Integration for data warehouse generation in bronze, silver, gold layers**
* **Build consumer facing datamarts, views, and push\-down calculations to enable improved analytics by BI team and Citizen Developers**
* **Implement enterprise data integration patterns supporting batch, real\-time, and hybrid processing requirements**
* **Coordinate execution of and monitor pipelines to ensure timely reload of EDW**
**Forward Resumes to Alex@protegehunters.com**</t>
        </is>
      </c>
    </row>
    <row r="109">
      <c r="A109" t="inlineStr">
        <is>
          <t>li-4365122613</t>
        </is>
      </c>
      <c r="B109" t="inlineStr">
        <is>
          <t>Data Engineer, AWS Health &amp; Safety</t>
        </is>
      </c>
      <c r="C109" t="inlineStr">
        <is>
          <t>Amazon Web Services (AWS)</t>
        </is>
      </c>
      <c r="D109" t="inlineStr">
        <is>
          <t>linkedin</t>
        </is>
      </c>
      <c r="E109">
        <f>HYPERLINK("https://www.linkedin.com/jobs/view/4365122613", "https://www.linkedin.com/jobs/view/4365122613")</f>
        <v/>
      </c>
      <c r="F109">
        <f>HYPERLINK("https://www.amazon.jobs/jobs/3163441/data-engineer-aws-health\u002d\u002dsafety?cmpid=SPLICX0248M&amp;utm_source=linkedin.com&amp;utm_campaign=cxro&amp;utm_medium=social_media&amp;utm_content=job_posting&amp;ss=paid&amp;urlHash=xTU2", "https://www.amazon.jobs/jobs/3163441/data-engineer-aws-health\u002d\u002dsafety?cmpid=SPLICX0248M&amp;utm_source=linkedin.com&amp;utm_campaign=cxro&amp;utm_medium=social_media&amp;utm_content=job_posting&amp;ss=paid&amp;urlHash=xTU2")</f>
        <v/>
      </c>
      <c r="G109" t="inlineStr">
        <is>
          <t>Seattle, WA</t>
        </is>
      </c>
      <c r="H109" t="inlineStr"/>
      <c r="I109" t="inlineStr">
        <is>
          <t>**Description**
 At Amazon, the Leadership Principle “Strive to be Earth’s Best Employer” challenges us to create a safer, more productive, and higher performing environment, and reinforces that nothing is more important than the safety and well\-being of our teams. At AWS Health and Safety (AWS H\&amp;S) we strive to do just this. We work tirelessly to ensure we have the appropriate strategy, technology, and attitude to be successful. We also understand that people are at the center of safety and look to invest in talent that shares in our passion for making our employees and partners lives better.
 The AWS H\&amp;S Data team is hiring a Data Engineer (DE). The Data team spans the Business Intelligence (BI) and Data Engineering (DE) functional areas, and is responsible for providing all reporting solutions required by the AWS H\&amp;S Organization to drive workplace safety and regulatory compliance worldwide. This role drives the design and implementation of data solutions within the AWS H\&amp;S domain, leveraging advanced AWS technologies and big data platforms to deliver scalable data architecture components. The position focuses on solving complex data warehousing challenges through automated ETL processes, optimized model deployments, and robust analytics tools that enable self\-service capabilities. Working directly with stakeholders and technical partners, this role translates business requirements into actionable solutions while maintaining high standards of data governance and system performance. The role also champions innovation by evaluating emerging technologies, implementing best practices, and continuously enhancing the data infrastructure to meet evolving business needs.
 Key job responsibilities
* Architect and deliver enterprise\-scale data infrastructure solutions, enabling robust dataset management and advanced business intelligence capabilities
* Build and orchestrate complex ETL processes across diverse data sources using SQL and AWS technologies, collaborating with cross\-functional engineering teams
* Drive data architecture decisions through comprehensive technical documentation and evidence\-based recommendations to stakeholder teams
* Streamline reporting workflows and implement automated solutions to enhance stakeholder self\-service capabilities and operational efficiency
* Lead strategic initiatives with BI and technology partners to optimize data pipelines, improve data accessibility, and enhance infrastructure performance
* Learn and influence adoption of latest AWS technologies to expand platform capabilities and drive operational excellence
* Travel up to 25%
 A day in the life
 We are looking for an analytical and results\-oriented data engineer to work directly with members of the Data Center Health and Safety (DCHS) teams, Data Center Operations (DCO), and the various AWS teams to focus on developing and implementing data engineering solutions.
**About The Team**
 The AWS Health and Safety (H\&amp;S) team is an expanding a dynamic team that is critical to enabling AWS’s growth around the world, as well as ensuring compliance of AWS’s global operations, including physical data centers, as well as other AWS facilities, customer\-facing enterprises and products. The H\&amp;S team has responsibility for architecting and implementing AWS’s global safety programs. This includes defining and implementing risk management and compliance systems and driving their continuous improvement; setting and refining global policies and procedures; overseeing the development of standards, tools, auditing and metrics, and employee training; ensuring effective engagement by H\&amp;S teams on global initiatives, including those that are part of Amazon’s ambitious sustainability goals; providing specialist expertise; and engaging with all AWS business units to provide scalable and H\&amp;S compliance strategies that support current and future business objectives while ensuring employee safety and compliance with H\&amp;S regulations.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data modeling experience
* 1\+ years of developing and operating large\-scale data structures for business intelligence analytics using SQL experience
* Bachelor's degree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building/operating highly available, distributed systems of data extraction, ingestion, and processing of large data 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\- 132,100\.00 \- 178,800\.00 USD annually
**Company** 
 \- Amazon Data Services, Inc.
 Job ID: A3163441</t>
        </is>
      </c>
    </row>
    <row r="110">
      <c r="A110" t="inlineStr">
        <is>
          <t>li-4362153872</t>
        </is>
      </c>
      <c r="B110" t="inlineStr">
        <is>
          <t>Senior Data Engineer – Palantir Foundry</t>
        </is>
      </c>
      <c r="C110" t="inlineStr">
        <is>
          <t>ALTEN Technology USA</t>
        </is>
      </c>
      <c r="D110" t="inlineStr">
        <is>
          <t>linkedin</t>
        </is>
      </c>
      <c r="E110">
        <f>HYPERLINK("https://www.linkedin.com/jobs/view/4362153872", "https://www.linkedin.com/jobs/view/4362153872")</f>
        <v/>
      </c>
      <c r="F110" t="inlineStr"/>
      <c r="G110" t="inlineStr">
        <is>
          <t>Raymond, OH</t>
        </is>
      </c>
      <c r="H110" t="inlineStr"/>
      <c r="I110" t="inlineStr">
        <is>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*For a quicker response, send your resume to*
***Leo.Stephen@alten.com***
*or apply directly on LinkedIn! 🚀*
**Key Responsibilities:** 
 We are looking for a seasoned
 **Senior Data Engineer** 
 with strong hands\-on expertise in
 **Palantir Foundry** 
 to design, build, and scale enterprise\-grade data platforms. The role focuses on developing reliable data pipelines, semantic data models (Ontologies), and interactive applications that enable data\-driven decision\-making across multiple business domains.
 The ideal candidate combines deep data engineering experience with strong knowledge of cloud platforms, governance, and Foundry application development.
 Key Responsibilities
* Design, build, and optimize scalable data pipelines using
 **Palantir Foundry Pipeline Builder**
* Develop and manage
 **Ontologies** 
 , including Object Types, Views, and Actions for semantic modeling and graph\-based data navigation
* Create interactive applications using
 **Foundry Workshop, Slate, and AIP** 
 , tightly integrated with Ontology\-backed data
* Perform time\-series and ad\-hoc analytics using
 **Quiver and Contour** 
 , and advanced modeling/visualization with
 **Taurus**
* Optimize transformations and data models using
 **PySpark, SQL, and Foundry DSL** 
 for high\-performance analytics
* Integrate machine learning models into Foundry workflows for predictive insights and decision support
* Ensure strong
 **data governance** 
 , lineage, access controls, and compliance with regulations such as
 **GDPR, HIPAA, and SOX**
* Collaborate with data scientists, architects, and business stakeholders to deliver scalable, production\-ready solutions
* Implement monitoring, alerting, and recovery strategies to ensure pipeline reliability and data quality
* Maintain
 **version control and CI/CD pipelines** 
 for automated deployments and rollbacks
* Document system architecture, workflows, and enhancements using
 **Foundry Documentation App and Confluence**
 Required Skills \&amp; Experience
* **8\+ years** 
 of overall data engineering experience
* **5\+ years** 
 of hands\-on experience with
 **Palantir Foundry** 
 (AIP working knowledge required)
* Strong expertise in Foundry modules:
 **Ontology, Workshop, Quiver, Contour, Taurus**
* Proficiency in
 **Python, PySpark, SQL, and TypeScript**
* Experience with
 **AWS services** 
 such as S3, Lambda, Glue, and Redshift
* Solid understanding of data governance, security models, and regulatory compliance
* Experience building dashboards and visualizations using
 **Power BI, Tableau, and Foundry Dashboards**
* Strong analytical and problem\-solving skills, including root\-cause analysis of data and ontology issues
* Comfortable working in both
 **Agile and Waterfall** 
 delivery environments
 Preferred Certifications
* Palantir Foundry Data Engineer Associate
* Palantir Foundry Application Developer Associate
* Palantir Foundry Foundations
* Palantir Foundry \&amp; AIP Builder Foundations
* Azure Data Engineer Associate
* AWS Certified Solutions Architect or AWS Certified Data Analytics
**Visa \&amp; Work Authorization Note (Important)** 
 Due to client and regulatory restrictions,
 **H1B sponsorship or transfers are not supported for this role** 
 .
 Currently, we are only considering candidates who are
 **authorized to work in the U.S. without sponsorship** 
 , including:
* **OPT / CPT**
* **Green Card (GC)** 
 holders
* **U.S. Citizens**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t>
        </is>
      </c>
    </row>
    <row r="111">
      <c r="A111" t="inlineStr">
        <is>
          <t>li-4361919599</t>
        </is>
      </c>
      <c r="B111" t="inlineStr">
        <is>
          <t>Sr. Data Engineer</t>
        </is>
      </c>
      <c r="C111" t="inlineStr">
        <is>
          <t>Jobs via Dice</t>
        </is>
      </c>
      <c r="D111" t="inlineStr">
        <is>
          <t>linkedin</t>
        </is>
      </c>
      <c r="E111">
        <f>HYPERLINK("https://www.linkedin.com/jobs/view/4361919599", "https://www.linkedin.com/jobs/view/4361919599")</f>
        <v/>
      </c>
      <c r="F111">
        <f>HYPERLINK("https://click.appcast.io/t/Ud13MIMT0q6h_Tsv2XBw1iFrnZtCljqLcP5NgVQ9d1M=&amp;urlHash=-M_i", "https://click.appcast.io/t/Ud13MIMT0q6h_Tsv2XBw1iFrnZtCljqLcP5NgVQ9d1M=&amp;urlHash=-M_i")</f>
        <v/>
      </c>
      <c r="G111" t="inlineStr">
        <is>
          <t>Charlotte, NC</t>
        </is>
      </c>
      <c r="H111" t="inlineStr"/>
      <c r="I111" t="inlineStr">
        <is>
          <t>Dice is the leading career destination for tech experts at every stage of their careers. Our client, V.L.S. Systems, Inc, is seeking the following. Apply via Dice today!
* NOTE: MUST BE ON VLS W2\. NO SUB\-CONTRACTING \*
**Role: Sr. Data Engineer**
**Location: Charlotte, NC \- Hybrid (Tues and Thurs onsite)**
**Duration: 12 Months**
**Interview process: 2 rounds, will include a coding assessment**
**Position Type: Contract**
**Manager note:** 
 The current candidates don't have strong knowledge in Kafka, Spark and BQ.
**Daily Responsibilities:**
* Attending Scrum calls to provide daily status updates
* Pickup assigned JIRA stories and work with Analysts or Product Owners to understand
* Responsible for the development, maintenance, and enhancements of Data Engineering solutions of varying complexity levels across different data sources like DBMS, File systems (structured and unstructured) on\-prem and cloud infrastructure; creates level metrics and other complex metrics.
* Demonstrates Data Engineering skills (Spark Data Frame, Big Queries) by writing pipelines for business requirements.
* Responsible for building, testing and enhancement of Data Pipelines solutions from a wide variety of sources like Kafka streaming, Google Big Query and File systems; develops solutions with optimized data performance and data security
**Additional Skills:**
* Spark
* Google Cloud Platform
* Big Query
* GCS
* Airflow
**Required Skills:**
* Spark Frame Work – 4 Years Minimum
* Kafka – 3 Years
* Google Cloud Platform – 3 Years
* Airflow – 3 Years
* Heavy Analytics
**Nice to have:**
* Java – 3 Years
* Python – 3 Years
* Micro Services – 2 Years
* SQL – 4 Years
**Disqualifiers:**
* No Coding skills
* If they are ETL Developers
* Not seeking an ETL Developer</t>
        </is>
      </c>
    </row>
    <row r="112">
      <c r="A112" t="inlineStr">
        <is>
          <t>li-4361919589</t>
        </is>
      </c>
      <c r="B112" t="inlineStr">
        <is>
          <t>AWS Data Engineer</t>
        </is>
      </c>
      <c r="C112" t="inlineStr">
        <is>
          <t>Jobs via Dice</t>
        </is>
      </c>
      <c r="D112" t="inlineStr">
        <is>
          <t>linkedin</t>
        </is>
      </c>
      <c r="E112">
        <f>HYPERLINK("https://www.linkedin.com/jobs/view/4361919589", "https://www.linkedin.com/jobs/view/4361919589")</f>
        <v/>
      </c>
      <c r="F112" t="inlineStr"/>
      <c r="G112" t="inlineStr"/>
      <c r="H112" t="inlineStr"/>
      <c r="I112" t="inlineStr">
        <is>
          <t>Dice is the leading career destination for tech experts at every stage of their careers. Our client, Rivago infotech inc, is seeking the following. Apply via Dice today!
**Job Title: AWS Data Engineer**
**Location: Remote(EST time)**
**Must have Skills:**
* Bigdata distributed systems such as Iceberg, Hadoop, redshift, Hudi, Strong in Spark
* Hands on with Shell script, python and pyspark
* AWS Services \- Glue, lambda, airflow, lake formation, EKS, EC2, SQS, SNS
* Preferred Skills:
* Exp with Bigquery and Google Cloud Platform
* DBT</t>
        </is>
      </c>
    </row>
    <row r="113">
      <c r="A113" t="inlineStr">
        <is>
          <t>li-4362019317</t>
        </is>
      </c>
      <c r="B113" t="inlineStr">
        <is>
          <t>Azure Data Engineer (ADF, Pyspark, Python) || Onsite- Cincinnati, OH (Local only) ||</t>
        </is>
      </c>
      <c r="C113" t="inlineStr">
        <is>
          <t>Jobs via Dice</t>
        </is>
      </c>
      <c r="D113" t="inlineStr">
        <is>
          <t>linkedin</t>
        </is>
      </c>
      <c r="E113">
        <f>HYPERLINK("https://www.linkedin.com/jobs/view/4362019317", "https://www.linkedin.com/jobs/view/4362019317")</f>
        <v/>
      </c>
      <c r="F113" t="inlineStr"/>
      <c r="G113" t="inlineStr">
        <is>
          <t>Cincinnati, OH</t>
        </is>
      </c>
      <c r="H113" t="inlineStr"/>
      <c r="I113" t="inlineStr">
        <is>
          <t>Dice is the leading career destination for tech experts at every stage of their careers. Our client, DMS Vision Inc., is seeking the following. Apply via Dice today!
 Hi,
 Hope you are doing well
 Please find the job description given below and let me know your interest.
**Position: Azure Data Engineer (ADF)
 Location: Onsite\- Cincinnati, OH (Local only)
 Duration: 6\+ Months**
**Job Description**
**NOTE\- Video and F2F interview**
 Azure Data Engineer with 10\+ years experience needed to own stories through the full 84\.51 SDLC, building distributed data pipelines for external/internal apps and process improvements.
**Key Responsibilities**
 Develop distributed data processing pipelines and orchestrate multi\-step transformations using ADF. Implement OOP transformation logic in Python/PySpark with unit/integration/regression testing via PyTest. Enhance CI/CD pipelines, create data quality checks, ensure observability through alerting/monitoring, and maintain applications. Provision cloud resources via IaC, mentor juniors, participate in Agile retrospectives/estimations, and drive continuous improvements.
**Required Skills**
* Bachelor's in CS, MIS, Math, or related technical field.
* 2\+ years professional data development; 2\+ years SQL.
* Azure Data Factory (ADF) for pipeline orchestration.
* PySpark for distributed data processing.
* Python proficiency (OOP, frameworks, PyTest, venv/Conda dependency management).
* Git/VCS, CI/CD, IaC, data observability/quality processes.
* Java/Spring Framework, cloud services (Azure preferred), debugging/performance tuning.
* Agile/Scrum principles, SOLID principles, automated testing best practices.
***Please share your updated resume and suggest the best number \&amp; time to connect with you***
**Thanks \&amp; Regard**
**Yashwant Singh**
 US IT Recruiter
 E:
 T: / 106
 A: 4645 Avon Lane, Suite 210, Frisco, TX 75033, Zip Code, Country</t>
        </is>
      </c>
    </row>
    <row r="114">
      <c r="A114" t="inlineStr">
        <is>
          <t>li-4361929772</t>
        </is>
      </c>
      <c r="B114" t="inlineStr">
        <is>
          <t>Data Engineer - PySpark &amp; Databricks (Locals Only)</t>
        </is>
      </c>
      <c r="C114" t="inlineStr">
        <is>
          <t>Jobs via Dice</t>
        </is>
      </c>
      <c r="D114" t="inlineStr">
        <is>
          <t>linkedin</t>
        </is>
      </c>
      <c r="E114">
        <f>HYPERLINK("https://www.linkedin.com/jobs/view/4361929772", "https://www.linkedin.com/jobs/view/4361929772")</f>
        <v/>
      </c>
      <c r="F114">
        <f>HYPERLINK("https://click.appcast.io/t/fI-GUA91P_M-w87kXsVsnvmmKJeBpJPGFRKMKusFQLE=&amp;urlHash=vsSM", "https://click.appcast.io/t/fI-GUA91P_M-w87kXsVsnvmmKJeBpJPGFRKMKusFQLE=&amp;urlHash=vsSM")</f>
        <v/>
      </c>
      <c r="G114" t="inlineStr">
        <is>
          <t>Morris Plains, NJ</t>
        </is>
      </c>
      <c r="H114" t="inlineStr"/>
      <c r="I114" t="inlineStr">
        <is>
          <t>Dice is the leading career destination for tech experts at every stage of their careers. Our client, Helishores Inc, is seeking the following. Apply via Dice today!
**Role: Data Engineer \- PySpark \&amp; Databricks
 Location: Morris Plains, NJ (Locals Only No Relocation)**
**Job Description:**
 Design, develop, and maintain ETL/ELT pipelines using PySpark on Databricks.
 Build and optimize batch and streaming data pipelines.
 Implement Delta Lake solutions (Delta tables, time travel, ACID transactions).
 Collaborate with data scientists, analysts, and architects to deliver analytics\-ready datasets.
**Required Qualifications:**
 Overall, 8\+ years of experience required.
 Hands\-on experience with Data Frames, RDDs, joins, transformations, and actions within PySpark.
 Proven experience leading teams and mentoring engineers.
 Job optimization, cluster configuration, repartitioning, and Shuffle mechanics in Databricks.
 S3 buckets, IAM, CloudWatch, and integration with Databricks and AWS.
 Strong query skills for analytics and ETL with SQL.
 Performance tuning: Partitioning, caching, broadcast joins, and skew handling.
 Delta Lake, Medallion Architecture, Spark Streaming, Spark ML, and CI/CD pipelines.
 ETL/ELT design patterns.
 Handling large\-scale structured and semi\-structured data.
 Performance tuning (partitioning, caching, broadcast joins).
 Understanding of data warehousing concepts.
 Excellent communication and stakeholder management skills.
 Ability to work in Agile delivery environments.
 Ownership mindset and delivery\-focused approach.
 Strong technical decision\-making and problem\-solving skills.</t>
        </is>
      </c>
    </row>
    <row r="115">
      <c r="A115" t="inlineStr">
        <is>
          <t>li-4362560291</t>
        </is>
      </c>
      <c r="B115" t="inlineStr">
        <is>
          <t>Associate Data Engineer (Onsite , Texas based)</t>
        </is>
      </c>
      <c r="C115" t="inlineStr">
        <is>
          <t>Texas State Technical College</t>
        </is>
      </c>
      <c r="D115" t="inlineStr">
        <is>
          <t>linkedin</t>
        </is>
      </c>
      <c r="E115">
        <f>HYPERLINK("https://www.linkedin.com/jobs/view/4362560291", "https://www.linkedin.com/jobs/view/4362560291")</f>
        <v/>
      </c>
      <c r="F115">
        <f>HYPERLINK("https://tstc.wd1.myworkdayjobs.com/TSTC_Jobs/job/Texas-State-Technical-College/Associate-Data-Engineer\u002d\u002dOnsite\u002d\u002d-Texas-based-_R-005151?source=LinkedIn&amp;urlHash=N9dl", "https://tstc.wd1.myworkdayjobs.com/TSTC_Jobs/job/Texas-State-Technical-College/Associate-Data-Engineer\u002d\u002dOnsite\u002d\u002d-Texas-based-_R-005151?source=LinkedIn&amp;urlHash=N9dl")</f>
        <v/>
      </c>
      <c r="G115" t="inlineStr">
        <is>
          <t>Sweetwater, TX</t>
        </is>
      </c>
      <c r="H115" t="inlineStr"/>
      <c r="I115" t="inlineStr">
        <is>
          <t>**Are you someone who strives for excellence, values accountability, provides the best service, all while reflecting unwavering integrity? Our talented team members across the state follow the behaviors, beliefs and outcomes of these core values to ensure that our vision is met. If you're ready to join the TSTC family and make great memories please complete our application process.**
**Job Description**
 The Associate Data Engineer is responsible for modeling and building data solutions across various databases, Azure and PostgreSQL. The engineer will be charged with data infrastructure design and development. Partnering with OIT and vendors, the engineer will design and implement scalable, reliable, and secure data pipelines and ETL/ELT processes in cloud environments.
 The salary range for this position is $70,000\- $80,000 annually.
 The final salary offer will be determined based on the candidate's qualifications and experience.
 Please Note: This position requires on\-campus presence. To locate a Texas State Technical College campus near you, visit: https://www.tstc.edu/campuses.
**Essential Functions**
* Champion the organization’s core values of Excellence, Accountability, Service, and Integrity in all interactions with stakeholders, partners, and team members.
* Developing, orchestrating, and supporting ETL/ELT pipelines.
* Developing data integrations with ERP, SIS, LMS, CRM and other transaction systems.
* Analyze software requirements to determine feasibility of design within time and cost constraints.
* Building OLAP, virtualization and visualization and reporting software
* Data Integration and Collaboration: Ensure smooth integration of diverse data sources, maintaining data quality, consistency, and accessibility.
* Work collaboratively with data scientists, analysts, and other teams to understand and address data requirements.
* Performance Optimization: Monitor and optimize data systems for performance, reliability, and cost\-efficiency.
* Implement best practices for data security, compliance, and governance.
* Cross\-Functional Support and Collaboration: Build strong cross\-functional relationships to address data\-related technical issues and provide actionable insights. Partner with DevOps and IT teams to ensure seamless deployment and operation of data infrastructure.
* Continuous Learning and Innovation: Stay up to date with the latest cloud technologies and industry trends. Identify and propose improvements to enhance data infrastructure and processes.
* Perform other duties as assigned
**Education/Experience/Knowledge/Skills**
* Bachelor’s degree in computer science, Information Technology, Engineering, or a related field (master’s degree is a plus).
* Demonstrated experience across multiple operating systems: Windows, Unix/Linux, Mac.
* Cloud computing experience with one of the leading vendors: Amazon Web Services or Microsoft Azure (preferred)
* Experience with data profiling, data quality, master data management, and metadata management; detail\-oriented with excellent problem identification and problem\-solving skills
* Demonstrated ability to work both independently and as part of a team; robust collaborative, proactive, interpersonal, and communication skills; ability to collaborate with a diverse group of colleagues from varying backgrounds
* Skilled in ETL tools and processes.
* Proficiency in programming languages such as SQL, Python, Java, or Scala.
* Experience with data modeling, data warehousing, and building data lakes.
* Strong SQL skills and experience with relational and NoSQL databases.
* Familiarity with data security and governance best practices.
* Perform other duties as assigned to support the business objectives and strategic goals
 The salary range for this position is $70,000\- $80,000 annually.
 The final salary offer will be determined based on the candidate's qualifications and experience.
**Please Note: This position requires on\-campus presence. To locate a Texas State Technical College campus near you, visit: https://www.tstc.edu/campuses.**
**Equal Opportunity Employer**
 Texas State Technical College (TSTC), as an equal opportunity employer, complies with all applicable federal and state laws regarding nondiscrimination. TSTC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TSTC.
**Background Checks**
 A criminal history background check will be required for the finalist(s) under consideration for this position.</t>
        </is>
      </c>
    </row>
    <row r="116">
      <c r="A116" t="inlineStr">
        <is>
          <t>li-4362143956</t>
        </is>
      </c>
      <c r="B116" t="inlineStr">
        <is>
          <t>Databricks Data Engineer Developer</t>
        </is>
      </c>
      <c r="C116" t="inlineStr">
        <is>
          <t>Jobs via Dice</t>
        </is>
      </c>
      <c r="D116" t="inlineStr">
        <is>
          <t>linkedin</t>
        </is>
      </c>
      <c r="E116">
        <f>HYPERLINK("https://www.linkedin.com/jobs/view/4362143956", "https://www.linkedin.com/jobs/view/4362143956")</f>
        <v/>
      </c>
      <c r="F116" t="inlineStr"/>
      <c r="G116" t="inlineStr">
        <is>
          <t>Winston-Salem, NC</t>
        </is>
      </c>
      <c r="H116" t="inlineStr"/>
      <c r="I116" t="inlineStr">
        <is>
          <t>* NO REMOTE WORK ONLY LOCAL CANDIDATES APPLY \*\*\*\*
**Description**
 Our Client is seeking a Databricks Data Engineer to help in building a pricing data application moving from a legacy platform to a new system for pricing decision making. The selected candidate will help manage a large data team and focus on ensuring coordination between application and data teams. We are looking for an individual who can build modern data systems that are resilient to change and flexible for future machine learning usage. This role is driving the solution via coding/ETL/hands on technical engineering where the data environment is new, but will use historical, complex data to help build future needs for pricing and working toward full data automation.
 Requirements:
 Experience with ETL tools, preferably Databricks
 Experience with AWS
 Proficiency in Python, Pyspark, SQL
 Experience with building new data systems
**Preferred Experience With Medallion Data Architectures**
 To be considered, email resumes in the MS Word format with all\-inclusive W2 hourly contract rate to work onsite in Winston\-Salem, NC. Selected candidate must be willing to submit to a pre\-employment, post\-offer background check and drug test.
**Job Type \&amp; Location**
 This is a Contract position based out of Winston\-Salem, NC.
**Pay And Benefits**
 The pay range for this position is $45\.00 \- $73\.00/hr.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Winston\-Salem,NC.
**Application Deadline**
 This position is anticipated to close on Jan 28,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17">
      <c r="A117" t="inlineStr">
        <is>
          <t>li-4362079150</t>
        </is>
      </c>
      <c r="B117" t="inlineStr">
        <is>
          <t>Lead Data Engineer</t>
        </is>
      </c>
      <c r="C117" t="inlineStr">
        <is>
          <t>Jobs via Dice</t>
        </is>
      </c>
      <c r="D117" t="inlineStr">
        <is>
          <t>linkedin</t>
        </is>
      </c>
      <c r="E117">
        <f>HYPERLINK("https://www.linkedin.com/jobs/view/4362079150", "https://www.linkedin.com/jobs/view/4362079150")</f>
        <v/>
      </c>
      <c r="F117" t="inlineStr"/>
      <c r="G117" t="inlineStr"/>
      <c r="H117" t="inlineStr"/>
      <c r="I117" t="inlineStr">
        <is>
          <t>Dice is the leading career destination for tech experts at every stage of their careers. Our client, Kollasoft Inc., is seeking the following. Apply via Dice today!
**Role : Lead Data Engineer**
**Location : Remote**
**Job Description**
* Design, develop, and maintain ETL/ELT pipelines using PySpark on Databricks.
* Build and optimize batch and streaming data pipelines.
* Implement Delta Lake solutions (Delta tables, time travel, ACID transactions).
* Collaborate with data scientists, analysts, and architects to deliver analytics\-ready datasets.
* Optimize Spark jobs for performance, scalability, and cost.
* Integrate data from multiple sources (RDBMS, APIs, files, cloud storage).
* Implement data quality checks, validation, and monitoring.
* Manage Databricks notebooks, jobs, clusters, and workflows.
* Follow data governance, security, and compliance standards.
* Participate in code reviews and contribute to best practices.
**Qualifications**
* Hands\-on experience with Data Frames, RDDs, joins, transformations, and actions within PySpark.
* Proven experience leading teams and mentoring engineers.
* Job optimization, cluster configuration, repartitioning, and Shuffle mechanics in Databricks.
* S3 buckets, IAM, CloudWatch, and integration with Databricks and AWS.
* Strong query skills for analytics and ETL with SQL.
* Performance tuning: Partitioning, caching, broadcast joins, and skew handling.
* Delta Lake, Medallion Architecture, Spark Streaming, Spark ML, and CI/CD pipelines.
* ETL/ELT design patterns.
* Handling large\-scale structured and semi\-structured data.
* Performance tuning (partitioning, caching, broadcast joins).
* Understanding of data warehousing concepts.
* Excellent communication and stakeholder management skills.
* Ability to work in Agile delivery environments.
* Ownership mindset and delivery\-focused approach.
* Strong technical decision\-making and problem\-solving skills.</t>
        </is>
      </c>
    </row>
    <row r="118">
      <c r="A118" t="inlineStr">
        <is>
          <t>li-4362171846</t>
        </is>
      </c>
      <c r="B118" t="inlineStr">
        <is>
          <t>Senior Data Engineer</t>
        </is>
      </c>
      <c r="C118" t="inlineStr">
        <is>
          <t>Jobs via Dice</t>
        </is>
      </c>
      <c r="D118" t="inlineStr">
        <is>
          <t>linkedin</t>
        </is>
      </c>
      <c r="E118">
        <f>HYPERLINK("https://www.linkedin.com/jobs/view/4362171846", "https://www.linkedin.com/jobs/view/4362171846")</f>
        <v/>
      </c>
      <c r="F118" t="inlineStr"/>
      <c r="G118" t="inlineStr">
        <is>
          <t>Illinois, United States</t>
        </is>
      </c>
      <c r="H118" t="inlineStr"/>
      <c r="I118" t="inlineStr">
        <is>
          <t>Dice is the leading career destination for tech experts at every stage of their careers. Our client, Octans Group LLC, is seeking the following. Apply via Dice today!
**Title:** 
 Senior Data Engineer
**Location:** 
 Chicago, IL (Hybrid 2 3 days onsite)
**Duration:** 
 6\+ Months
**Interview Mode:** 
 Phone / Video
**Must to Have**
* Strong experience building and managing Data Lakehouse environments on Google Cloud Platform
* Hands\-on expertise with Google Cloud Platform native services: BigQuery, Dataflow, Dataproc
* Experience with Capella or MongoDB
* Strong SQL skills with Postgres, Oracle, or MS\-SQL
* Experience designing large\-scale automated data pipelines
* Solid understanding of data governance, data quality, and lineage
* Ability to make architectural decisions related to data modeling and storage
* 5 6 years of experience as a Data Engineer or similar BI role
* Bachelor's degree in Computer Science, IT, or related field
* Willingness to work full\-time onsite (Mon Fri, 8am 5pm) with possible remote Fridays
**Client Feedback**
* Environment is actively being built and going live
* Candidate must be hands\-on and capable of owning, managing, and enhancing the new Data Lakehouse
* Looking for a technical leader, not just an executor
* Strong preference for candidates who can mentor junior engineers and guide architecture
**About The Role**
 Client is building a
 **new Data Lakehouse platform** 
 on Google Cloud Platform that is currently going live. This Senior Data Engineer will play a
 **critical role** 
 in managing, enhancing, and scaling this environment while also helping establish
 **data governance, quality, and integrity standards** 
 .
 The role is highly technical and requires deep expertise in
 **Google Cloud Platform\-based data engineering** 
 , automated pipelines, and scalable data frameworks. The ideal candidate will lead architectural decisions, translate business requirements into technical designs, mentor junior engineers, and ensure data platforms are reliable, cost\-efficient, and performant.
**Job Responsibilities**
* Design and build large\-scale, automated, and cost\-efficient data pipelines using Google Cloud Platform native services (BigQuery, Dataflow, Dataproc)
* Make key architectural decisions related to data modeling, storage, real\-time processing, and orchestration
* Develop scalable, reusable data frameworks ensuring data quality, integrity, and performance
* Write and optimize complex multi\-statement SQL queries and troubleshoot performance issues
* Assist in establishing data governance, quality, and lineage practices using tools such as Data Catalog, DLP, and Cloud Audit Logs
* Create and maintain intermediate to advanced Terraform scripts
* Translate business requirements into technical design documents and implementation plans
* Mentor junior and mid\-level engineers; conduct code reviews and enforce best practices
* Participate in support rotations and proactively resolve issues
* Monitor and optimize Google Cloud Platform resources to manage and reduce costs
* Stay current with latest Google Cloud Platform services and features
* Evaluate and recommend new tools and technologies to improve data engineering practices
**Preferred / Bonus Skills**
* Terraform (Infrastructure as Code)
* Python or similar language (2 3 years)
* Experience with NoSQL databases (Capella or MongoDB 3 4 years)
* Experience in logistics or transportation industry (1 3 years)
* Proven ability to mentor and lead technically</t>
        </is>
      </c>
    </row>
    <row r="119">
      <c r="A119" t="inlineStr">
        <is>
          <t>li-4350797708</t>
        </is>
      </c>
      <c r="B119" t="inlineStr">
        <is>
          <t>MDM Data Engineer</t>
        </is>
      </c>
      <c r="C119" t="inlineStr">
        <is>
          <t>Jobs via eFinancialCareers</t>
        </is>
      </c>
      <c r="D119" t="inlineStr">
        <is>
          <t>linkedin</t>
        </is>
      </c>
      <c r="E119">
        <f>HYPERLINK("https://www.linkedin.com/jobs/view/4350797708", "https://www.linkedin.com/jobs/view/4350797708")</f>
        <v/>
      </c>
      <c r="F119" t="inlineStr"/>
      <c r="G119" t="inlineStr">
        <is>
          <t>Springfield, MA</t>
        </is>
      </c>
      <c r="H119" t="inlineStr"/>
      <c r="I119"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2026-01-21T23:42:31Z</dcterms:created>
  <dcterms:modified xsi:type="dcterms:W3CDTF">2026-01-21T23:42:31Z</dcterms:modified>
</cp:coreProperties>
</file>