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in-9c65fbc2cd6f789a</t>
        </is>
      </c>
      <c r="B2" t="inlineStr">
        <is>
          <t>ABA Program Manager</t>
        </is>
      </c>
      <c r="C2" t="inlineStr">
        <is>
          <t>EXPERT ABA CONSULTING</t>
        </is>
      </c>
      <c r="D2" t="inlineStr">
        <is>
          <t>indeed</t>
        </is>
      </c>
      <c r="E2" t="inlineStr"/>
      <c r="F2" t="inlineStr"/>
      <c r="G2" t="inlineStr">
        <is>
          <t>Victorville, CA, US</t>
        </is>
      </c>
      <c r="H2" s="2" t="n">
        <v>46043</v>
      </c>
      <c r="I2" t="inlineStr">
        <is>
          <t>The ABA Program Manager is responsible for implementing and maintaining the ABA program developed by the Clinical Director (BCBA\-D, BCBA) and works under their supervision. The Program Manager is also responsible for maintaining appropriate targets and goals, updating the client’s programs on a weekly basis, meeting with parents to ensure treatment is effective, supervising Registered Behavior Technicians (RBTs) assigned to their team, and ensuring the overall progress of the client.
**RESPONSIBILITIES:**
* Work closely with the BCBAs and RBTs to provide intervention, conduct assessments, write progress reports and develop programs for assigned cases.
* Maintain data reliability and fidelity checks regularly. Plans and leads monthly progress updates for each family served with program team.
* Assists in creating and delivering specific intervention activities and provides parent education according to treatment plan or other individualized assessments.
* Monitors the skill acquisition of individuals diagnosed with Autism Spectrum Disorder and related disorders.
* Completes necessary documentation including evaluations, treatment notes, progress reports and exit summaries, and keeps updated with other programs, and participant\-related documents and reports.
* Provides and coordinates on\-going competency\-based staff training. Attends staff meetings, in\-services, treatment planning, and other meetings as requested.
* Remains current regarding new research, current trends and developments in Autism, ABA, special education and related fields.
* Maintains frequent, professional and courteous communications with participants and families. Communicates parental concerns and needs immediately to the case supervisor.
* Performs other duties as assigned.
**QUALIFICATIONS:**
* Masters degree or higher from an accredited university in Applied Behavior Analysis (ABA).
* Bachelors degree in a related field and currently enrolled in a BCBA Program
* BCaBA with a Masters degree Preferred.
* Along with Two (2\) years of professional experience working with children with Autism Spectrum Disorders (ASD).
* Motivated, professional, creative, positive, reliable, and caring individual with effective communication skills (oral and written), and the ability to provide feedback in a constructive manner.
* Knowledgeable of evidence\-based practices and scientifically validated methodologies and approaches found to benefit children with ASD; familiar with current research findings.
* Familiar with the approaches to intervention based on the science of Applied Behavior Analysis. Competent in employing and directing behavior analytic methodologies including Pivotal Response Training (PRT), Natural Environment Teaching (NET), Picture Exchange Communication System (PECS), Behavior Skills Training (BST), Functional Communication Training (FCT), and Experimental Functional Analysis (EFA). Competent in employing and directing behavior analytic methodologies.
* Strong clinical, administrative, and leadership skills; customer service orientated and professional.
* Ability to consistently demonstrate good judgment, decision\-making, and communication skills with a variety of individuals and groups. Exercise discretion and maintain confidentiality.
* Ability to communicate effectively, through oral and written skills, and work cooperatively with a variety of individuals and groups.
* Ability to exercise discretion and maintain a high level of confidentiality to handle sensitive and confidential situations and documentation.
* Demonstrate good working knowledge of Microsoft Office (Outlook, Word, Excel, etc.) and related computer software.
* Valid CPR and First Aid Certification
* Ability to pass background/fingerprint clearance and obtain immunizations (TB clearance).
* Reliable transportation, proof of valid California driver's license, safe driving record, proper auto insurance and vehicle registration
* Must be willing to travel to assigned work sites (30\-45 minutes from home).
Job Type: Part\-time
Pay: $35\.00 \- $45\.00 per hour
Benefits:
* Professional development assistance
Work Location: In person</t>
        </is>
      </c>
    </row>
    <row r="3">
      <c r="A3" t="inlineStr">
        <is>
          <t>in-6b7b5fb8ae1cc682</t>
        </is>
      </c>
      <c r="B3" t="inlineStr">
        <is>
          <t>AI Product Manager (Remote)</t>
        </is>
      </c>
      <c r="C3" t="inlineStr">
        <is>
          <t>FEI Systems</t>
        </is>
      </c>
      <c r="D3" t="inlineStr">
        <is>
          <t>indeed</t>
        </is>
      </c>
      <c r="E3" t="inlineStr"/>
      <c r="F3" t="inlineStr"/>
      <c r="G3" t="inlineStr">
        <is>
          <t>Columbia, MD, US</t>
        </is>
      </c>
      <c r="H3" s="2" t="n">
        <v>46043</v>
      </c>
      <c r="I3" t="inlineStr">
        <is>
          <t>At FEI Systems, we create innovative technology solutions to improve the delivery of health and human services because we know when cumbersome administrative processes stand in the way, those who need it most are often left without access to proper care and support. From comprehensive case management software to disaster recovery services and content management information systems used in delivering foreign aid, our solutions are improving the lives of millions of people. We’re looking for an AI \&amp; Data Product Manager who shares our commitment to leveraging technology to make a real impact in the world – a professional who knows, beyond all else, that the quality of our products and services is only as good as the company we keep.
**Summary:**
The AI \&amp; Data Product Manager is responsible for defining, prioritizing, and delivering the AI and analytics roadmap for FEI’s business supporting Medicaid HCBS and Behavioral Health programs.
This role bridges program policy, data, AI/ML capabilities, and product delivery, ensuring that AI and data initiatives are practical, compliant, and outcome\-driven—supporting program integrity, service quality, operational efficiency, and CMS/SAMHSA reporting requirements.
The ideal candidate brings deep experience delivering practical AI solutions in healthcare, health and human services (HHS) or Medicaid systems, combined with hands\-on leadership of data products, analytics, and applied AI use cases in regulated environments.
**Key Responsibilities:**
**AI \&amp; Data Strategy**
* Define and own the AI and Data Product Roadmap aligned to overall product and market strategy at FEI
* Identify and prioritize high\-value AI use cases across HHS workflows
* Translate business and policy into clear, actionable product requirements for data and AI solutions
**Product Ownership \&amp; Delivery**
* Serve as Product Owner for AI and data initiatives, managing intake, discovery, prioritization, and delivery
* Develop PRDs, epics, user stories, and acceptance criteria for analytics dashboards, data services, and AI features
* Partner with engineering, architecture, and data teams to ensure solutions are scalable, secure, and production\-ready
* Balance innovation with feasibility, ensuring AI solutions are explainable, auditable, and operationally viable
**LTSS and BH Data \&amp; Domain Leadership**
* Work closely with SMEs to understand business problems and evaluate AI fit solutions
* Identify data quality, completeness, and readiness gaps impacting analytics and AI initiatives
**Governance, Compliance \&amp; Responsible AI**
* Ensure AI and analytics initiatives comply with:
	+ HHS guidance and reporting requirements
	+ State Medicaid and procurement rules
	+ Data privacy and security standards (HIPAA, SOC 2, etc.)
* Support auditability, transparency, and explainability for AI\-driven insights
**Stakeholder Engagement \&amp; Enablement**
* Act as a trusted advisor to state agencies, program leadership, and internal executives on AI and data strategy
* Support demos, proposals, and RFP responses by clearly articulating AI value propositions and roadmaps
**Required Qualifications:**
* 7\+ years of experience in product management, with 3\+ years focused on data products, analytics, or AI initiatives
* Direct experience with healthcare preferably in BH, LTSS, HCBS, Medicaid, or Health \&amp; Human Services systems
* Strong understanding of structured and unstructured data, analytics platforms, and modern data architectures
* Proven ability to translate complex policy and operational requirements into scalable product solutions
* Experience working in regulated environments with strong compliance and governance requirements
**Preferred Qualifications:**
* Experience with AI/ML use cases in government or healthcare (e.g., predictive analytics, NLP, risk scoring)
* Familiarity with platforms such as AWS (Bedrock, SageMaker), Snowflake, Power BI, QuickSight, or similar
* Experience supporting CMS certification, federal reporting, or state Medicaid system modernization initiatives
* Background in program integrity, quality management, or outcomes measurement in HHS programs
**Location**: Remote
**Status**: Full\-time position with full company benefits
NOTICE: EO/AA/VEVRAA/Disabled Employer – Federal Contractor. FEI Systems participates in E\-Verify, a federal program that enables employers to verify the identity and employment eligibility of all persons hired to work in the United States by providing the Social Security Administration (SSA) and, if necessary, the Department of Homeland Security (DHS), with information from each new employee’s Form I\-9 to confirm work authorization. For more information on E\-Verify, please contact DHS at (888\) 464\-4218\.  
Applicants will receive consideration for employment without regard to race, color, religion, sex, national origin, age, marital status, political affiliation, disability, or genetic information, except where it relates to a bona fide occupational qualification or requirement. FEI Systems creates an Affirmative Action Plan on an annual basis. Pursuant to federal law, the portions of FEI Systems’ Affirmative Action Program that relate to Section 503 (Persons with Disabilities) and/or Section 4212 (Protected Veterans), are available for inspection upon request by applicants and employees during FEI Systems’ normal business hours.</t>
        </is>
      </c>
    </row>
    <row r="4">
      <c r="A4" t="inlineStr">
        <is>
          <t>in-49982ba8aeb868bd</t>
        </is>
      </c>
      <c r="B4" t="inlineStr">
        <is>
          <t>Product Owner</t>
        </is>
      </c>
      <c r="C4" t="inlineStr">
        <is>
          <t>Washington Trust Bank</t>
        </is>
      </c>
      <c r="D4" t="inlineStr">
        <is>
          <t>indeed</t>
        </is>
      </c>
      <c r="E4" t="inlineStr"/>
      <c r="F4" t="inlineStr"/>
      <c r="G4" t="inlineStr">
        <is>
          <t>Spokane, WA, US</t>
        </is>
      </c>
      <c r="H4" s="2" t="n">
        <v>46043</v>
      </c>
      <c r="I4" t="inlineStr">
        <is>
          <t>Provides leadership, tools, and services to help product management and project teams manage and deploy releases into production. Acts as Product Owner across multiple teams for multiple products. Responsible for implementing and managing release processes, implementing new procedures as needed to improve the product release process.
**Essential Functions:**
* Plan release window(s) and cycle(s) across a portfolio of applications.
* Coordinate release content and effort based on the service request backlog, pending service requests, third party applications, or operating system updates.
* Act as Product Owner on teams to manage Product Backlog and ensure timely releases and quality assurance.
* Develop user stories and define user acceptance criteria.
* Sets goals and write acceptance tests with stakeholders.
* Conduct release readiness reviews, milestone reviews and business Go/No\-Go reviews.
* Manage risks and resolves issues that affect release scope, schedule and quality.
* Maintains the release schedule for all assigned products and services, and ensures alignment across key partners and vendors.
* Inform Change Management Committee or equivalent forum of release timing, scope and/or roadblocks.
* Implements new procedures to improve product release process.
* Maintains a release repository and manages key information such as build and release procedures, dependencies, and notification lists.
* Identify and resolve issues that may impede a product release.
* Lead and coordinate the production implementation activities including the execution of the deployment plans, run books and checklists.
* Negotiate, plan, and manage all release activities across projects, teams and business units.
* Interface and communicate regularly with PMO, Customer Experience, Project Managers, Test Managers, and IT.
* Manage relationships and coordinate work between different teams.
* Communicate release details and schedules to the line of business teams as required.
* Regular (ad\-hoc) release plan and production release status reporting.
* Manage retrospective meeting post release and incorporate lessons learned into the next release cycle.
* Research new tools and technologies, configuration management methodologies and analyze latest market trends to make agile release process future\-state.
* Performs compliance and risk management duties as required or assigned.
* Regular, reliable attendance is required.
**Qualifications:**
* Associates or bachelor’s degree in business administration or related field with product experience or an equivalent combination of education and experience.
* Prior experience in managing releases for application updates, operating system patches, security improvements, and/or hardware upgrades.
* Expertise in information systems operations environment in systems analysis or development.
* Knowledge, experience, or exposure to a process framework or methodology that supports teams in organizing work.
* Demonstrated organizational and analytical skills, strategic thinking and ability to work collaboratively and independently.
* Ability to complete goals, deadlines and reporting in a timely and accurate manner.
* Ability to delegate tasks as needed or required to ensure department objectives are met.
* Strong system and process analysis skills of bank products, services and systems.
* Strong communication and interpersonal skills with the ability to coordinate and direct the work of others.
* Strong knowledge of Federal and State laws, regulations, and requirements as applicable.
* Proficient PC skills to navigate Bank software, including Microsoft Suite, and related applications.
* Procedure documentation experience preferred.
* Ability to prioritize work projects to meet deadlines.
**Compensation:** $36\.52 \- $54\.78 per hour
The compensation range represents the low and high end of the base compensation range for this position located in Spokane, Washington. Actual compensation will vary and may be above or below the range based on various factors including but not limited to location, experience, and performance.
**What Our Culture Can Offer You**:
Our benefit philosophy is to provide you with a comprehensive package to secure your overall wellness and help you become and remain a fulfilled and productive employee. Our benefits include Health, Financial, Retirement and Work/Life Benefits. We are proud to share an overview of our benefits HERE as part of your total compensation.
Washington Trust Bank celebrates diversity in the workplace and actively recruits talent to help reflect the unique communities where we live and work. We are proud to be an equal opportunity employer and prohibit discrimination or harassment based on race, religion, sex, gender identity, sexual orientation, national origin, age, pregnancy, disability, genetic information and any other protected characteristics outlined by state, federal and local laws. We believe strength comes from the diverse backgrounds and experiences of our team, and we are dedicated to fostering a supportive and inclusive work environment.</t>
        </is>
      </c>
    </row>
    <row r="5">
      <c r="A5" t="inlineStr">
        <is>
          <t>in-0390f4348e6d36d0</t>
        </is>
      </c>
      <c r="B5" t="inlineStr">
        <is>
          <t>Principal Program Manager, Informatics</t>
        </is>
      </c>
      <c r="C5" t="inlineStr">
        <is>
          <t>RE/SPEC Inc</t>
        </is>
      </c>
      <c r="D5" t="inlineStr">
        <is>
          <t>indeed</t>
        </is>
      </c>
      <c r="E5" t="inlineStr"/>
      <c r="F5" t="inlineStr"/>
      <c r="G5" t="inlineStr">
        <is>
          <t>Washington, DC, US</t>
        </is>
      </c>
      <c r="H5" s="2" t="n">
        <v>46043</v>
      </c>
      <c r="I5" t="inlineStr">
        <is>
          <t>**Company Description** **Big challenges need bold thinkers.**
If you’re someone who sees problems as opportunities, you’ll thrive here. **RESPEC is 100% employee\-owned**, which means we take ownership of every challenge. Here, your ideas drive real solutions. Since 1969, we’ve tackled complex challenges in energy transition, infrastructure resilience, digital transformation, and sustainability.
**At RESPEC, you’ll work alongside clients to take on critical problems**. Depending on your expertise, you might design infrastructure in remote locations, develop renewable energy solutions for global projects, or apply data\-driven technology to improve mining and water systems.
We bring deep technical knowledge, real\-world experience, and a commitment to work that matters. If you're looking for a place where your contributions have real impact, you’ll fit right in.
**We do not accept unsolicited resumes from third\-party recruiters.**
 **Job Description**  
The Principal Program Manager (PPM) is the executive\-in\-charge of the Operational Informatics Pipeline (OIP). This role is not merely administrative; it requires a deep understanding of clinical informatics to lead a "team\-of\-teams" in a Scaled Agile environment. The PPM is responsible for the delivery of over 200\+ complex informatics features annually, ensuring they meet the rigorous standards of the VHA Office of Clinical Informatics (OCI).
**Detailed Scope of Work \&amp; PWS Alignment:**
* **Portfolio \&amp; Program Governance:** Establish the programmatic infrastructure for the OIP. Replace traditional waterfall reporting with SAFe® metrics, including Flow Efficiency, Velocity, and Predictability.
* **Strategic Risk Management:** Conduct enterprise\-level risk management, including the development of risk registers, mitigation plans, and impact evaluations for EHR modernization activities.
* **Agile Transformation Leadership:** Drive the "Agility at Scale" requirement. Facilitate quarterly Program Increments (PI) and ensure all 20\+ annual iterations deliver high\-value features to OCI stakeholders.
* **Financial \&amp; Performance Oversight:** Manage the Firm Fixed Price (FFP) contract structure, ensuring all deliverables meet the Quality Assurance Surveillance Plan (QASP) standards (e.g., \&lt;3 grammatical errors, 100% on\-time delivery).
 **Qualifications** **Advanced Technical Proficiencies:**
* **Tooling:** Expert mastery of Jira Align and Jira for backlog management and transparency.
* **Methodology:** Deep expertise in SAFe® Lean\-Agile principles and the Continuous Delivery Pipeline (CDP).
* **Domain:** Comprehensive understanding of the VA’s EHR transition from CPRS/VistA to Oracle Health.
**Minimum Qualifications:**
* **Education:** Master’s Degree (or Bachelor’s \+ 20 years experience).
* **Experience:** 15\+ years in clinical informatics program management.
* **Clearance:** Ability to obtain/maintain a VA Public Trust.
**Additional Information** **Work Arrangement**
* Remote
**Compensation:** Salary depends on experience and expertise. Compensation includes a comprehensive fringe\-benefits package. RESPEC is a 100% employee\-owned company and employees are eligible for participation in the Employee Stock Ownership Plan (ESOP) after a qualifying period.
**Featured benefits include:**
* Flexible Work Schedules
* Paid Parental Leave
* 401(k) \&amp; ESOP (with company match up to 4%)
* Professional Development and Training
* Tuition Reimbursement
* Employee Assistance Program
* Medical/Dental/Vision Insurance Plans
Equal Opportunity Employer, including veterans and individuals with disabilities. All your information will be kept confidential according to EEO guidelines.
All your information will be kept confidential according to EEO guidelines.
All your information will be kept confidential according to EEO guidelines.</t>
        </is>
      </c>
    </row>
    <row r="6">
      <c r="A6" t="inlineStr">
        <is>
          <t>in-9a09d550b9328ee2</t>
        </is>
      </c>
      <c r="B6" t="inlineStr">
        <is>
          <t>245D Program Manager</t>
        </is>
      </c>
      <c r="C6" t="inlineStr">
        <is>
          <t>Fraser</t>
        </is>
      </c>
      <c r="D6" t="inlineStr">
        <is>
          <t>indeed</t>
        </is>
      </c>
      <c r="E6" t="inlineStr"/>
      <c r="F6" t="inlineStr"/>
      <c r="G6" t="inlineStr">
        <is>
          <t>Minneapolis, MN, US</t>
        </is>
      </c>
      <c r="H6" s="2" t="n">
        <v>46043</v>
      </c>
      <c r="I6" t="inlineStr">
        <is>
          <t>**About Us:**  
Fraser is a dedicated, compassionate non\-profit organization committed to making a positive impact on the lives of those we serve. As part of our team, you’ll engage in meaningful work and have the opportunity to make a real difference. If you’re passionate about client\-centered care and ready to contribute to a dynamic, impactful organization, we invite you to join us in shaping the future of Fraser.
Fraser is hiring a Program Manager to provide leadership, oversight and supervision to assigned Community Living Sites and Services. Assures continuous quality improvement in service development and program management. Ensures compliance with regulations as well as the vision, policies and budgetary parameters of Fraser.
**Job duties:**
* Oversee routine operations for Community Living sites, and supervise on\-site as necessary.
* Oversee Program Operations for Community Living Services.
* Respond to emergencies immediately and provide direction and support to staff and individuals.
* Monitor service delivery excellence, customer satisfaction and regulatory compliance through a quality assurance process.
* Respond to deficiencies and implement recommendations for corrective action.
* Implement staffing patterns based on the needs of individuals, maintaining the budget for staffing. Suggest changes to the staffing pattern to meet changing individual or budgetary needs.
* Collaborate with property management to ensure all Community Living sites are well maintained.
* Collaborate with the accounting department to assure accurate financial management at service sites, proper billing processes and well planned revenue collection strategies.
* Provide support with new individual intake in collaboration with the Program Coordinators.
* Assist in the development and implementation of division policies, procedures, budget, and quality assurance system for Community Living Services.
**Fraser Offers:**
* A collaborative, relationship\-focused work culture
* Career growth opportunities
* Tuition Reimbursement (must meet Fraser requirements)
* Employee Referral Bonuses
**Benefits for Full\-time Employees (30\+ hours per week)**
* Medical, dental and vision insurance
* Health Savings Account (HSA) and Flexible Spending Account (FSA)
* Employee Assistance Plan (EAP)
* Life, AD\&amp;D and Voluntary Life Insurance
* Long\-Term Disability, Voluntary Short\-Term Disability, Accident Insurance, Critical Illness Insurance and Hospital Indemnity Insurance
* Pet Insurance
* 403(b) Retirement Plan with Company Match
* Work\-Life Balance, Generous Paid Time off Plan
**Location, Schedule \&amp; Pay:**
* Bloomington, MN
	+ Houses located at Plymouth, Brooklyn Center, and New Hope
* Monday through Friday 9 am \- 5 pm; and after hours/weekend on call in a 4\-6 week rotation
* The starting pay for this role is $62,000 to $67,000 annually depending on qualifications
**What qualifications are required?**
* BA / BS in human services or a related field preferred.
* Designated Manager as defined by 245D regulations.
* Ability to pass certification course to administer medications and treatments (within 60 days of hire).
* At least three years of supervisory and managerial experience required, five years preferred.
* Ability to meet the program management and oversight criteria outlined in MN statute 245D.3\.
* Proficiency in regulatory compliance required, especially MN Statute 245D, CRS licensing, and Positive Supports Rule.
* Valid Minnesota Driver’s License with acceptable record required.
*Diversity, Inclusion, and Belonging: Fraser values a diverse staff to ensure the best outcomes for our diverse client base. We are committed to anti\-racism at Fraser. Our anti\-racism committee assesses, develops, and implements numerous initiatives ranging from recruiting and retaining diverse staff to staff training and more.*
*Fraser is an Affirmative Action and Equal Opportunity Employer.*
If you are having trouble applying or have questions, please contact Fraser HR at careers@fraser.org. If you have successfully submitted your application, you will get a confirmation email. If you do not receive the confirmation email, please check your junk/spam folders, then contact us as we may not have received your application. Thank you for considering Fraser!</t>
        </is>
      </c>
    </row>
    <row r="7">
      <c r="A7" t="inlineStr">
        <is>
          <t>in-966a98e58c1ee8cd</t>
        </is>
      </c>
      <c r="B7" t="inlineStr">
        <is>
          <t>Program Manager</t>
        </is>
      </c>
      <c r="C7" t="inlineStr">
        <is>
          <t>Blue Marble Communications</t>
        </is>
      </c>
      <c r="D7" t="inlineStr">
        <is>
          <t>indeed</t>
        </is>
      </c>
      <c r="E7" t="inlineStr"/>
      <c r="F7" t="inlineStr"/>
      <c r="G7" t="inlineStr">
        <is>
          <t>Poway, CA, US</t>
        </is>
      </c>
      <c r="H7" s="2" t="n">
        <v>46043</v>
      </c>
      <c r="I7" t="inlineStr">
        <is>
          <t>Blue Marble Communications is seeking a Program Manager to lead multi\-functional teams for satellite technology programs. This person will utilize best planning practices and exceptional communication to translate deadlines and customer needs to the engineering team. This position will require the candidate to work on site. The candidate must be a self\-starter with great time management skills and very strong attention to detail.
**Responsibilities**
* Interface between Operations, Engineers, and Purchasing, to identify constraints, and developing production plans that meet customer and business needs
* Manage program timeline, costs, and parameters
* Head meetings between customers and internal team to review program status of timeline and costs
* Lead program realization to attain timeline and financial targets for both business and customer
* Mitigate risks and anticipate potential complications
* Engage in process improvement projects with interconnecting departments to ensure positive, clear communication of build priorities
* Aptitude to effectively plan, prioritize, execute, follow up, anticipate changes
* Serve has primary customer contact for program activities
**Qualifications**
* Bachelor's Degree
* 8\-15 years experience, preferably in Defense or Space
* Highly self\-motivated and proactive
* Strong attention to detail
* Excellent MS Office skills
* Excellent communication skills with all levels of the organization
* Excellent expository writing and oral presentation skills.
* Excellent organizational and recordkeeping skills, including confidential information
* Must be able to meet strict deadlines and manage competing priorities
* Must be a US Person (This position has export control and security\-related requirements that mandate attention to the citizenship status of any potential candidate and necessitates that the individual either be a United States Citizen, Permanent Resident of the United States, or lawfully admitted into the United States as a refugee or granted asylum by the United States Government.)
**About Blue Marble Communications**
Blue Marble Communications designs and manufactures high\-performance RF, free\-space optical, and network communications modules and systems for deployment onboard satellites and other space vehicles. Our current product offerings include software\-defined RF, microwave, and millimeter\-wave modem/transceivers; optical laser communications terminals, Ethernet routers/switches, and systems comprised of combinations of these modules. BMC embraces a modern workplace culture and inclusive environment.</t>
        </is>
      </c>
    </row>
    <row r="8">
      <c r="A8" t="inlineStr">
        <is>
          <t>in-51ca62e3d58d48d2</t>
        </is>
      </c>
      <c r="B8" t="inlineStr">
        <is>
          <t>Program Manager - Services for Adolescents and Families to Empower Recovery (SAFER)</t>
        </is>
      </c>
      <c r="C8" t="inlineStr">
        <is>
          <t>Annie Malone Children &amp; Family Services</t>
        </is>
      </c>
      <c r="D8" t="inlineStr">
        <is>
          <t>indeed</t>
        </is>
      </c>
      <c r="E8" t="inlineStr"/>
      <c r="F8" t="inlineStr"/>
      <c r="G8" t="inlineStr">
        <is>
          <t>St. Louis, MO, US</t>
        </is>
      </c>
      <c r="H8" s="2" t="n">
        <v>46043</v>
      </c>
      <c r="I8" t="inlineStr">
        <is>
          <t>SAFER Program Manager
**Job Summary:**
The Services for Adolescents and Families to Empower Recovery Program (SAFER) Program Manager will manage the day\-to\-day implementation of the grant including: ongoing data collection, tracking of project deliverables, and facilitation of project teams. The SAFER Program Manager will facilitate treatment and prevention programs within Annie Malone and for external sources. This position will supervise the case managers, youth specialist and peer support specialist.
**DutiesResponsibilities:**
* Maintain and monitor project plans, project schedules, work hours, budgets, and expenditures
* Organize, attend, and participate in stakeholder meetings
* Document and follow up on important actions and decisions from meetings
* Prepare necessary presentation materials for meetings
* Ensure project deadlines are met
* Ensure projects adheres to frameworks and all documentation is maintained appropriately for each project
* Assess project risks and issues and provide solutions where applicable
* Ensure partner/stakeholder views are managed towards the best solution
* Chair and facilitate meetings where appropriate and distribute minutes to all project team members
* Create a project management calendar for fulfilling each goal and objective
* Collect data at predetermined intervals
* Ensure data is entered into required databased within required timeframes
* Transmit data to Principal Investigator
* Facilitate prevention programming
* Other projects and duties as assigned
**QualificationsRequirements:**
* Master's degree in Social Work or Counseling required
* Professional licensure as a LMSW or PLPC within the State of Missouri required
	+ LPC or LCSW preferred
* Minimum two (2\) years of project management experience required
* Minimum three (3\) years of experience working in an agency focused on supporting at\-risk adolescents preferred
* Knowledge of relevant laws, regulations and policies regarding social service provision, reporting requirements, data practices and client rights
* Knowledge of and sensitivity to cultural differences and special needs of various marginalized groups
* Knowledge of community resources including functions of other social service agencies
* Able to conduct routine travel within St. Louis City or County for meetings and events, national travel for conferences.
* Must possess a Valid Driver's License
* Must have current automobile insurance
**Competency\-Based Qualifications:**
* Excellent organizational and attention to detail skills
* Excellent written and verbal communication
* Excellent interpersonal and presentation skills
* Ability to connect with adolescent population
* Ability to function well in a high\-paced and at times stressful environment
* Flexible and self\-starter; able to multi\-task
* Professional qualities of integrity, credibility and a commitment to Annie Malone Children and Family Service Center's mission
**No phone calls please.** Only complete applications will be considered for employment. Applications can be completed at **www.anniemalone.com**.
***Equal Opportunity Employer/Disability/Veterans***
*Annie Malone Children and Family Service Center provides equal employment and social service opportunity to all regardless of race, color, sex, national origin, ability, gender, gender identity, gender expression or sexual orientation.*</t>
        </is>
      </c>
    </row>
    <row r="9">
      <c r="A9" t="inlineStr">
        <is>
          <t>in-f98004a31a567ef9</t>
        </is>
      </c>
      <c r="B9" t="inlineStr">
        <is>
          <t>IoT Product Owner</t>
        </is>
      </c>
      <c r="C9" t="inlineStr">
        <is>
          <t>FlowHR Solutions</t>
        </is>
      </c>
      <c r="D9" t="inlineStr">
        <is>
          <t>indeed</t>
        </is>
      </c>
      <c r="E9" t="inlineStr"/>
      <c r="F9" t="inlineStr"/>
      <c r="G9" t="inlineStr">
        <is>
          <t>Bloomington, MN, US</t>
        </is>
      </c>
      <c r="H9" s="2" t="n">
        <v>46043</v>
      </c>
      <c r="I9" t="inlineStr">
        <is>
          <t>**Company Overview**
Airborne Athletics is a sports technology company that is revolutionizing the way athletes train. Our equipment is recognized as the most innovative and results\-oriented products on the market today. We combine technology, analytics, and equipment to train smarter, accelerate skill development, and provide coaches \&amp; athletes with better intelligence to win more games. In doing so, we have developed the most advanced sports training machines in the world \- the Dr. Dish for basketball, the AirCAT for volleyball, and the Flipsled for strength and conditioning.
**Job Overview**
We’re seeking an IoT Product Owner to bridge product strategy and execution, ensuring high\-quality, on\-time delivery of connected products. This role owns the day\-to\-day execution of the backlog, translates product needs into clear development requirements, and coordinates QA and cross\-functional delivery. It is ideal for someone who thrives in execution, clarity, and process within an Agile, hardware\-integrated environment.
**Key Responsibilities** 
* Own and manage the product backlog, authoring clear Jira stories, requirements, and acceptance criteria
* Lead Agile ceremonies including sprint planning, backlog grooming, and retrospectives
* Partner with engineering to drive predictable delivery, healthy sprint execution, and continuous improvement
* Coordinate and perform QA testing to validate features and ensure product quality
* Triage and track bugs through resolution, maintaining release readiness
* Maintain and optimize Jira, Confluence, and delivery workflows
* Serve as a liaison between product, engineering, customer support, and operations to ensure alignment
* Support release planning, launch readiness, and product documentation
**Qualifications/Requirements** 
* Bachelor's degree in a technical field or equivalent experience
* 5\+ years experience as a Product Owner, Project Manager, or similar role
* Strong experience writing detailed, testable requirements and acceptance criteria
* Hands\-on experience with Agile/Scrum teams and ceremonies
* Proficiency with Jira and Confluence
* Experience coordinating or executing QA/testing activities
* Strong organizational, communication, and cross\-functional collaboration skills
* Ability to translate product vision into actionable development work
* Experience with IoT, embedded systems, or hardware\-software integrated products
* Familiarity with manufacturing of hardware systems
* Must be able to work out of our Bloomington MN office
We are an equal opportunity employer. Please submit your resume to be considered for the position. Thank you!
Job Type: Full\-time
Pay: $90,000\.00 \- $120,000\.00 per year
Benefits:
* 401(k)
* 401(k) matching
* Dental insurance
* Flexible schedule
* Health insurance
* Paid time off
* Vision insurance
Experience:
* IoT Product Management: 5 years (Preferred)
* embedded software : 1 year (Preferred)
Ability to Commute:
* Bloomington, MN 55431 (Preferred)
Work Location: Hybrid remote in Bloomington, MN 55431</t>
        </is>
      </c>
    </row>
    <row r="10">
      <c r="A10" t="inlineStr">
        <is>
          <t>in-c52c5a404902a890</t>
        </is>
      </c>
      <c r="B10" t="inlineStr">
        <is>
          <t>Assistant Program Manager, LCSW, LICSW, LMHC</t>
        </is>
      </c>
      <c r="C10" t="inlineStr">
        <is>
          <t>Center for Human Development</t>
        </is>
      </c>
      <c r="D10" t="inlineStr">
        <is>
          <t>indeed</t>
        </is>
      </c>
      <c r="E10" t="inlineStr"/>
      <c r="F10" t="inlineStr"/>
      <c r="G10" t="inlineStr">
        <is>
          <t>Holyoke, MA, US</t>
        </is>
      </c>
      <c r="H10" s="2" t="n">
        <v>46043</v>
      </c>
      <c r="I10" t="inlineStr">
        <is>
          <t>The Center for Human Development, (CHD) is seeking a Master's Level Licensed Mental Health Professional**,** Assistant Program Manager for our Adult Community Clinical Services (ACCS), located in Holyoke, MA. ACCS is funded through the Department of Mental Health and is a multidisciplinary outreach approach for persons served in need of psychiatric and other services living independently in the community. This involves active engagement including assertive outreach, consistent assessment and treatment planning, skill building, symptom management, addiction treatment, and behavioral and physical health monitoring and support.
##### **Your role as an Assistant Program Manager:**
The Assistant Program Manager provides outreach training and supervision to Direct Care I, II, and III staff who work in Adult Community Clinical Services (ACCS) for clients in need of psychiatric services. S/he works within the Agency’s team model, establishing open communication, support, and accountability among co\-workers.
**Knowledge, Skills, and Abilities required:**
* Knowledge of clients’ behavioral dynamics
* Knowledge related to treatment of client population
* Ability to motivate, direct and supervise individuals and groups
* Demonstrates effective leadership
* Ability to respond effectively to crisis
* Ability to structure and organize job responsibilities independently
* Good writing and verbal skills
* Valid driver’s license; reliable transportation
* Will be required to pass CPR and First AID and MAP certification
* Ability to conduct client intake and assessment
**Minimum Qualifications:**
* Minimum of 3 year’s experience working with psychiatric population
* Minimum of 2 years supervisory experience
* Master’s degree in a mental health field from an accredited educational institution preferred
* Interested candidates should be Bilingual (English/Spanish). With ability to speak, read and write in both fluently.
***Take advantage of an annual pay range of $68,000\-70,000 based on experience complimented along with a phenomenal benefits package that includes Dental, Health and Life insurance. Paid time off, earned vacation time and paid holidays just to name a few.***
**At Center for Human Development (CHD), Care Finds a way:**
The Center for Human Development (CHD) provides a broad range of high quality, community\-oriented human services dedicated to promoting, enhancing, and protecting the dignity and welfare of people in need. At CHD we are celebrating differences, inclusion is not just a policy\- it is a daily practice. Multicultural, multilingual, and fluent in sign language, CHD is a reflection of those we serve.
**Connect with our team today!**
If this sounds like the right job for you, do not wait \- apply today to join our team. We look forward to hearing from you!</t>
        </is>
      </c>
    </row>
    <row r="11">
      <c r="A11" t="inlineStr">
        <is>
          <t>in-69aef85ffdba4adb</t>
        </is>
      </c>
      <c r="B11" t="inlineStr">
        <is>
          <t>Energy Program Manager</t>
        </is>
      </c>
      <c r="C11" t="inlineStr">
        <is>
          <t>Avista Corporation</t>
        </is>
      </c>
      <c r="D11" t="inlineStr">
        <is>
          <t>indeed</t>
        </is>
      </c>
      <c r="E11" t="inlineStr"/>
      <c r="F11" t="inlineStr"/>
      <c r="G11" t="inlineStr">
        <is>
          <t>Spokane, WA, US</t>
        </is>
      </c>
      <c r="H11" s="2" t="n">
        <v>46043</v>
      </c>
      <c r="I11" t="inlineStr">
        <is>
          <t>**Closes:** February 4, 2026
**Job Description**  
Responsible for developing, designing, implementing, and managing residential, commercial, and/or industrial programs that advance energy efficiency, demand response, clean energy policy goals, and/or energy assistance for Avista customers. This role supports corporate objectives by delivering accessible, customer‑centered programs; strengthening customer and community outreach and engagement; and ensuring alignment with regulatory and legislative requirements. Entry‑level positions emphasize program implementation and customer support, while senior‑level roles lead strategy and design. All levels are accountable for program performance, regulatory adherence, equitable delivery of benefits, and continuous improvement to meet evolving customer and community needs.
**Requirements**  
Energy Efficiency Program Manager I:
* Bachelor’s degree from a regionally or nationally accredited college or university in marketing, communication, business, community planning, or related field.
* 3\+ years of related or relevant experience with Energy Efficiency, customer programs or applications including customer interaction.
* Demonstrated dispute/disagreement resolution skills.
* Solid collaboration and facilitation skills.
* Demonstrates aptitude for developing project/program management competencies.
* Ability to cultivate and maintain positive business relationships both internally and externally.
* Some knowledge of customer data systems and tools is required.
* General knowledge of business/office processes and supporting software systems required.
* Intermediate level computer skills (i.e. MS Office Suite).
* Solid verbal and written communication skills
* Proven customer service and interpersonal skills. Serve as liaison between both internal and external customers.
* Basic math and analytical skills required.
* Ability to prioritize and manage multiple projects with attention to detail.
* Must have a valid driver’s license and physical ability to drive a company vehicle for extended distances throughout the company’s service area.
* Intermediate understanding of natural gas and electric construction and/or energy efficiency practices preferred.
* Basic understanding of guidelines and Public Utility Commission funding and regulatory environments preferred
Hiring Range: $74,611 to $96,62
Energy Efficiency Program Manager II includes the requirements for I plus
* 5\+ years of related or relevant experience with Energy Efficiency, energy assistance or customer programs or applications including customer interaction.
* 2\+ years of demonstrated project/program management required.
* Demonstrates intermediate to advanced project/program management competencies.
* Intermediate knowledge of customer data systems and tools.
* Proven ability to cultivate and maintain positive business relationships both internally and externally.
* Thorough understanding of guidelines and Public Utility Commission funding and regulatory environments.
Hiring Range: $84,939 to $110,421
Senior Energy Efficiency Program Manager includes the requirements for I and II plus
* 7\+ years of relevant experience with energy efficiency, energy assistance, or customer programs or applications including customer interaction required.
* 3\+ years of demonstrated project/program management required.
* Advanced understanding of efficiency practices and measures including building envelope, lighting, HVAC, behavioral and demand response technologies; Awareness of additional distributed energy resources as needed.
* Excellent collaboration and facilitation skills.
* Demonstrates advanced project/program management competencies.
* Advanced understanding of regulation and Public Utility Commission funding and regulatory environments.
* Advanced computer skills (i.e. MS Office Suite).
* Excellent verbal and written communication skills.
Hiring Range: $96,517 to $126,439
*Other combinations of education and experience may be considered.*
***Hybrid work options are available for this role. The successful candidate will be required to work at our Spokane, Washington Headquarters at least 3 days per week including Mondays and Tuesdays with additional day(s) determined by the manager.***
**To Apply**  
We encourage you to apply as many of our positions have multiple levels to account for an incoming employee’s various knowledge, skills, and experience.
Complete an online application and attach your resume and cover letter to your profile**. All documents must be attached to your application at the time of submitting your application for review.** No documents can be attached after you click "Submit".
**Total Rewards**At Avista, our employees are the foundation of our success. Their dedication drives the value we deliver to our customers and communities. That’s why we prioritize the physical, mental, and financial well\-being of our team members and their families.
We offer a comprehensive Total Rewards program designed to support every stage of life and career. Our offerings include:
* **Affordable healthcare options** including medical, dental, and vision coverage
* **Retirement benefits** with an enhanced 401(k) match
* **Incentive programs** rewarding performance and contributions
* **Competitive paid time off** including holidays, personal days, and vacation
* **Life and disability insurance** for added peace of mind
* **Wellness resources** supporting mental and physical health
* **Education and development support** including tuition assistance
* **Community giving programs** encouraging employee engagement and impact
* **Other optional benefits** from Legal insurance, Pet insurance, and more *(Eligibility subject to Bargaining Unit affiliation)*
To learn more, please visit our benefits website at https://avistabenefits.com/.
We are committed to maintaining a competitive and equitable total rewards package that attracts and retains a diverse, skilled, and engaged workforce.
In compliance with state laws, we provide the full salary range for each position, along with the typical hiring range based on qualifications, experience, and internal equity. The full salary range for this position is $74,611 to $156,359\. Questions regarding compliance with this requirement can be directed to humanresources@avistacorp.com**.**
**Avista’s Commitment to Equal Opportunity**  
Avista is a safe, inclusive workplace for people of all backgrounds, and we are committed to Equal Opportunity Employment. All qualified applicants will be considered regardless of race, color, religion, national origin, sex, gender identity, sexual orientation, marital status, age, sensory, mental or physical disability (unless based upon a bona fide occupational qualification), Veteran status or any other classification protected by nondiscrimination laws.
Please view Equal Employment Opportunity Posters provided by OFCCP here. Prior to the next step in the recruiting process, we welcome you to inform us confidentially if you require any special accommodations to participate fully in our recruitment process. Avista will make reasonable accommodation to assist a qualified person with a disability in the job application, interview process, and to perform the essential functions of the job whenever possible, where undue hardship would not be created for Avista. Please contact us at humanresources@avistacorp.com if you would like assistance.</t>
        </is>
      </c>
    </row>
    <row r="12">
      <c r="A12" t="inlineStr">
        <is>
          <t>in-af4b4aa6aac7dbea</t>
        </is>
      </c>
      <c r="B12" t="inlineStr">
        <is>
          <t>Program Manager - Senior Center</t>
        </is>
      </c>
      <c r="C12" t="inlineStr">
        <is>
          <t>Town of Southborough</t>
        </is>
      </c>
      <c r="D12" t="inlineStr">
        <is>
          <t>indeed</t>
        </is>
      </c>
      <c r="E12" t="inlineStr"/>
      <c r="F12" t="inlineStr"/>
      <c r="G12" t="inlineStr">
        <is>
          <t>Southborough, MA, US</t>
        </is>
      </c>
      <c r="H12" s="2" t="n">
        <v>46043</v>
      </c>
      <c r="I12" t="inlineStr">
        <is>
          <t>Are you passionate about enhancing the lives of older adults? Do you have the creativity, leadership, and organizational skills to develop engaging programs that foster connection, learning, and well\-being? If so, we invite you to bring your vision to the Southborough Senior Center as our next Program Manager. This role offers a supportive team and flexible working environment that values innovation and engagement for applicants that are committed to public service.
If you’re ready to bring energy and dedication to this role, we’d love to hear from you!
**About Us:**
Located in a vibrant community of 10,000 residents, the Southborough Senior Center is a hub of activity, offering a wide range of programs designed to enrich the lives of older adults. We take pride in creating an inclusive, welcoming environment where seniors can stay active and engaged
**About the Role:**
As Program Manager, you will play a pivotal role in designing and delivering broad programs that support the diverse interests and needs of our senior population. You will oversee a robust calendar of educational, health \&amp; wellness, recreational and social activities, as well as intergenerational programs in collaboration with other town departments and local partners.
**Key Responsibilities:**
* Develop, implement, and evaluate a variety of programs that promote active aging, personal enrichment and community engagement.
* Manage event logistics, including scheduling, budgeting and promotion.
* Oversee the development of newsletters, social media and other communications to keep the community informed and engaged.
* Work closely with Town staff, volunteers, vendors and local and regional organizations to ensure programs meet the evolving needs of seniors and their families.
**What We’re Looking For:**
* A dynamic leader with experience in program development and management, preferably in a community/senior center or elder services\-based organization.
* Strong communication skills, including proven experience with vast community relations.
* A collaborative mindset and ability to build relationships across departments and community organizations.
* A superb candidate will be one who demonstrates empathy and sensitivity to the needs of mature citizens and their families, with an enthusiastic passion for community services.
**Compensation:** Pay range is $33\.07\-$43\.64 per hour; the hiring range is $33\.07\-$38\.00\. This is a benefit eligible position with generous health insurance options, excellent paid leave and a flexible and supportive workplace. Submit cover letter and resume to personnel@southboroughma.gov. Resumes will be accepted until the position is filled. A complete job description can be found on the Town website: https://www.southboroughma.gov/191/Employment\-Information.
*The Town of Southborough is an equal opportunity employer. We evaluate qualified applicants without regard to race, color, religion, sex, sexual orientation, gender identity, national origin, disability, veteran, genetic information, and other legally protected characteristics.*
Job Types: Full\-time, Permanent
Pay: $33\.07 \- $43\.64 per hour
Expected hours: 40 per week
Benefits:
* Dental insurance
* Employee assistance program
* Flexible spending account
* Health insurance
* Life insurance
* Paid time off
* Parental leave
* Professional development assistance
* Retirement plan
* Tuition reimbursement
* Vision insurance
Application Question(s):
* Do you have experience with designing newsletters \&amp; publications?
Education:
* Associate (Required)
Security clearance:
* Confidential (Required)
Ability to Commute:
* Southborough, MA 01772 (Required)
Ability to Relocate:
* Southborough, MA 01772: Relocate before starting work (Required)
Work Location: In person</t>
        </is>
      </c>
    </row>
    <row r="13">
      <c r="A13" t="inlineStr">
        <is>
          <t>in-d96a151f213a3aa5</t>
        </is>
      </c>
      <c r="B13" t="inlineStr">
        <is>
          <t>Donor Development &amp; Strategic Partnerships Program Manager</t>
        </is>
      </c>
      <c r="C13" t="inlineStr">
        <is>
          <t>Compatible Lands Foundation</t>
        </is>
      </c>
      <c r="D13" t="inlineStr">
        <is>
          <t>indeed</t>
        </is>
      </c>
      <c r="E13" t="inlineStr"/>
      <c r="F13" t="inlineStr"/>
      <c r="G13" t="inlineStr">
        <is>
          <t>US</t>
        </is>
      </c>
      <c r="H13" s="2" t="n">
        <v>46043</v>
      </c>
      <c r="I13" t="inlineStr">
        <is>
          <t>**Position Overview**
The Compatible Lands Foundation (CLF) seeks a dynamic and well\-connected fundraising professional to serve as the Program Manager for Donor Development \&amp; Strategic Partnerships. This individual will be responsible for cultivating, soliciting, and stewarding donors and corporate partners—with a particular focus on building relationships with defense industry contractors and companies aligned with CLF’s mission of protecting land, strengthening communities, and supporting military readiness.
**Key Responsibilities**
**Donor Cultivation \&amp; Stewardship**
* Identify, cultivate, and solicit major gifts from individuals, corporations, and foundations, with a strong emphasis on defense contractors and related industries.
* Build long\-term relationships with high\-net\-worth donors and corporate leaders who share an interest in conservation, national security, and community resilience.
* Develop and create tailored proposals and presentations that demonstrate the impact of CLF’s mission.
* Collaborate with the CEO, Board of Directors, and external partners to secure significant financial commitments from corporate donors.
**Strategic Partnerships**
* Forge partnerships with Department of Defense contractors, subcontractors, and trade associations to secure sponsorships, gifts, and collaborative funding opportunities.
* Serve as the primary liaison between CLF and corporate partners, ensuring alignment of brand, mission, and shared outcomes.
* Leverage defense sector networks to create new funding pipelines and elevate CLF’s profile within military and contractor communities.
**Fundraising Leadership**
* Work closely with the Executive Director and Board of Directors to set fundraising strategy and goals.
* Create and manage a portfolio of prospective donors, ensuring consistent engagement and stewardship.
* Track donor engagement in CRM systems, maintain a robust pipeline of prospects, and provide regular progress reports and forecasts.
* Ensure compliance with donor recognition, reporting, and ethical fundraising standards.
* Plan, organize and host social events and fundraisers.
**Qualifications**
* Proven track record (7\+ years) in major gift fundraising, corporate development, or donor relations—preferably involving the defense sector or public\-private partnerships.
* Established connections or demonstrable ability to build networks within Department of Defense contractors, subcontractors, and related industries.
* Strong communication, negotiation, and relationship\-building skills.
* Experience creating compelling cases for support, sponsorship decks, or grant proposals.
* Ability to represent CLF’s mission with credibility across defense, conservation, and philanthropic sectors.
Bachelor’s degree in business, communications, nonprofit management, or related field required; advanced degree or CFRE certification preferred.
Please submit a cover letter and your resume. Applications without a cover letter will not be considered.
Job Type: Full\-time
Pay: $75,000\.00 \- $90,000\.00 per year
Benefits:
* Dental insurance
* Flexible schedule
* Health insurance
* Paid time off
Work Location: Remote</t>
        </is>
      </c>
    </row>
    <row r="14">
      <c r="A14" t="inlineStr">
        <is>
          <t>in-9a1ea3a153219552</t>
        </is>
      </c>
      <c r="B14" t="inlineStr">
        <is>
          <t>Aftermarket Sales Program Manager</t>
        </is>
      </c>
      <c r="C14" t="inlineStr">
        <is>
          <t>SPX Technologies</t>
        </is>
      </c>
      <c r="D14" t="inlineStr">
        <is>
          <t>indeed</t>
        </is>
      </c>
      <c r="E14" t="inlineStr"/>
      <c r="F14" t="inlineStr"/>
      <c r="G14" t="inlineStr">
        <is>
          <t>Overland Park, KS, US</t>
        </is>
      </c>
      <c r="H14" s="2" t="n">
        <v>46042</v>
      </c>
      <c r="I14" t="inlineStr">
        <is>
          <t>**Building the people that build the world.**
With platforms in HVAC and Detection and Measurement, SPX Technologies builds innovative solutions that enable a safer, more efficient, sustainable world. Through our RiSE talent development framework, we Reach, Identify, Strengthen, and Engage our employees to support them in their continued development. We’re a global company of problem solvers, collaborators, and innovators, and our businesses build solutions that impact the world.
As part of HVAC Cooling, SPX Cooling Technologies is a leader in high quality industrial HVAC equipment used to cool large facilities like hospitals, data centers, and power plants. With cooling towers, fans, and refrigeration units, companies rely on brands like Marley, Recold, and SGS to provide comfort and mission critical and industrial cooling solutions.
 **How you will make an Impact (Job Summary)**
SPX is a diverse team of unique individuals who all make an impact. As an Aftermarket Sales Program \&amp; Marketing Manager, you will lead the go\-to\-market strategy and channel sales programs for SPX’s aftermarket product lines. This role plays a critical part in driving growth across the HVAC Cooling and Process Cooling segments by shaping product positioning, developing compelling marketing tools, and enabling sales channels with clear, value\-driven messaging.
You will work closely with engineering, sales, product management, and channel partners to translate product capabilities into customer\-facing programs that increase demand and strengthen SPX Marley’s competitive position. The incumbent will be responsible for developing and executing aftermarket training, promotional content, and sales enablement materials that communicate the value of Marley components and support revenue growth targets.
The successful incumbent effectively manages a challenging workload and, as needed, delegates tasks to supporting roles. Success in this role demands outstanding organizational, project planning, project management, and communication skills.
**What you can expect in this role (Job Responsibilities)**
While each day brings new opportunities at SPX, your core responsibilities will be:
* Drive Product Marketing \&amp; Sales Initiatives
* Bridge product management, marketing, and sales to execute product\-specific programs.
* Build go\-to\-market plans, sales campaigns, and support tools for new and existing products.
* Engage reps and service contractors through targeted training and product introductions.
* Develop Market Insights \&amp; Competitive Analysis
* Research target markets, competitors, and product applications to inform the product roadmap.
* Conduct market studies, surveys, and feedback analysis to refine product messaging and pricing.
* Monitor and report on product line performance to support strategic decisions.
* Create Sales Tools \&amp; Support Revenue Growth
* Produce brochures, presentations, and sales materials for channel partner training.
* Develop parts\-replacement ROI proposals and support quoting teams by filling product information gaps.
* Collaborate with sales support teams to strengthen technical understanding across channels.
**What we are looking for (Required/Ideal Experience, Skills, Education)**
We each bring something to the table, and we are looking for someone who has:
**Required Experience \&amp; Skills**
* 4\+ years of marketing experience, including developing product campaigns and communicating solutions to the customer
* Aptitude to understand mechanical processes and work effectively with channel partners in an industrial component market
* Proficiency with Microsoft Work, Excel and PowerPoint
* Ability to manage high\-volume, fast\-paced workloads and handle multiple tasks simultaneously
**Ideal Experience \&amp; Skills**
* Knowledge of industrial markets or customers and cooling towers is helpful
* Aftermarket or distributor sales experience
* Experience with HVAC, industrial processes, or power plants, as well as engineering documents, preferred
* Familiarity with sales account management and channel sales dynamics
* Ability to conduct onsite inspections and sales visits
* Strong analytical and customer insights skills for supporting product and market strategy
* Ability to communicate effectively verbally
**Education \&amp; Certifications**
* Bachelor’s degree strongly preferred
* Driver’s License and proof of insurance
**Travel \&amp; Working Environment**
* Onsite office environment, Monday – Friday when not traveling or in the field.
* Ability to travel to jobsites for assigned projects to meet with customers.
* Willingness to travel at least 20% of the time.
* May require working in an outside environment; exposure to excessive noise, heat, or bad weather.
* The position may require working occasionally outside normal work hours.
* Keyboarding/typing.
* Occasional lifting up to 20 pounds.
* Ability to read effectively from a computer screen and/or a paper copy.
* Ability to handle a large volume of work and perform multiples tasks in a fast\-paced environment.
**How we live our culture**
Our culture is at the center of what we do and, more importantly, who we are. Our core values set a standard for how we manage ourselves, and our Leadership Model sets the standard for how we engage with each other. Whether you are an individual contributor or you lead a large team, each of us leads at SPX.
**What benefits do we offer?**
We know that the well\-being of our employees is integral. Our benefits include:
* Generous and flexible paid time off including paid personal time off, caregiver, parental, and volunteer leave
* Competitive health insurance plans and 401(k) match, with benefits starting day one
* Competitive and performance\-based compensation packages and bonus plans
* Educational assistance, leadership development programs, and recognition programs
**Our commitment to embrace diversity to build a culture of inclusion at SPX**
We value different backgrounds, experiences, and voices at SPX, and we are committed to challenging ourselves, openly communicating, and striving to improve every day. We believe in creating an inclusive work environment where everyone has a voice and is encouraged to realize their fullest potential.
SPX is an affirmative action and equal opportunity employer committed to making selection decisions without regard to race, color, religion, sex, sexual orientation or identity, national origin, age, disability, veteran status, or any other legally protected basis.</t>
        </is>
      </c>
    </row>
    <row r="15">
      <c r="A15" t="inlineStr">
        <is>
          <t>in-52a4bdc92c996b39</t>
        </is>
      </c>
      <c r="B15" t="inlineStr">
        <is>
          <t>Senior Product Manager – Mobile Features</t>
        </is>
      </c>
      <c r="C15" t="inlineStr">
        <is>
          <t>Trivelta</t>
        </is>
      </c>
      <c r="D15" t="inlineStr">
        <is>
          <t>indeed</t>
        </is>
      </c>
      <c r="E15" t="inlineStr"/>
      <c r="F15" t="inlineStr"/>
      <c r="G15" t="inlineStr">
        <is>
          <t>Boston, MA, US</t>
        </is>
      </c>
      <c r="H15" s="2" t="n">
        <v>46042</v>
      </c>
      <c r="I15" t="inlineStr">
        <is>
          <t>### **Senior Product Manager – Mobile Features**
Trivelta is building a SaaS platform equipping sportsbook and casino providers to launch and run their gaming platforms. The primary user experience runs through web and mobile apps \- differentiated and customized based on our clients configurations. The underlying app navigation, user profiles, and engagement features are what make our apps an excellent experience for our users.
We are looking for a Senior Product Manager to own and evolve the front\-end features of our mobile and web applications \- ensuring consistency across form factors and stellar usability, while also improving upon the capabilities that drive user engagement.
This role owns the app experience integrating many layers of experience across our development teams.
### **What You Will Be Responsible For**
You will own the product definition and day\-to\-day execution for the Features team.
That includes:
* Owning the vision and roadmap for a smooth, intuitive, and consistent user experience driving activation and retention across all clients.
* Designing systems that allow multiple product teams to integrate their features into the front\-end.
* Managing dependencies and prioritization across engineering, product, sales, and operations teams
* Working closely with engineers across multiple time zones to define standards, workflows, and interfaces
* Translating business, operational, and technical requirements into clear product specifications
* Supporting the automation of dynamic changes to the front\-end experience based on configurations from the back end.
You will spend time in the details of the user experience \- registration, navigation, game pass, poker, background sounds and more \- as this drives the quality of our user activation and retention.
### **How You Will Work**
This is not a siloed product role.
You will be:
* Embedded with your engineering team while managing dependencies across numerous teams
* Actively managing tradeoffs and sequencing across competing priorities
* Involved in release planning, rollout strategies, and change management
* Hands\-on with QA, validation, and coordination for complex multi\-team releases
* Proactive about identifying user friction and front\-end performance challenges
You do not need to code, but you do need to understand system configuration architecture and show discernment in when something should be consistent across all clients vs be configurable.
### **What We Are Looking For**
* 5\+ years of experience as a Product Manager owning mobile products with stellar user experiences
* Strong user experience thinking and comfort working with highly configurable, integration\-heavy platforms
* Experience building flexible navigation and design that is both configurable/flexible while maintaining quality and performance.
* Excellent communication skills across technical, commercial, and client\-facing audiences
* Ability to balance short\-term delivery needs with a long\-term platform vision
**Nice to have, but not required:**
* Experience building consumer mobile apps and mobile web apps for different markets globally \- with different device and internet connectivity levels
* Background in Poker, SaaS platforms, social gaming, and consumer apps.
* Familiarity with service\-oriented or modular platform architectures
### **Why This Role Matters**
Mobile features is the front\-end layer that turns Trivelta's configurations into real, live consumer experiences. When it works well, users are able to register and play easily, and enjoy returning, referring their friends, and gaming with each other.
This role exists to ensure that Trivelta's configuration and orchestration layer evolves into a platform that is powerful, intuitive, and scalable \- enabling both internal teams and clients to move quickly without breaking things.
You will have outsized influence on how the entire Trivelta platform operates and evolves.
### **Reporting \&amp; Team**
You will report into the Head of Product and work day\-to\-day with engineering, QA, sales, account management, and, over time, Trivelta clients. The scope may evolve over time, but the expectation of ownership and hands\-on execution will not.
This position is hybrid out of our HQ location in Boston near South Station.</t>
        </is>
      </c>
    </row>
    <row r="16">
      <c r="A16" t="inlineStr">
        <is>
          <t>in-796e9faee2e2bdf7</t>
        </is>
      </c>
      <c r="B16" t="inlineStr">
        <is>
          <t>Program Manager</t>
        </is>
      </c>
      <c r="C16" t="inlineStr"/>
      <c r="D16" t="inlineStr">
        <is>
          <t>indeed</t>
        </is>
      </c>
      <c r="E16" t="inlineStr"/>
      <c r="F16" t="inlineStr"/>
      <c r="G16" t="inlineStr">
        <is>
          <t>Crane, IN, US</t>
        </is>
      </c>
      <c r="H16" s="2" t="n">
        <v>46042</v>
      </c>
      <c r="I16" t="inlineStr">
        <is>
          <t>### **Description**
 **Program Manager**
**WHO WE ARE:**
STAHL Companies provides the Program Management for its Channel of Commercial Technology companies in Government that consist of Small Businesses and New Technology start\-ups.
STAHL advocates for policies that can improve government services and maintain our government's competitive advantage, by bringing more technology into government programs.
STAHL Companies advocates on behalf of our nation's innovative, new technology and small businesses looking to work with the U.S. government. We do this by aligning the voice of our small business members with advocacy for change in federal policy that will make the government market more accessible to small businesses and the commercial technology ecosystem.
The Channel's founding Technical Board Members include former government leaders and IT executives passionate about bringing best\-of\-breed technology to the government.  
**We are seeking a skilled and experienced Program Manager to join our team!**  
The Program Manager provides comprehensive program management leadership and oversight in support of the Department of the Navy, Naval Sea Systems Command (NAVSEA), Strategic Systems Guidance, Navigation and Control Division (GXP) within the Global Deterrence and Defense Department at Naval Surface Warfare Center (NSWC), Crane Division. The role supports non\-personal engineering, technical, logistics, configuration management, data management, and program management services for mission\-critical systems supporting national defense.  
The Program Manager is responsible for ensuring successful execution of contract requirements while supporting GXP’s mission to deliver innovative engineering solutions, sustainment, and lifecycle support for complex platforms, missile systems, and test facilities.  
**Key Responsibilities*** Provide overall program management, planning, coordination, and execution of contract requirements in support of NAVSEA GXP.
* Serve as the primary point of contact between the Government and contractor teams for all program\-related activities.
* Manage cost, schedule, performance, and risk in accordance with contract objectives and government standards.
* Oversee multidisciplinary teams supporting:
o Electrical, electronic, mechanical, and software engineering
o Acquisition and development efforts
o Production, integration, test, and evaluation
o Integrated logistics support, reliability, maintenance, and sustainment
o Configuration and data management* Ensure compliance with DoD, Navy, and NAVSEA policies, procedures, and reporting requirements.
* Develop and maintain program plans, schedules, deliverables, and metrics to support program execution.
* Identify and mitigate program risks and issues; implement corrective actions as required.
* Coordinate resources, staffing, and subcontractor performance to meet mission and contract objectives.
* Prepare and present program status briefings, reports, and reviews to government stakeholders.
* Support continuous process improvement and adoption of best practices across program activities.
**Required Qualifications*** Bachelor’s degree in Engineering, Program Management, Business, or a related technical discipline.
* Minimum of 10 **years** of program management experience supporting DoD or Navy programs (NAVSEA experience preferred).
* Demonstrated experience managing complex technical programs involving engineering, logistics, and lifecycle support.
* Strong understanding of DoD acquisition processes, systems engineering lifecycle, and program control principles.
* Proven leadership, communication, and stakeholder engagement skills.
* Ability to manage multiple priorities in a dynamic, mission\-focused environment.
* U.S. citizenship required.
 **Preferred Qualifications*** Master’s degree in Engineering, Program Management, or related field.
* Program Management Professional (PMP) or DAWIA certification.
* Experience supporting strategic systems, missile systems, or guidance, navigation, and control (GNC) programs.
* Active or ability to obtain a DoD security clearance.
*\*Position is contingent upon award.*  
***Location:*** *Crane, Indiana, United States*  
*To know more about the company, visit* Stahl Companies (stahlusa.us)  
### **Key Responsibilities**
The Program Manager provides comprehensive program management leadership and oversight in support of the Department of the Navy, Naval Sea Systems Command (NAVSEA), Strategic Systems Guidance, Navigation and Control Division (GXP) within the Global Deterrence and Defense Department at Naval Surface Warfare Center (NSWC), Crane Division. The role supports non\-personal engineering, technical, logistics, configuration management, data management, and program management services for mission\-critical systems supporting national defense.  
The Program Manager is responsible for ensuring successful execution of contract requirements while supporting GXP’s mission to deliver innovative engineering solutions, sustainment, and lifecycle support for complex platforms, missile systems, and test facilities.### **About Stahl Companies**
STAHL USA provides the Program Management for its Channel of Commercial Technology companies in Government that consist of Small Businesses and New Technology startups.
STAHL advocates for policies that can improve government services and maintain our government's competitive advantage, by bringing more technology into government programs.
STAHL USA advocates on behalf of our nation's innovative, new technology and small businesses looking to work with the U.S. government. We do this by aligning the voice of our small business members with advocacy for change in federal policy that will make the government market more accessible to small businesses and the commercial technology ecosystem.  
BiC\-1, a sister company to STAHL USA, was founded in 2020 with just two partners and some meaningful relationships, is a U.S.\-based, diverse, Joint Venture Partnership, supported by our Channel Member Services and Supply\-Chain Management Center (SCMC).  
We are a Joint Venture of Best\-in\-Class, small business Government contractors (who are SAMS registered and SBA Approved) with extensive breadth and depth, specializing in areas of Data Center Management, Cloud Solutions, Cyber Security, Systems Integration, Worldwide C6ISR, Data Analytics, and Mission\-Focused Engineering.  
BiC\-1 responds to today's demanding and ever\-changing technology and warfare landscapes by delivering innovative, secure, and agile solutions that transform and modernize Government operations, improving our national security and well\-being. We focus on providing a broader and deeper set of capabilities to simplify complex problems into NAICS segments, with achievable goals, valuing people and relationships over profit.</t>
        </is>
      </c>
    </row>
    <row r="17">
      <c r="A17" t="inlineStr">
        <is>
          <t>in-d7a648a3ca931d10</t>
        </is>
      </c>
      <c r="B17" t="inlineStr">
        <is>
          <t>Program Manager</t>
        </is>
      </c>
      <c r="C17" t="inlineStr"/>
      <c r="D17" t="inlineStr">
        <is>
          <t>indeed</t>
        </is>
      </c>
      <c r="E17" t="inlineStr"/>
      <c r="F17" t="inlineStr"/>
      <c r="G17" t="inlineStr">
        <is>
          <t>Crane, IN, US</t>
        </is>
      </c>
      <c r="H17" s="2" t="n">
        <v>46042</v>
      </c>
      <c r="I17" t="inlineStr">
        <is>
          <t>### **Description**
**Program Manager**  
**WHO WE ARE:**
STAHL Companies provides the Program Management for its Channel of Commercial Technology companies in Government that consist of Small Businesses and New Technology start\-ups.
STAHL advocates for policies that can improve government services and maintain our government's competitive advantage, by bringing more technology into government programs.
STAHL Companies advocates on behalf of our nation's innovative, new technology and small businesses looking to work with the U.S. government. We do this by aligning the voice of our small business members with advocacy for change in federal policy that will make the government market more accessible to small businesses and the commercial technology ecosystem.
The Channel's founding Technical Board Members include former government leaders and IT executives passionate about bringing best\-of\-breed technology to the government.  
**We are seeking a skilled and experienced Program Manager to join our team!**  
The Program Manager provides comprehensive program management leadership and oversight in support of Naval Surface Warfare Center (NSWC) Crane Division programs under the CPASS Task Order. This role is responsible for managing non\-personal professional, administrative, technical, and management support services that enable NSWC Crane to deliver critical capabilities and operational support to the warfighter.  
The Program Manager ensures successful execution of program, administrative, security, and data management services supporting mission areas including Global Deterrence and Defense, Special Warfare and Expeditionary Systems, and Spectrum Warfare Systems.  
**Key Responsibilities*** Provide overall program management support for base\-wide CPASS Task Order activities at NSWC Crane.
* Plan, coordinate, and oversee contractor support services including:
* Program management and administrative support
* Reception, meeting, and training coordination
* Facilities, safety, and security support
* Data management and database administration
* Quality management and process execution
* Serve as the primary point of contact between the contractor team and Government stakeholders.
* Ensure all contract requirements, deliverables, and performance metrics are met in accordance with the Task Order.
* Manage project schedules, resources, staffing, and priorities to support mission\-critical programs.
* Oversee creation, maintenance, and management of data, reports, and program documentation.
* Ensure compliance with DoD, Navy, and NSWC Crane policies, procedures, and security requirements.
* Identify risks, develop mitigation strategies, and implement continuous process improvements.
* Support program reviews, briefings, and coordination meetings with Government leadership.
* Ensure personnel assigned to the Task Order possess the appropriate skills, training, and clearances required to support NSWC Crane projects.
**Qualifications**  
* Bachelor’s degree in Business Administration, Management, Engineering, or a related field (Master’s preferred).
* Minimum of **X years** of experience in program or project management supporting DoD or Federal Government contracts.
* Demonstrated experience managing multi\-functional teams providing administrative, technical, and management support services.
* Strong knowledge of DoD acquisition, program management, and support service environments.
* Excellent communication, leadership, and stakeholder engagement skills.
* Proven ability to manage multiple projects simultaneously in a mission\-critical environment.
* Active or ability to obtain and maintain a **DoD security clearance**.
**Desired Skills*** Experience supporting NSWC, Navy, or similar warfare center environments.
* Familiarity with data management systems, quality management processes, and security support functions.
* Experience supporting programs related to defense, expeditionary systems, or spectrum warfare.
* *Position is contingent upon award.*
***Location:*** *NSWC Crane Government Facilities*  
*To know more about the company, visit* Stahl Companies (stahlusa.us)  
### **Key Responsibilities**
The Program Manager provides comprehensive program management leadership and oversight in support of Naval Surface Warfare Center (NSWC) Crane Division programs under the CPASS Task Order. This role is responsible for managing non\-personal professional, administrative, technical, and management support services that enable NSWC Crane to deliver critical capabilities and operational support to the warfighter.  
The Program Manager ensures successful execution of program, administrative, security, and data management services supporting mission areas including Global Deterrence and Defense, Special Warfare and Expeditionary Systems, and Spectrum Warfare Systems.### **About Stahl Companies**
STAHL USA provides the Program Management for its Channel of Commercial Technology companies in Government that consist of Small Businesses and New Technology startups.
STAHL advocates for policies that can improve government services and maintain our government's competitive advantage, by bringing more technology into government programs.
STAHL USA advocates on behalf of our nation's innovative, new technology and small businesses looking to work with the U.S. government. We do this by aligning the voice of our small business members with advocacy for change in federal policy that will make the government market more accessible to small businesses and the commercial technology ecosystem.  
BiC\-1, a sister company to STAHL USA, was founded in 2020 with just two partners and some meaningful relationships, is a U.S.\-based, diverse, Joint Venture Partnership, supported by our Channel Member Services and Supply\-Chain Management Center (SCMC).  
We are a Joint Venture of Best\-in\-Class, small business Government contractors (who are SAMS registered and SBA Approved) with extensive breadth and depth, specializing in areas of Data Center Management, Cloud Solutions, Cyber Security, Systems Integration, Worldwide C6ISR, Data Analytics, and Mission\-Focused Engineering.  
BiC\-1 responds to today's demanding and ever\-changing technology and warfare landscapes by delivering innovative, secure, and agile solutions that transform and modernize Government operations, improving our national security and well\-being. We focus on providing a broader and deeper set of capabilities to simplify complex problems into NAICS segments, with achievable goals, valuing people and relationships over profit.</t>
        </is>
      </c>
    </row>
    <row r="18">
      <c r="A18" t="inlineStr">
        <is>
          <t>in-95daff9a56d60b58</t>
        </is>
      </c>
      <c r="B18" t="inlineStr">
        <is>
          <t>Program Manager</t>
        </is>
      </c>
      <c r="C18" t="inlineStr"/>
      <c r="D18" t="inlineStr">
        <is>
          <t>indeed</t>
        </is>
      </c>
      <c r="E18" t="inlineStr"/>
      <c r="F18" t="inlineStr"/>
      <c r="G18" t="inlineStr">
        <is>
          <t>Newport, RI, US</t>
        </is>
      </c>
      <c r="H18" s="2" t="n">
        <v>46042</v>
      </c>
      <c r="I18" t="inlineStr">
        <is>
          <t>### **Description**
**Program Manager**  
**WHO WE ARE:**
STAHL Companies provides the Program Management for its Channel of Commercial Technology companies in Government that consist of Small Businesses and New Technology start\-ups.
STAHL advocates for policies that can improve government services and maintain our government's competitive advantage, by bringing more technology into government programs.
STAHL Companies advocates on behalf of our nation's innovative, new technology and small businesses looking to work with the U.S. government. We do this by aligning the voice of our small business members with advocacy for change in federal policy that will make the government market more accessible to small businesses and the commercial technology ecosystem.
The Channel's founding Technical Board Members include former government leaders and IT executives passionate about bringing best\-of\-breed technology to the government.  
**We are seeking a skilled and experienced Program Manager to join our team!**  
The Program Manager is responsible for the overall planning, execution, and delivery of technology refresh products, prototype systems, and engineering services supporting Code 70 programs, ranges, and facilities. This role provides leadership across engineering, technical, software development, and information technology (IT) disciplines to ensure successful development, testing, integration, and deployment of combat, surveillance, and undersea tracking range systems.  
The Program Manager serves as the primary interface between the Government, technical teams, subcontractors, and stakeholders, ensuring performance objectives, cost, schedule, and quality requirements are met throughout the full Engineering Life Cycle Process.  
**Responsibilities*** Manage and oversee technology refresh, prototyping, and system development programs supporting NUWC Code 70 ranges, facilities, and undersea warfare systems.
* Plan, coordinate, and execute engineering life\-cycle activities from concept development through system delivery, installation, and sustainment.
* Lead cross\-functional teams providing engineering, software development, IT, testing, and integration services.
* Serve as the primary interface with government stakeholders, sponsors, and technical leads to ensure program objectives, schedules, and deliverables are met.
* Oversee research, analysis, and evaluation of technical approaches, system performance, and cost estimates.
* Manage Testing and Evaluation (T\&amp;E) activities in facility and in\-situ environments (air, land, and sea).
* Ensure successful prototype, integration, and survivability testing across multiple platforms and communication networks
* Monitor program risks, issues, and dependencies; develop mitigation strategies as needed.
* Ensure compliance with DoD, Navy, and NUWC standards, safety requirements, and engineering best practices.
* Coordinate analysis related to environmental impacts, including marine species effects from anthropogenic sound.
**Qualifications*** Bachelor’s degree in Engineering, Computer Science, Information Technology, or a related technical field (Master’s degree preferred).
* Proven experience managing complex DoD or Navy engineering programs or technical projects.
* Experience with systems engineering, software development, testing, and integration activities.
* Familiarity with undersea warfare systems, range systems, or sensor\-based platforms preferred.
* Demonstrated ability to manage multidisciplinary teams and multiple concurrent tasks.
* Experience working in research, development, test, and evaluation (RDT\&amp;E) environments.
* Strong communication and stakeholder management skills.
* Ability to manage cost, schedule, and performance across the program lifecycle.
* Active or eligible for U.S. Government security clearance.
* *Position is contingent upon award.*
***Location:*** *Newport, Rhode Island, United States*  
*To know more about the company, visit* Stahl Companies (stahlusa.us)  
### **Key Responsibilities**
The Program Manager is responsible for the overall planning, execution, and delivery of technology refresh products, prototype systems, and engineering services supporting Code 70 programs, ranges, and facilities. This role provides leadership across engineering, technical, software development, and information technology (IT) disciplines to ensure successful development, testing, integration, and deployment of combat, surveillance, and undersea tracking range systems.  
The Program Manager serves as the primary interface between the Government, technical teams, subcontractors, and stakeholders, ensuring performance objectives, cost, schedule, and quality requirements are met throughout the full Engineering Life Cycle Process.### **About Stahl Companies**
STAHL USA provides the Program Management for its Channel of Commercial Technology companies in Government that consist of Small Businesses and New Technology startups.
STAHL advocates for policies that can improve government services and maintain our government's competitive advantage, by bringing more technology into government programs.
STAHL USA advocates on behalf of our nation's innovative, new technology and small businesses looking to work with the U.S. government. We do this by aligning the voice of our small business members with advocacy for change in federal policy that will make the government market more accessible to small businesses and the commercial technology ecosystem.  
BiC\-1, a sister company to STAHL USA, was founded in 2020 with just two partners and some meaningful relationships, is a U.S.\-based, diverse, Joint Venture Partnership, supported by our Channel Member Services and Supply\-Chain Management Center (SCMC).  
We are a Joint Venture of Best\-in\-Class, small business Government contractors (who are SAMS registered and SBA Approved) with extensive breadth and depth, specializing in areas of Data Center Management, Cloud Solutions, Cyber Security, Systems Integration, Worldwide C6ISR, Data Analytics, and Mission\-Focused Engineering.  
BiC\-1 responds to today's demanding and ever\-changing technology and warfare landscapes by delivering innovative, secure, and agile solutions that transform and modernize Government operations, improving our national security and well\-being. We focus on providing a broader and deeper set of capabilities to simplify complex problems into NAICS segments, with achievable goals, valuing people and relationships over profit.</t>
        </is>
      </c>
    </row>
    <row r="19">
      <c r="A19" t="inlineStr">
        <is>
          <t>in-d3d7bfce3c931a9a</t>
        </is>
      </c>
      <c r="B19" t="inlineStr">
        <is>
          <t>Senior Data Product Manager (AI Insurance SaaS)</t>
        </is>
      </c>
      <c r="C19" t="inlineStr">
        <is>
          <t>EvolutionIQ</t>
        </is>
      </c>
      <c r="D19" t="inlineStr">
        <is>
          <t>indeed</t>
        </is>
      </c>
      <c r="E19" t="inlineStr"/>
      <c r="F19" t="inlineStr"/>
      <c r="G19" t="inlineStr">
        <is>
          <t>New York, NY, US</t>
        </is>
      </c>
      <c r="H19" s="2" t="n">
        <v>46042</v>
      </c>
      <c r="I19" t="inlineStr">
        <is>
          <t>**About Us:** EvolutionIQ's mission is to deliver state of the art technology that helps insurance claims teams make claims handling more accurate, fair, and efficient, so that more people impacted by injury or illness can continue their lives with dignity and stability. We are currently experiencing massive growth and to accomplish our goals, we are hiring world\-class talent who want to help build and scale internally, and transform the insurance space. Our team is our \#1 priority, and we have been named one of Inc.'s Best Workplaces 3 years in a row and Built In's Best Places to work in 2025 and 2026!
We're looking for a **Senior Data Product Manager** to own the strategy, execution, and evolution of data\-driven products across our platform. This is a highly impactful role working closely with engineering, data science, and business stakeholders to turn complex data and analytics into products that drive real customer value.
#### **In This Role, You Will:**
* Own data products through their full lifecycle: discovery, definition, delivery, launch, and continuous improvement.
* Define product vision and strategy for data\-driven features, analytics platforms, or AI/ML powered capabilities.
* Translate customer and business needs into clear product requirements, PRDs, and roadmaps.
* Partner closely with Engineering, Data Science and other stakeholders to scope, prioritize, and deliver high\-impact solutions.
* Prioritize ruthlessly based on customer value, business impact, and technical feasibility.
* Drive execution to ship high\-quality, scalable data products.
* Work with stakeholders across the company (GTM, Ops, Leadership, Clients) to ensure alignment and adoption.
* Define success metrics and use data to evaluate product performance and guide iteration.
* Help shape how data, analytics, and AI are turned into repeatable, scalable product capabilities.
#### **Requirements:**
* Actuarial or data science background strongly preferred
* 3–5\+ working directly for a large insurance carrier or consulting in an actuarial or analytical role or relevant experience in B2B SaaS
* Strong ability to work across technical and non\-technical teams and communicate clearly in both directions.
* Ability to define, launch, and iterate on products used by real customers.
* Ability / experience building data products, analytics platforms, or ML/AI\-driven features.
* Comfortable working in ambiguous, fast\-moving environments with a high degree of ownership.
* Strong written and verbal communication skills. A collaborative, feedback\-driven working style.
* Experience in insurance, insurtech, or regulated data\-heavy industries is a big plus, but not required.
* Experience partnering closely with data science or data engineering teams.
* Experience building data platforms,or analytics products or machine learning or decisioning systems is a big plus, as well as complex workflows or enterprise customers
**Work\-life, Culture \&amp; Perks:**
* **Compensation:** The base salary range is **$200\-220K,** with flexibility depending on a candidate's background and experience. An annual bonus plan and company equity plan (RSUs) are also included in our compensation package.
* **Well\-Being:** Medical, dental, vision, short \&amp; long\-term disability, life insurance and AD\&amp;D, and 401k matching. Additional family, wellness, and pet benefits.
* **Home \&amp; Family:** Paid time off and sick leave, 100% paid parental leave (16 weeks for primary caregivers and 12 weeks for secondary caregivers). We offer a flexible schedule for new parents returning to work.
* **Office Life:** Catered lunches, happy hours, pet\-friendly spaces, and monthly technology stipend.
* **Growth \&amp; Training:** $1,000/year for each employee for professional development, as well opportunities for tuition reimbursement.
* **Sponsorship:** We are open to sponsoring candidates currently in the U.S. who need to transfer their active visa. Please check with our Recruiting team if your visa is applicable for transfer.
*EvolutionIQ appreciates your interest in our company as a place of employment. EvolutionIQ is an equal opportunity employer. We celebrate diversity and are committed to creating an inclusive environment for all employees.*</t>
        </is>
      </c>
    </row>
    <row r="20">
      <c r="A20" t="inlineStr">
        <is>
          <t>in-e1d98c687becc3c5</t>
        </is>
      </c>
      <c r="B20" t="inlineStr">
        <is>
          <t>Senior Product Manager, Clinical Programs</t>
        </is>
      </c>
      <c r="C20" t="inlineStr">
        <is>
          <t>Rightway Healthcare, Inc</t>
        </is>
      </c>
      <c r="D20" t="inlineStr">
        <is>
          <t>indeed</t>
        </is>
      </c>
      <c r="E20" t="inlineStr"/>
      <c r="F20" t="inlineStr"/>
      <c r="G20" t="inlineStr">
        <is>
          <t>New York, NY, US</t>
        </is>
      </c>
      <c r="H20" s="2" t="n">
        <v>46042</v>
      </c>
      <c r="I20" t="inlineStr">
        <is>
          <t>**Location: Remote (EST/CST preferred), NYC area encouraged**
**ABOUT THE ROLE:**
We're seeking a strategic yet hands\-on Senior Product Manager to own the development of Rightway's Clinical Programs—the member and operational products that power our clinical programs for weight management, diabetes, and other chronic conditions.
In this role, you will own the product end\-to\-end, from member eligibility and enrollment experiences to the internal tools our clinical operations team uses to engage members, track progress, administer incentives, and manage program compliance. You'll lead a dedicated product squad—including frontend web, backend, and React Native engineers, a designer, and dedicated data engineering support—to deliver measurable outcomes for members, clinical teams, and employer buyers.
This is a mission\-critical position at the intersection of clinical operations, member experience, and outcomes/ROI measurement, with high visibility and direct impact on health outcomes and cost savings.
This is an individual contributor leadership role (no direct reports), with high ownership and visibility across the product.
**WHAT YOU'LL DO:**
### **Product Strategy \&amp; Vision**
* Own the vision and roadmap for Rightway's Clinical Programs, balancing member outcomes, operational scalability, and buyer value (efficacy \+ cost savings).
* Define the end\-to\-end member journey for clinical programs: eligibility discovery enrollment ongoing engagement/check\-ins progress tracking incentives/rewards program continuation or exit.
* Partner with clinical operations and leadership to translate program requirements into product experiences that are safe, scalable, and measurable.
### **Member Experience (Mobile \+ Web)**
* Build the in\-product experiences that help eligible members:
* + Understand what the program offers and what incentives are available
	+ Enroll seamlessly and complete required steps
	+ Participate in ongoing check\-ins and self\-report key information (e.g., weight, glucose levels)
	+ Track progress toward desired outcomes and receive supportive nudges/resources
	+ Earn rewards (e.g., copay waivers) for participation and adherence
* Design program adherence experiences that are clear, fair, and operationally supportable—including cases where members do not follow the program and may need to exit.
### **Clinical Operations Tools (Internal Products)**
* Own the tools that enable clinical operations to effectively serve members at scale, including:
* + Tracking changes in member health over time
	+ Appointment scheduling and coordination
	+ Monitoring adherence and identifying members who should be unenrolled
	+ Identifying eligible members for targeted outreach
	+ Operational reporting to understand program performance by customer and cohort
* Translate real\-world operational pain points into durable product solutions (not spreadsheets), and iterate through "thin\-slice" releases to deliver value quickly.
### **Outcomes, Reporting \&amp; Buyer Value**
* Build the reporting foundation—partnering closely with data engineering—to measure:
* + Program adoption (eligibility enrollment activation)
	+ Engagement and adherence
	+ Health improvements across populations
	+ Employer\-facing value, including reductions in medication spending tied to improved health
* Create buyer\-facing experiences and/or reporting that enable benefits leaders at self\-insured employers to assess efficacy and ROI, especially in the context of an integrated PBM \+ clinical solution.
### **Execution \&amp; Delivery**
* + Translate needs into detailed user stories, acceptance criteria, and measurable success metrics.
	+ Lead agile ceremonies and manage a well\-prioritized backlog across member experience, ops tooling, and analytics/reporting.
	+ Drive cross\-functional alignment among engineering, design, clinical ops, and customer\-facing teams to ensure smooth rollout and adoption.
**WHO YOU ARE:**
* 5\+ years of product experience, with 3\+ years as a product manager delivering impactful digital products.
* Experience owning end\-to\-end products spanning consumer/member experience and internal operational tools.
* Strong ability to translate ambiguous workflows into scalable product systems and shipped outcomes.
* Demonstrated success partnering with engineering and design to ship iteratively in a high\-growth environment.
* Comfort operating in healthcare\-adjacent complexity (privacy, high\-stakes workflows, multi\-stakeholder environments).
**EXTRA CREDIT:**
* Experience in digital health, care delivery, chronic condition management, or behavior change programs.
* Experience building products that support clinical or operational teams (care management, scheduling, adherence tracking).
* Familiarity with outcomes measurement, analytics instrumentation, and building executive/buyer\-facing reporting.
* PBM, specialty pharmacy, medication adherence, or healthcare cost/ROI measurement experience.
**SALARY (BEFORE COMMISSION POTENTIAL): $150,000 \- $195,000**
Offer amounts for both remote and in office roles are influenced by geographic location.
**CYBERSECURITY AWARENESS NOTICE**
In response to ongoing and industry\-wide fraudulent recruitment activities (i.e., job scams), Rightway wants to inform potential candidates that we will only contact them from the @rightwayhealthcare.com email domain. We will never ask for bank details or deposits of any kind as a condition of employment.
**ABOUT RIGHTWAY:**
Rightway is on a mission to harmonize healthcare for everyone, everywhere. Our products guide patients to the best care and medications by inserting clinicians and pharmacists into a patient's care journey through a modern, mobile app. Rightway is a front door to healthcare, giving patients the tools they need along with on\-demand access to Rightway health guides, human experts that answer their questions and manage the frustrating parts of healthcare for them.
Since its founding in 2017, Rightway has raised over $205mm from investors including Khosla Ventures, Thrive Capital, and Tiger Global. We're headquartered in New York City, with satellite offices in Denver and Dallas. Our clients rely on us to transform the healthcare experience, improve outcomes for their teams, and decrease their healthcare costs.
**HOW WE LIVE OUR VALUES TO OUR TEAMMATES:**
We're seeking those with passion for healthcare and relentless devotion to our goal. We need team members that embody our following core values:
1\) **We are human, first**  
Our humanity binds us together. We bring the same empathetic approach to every individual we engage with, whether it be our members, our clients, or each other. We are all worthy of respect and understanding and we engage in our interactions with care and intention. We honor our stories. We listen to—and hear—each other, we celebrate our differences and similarities, we are present for each other, and we strive for mutual understanding.
2\) **We redefine what is possible**  
We always look beyond the obstacles in front of us to imagine new solutions. We approach our work with inspiration from other industries, other leaders, and other challenges. We use ingenuity and resourcefulness when faced with tough problems.
3\) **We debate then commit**  
We believe that a spirit of open discourse is part of a healthy culture. We understand and appreciate different perspectives and we challenge our assumptions. When working toward a decision or a new solution, we actively listen to one another, approach it with a "yes, and" mentality, and assume positive intent. Once a decision is made, we align and champion it as one team.
4\) **We cultivate grit**  
Changing healthcare doesn't happen overnight. We reflect and learn from challenges and approach the future with a determination to strive for better. In the face of daunting situations, we value persistence. We embrace failure as a stepping stone to future success. On this journey, we seek to act with guts, resilience, initiative, and tenacity.
5\) **We seek to delight**  
Healthcare is complicated and personal. We work tirelessly to meet the goals of our clients while also delivering the best experience to our members. We recognize that no matter the role or team, we each play a crucial part in our members' care and take that responsibility seriously. When faced with an obstacle, we are kind, respectful, and solution\-oriented in our approach. We hold ourselves accountable to our clients and our members' success.
Rightway is Proudly an Equal Opportunity Employer that believes in strength in the diversity of thought processes, beliefs, background and education and fosters an inclusive culture where differences are celebrated to drive the best business decisions possible. We do not discriminate on any basis covered by appropriate law. All employment is decided on the consideration of merit, qualifications, need and performance.</t>
        </is>
      </c>
    </row>
    <row r="21">
      <c r="A21" t="inlineStr">
        <is>
          <t>in-1657b4e971772d8c</t>
        </is>
      </c>
      <c r="B21" t="inlineStr">
        <is>
          <t>PROGRAM MANAGER (HELICOPTER)</t>
        </is>
      </c>
      <c r="C21" t="inlineStr">
        <is>
          <t>Dhara Consulting Group</t>
        </is>
      </c>
      <c r="D21" t="inlineStr">
        <is>
          <t>indeed</t>
        </is>
      </c>
      <c r="E21" t="inlineStr"/>
      <c r="F21" t="inlineStr"/>
      <c r="G21" t="inlineStr">
        <is>
          <t>Norfolk, VA, US</t>
        </is>
      </c>
      <c r="H21" s="2" t="n">
        <v>46042</v>
      </c>
      <c r="I21" t="inlineStr">
        <is>
          <t>Posted today
Secret
Unspecified
Unspecified
Management
Norfolk, VA (On\-Site/Office)**Duties**  
* You will serve Program Manager and supports the management, budgeting, material, maintenance, technical and training support required to provide mission ready aircraft and services to the sponsors.
* You will assist with quarterly audits on all commercial helicopter contractor training and Certification records to ensure compliance with CARB/FAA regulations.
* You will budget/fiscal practice and policy, and acquisition and/or administration of both financial and material resources for accountability for all project office funds administration.
* You will ensure compliance with commercial aviation industry policies and contractual obligations under U.S. Government contracts.
**Requirements**  
**Conditions of employment**  
* Must be a US Citizen.
* Must be determined suitable for federal employment.
* Must participate in the direct deposit pay program.
* New employees to the Department of the Navy will be required to successfully pass the E\-Verify employment verification check. To learn more about E\-Verify, including your rights and responsibilities, visit e\-verify.gov
* Generally, current federal employees applying for GS jobs must serve at least one year at the next lower grade level. This requirement is called time\-in\-grade. Time\-in\-grade requirements must be met by the closing date of this announcement.
* Within the Department of Defense (DoD), the appointment of retired military members within 180 days immediately following retirement date to a civilian position is subject to the provisions of 5 United States Code 3326\.
* Males born after 12\-31\-59 must be registered for Selective Service.
* This is a bargaining unit position.
* You will be required to obtain and maintain an interim and/or final security clearance prior to entrance on duty. Failure to obtain and maintain the required level of clearance may result in the withdrawal of a job offer or removal.
* This position may require travel from normal duty station to CONUS and OCONUS and may include remote or isolated sites. You must be able to travel on military and commercial aircraft for extended periods of time.
* You will be required to obtain and maintain a current valid United States driver's license.
* You will be required to obtain and maintain a U.S. Passport.
* You will be required to complete ethics orientation within three months of appointment and submit a Confidential Financial Disclosure Report, OGE\-450, within 30 days of appointment.
* Shipyard and shipboard work is a requirement of the position where the incumbent may be required to climb, crawl, and bend to accomplish shipboard inspections in a shipyard environment.
**Qualifications**  
GS\-13 Your resume must demonstrate at least one year of specialized experience at or equivalent to the GS\-12 grade level or pay band in the Federal service or equivalent experience in the private or public sector. Specialized experience must demonstrate the following:
* Experience assisting with worldwide scheduling and support of assigned projects including overseeing coordination of logistics and operational needs to meet mission requirements.
* Experience coordinating multiple projects with various stakeholders (internal and external) to achieve project goals and objectives.
* Experience monitoring the readiness and material condition of aircraft.
* Experience preparing and presenting briefings on assigned projects to large groups including senior internal and external personnel.
* Experience reviewing contractor invoices to ensure that charges are reasonable, valid, properly invoiced and reimbursable in accordance with the terms of the contract.
* Experience participating and assisting in the planning, preparation, development, and justification of annual budget estimates and funding requests.
* Experience monitoring the execution of projects from development to implementation.
* Experience identifying resources including personnel, financial, and equipment to support various program and mission needs.
* Experience collecting, organizing, and maintaining information and data for future reference and analysis.
Additional qualification information can be found from the following Office of Personnel Management web site: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**Education**  
This job does not have an education qualification requirement.
**Additional information**  
This position is covered by the Department of Defense Priority Placement Program.  
A relocation incentive is generally a single payment intended to offset some of the relocation costs experienced by the selectee. A relocation incentive may be authorized.  
This position is subject to work an uncommon tour, including nights, weekends, and holidays to meet mission requirements. Overtime or night differential pay and/or unusual duty hours may be required.  
Additional vacancies may be filled by this announcement.  
A tentative offer of employment will be rescinded if the selectee fails to meet the pre\-employment requirements, including failure to report to any of the scheduled appointments.  
During the application process you will have the ability to opt\-in to make your resume available to hiring managers in the agency who have similar positions in the local commuting area. Depending on the hiring organization and the position being filled, job requirements (e.g., security clearance, travel, drug testing, financial disclosure filing, bargaining unit status, etc.) may vary. Other hiring managers filling similar positions may offer relocation expense reimbursement and/or may offer recruitment incentives for new employees, depending on funding availability and in accordance with policy. If you opt\-in and are referred on a certificate, your resume will be available to other hiring managers for 180\-days from the date the job announcement closes. Opting in does not impact your application for this announcement, nor does it guarantee further consideration for additional positions.  
Federal annuitant information: The selection of an annuitant is subject to the Department of Defense and Department of the Navy policy on the employment of annuitants. Policy information may be found at:
PPP applicants will be placed at the FPL, if determined Well Qualified (WQ). To receive priority consideration, the FPL must be the same grade level or equivalent of the retained grade or the grade held immediately prior to separation.  
**ICTAP Applicants:** To be considered well\-qualified and exercise selection priority as an ICTAP candidate, displaced Federal employees must satisfy all qualification requirements for the position and receive a rating in the highly qualified category (score 85\) or higher. ICTAP candidates must provide copies of all of the following documentation at the time of application: 1\) agency notice; 2\) most recent performance appraisal; and 3\) most recent SF\-50 or notification of personnel action that includes position, grade level, and duty location. Applicants who do not provide this documentation will not receive consideration as an ICTAP candidate. For more information about ICTAP eligibility please review the following link:
Military Spouse Preference applicants will be placed at the highest grade for which they have applied and are determined Best Qualified (BQ). A BQ military spouse possesses knowledge, skills, abilities, and competencies comparable to others who meet the competitive referral criteria for the specific position.**GROUP ID:** DON</t>
        </is>
      </c>
    </row>
    <row r="22">
      <c r="A22" t="inlineStr">
        <is>
          <t>in-5240d3edc4829f6e</t>
        </is>
      </c>
      <c r="B22" t="inlineStr">
        <is>
          <t>Senior Program Manager</t>
        </is>
      </c>
      <c r="C22" t="inlineStr">
        <is>
          <t>CACI International</t>
        </is>
      </c>
      <c r="D22" t="inlineStr">
        <is>
          <t>indeed</t>
        </is>
      </c>
      <c r="E22" t="inlineStr"/>
      <c r="F22" t="inlineStr"/>
      <c r="G22" t="inlineStr">
        <is>
          <t>VA, US</t>
        </is>
      </c>
      <c r="H22" s="2" t="n">
        <v>46042</v>
      </c>
      <c r="I22" t="inlineStr">
        <is>
          <t>Job Title: Senior Program Manager
Job Category: Project and Program Management
Time Type: Full time
Minimum Clearance Required to Start: None
Employee Type: Regular
Percentage of Travel Required: Up to 25%
Type of Travel: Continental US
\* \* \* **The Opportunity:**
CACI’s Digital Systems Line of Business is seeking an experienced Program Manager to lead the Defense Enterprise Accounting Management System (DEAMS) program. In this role, you will serve as the single point of contact (POC) for all program activities, providing strategic direction and overseeing delivery, execution, and program financials. You will have full responsibility and authority for all aspects of contract execution, leading cross\-functional teams in the development and delivery of IT solutions supporting the U.S. Air Force’s Oracle Enterprise Resource Planning (ERP) Financial Management system.
 **Responsibilities:**
* Lead a team of over 120 direct labor and partner FTEs responsible for solution design, development and sustainment of the Oracle DEAMS solution
* Work directly with client executives to ensure mission and delivery success through enterprise development consolidation while ensuring usability of existing systems
* Manage all areas of the program, including resources, subcontractors, financials, schedule, risk and client satisfaction
* Serve as the single corporate representative for overall contract performance and contribute to internal CACI monthly leadership meetings, forecast reviews and program management updates
* Lead growth activities on the existing work and for adjacent work within the DoD space
* Develop, mentor program leads and managers, positioning them for larger roles over time
 **Qualifications:**  
*Required:*
* Bachelor’s Degree from an accredited institution.
* 10\+ years related work experience
* Minimum of 8 years’ program or team leadership experience on Oracle ERP solutions
* Prior experience as a PM or Deputy PM managing programs, or a portfolio of programs, with annual revenue \&lt;$50 million
* Prior delivery experience using the Scaled Agile Framework (SAFe) for Federal or DoD customer
* Experience managing Firm Fixed Price agile delivery
* Ability to drive contract performance and growth while ensuring customer satisfaction
* Relevant SAFe certification
* Active Public Trust clearance
 *Desired:*
* Prior experience leading Oracle Financial Management Programs for DoD or Federal customers
* Prior experience leading Agile delivery programs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$114,600\-$252,100*CACI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3">
      <c r="A23" t="inlineStr">
        <is>
          <t>in-64ba46f08136ea5a</t>
        </is>
      </c>
      <c r="B23" t="inlineStr">
        <is>
          <t>Product Manager, Clearing Platform</t>
        </is>
      </c>
      <c r="C23" t="inlineStr">
        <is>
          <t>Robinhood</t>
        </is>
      </c>
      <c r="D23" t="inlineStr">
        <is>
          <t>indeed</t>
        </is>
      </c>
      <c r="E23" t="inlineStr"/>
      <c r="F23" t="inlineStr"/>
      <c r="G23" t="inlineStr">
        <is>
          <t>New York, NY, US</t>
        </is>
      </c>
      <c r="H23" s="2" t="n">
        <v>46042</v>
      </c>
      <c r="I23" t="inlineStr">
        <is>
          <t>**Join us in building the future of finance.**
----------------------------------------------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Clearing Platform Team is a part of Brokerage Platform and is responsible for the post trade services that power Robinhood's self\-clearing broker dealer. The domain owned by the team is large and varied including brokerage functions like clearing, settlement, books and records, asset servicing, and trade reporting. As a Product Manager on the Clearing Platform team, you will be tasked with owning a strategy to constantly improve these core areas as well as build net new functionality to support the launch of customer facing products. You'll be responsible for leading teams to develop products that improve the everyday lives of our customers. You'll work with experts in data, design, engineering, marketing, operations, and research to bring ideas to life that will help us democratize our financial system.
As a part of the larger Brokerage Platform team, you will work closely with product and business stakeholders across all of Robinhood to deliver new products that democratize our financial system and delight our users. You will champion the Clearing Platform's priorities and own a roadmap that supports the overall Robinhood Brokerage strategy. Finally, you will work closely with partners in engineering, data science, and operations, to deliver, scale, and maintain our critical clearing and settlement systems.
**This role is based in our Menlo Park, CA, New York, NY, or Chicago, IL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 **What you'll do**
* Lead a product team across engineering, post trade operations, data science, design, and research focused on optimizing and expanding our clearing services.
* Establish a product vision and shared set of priorities for the team that align with Robinhood's mission and the goals of the larger Brokerage organization.
* Deliver efficient and scalable solutions that help engineering, operations, and other stakeholders manage all aspects of post trade activity.
* Work cross\-functionally to ship high\-impact features that increase efficiency and improve customers' experience.
### **What you bring**
* 4\+ years of direct product management experience building high\-quality platform products
* 5\+ years of experience in brokerage, market\-making, or institutional trading
* Familiarity using research, experimentation and product analytics to connect platform decision making with customer experience
* Ability to focus on a problem at hand while thoughtfully considering overarching company strategy
* Openness to all solutions and ability to build conviction in a solution based on evidence
* Passion for financial products and improving people's financial lives
* Bachelor's or Master's degree, or equivalent practical experience
###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wallet—a flexible benefits account for wellness, learning, and more
* Employer\-paid life \&amp; disability insurance, fertility benefits, and mental health support
* Time off to recharge, including company holidays, paid time off, sick time, parental leave, and more!
* Exceptional office experience with catered meals, events, and comfortable workspaces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24">
      <c r="A24" t="inlineStr">
        <is>
          <t>in-323884260178fb54</t>
        </is>
      </c>
      <c r="B24" t="inlineStr">
        <is>
          <t>Senior Product Manager - Flex Logs</t>
        </is>
      </c>
      <c r="C24" t="inlineStr">
        <is>
          <t>Datadog</t>
        </is>
      </c>
      <c r="D24" t="inlineStr">
        <is>
          <t>indeed</t>
        </is>
      </c>
      <c r="E24" t="inlineStr"/>
      <c r="F24" t="inlineStr"/>
      <c r="G24" t="inlineStr">
        <is>
          <t>New York, NY, US</t>
        </is>
      </c>
      <c r="H24" s="2" t="n">
        <v>46042</v>
      </c>
      <c r="I24" t="inlineStr">
        <is>
          <t>We're on a mission to build the best platform in the world for engineers to understand and scale their systems, applications, and teams. We operate at high scale—trillions of data points per day—allowing for seamless collaboration and problem\-solving among Dev, Ops and Security teams globally for tens of thousands of companies. Our engineering culture values pragmatism, honesty, and simplicity to solve hard problems the right way.
**The Team:**
Logs are critical to ensuring the availability, security/compliance and performance of modern applications, but as log volumes grow exponentially year over year, realizing value from the mountain of data becomes increasingly difficult and expensive. Datadog's Log Management is a next generation, AI\-first log warehousing and analytics product, committed to giving our customers the fastest, most\-flexible, and easy to use log exploration experience \- from event generation to query \- while helping them maintain a healthy budget even as their log volumes are exploding with rise in AI focused development.
**The Opportunity:**
The Senior PM \- Flex Logs role is responsible for defining and bringing to market the next generation of log retention and access capabilities on top of our modern Third\-Generation Event Store in an AI\-first environment. This role is highly technical and creative in nature as you will envision novel ways to enable customers to cost\-effectively explore, analyze and report over petabytes of data through a welcoming and easy\-to\-use interface. You will partner with various teams to take advantage of BitsAI capabilities and surface critical insights on volume usage and retention for popular use cases.
*At Datadog, we place value in our office culture \- the relationships and collaboration it builds and the creativity it brings to the table. We operate as a hybrid workplace to ensure our Datadogs can create a work\-life harmony that best fits them.*
**What You'll Do:**
* Define the vision, strategy, and product roadmap for Flex Logs and make it immediately valuable to customers in an AI\-first environment
* Gather insights from customers, partners, and internal data to become an expert on how customers want to store, analyze, and report on data for long term needs
* Work closely with Datadog's Platform, BitsAI, and SIEM teams to identify opportunities and build capabilities for dynamic data tiering strategies
* Collaborate with Engineering to surface insights and utilization metrics for Flex Logs to help customers make better decisions on their Flex Storage and Compute usage
* Recommend and launch new offerings with Flex Logs based on use cases for Security and Compliance
* Partner with Marketing and other GTM teams to generate awareness and drive adoption of Datadog's Flex Logs offering
* Guide Product Solution Architects to write blogs and how\-to guides on getting started with Flex Logs for specific use cases and industry verticals
**Who You Are:**
* A Bachelor's Degree in Computer Science or Engineering or equivalent experience
* 5\+ years of experience in B2B SaaS Product Management
* At least 2\+ years of experience with databases, data warehouses, SQL concepts \&amp; language, BI products, and/or distributed systems
* Hands on experience using multiple services from one or more of the major cloud providers (AWS, Microsoft Azure, Google Cloud)
* Demonstrated track record of shipping successful data reporting and data workflow product offerings in the cloud
* Prior experience with Snowflake, Databricks, Splunk, or ClickHouse is a strong plus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25">
      <c r="A25" t="inlineStr">
        <is>
          <t>in-2822011aa679ef9e</t>
        </is>
      </c>
      <c r="B25" t="inlineStr">
        <is>
          <t>Principal, Product Manager</t>
        </is>
      </c>
      <c r="C25" t="inlineStr">
        <is>
          <t>Walmart</t>
        </is>
      </c>
      <c r="D25" t="inlineStr">
        <is>
          <t>indeed</t>
        </is>
      </c>
      <c r="E25" t="inlineStr"/>
      <c r="F25" t="inlineStr"/>
      <c r="G25" t="inlineStr">
        <is>
          <t>Sunnyvale, CA, US</t>
        </is>
      </c>
      <c r="H25" s="2" t="n">
        <v>46042</v>
      </c>
      <c r="I25" t="inlineStr">
        <is>
          <t>**Position Summary...**
-----------------------
As a part of Walmart’s Customer Experience Product Org, you’ll be the voice of our customer. By putting the customer at the forefront, we have the ability to help customers save both time and money no matter how they shop with us.
With our user\-centric approach to problem solving, customers and associates are at the heart of everything we build. A curious bunch, we fall in love with the problem that needs solving and collaborate with our design, technology, and business partners to create inclusive, award\-winning solutions. Our entrepreneurial spirit, like that of our founder Sam Walton, pushes us to dream big, but we also hold ourselves accountable with objectives and key results. Innovating on the world’s biggest stage, we get to put our product management expertise to work to deliver customer\-centric shopping solutions in the Walmart app and website. This is that place where our work has a purpose, and we see it play out in our stores and communities every day.
This role is part of the Fulfillment team within the Customer Experience Product Organization, where you will oversee a strategic portfolio focused on industry leading pharmacy customer experience, refine CX for restricted assortment and perfect the InHome customer experience. Your work will span end\-to\-end customer experiences that ensure accelerated access to all assortment. This is essential for optimizing inventory, enhancing fulfillment speeds, boosting conversion rates, reducing cancellations, and ultimately improving the overall customer experience.  
To be successful in this role you’ll need to have comfort with analytics and user experience design, the ability to influence leaders and teams, demonstrate structured thinking, and have strong communication skills.**What you'll do...**
---------------------
* **Define, develop, and enhance products** – you will manage product roadmaps, create requirement documents, align business and technical needs, analyze customer and product data, turn customer insights into actionable initiatives, determine rollout strategy, and manage risks
* **Test and Learn**– you will define AB tests with your analytics partners, measure success, suggest improvements, iterate on your products and features, and tell compelling stories with data and UX
* **Identify strategies and a vision** for your fulfillment and customer location products using domain expertise, internal and external best practices, market opportunities, and business cases
* **Build collaborative relationships**with key partners by driving priorities aligned to business goals, communicating, and prioritizing product roadmaps, and gaining buy\-in from executive leadership
* **Providing overall direction for your products** by analyzing business objectives and customer needs
**You’ll sweep us off our feet if…**
------------------------------------
* You like digging into data and doing analyses
* You’re excited about solving complex challenges
* You’re customer\-centric in spirit and in execution
* You’re comfortable influencing others, leading teams, managing stakeholders, getting buy\-in from leadership, and communicating clearly
* You have a test and learn mentality and an agile way of working to improve your team’s products
**Your responsibilities:**
--------------------------
* Define and own the product vision and roadmap: Set ambitious 10x growth goals, prioritize initiatives, and translate strategic objectives into actionable plans.
* Deeply understand our customers: Conduct user research, analyze data, and uncover insights to continuously improve the customer experience.
* Optimize the funnel: Refine acquisition strategies, streamline customer flows, and personalize user journeys for maximum conversion and retention.
* Champion innovation: Experiment with new features, optimize product offerings, and explore strategic partnerships to expand reach and value.
* Lead cross\-functional collaboration: Work closely with engineers, designers, marketers, and other teams to deliver impactful results.
* Measure and evangelize success: Track key metrics, communicate progress, and build enthusiasm for the program's achievements.
**Specific requirements:**
--------------------------
* 5 – 8 years of product management experience in relevant spaces, ideally working on consumer facing, large scale, highly complex products.
* Bachelor degree in Computer Science, Engineering or related area.
* Preferred qualification: Master’s degree in Computer Science, Engineering, Business Administration or related area.
* Location: Bentonville, AR or Sunnyvale, CA.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US\-11657: The annual salary range for this position is $143,000\.00 \- $286,000\.00
Bentonville, Arkansas US\-30005: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engineering, or related area and 9 years’ experience in product management. Option 2: 11 years’ experience in product management or related area.**Preferred Qualifications...**
-------------------------------
*Outlined below are the optional preferred qualifications for this position. If none are listed, there are no preferred qualifications.*
Master’s degree in Computer Science, Engineering, Business Administration, or related area and 8 years’ experience as a product manager, ideally working on consumer\-facing, large\-scale, highly complex B2B/C products, Supervisory experience,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Business Administration, Masters: Computer Engineering, Masters: Computer Science**Primary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6">
      <c r="A26" t="inlineStr">
        <is>
          <t>in-d80e3abb3bea0f70</t>
        </is>
      </c>
      <c r="B26" t="inlineStr">
        <is>
          <t>SAP Digital Product Manager</t>
        </is>
      </c>
      <c r="C26" t="inlineStr">
        <is>
          <t>Allstate Insurance</t>
        </is>
      </c>
      <c r="D26" t="inlineStr">
        <is>
          <t>indeed</t>
        </is>
      </c>
      <c r="E26" t="inlineStr"/>
      <c r="F26" t="inlineStr"/>
      <c r="G26" t="inlineStr">
        <is>
          <t>Remote, US</t>
        </is>
      </c>
      <c r="H26" s="2" t="n">
        <v>46042</v>
      </c>
      <c r="I26"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The SAP Digital Product Manager leads the full lifecycle of SAP platforms, driving a multi year product vision, prioritizing a value driven roadmap, and ensuring high quality delivery across features, integrations, and major releases. This role partners closely with business stakeholders, engineering, and operations to maintain platform stability, translate complex processes into user centric solutions, and ensure alignment with enterprise architecture, governance, and compliance standards.  
The internal Allstate job title for this role is Product Management (Technical) Lead Consultant.**Key Responsibilities**
* Own product strategy, roadmap, and a value‑driven backlog for SAP platforms (S/4HANA, BTP, BW, BODS, etc.).
* Lead cross\-functional delivery of enhancements, integrations, and system improvements.
* Ensure platform stability, quality, and compliance with architectural and security standards.
* Serve as the primary business\-facing owner, translating business processes into clear product requirements.
* Facilitate discovery workshops, user interviews, and design sessions to validate features and user stories.
* Define KPIs and success metrics; champion continuous improvement and data\-driven decision\-making.
* Manage vendor relationships (SAP, integrators, partners) to optimize cost and performance.
**Essential Qualifications**
* 5\+ years in digital product management, enterprise applications, or SAP functional leadership.
* Experience with major SAP modules (S/4HANA Finance, BTP, BW, BODS, Ariba, or equivalent).
* Strong understanding of enterprise process design and end\-to\-end workflows.
* Experience working in Agile methodologies (Scrum, SAFe, Kanban).
* Proven ability to translate business needs into technical requirements.
* Excellent communication, stakeholder engagement, and facilitation skills.
**Desirable Qualifications**
* Experience with SAP BTP, Fiori UX, or API\-driven integration platforms.
* Solid integration background with an API\-first mindset.
* Experience in large\-scale ERP programs or cloud migration (e.g., Hyperscaler Hosting).
* Certifications in Product Management, Agile/Scrum, or SAP.
* Experience working in a large, matrixed enterprise environment.
### **Experience**
* 5 or more years of experience (Or Equivalent)
### **Supervisory Responsibilities**
* This job does not have supervisory duties.
\#LI\-MF1
**Skills**
Agile Methodology, Continuous Improvement, Enterprise Resource Planning (ERP), Product Management, Product Strategies, Product Vision, SAP Applications, SAP BW on HANA, SAP Fiori, SAP HANA, SAP Management, SAP S/4HANA Finance, SAP Solutions**Compensation**
Compensation offered for this role is 110,000\.00 \- 181,025\.00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27">
      <c r="A27" t="inlineStr">
        <is>
          <t>in-f35f06ca92bcc03c</t>
        </is>
      </c>
      <c r="B27" t="inlineStr">
        <is>
          <t>Senior Partner GTM Program Manager, Global Alliances and Channel</t>
        </is>
      </c>
      <c r="C27" t="inlineStr">
        <is>
          <t>GitHub</t>
        </is>
      </c>
      <c r="D27" t="inlineStr">
        <is>
          <t>indeed</t>
        </is>
      </c>
      <c r="E27" t="inlineStr"/>
      <c r="F27" t="inlineStr"/>
      <c r="G27" t="inlineStr">
        <is>
          <t>US</t>
        </is>
      </c>
      <c r="H27" s="2" t="n">
        <v>46042</v>
      </c>
      <c r="I27" t="inlineStr">
        <is>
          <t>* United States
* Revenue
* Experienced Professional
* Individual Contributor
* Yes
* 4908
* Full Time
**Job Description**
-------------------
**About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We’re looking for a Senior Partner GTM Program Manager, Global Alliance and Channel to develop and implement global revenue programs in close collaboration with numerous cross\-functional stakeholders across both Microsoft and GitHub. This role will design, build, execute, and continuously evolve programs and initiatives to accelerate our partner business with our global partners, focused on our Global Alliance and Global Channel Sales partners. Critical to this role is to identify and activate priority initiatives to support our field and partners to support co\-selling activities, partner service delivery, and customer adoption. The ideal candidate will bring deep experience in global partner ecosystems, including Global Alliances and GlobalChannel Sales (primarily the Microsoft Cloud Solution Provider program).
**Responsibilities**  
Project/Program Management
* Build, develop, and execute strategic programs focused on revenue acceleration through the GitHub and Microsoft partner ecosystem. Programs will accelerate adoption outcomes and drive scale through Global System Integrator (GSI) and Global Channel Sales/Cloud Solution Providers (CSP).
* Maintain alignment with global and regional counterparts and work in lockstep with MSFT GTM Business Strategy, C/ESS, and Partner teams.
* Collaborate with joint GitHub and Microsoft sales, technical sales, enablement, \&amp; marketing teams to effectively plan and land programs with regional field leaders.
* Applies in\-depth understanding of multiple project management methodologies across a large range of highly strategic and highly complex projects and programs within or on behalf of GitHub.
* Utilizes advanced program management skills and experience to formulate a plan and path forward through uncertain and ambiguous scenarios, overcoming roadblocks and obstacles to create and maintain momentum in a highly matrixed, highly complex and fast paced working environment.
* Collaborates with and at times leads internal stakeholders to define milestones, tasks, and activities needed to achieve program goals, ensure appropriate impact, and/or produce desired outputs.
* Drives communication of program status and performance to cross\-functional teams. Influences customer and/or stakeholder experience across projects and the organization. Identifies and assesses potential risks, evaluates the risks to determine potential impact, and works with stakeholders to mitigate risks, elevating to senior team members as needed.
* Guides discussions to reach consensus and capture key decisions made, challenging decisions as needed to seek the best solution for customers and the business.
Driving Business Impact and Continuous Improvement
* Possesses strong understanding of success metrics for a partner business, and how to build and track reporting on these outcomes with key stakeholders.
* Defines objectives and key results (OKRs) and monitors how they drive business across a number of key performance indicators (KPIs).
* Identifies and creates requirements for objectives and tools (e.g., process flows, visualizations, dashboards).
* Improves procedures to enhance productivity, such as process/workflow improvements and task automation.
* Identifies and drives execution of companywide improvement programs to enhance internal and external experiences and internal business operating processes.
* Drives the process of taking learnings from previous projects and applying them to wider applications across the business for greater impact.
Stakeholder Engagement (Internal or External)
* Own relationships with key leadership across both GitHub and Microsoft to drive consensus for global joint partner motions and increase revenue success.
* Partner closely with Microsoft and Partner GTM field counterparts, including Partner Development Managers and partner technical resources. In addition, foster collaborative relationships with partner marketing, partner skilling, revenue enablement, and operations stakeholders.
* Engage with the GitHub Partner ecosystem to capture feedback, drive program alignment, and land key initiatives.
* Provide GitHub thought leadership to Microsoft teams and work cooperatively with a wide range of internal stakeholders.
* Ensures stakeholder alignment by actively driving discussions which lead the business in defining activities, strategies, solutions, processes, procedures, and mitigation actions/decisions.
Thought Leadership
* Uses business knowledge to assist with analyzing the work of other internal teams to identify potential future business opportunities.
* Collaborates across teams using knowledge of industry trends, methodologies, and advances.
* Researches and maintains knowledge of advancements in industry trends and technologies. Shares knowledge, best practices, and insights across teams and projects.
* Supports innovation efforts with other teams.
**Qualifications** **Required/Minimum Qualifications:**
* 7\+ years experience in program management, product management, project management, customer success, or a related field
	+ OR Bachelor's Degree in a related field AND 5\+ years experience in program management, product management, project management, customer success, or a related field
	+ OR equivalent experience.
* 3\+ years experience working with or in the partner ecosystem, ideally focused on Global Alliance / Global System Integrators or Global Channel Sales partners.
* Ability to work across different time zones based on customer needs with a willingness to travel when necessary (approximately 25%) .
**Additional or Preferred Qualifications:**
* 3\+ years experience working at a high\-growth SaaS technology company with a demonstrated history of executing complex, revenue\-focused initiatives across functional and organizational boundaries.
* 2\+ years experience in revenue go\-to\-market program management and a deep understanding of the Microsoft sales ecosystem.
* Experience developing strategies that drive global impact while meeting and exceeding joint revenue targets.
* Experience defining, piloting, incubating, implementing and scaling programmatic partner programs in the field and with partners.
**Compensation Range**  
The base salary range for this job is USD $103,200\.00 \- USD $273,700\.00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28">
      <c r="A28" t="inlineStr">
        <is>
          <t>in-8e4332f54e0fc278</t>
        </is>
      </c>
      <c r="B28" t="inlineStr">
        <is>
          <t>Product Manager, Accounts Receivable</t>
        </is>
      </c>
      <c r="C28" t="inlineStr">
        <is>
          <t>Zone &amp; Co</t>
        </is>
      </c>
      <c r="D28" t="inlineStr">
        <is>
          <t>indeed</t>
        </is>
      </c>
      <c r="E28" t="inlineStr"/>
      <c r="F28" t="inlineStr"/>
      <c r="G28" t="inlineStr">
        <is>
          <t>Remote, US</t>
        </is>
      </c>
      <c r="H28" s="2" t="n">
        <v>46042</v>
      </c>
      <c r="I28" t="inlineStr">
        <is>
          <t>**About Zone \&amp; Co.**
Zone \&amp; Co is on a mission to empower finance professionals to drive strategic growth through seamless, intelligent operations. We build cloud\-native software solutions on Oracle NetSuite, automating complex financial processes like billing, accounts payable, reporting, and reconciliation. Our vision is to unlock the full strategic potential of finance by infusing the ERP with the intelligence and automation needed for truly transformative operations. Join our rapidly growing team as we redefine financial efficiency for scaling businesses worldwide.
Our journey has only just begun and we are excited to welcome talented individuals looking to grow alongside us. If this sounds interesting to you, we'd love to hear from you!
Learn more at www.zoneandco.com or follow us on LinkedIn: linkedin.com/company/zoneandco.
**About the role:**
We are seeking a highly skilled and passionate Product Manager to lead the strategy, roadmap, and execution for our Accounts Receivable (AR) product initiatives. In this pivotal role, you will be responsible for co\-defining the future of how Zone\&amp;Co enables businesses to manage the order\-to\-cash process, optimize collections, and execute accounts receivable with unparalleled efficiency and control, all within the NetSuite ecosystem.
This role requires a deep understanding of corporate order\-to\-cash cycles, accounts receivable best practices, financial technology, and a keen ability to translate complex financial workflows into intuitive, scalable software solutions.
**Key Responsibilities**
* Define Product Vision \&amp; Strategy: Develop and articulate a compelling product vision and strategy for Zone\&amp;Co's Accounts Receivable (AR) offerings, aligning it with Zone\&amp;Co's overall product vision and market opportunities.
* Market \&amp; Customer Insight: Conduct in\-depth market research, competitive analysis, and customer discovery to identify unmet needs, emerging trends, and strategic opportunities in accounts receivable and collections management for NetSuite users.
* Roadmap \&amp; Prioritization: Own the product roadmap for your domain, defining clear objectives, key results, and prioritized initiatives. Translate strategic themes into detailed product requirements, user stories, and acceptance criteria.
* Product Development Leadership: Collaborate closely with engineering, design, and QA teams throughout the agile development lifecycle. Provide clear guidance, make informed trade\-offs, and ensure timely, high\-quality delivery of features.
* Go\-to\-Market Strategy: Partner with sales, marketing, solutions consulting, and customer success teams to develop compelling product messaging, sales enablement materials, and launch strategies that drive adoption and customer value.
* AR \&amp; Collections Expertise: Drive innovation in areas such as electronic invoicing, automated collections management, credit control, cash application automation, lockbox processing, and integrated reconciliation with the general ledger.
* Order\-to\-Cash Focus: Explore and develop capabilities around customer self\-service portals, credit risk assessment, deduction management, and improved visibility across the entire order\-to\-cash cycle.
* Stakeholder Management: Serve as the subject matter expert for Accounts Receivable, communicating product plans, progress, and performance to internal stakeholders, executive leadership, and external partners.
**Requirements**
----------------
* 6\+ years (for PM) of progressive experience in Product Management within FinTech, Enterprise SaaS, or Financial Services, **with a direct focus on Accounts Receivable (AR) solutions, Collections Management, or Order\-to\-Cash process.**
* **Deep Domain Expertise:** In\-depth understanding of the order\-to\-cash process, invoicing, electronic billing, collections strategies, credit management, cash application, and AR/GL reconciliation.
* ERP Acumen: **Strong understanding of ERP systems and financial processes**. Direct experience with NetSuite (either as a user, consultant, or product manager for a NetSuite\-integrated solution) is a significant advantage.
* Technical Fluency: Ability to engage in technical discussions with engineers, understand API capabilities, and grasp the nuances of building scalable, secure financial software.
* Strategic \&amp; Analytical Thinking: Proven ability to analyze complex market data, competitive landscapes, and customer insights to define winning product strategies and prioritize effectively.
* Exceptional Communication: Outstanding verbal and written communication skills with the ability to articulate complex concepts clearly to diverse audiences (technical, business, executive).
* Execution Focus: A strong track record of successfully bringing complex software products from conception to launch and driving adoption.
* Agile Proficiency: Experience working in agile development environments.
* Bachelor's degree in Business, Finance, Computer Science, or a related field. Relevant certifications a plus.
**Benefits**
------------
At Zone, our benefits are designed to enrich your life beyond the workplace. Recognizing that work is just a fraction of your overall life experience, we are dedicated to providing robust support. As a fully remote company, we prioritize flexibility and balance. Explore our comprehensive list of benefits at Zoneandco.com.
Zone and Co is an Equal Opportunity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We strongly encourage candidates of all different backgrounds and identities to apply. This is an opportunity for us to bring in a different perspective and we're eager to further diversify our company. Zone \&amp; Co is committed to building an equitable, inclusive, and supportive place for you to do some of the greatest work of your career.</t>
        </is>
      </c>
    </row>
    <row r="29">
      <c r="A29" t="inlineStr">
        <is>
          <t>in-55642c842b0e3bb4</t>
        </is>
      </c>
      <c r="B29" t="inlineStr">
        <is>
          <t>Technical Program Manager, Human Evaluation Operations</t>
        </is>
      </c>
      <c r="C29" t="inlineStr">
        <is>
          <t>Microsoft</t>
        </is>
      </c>
      <c r="D29" t="inlineStr">
        <is>
          <t>indeed</t>
        </is>
      </c>
      <c r="E29" t="inlineStr"/>
      <c r="F29" t="inlineStr"/>
      <c r="G29" t="inlineStr">
        <is>
          <t>Mountain View, CA, US</t>
        </is>
      </c>
      <c r="H29" s="2" t="n">
        <v>46042</v>
      </c>
      <c r="I29" t="inlineStr">
        <is>
          <t>**Overview**  
Microsoft AI (MAI) is building the world’s most advanced AI systems—and rigorous, scalable human evaluation is foundational to ensuring our models are safe, aligned, and high‑quality. The Human Evaluation Operations (Human Eval Ops) team powers this by running one of the largest and most reliable human‑in‑the‑loop pipelines at Microsoft.
We are hiring **two Technical Program Managers** to join this team and own end‑to‑end evaluation operations for model quality, safety, and capability development. These TPMs will partner closely with product squads, engineering, data scientists, researchers, and external annotation vendors to deliver high‑quality human evaluations at scale.
You will drive programs that ensure MAI has the people, processes, training pipelines, and tooling needed to enable fast, trustworthy, and efficient evaluation across a wide range of AI tasks.
This is a highly cross‑functional, execution‑oriented TPM role ideal for someone who thrives in operational complexity, is deeply organized, and loves working at the intersection of people, process, and product quality.
 **Responsibilities**  
* **Lead Human Evaluation Programs:** Drive end‑to‑end human evaluation workflows supporting model quality, safety, and capability initiatives across MAI. Coordinate evaluation planning, task design alignment, and delivery with product squads, engineering, and research partners.
* **Manage Evaluation Workforce \&amp; Readiness:** Oversee the health, performance, and scalability of MAI’s human evaluation workforce—including onboarding, qualification, training, and continuous performance management—to ensure reliable, high‑quality evaluation signals.
* **Operational Excellence \&amp; Quality Governance:** Maintain high operational standards across human‑in‑the‑loop pipelines by monitoring quality signals, resolving issues, and guiding teams toward consistent, trustworthy evaluation outcomes.
* **Cross‑Functional Program Leadership:** Partner with product squads to scope evaluation needs, define instructions and scorecards, support experimentation, and ensure teams are equipped to use human evaluations effectively.
* **Platform \&amp; Vendor Partnership Management:** Represent MAI needs to platform and vendor partners, shaping their roadmaps and ensuring capacity, reliability, and compliance with MAI standards.
* **Insights, Tooling, \&amp; Documentation:** Provide evaluation insights to product teams, maintain essential documentation, and influence the evolution of internal tools, dashboards, and processes that enable scalable human evaluations.
* **Specialized Evaluation Programs:** Support domain‑specific or advanced evaluation initiatives (e.g., expert reviews, structured scoring programs) in collaboration with MAI stakeholders.
**Qualifications** **Required Qualifications**
* Bachelor's Degree AND 2\+ years experience in engineering, product/technical program management, data analysis, or product development OR equivalent experience.
* 1\+ year(s) of experience managing cross\-functional and/or cross\-team projects.
**Preferred Qualifications**
* 3\+ years of technical program management, operations management, data operations, or equivalent experience
* 1\+ year(s) of experience reading and/or writing code (e.g., sample documentation, product demos).
* Experience working cross‑functionally with engineering, research, PM, vendors, and operations partners.
* Experience managing vendor relations or external workforce programs.
* Strong analytical skills and comfort working with dashboards, metrics, and evaluation data.
* Experience running human‑in‑the‑loop data pipelines (e.g., annotations, RLHF, safety evals, quality assurance, crowdsourcing).
* Familiarity with LLM and AI model evaluation practices, data annotation platforms and systems.
* Ability to quickly understand product quality signals, debug task design issues, and iterate with engineering teams.
* Experience in operational excellence, process automation, or scaling manual workflows.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0">
      <c r="A30" t="inlineStr">
        <is>
          <t>in-16d1cc2f1bb567a5</t>
        </is>
      </c>
      <c r="B30" t="inlineStr">
        <is>
          <t>Product Manager, Square Debit Card &amp; Transfers</t>
        </is>
      </c>
      <c r="C30" t="inlineStr">
        <is>
          <t>Block</t>
        </is>
      </c>
      <c r="D30" t="inlineStr">
        <is>
          <t>indeed</t>
        </is>
      </c>
      <c r="E30" t="inlineStr"/>
      <c r="F30" t="inlineStr"/>
      <c r="G30" t="inlineStr">
        <is>
          <t>San Francisco Bay Area, CA, US</t>
        </is>
      </c>
      <c r="H30" s="2" t="n">
        <v>46042</v>
      </c>
      <c r="I30"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Team**
------------
Square Banking gives small businesses modern financial tools to manage their money confidently. This includes Square Checking and Debit Card, Savings, Bill Pay, and Instant Transfers: the core products that move sellers’ money in and out of Square. We take pride in building reliable, secure, and intelligent financial products that give sellers back time so they can focus on their craft.
**The Role**
------------
The Debit Card and Transfers Product Manager will own the principal ways merchants spend and move money from Square Checking, and the key way we monetize the account. You will lead the cross\-functional team that designs and builds card management, spend and money movement features that surprise and delight sellers and help Square Checking win an increasing share of wallet.
**You will**
------------
* Define the key objectives for your products (growth of MAUs, ticket size, spend volume, etc)
* Define the product strategy and prioritize and deliver a roadmap to achieve your outcomes. Ship features in card management, spend management, disputes and internal tooling to support card and transfers growth
* Collaborate with the Square Credit Card team to build card and spend management primitives that are consistent and common across Square
* Deeply understand your product performance, paying careful attention to the product funnel and cohorted usage behaviors. Have the curiosity and fluency to self\-serve answers in data.
* Understand and manage the unit economics and the financial performance of your products
* Work closely with risk, compliance, legal, card networks, partner banks, Block’s financial operations and financial platform teams to build and operate your products.
**You have**
------------
* At least 6 years of experience in product management, preferably in fintech or payments
* Curiosity, empathy and an irresistible urge to go talk to Square’s customers to hear firsthand what they need from us
* Impeccable product intuition combined with high numeracy and a bias to data\-driven action so you can quickly make product and prioritization decisions to improve your business
* A demonstrable track record building strategies and executing on a roadmap to grow product adoption and usage
* Standout cross\-functional collaboration, especially with design and engineering. You build and maintain trust, generate excitement and buy\-in for your strategies, and deliver on your promises
* You can inspire people through your clear written and verbal communication
* An understanding of payments rails, card networks, risk, and fraud is a bonus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$198,000—$297,000 USD
Zone B:
$188,100—$282,100 USD
Zone C:
$178,200—$267,400 USD
Zone D:
$168,300—$252,500 USD**Use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31">
      <c r="A31" t="inlineStr">
        <is>
          <t>in-8d62974230915c41</t>
        </is>
      </c>
      <c r="B31" t="inlineStr">
        <is>
          <t>Program Manager, Shelter and Housing</t>
        </is>
      </c>
      <c r="C31" t="inlineStr">
        <is>
          <t>Catholic Charities</t>
        </is>
      </c>
      <c r="D31" t="inlineStr">
        <is>
          <t>indeed</t>
        </is>
      </c>
      <c r="E31" t="inlineStr"/>
      <c r="F31" t="inlineStr"/>
      <c r="G31" t="inlineStr">
        <is>
          <t>Des Moines, IA, US</t>
        </is>
      </c>
      <c r="H31" s="2" t="n">
        <v>46042</v>
      </c>
      <c r="I31" t="inlineStr">
        <is>
          <t>Description:
Are you looking to make a real difference in the lives of others? Join the Catholic Charities team! For the last 100 years, we have had the distinct honor to provide help and hope for those in need. At Catholic Charities, our mission is to empower individuals and strengthen families. We do this through our vital programs including a food pantry, counseling services, emergency family shelter, domestic violence and sexual assault programming. We care for the dignity of the person, regardless of background and strive to provide unparalleled support for those in need.
The Program Manager, Shelter and Housing is responsible for the overall management of the Emergency Family Shelter (EFS), including staffing, daily operations, administrative activities, and budget oversight. Reporting to the Director of Programs, the Program Manager ensures service quality, regulatory compliance, and accreditation standards. The role also focuses on building community partnerships and identifying new funding and development opportunities to enhance services aligned with the organization's mission of providing safe, supportive housing for families in need.
**We Offer**
* Competitive pay
* 35\-hour workweek
* Generous vacation and sick pay
* 14 paid holidays
* Paid Parental Leave
* Tuition Reimbursement
* Comprehensive benefits including Medical, Dental, Vision, and Flex Spending Plans
* Employer\-paid Life Insurance and Long\-Term Disability Insurance
* 403(b) retirement plan with employer matching
* A supportive and uplifting working environment
**Key Responsibilities**
* Provide comprehensive management of the Emergency Family Shelter and any subsequent housing programs, including fiscal management, operations, administration, staffing, and quality practices of the program.
* Promote a positive, cooperative work environment, aligned with organizational values, while ensuring a safe, supportive residential setting for clients. Respond to client crises or critical incidents as needed, providing leadership and support to staff in managing complex situations.
* Under the direction of the Director of Programs, ensure program and service compliance with licensing, accreditation, state and federal standards, and other appropriate regulatory or professional requirements.
* Identify opportunities for new or existing program development expansion. Assist with research, feasibility studies, and analysis related to the identification and development of new programs, new services within existing programs, or other endeavors. Collaborate with other Program Managers to assess needs and define gaps, ensure program goals are designed and implemented, and that programs are working together where appropriate to support the achievement of strategic initiatives.
* Identify and participate in partnership building activities to increase collaboration with communities and various stakeholders.
* Lead Performance Quality Improvement (PQI) for the Emergency Family Shelter and related housing programs. Work with staff to develop a systematic, formal approach to the analysis of program activities and efforts to improve quality performance. Develop and implement strategies for measuring program/organizational performance, conducting data analysis, and reporting outcomes data in support of Council on Accreditation (COA) processes and compliance.
* Manage program budget, billing, invoices, and other fiscal needs. Coordinate, communicate, and prepare timely submission of program bills and invoices. Review monthly financials. Assist Director of Programs with Fiscal Year Budgets for Emergence Family Shelter and related housing programs.
* Author and/or assist in writing grant applications to include corporate/foundation grants, government grants and contracts, requests for proposals, and other opportunities.
* Work with Community Relations Manager in coordination of volunteers, orientation, training and stewardship.
* Serve on the Leadership Council team and work with other Program Managers to ensure efficient collaboration with all programs in the delivery of quality services. Attend regular staff meetings, team meetings, and supervision meetings.
* Participate in continued training as required.
* Perform other duties as assigned.
Requirements:
* Bachelor’s Degree in Human Services, Public Administration, or related field; 3\+ years related job experience and/or training; or equivalent combination of education and experience. Master’s Degree preferred.
* 2\+ years’ experience working with the homeless or other vulnerable populations required, preferably in a residential setting.
* 2\+ years’ experience in a supervisory role, including ability to train employees and build a cooperative team culture.
* Solid knowledge of human and social service programs and practices.
* Knowledge of management principles and practices.
* Knowledge of budgeting and fiscal management principles.
* Knowledge of contracts and grants preparation and management.
* Demonstrated skills in program planning and implementation. Ability to analyze and interpret policies, contractual language, and financial reports.
* Excellent verbal and written communication skills. Ability to effectively present information and respond professionally to inquiries from clients, regulatory agencies, and members of the community. Ability to communicate effectively and diplomatically.
* Excellent interpersonal skills. Ability to establish relationships and maintain good judgment and boundaries when handling various personalities, cultural backgrounds, age groups, and different personal practices or beliefs.
* Strong organizational skills. Ability to work under pressure and manage multiple priorities in a fast\-paced environment, while dealing with a constant influx of problems and interruptions.
* Demonstrates initiative and creativity in the identification of solutions to problems.
* Proficiency in Microsoft Office Suite and related software. Ability to learn program specific software applications.
**Additional Expectations**
* May require on\-call coverage assistance including nights, weekends, and holidays, with availability to respond to emergency calls, including urgent shelter staff consultation and facility\-related needs.
* Some travel may be required. Must have a valid driver’s license and be able to successfully pass Motor Vehicle Record check. Must provide own transportation, meeting auto insurance coverage requirements, with mileage reimbursement provided.
* Ability to pass a criminal background screening, including Child and Dependent Adult Abuse registry check is required. Compliance with Safe Environment training and monthly bulletins.
* Must maintain absolute confidentiality of information, written or verbal, according to policy and legal requirements.
* Attend staff meetings, community meetings, approved seminars, agency trainings/retreats, and professional conferences.
* Possess a strong commitment to the mission of Catholic Charities including the understanding of Catholic Social Teaching and ability to demonstrate the philosophy and values of the agency. Employees are expected to support the Catholic Social Teaching principles in public forum. Fulfillment of the employee’s job responsibilities should be consistent with the teachings of the Catholic Church.</t>
        </is>
      </c>
    </row>
    <row r="32">
      <c r="A32" t="inlineStr">
        <is>
          <t>in-31fad9f849522d8e</t>
        </is>
      </c>
      <c r="B32" t="inlineStr">
        <is>
          <t>Principal Program Manager, Ad Strategy and Operations</t>
        </is>
      </c>
      <c r="C32" t="inlineStr">
        <is>
          <t>Zillow</t>
        </is>
      </c>
      <c r="D32" t="inlineStr">
        <is>
          <t>indeed</t>
        </is>
      </c>
      <c r="E32" t="inlineStr"/>
      <c r="F32" t="inlineStr"/>
      <c r="G32" t="inlineStr">
        <is>
          <t>Remote, US</t>
        </is>
      </c>
      <c r="H32" s="2" t="n">
        <v>46042</v>
      </c>
      <c r="I32" t="inlineStr">
        <is>
          <t>**About the team**
------------------
Zillow Rentals is building a best\-in\-class, vertically integrated marketplace that connects renters with property owners and managers, making it easier than ever to move from one home to the next. The Ad Products team creates innovative advertising solutions for property management partners, helping them connect with renters and fill vacancies through the Zillow Rentals Network. This is a high\-growth, high\-focus area for Zillow and offers the opportunity to make a significant impact in one of our fastest\-growing businesses.**About the role**
------------------
As the Ad Strategy \&amp; Operations Principal Program Manager, you will drive the growth of Zillow Rentals' advertising business. You’ll operate at the intersection of product, business strategy, and sales, leading cross\-functional efforts to increase ad product sales, expand inventory, optimize product\-market fit, and deliver measurable business impact. Your work will help shape the long\-term vision for multifamily advertising and ensure Zillow remains the leading marketplace for renters to find their next apartment.
You Will Get To
* Tackle complex problems to help build the most comprehensive rental marketplace in the country.
* Develop business and product recommendations to grow adoption of multifamily ad products, grounded in customer and business needs, market opportunities, and strategic judgment.
* Drive end\-to\-end initiatives that impact the Rentals business’s growth trajectory and strategy.
* Design, launch, and test experiments and pilot programs to drive inventory and revenue growth.
* Coordinate with cross\-functional teams to establish scalable processes that support business growth.
* Contribute to the long\-term strategy and vision for Multifamily Advertising Products and the marketplace.
* Build analytical frameworks to optimize strategic decisions and measure business impact.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$153,600\.00 \- $245,400\.00 annually. This base pay range is specific to these locations and may not be applicable to other locations.\&amp;\#xa;\&amp;\#xa;In Colorado, Hawaii, Illinois, Minnesota, Nevada, Ohio, Rhode Island, and Vermont the standard base pay range for this role is $145,900\.00 \- $233,100\.00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reside.**Who you are**
---------------
* 5\-7 years of experience in Product Strategy or Strategy and Operations roles within technology companies or consulting firms.
* Excellent analytical and problem\-solving skills, with experience building models, defining metrics, and synthesizing data for actionable recommendations.
* Experience designing and executing pilots or experiments to drive business growth or product adoption.
* Strong strategic judgment and intuition for market opportunities and customer needs.
* Exceptional cross\-functional collaborator, able to align and influence across product, sales, marketing, and analytics teams.
* Able to thrive in ambiguity, drive clarity, and lead complex programs from concept through launch.
* Experience in B2B environments preferred; familiarity with real estate, rentals, or advertising products is a plus.
* Here at Zillow, we value the experience and perspective of candidates with non\-traditional backgrounds. We encourage you to apply if you have transferable skills or related experiences.
**Get to know us**
------------------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33">
      <c r="A33" t="inlineStr">
        <is>
          <t>in-b0dd4176970fb413</t>
        </is>
      </c>
      <c r="B33" t="inlineStr">
        <is>
          <t>Program Manager IV</t>
        </is>
      </c>
      <c r="C33" t="inlineStr">
        <is>
          <t>Kaiser Permanente</t>
        </is>
      </c>
      <c r="D33" t="inlineStr">
        <is>
          <t>indeed</t>
        </is>
      </c>
      <c r="E33" t="inlineStr"/>
      <c r="F33" t="inlineStr"/>
      <c r="G33" t="inlineStr">
        <is>
          <t>Greenwood Village, CO, US</t>
        </is>
      </c>
      <c r="H33" s="2" t="n">
        <v>46041</v>
      </c>
      <c r="I33" t="inlineStr">
        <is>
          <t>**Job Summary:**  
Manages medium\-to\-large scale programs or components with multiple workstreams and strategic business goals across departments, functions, or regions with responsibility and accountability for achieving program outcomes from initiation to close\-out in an extended or open\-ended time frame. Leads the work of program teams by coordinating and monitoring internal and/or external resources. Proactively monitors and identifies program risks, issues, and trigger events by developing mitigation plans and strategies. Monitors compliance of program activities by ensuring program plans and team members adhere to relevant policies and procedures. Ensures the alignment, buy\-in, coordination, and support of diverse program stakeholders. Assists with reviews of vendor performance levels, ensures service level agreements are met, and assists with contract negotiations with vendors.
 **Essential Responsibilities:**  
* Promotes learning in others by proactively providing and/or developing information, resources, advice, and expertise with coworkers and members; builds relationships with cross\-functional/external stakeholders and customers. Listens to, seeks, and addresses performance feedback; proactively provides actionable feedback to others and to managers. Pursues self\-development; creates and executes plans to capitalize on strengths and develop weaknesses; leads by influencing others through technical explanations and examples and provides options and recommendations. Adopts new responsibilities; adapts to and learns from change, challenges, and feedback; demonstrates flexibility in approaches to work; champions change and helps others adapt to new tasks and processes. Facilitates team collaboration to support a business outcome.
* Completes work assignments autonomously and supports business\-specific projects by applying expertise in subject area and business knowledge to generate creative solutions; encourages team members to adapt to and follow all procedures and policies. Collaborates cross\-functionally and/or externally to achieve effective business decisions; provides recommendations and solves complex problems; escalates high\-priority issues or risks, as appropriate; monitors progress and results. Supports the development of work plans to meet business priorities and deadlines; identifies resources to accomplish priorities and deadlines. Identifies, speaks up, and capitalizes on improvement opportunities across teams; uses influence to guide others and engages stakeholders to achieve appropriate solutions.
* Manages medium\-to\-large\-scale programs or components with multiple workstreams and strategic business goals across departments, functions, or regions with responsibility and accountability for achieving program outcomes from initiation to close\-out in an extended or open ended time frame. Develops, analyzes, and manages increasingly complex program plans which include scope identification and management, schedule, inter\-dependencies, and resource forecast. Manages and monitors program financials for medium\-to\-large\-scale programs. Monitors program performance to ensure programs effectively deliver maximum long term value or benefit to the organization, and makes adjustments as needed in an uncertain environment where scope may be fluid. Manages program activities related to organizational change management (e.g., development and execution of user adoption, implementation, and training plans) as defined by the program. Drives allocation of resources, establishes schedules, and task assignments to ensure established program management practices are in place. This role may perform project management duties in addition to program management responsibilities.
* Leads the work of program team members. Requests and coordinates internal and/ or external resources based on the alignment of team member skills and program demands. Promotes program vision and objectives with program team.
* Proactively monitors and identifies program risks, issues, and trigger events by developing mitigation plans and strategies; and resolving or escalating risks or issues as appropriate.
* Monitors adherence of program activities to policies and procedures by ensuring program plans and team members follow KP, departmental, and/or business line policies and procedures.
* Ensures the alignment, buy\-in, and coordination of diverse program stakeholders by building rapport with stakeholder teams, third party vendors, and senior management; and clarifying accountability and authority across stakeholders. Identifies and works closely with stakeholders, ensuring all appropriate stakeholders are represented and included. Provides insight to key stakeholders and program sponsors by developing program goals, setting the prioritization of deliverables, discussing involvement of business processes (e.g. program change management, communication) and facilitating decisions necessary for program delivery. Communicates tough issues to stakeholders while maintaining an independent opinion, providing recommendations, delivering presentations, and providing reports to various senior audiences. Engages with senior stakeholders to identify long term value to the organization and define success.
* Assists with reviews of vendor performance levels and ensures service level agreements are met. Partners with Procurement and/or Legal to develop service level and/or scope of work agreements as appropriate. Assists with contract negotiations with vendors and reviews program invoices submitted by vendors for accuracy.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Applied Data Analysis
* Change Management
* Conflict Resolution
* Financial Acumen
* Managing Diverse Relationships
* Negotiation
* Project Management
* Project Management Tools
* Quality Assurance Process
* Risk Assessment
* Service Focus
* Strategic Program Management
**Minimum Qualifications:**  
* Minimum one (1\) years experience in a leadership role with or without direct reports.
* Bachelors degree from an accredited college or university and minimum five (5\) years experience in project management or a directly related field, including minimum two (2\) years program management experience OR Minimum eight (8\) years experience in project management or a directly related field, including minimum two (2\) years program management experience.
 **Preferred Qualifications:*** Three (3\) years of experience working with labor relations.
* Three (3\) years of experience working with learning and curriculum development.
PrimaryLocation : Colorado,Greenwood Village,Greenwood Plaza IT  
HoursPerWeek : 40  
Shift : Day  
Workdays : Mon, Tue, Wed, Thu, Fri,  
WorkingHoursStart : 08:00 AM  
WorkingHoursEnd : 05:00 PM  
Job Schedule : Full\-time  
Job Type : Standard  
Employee Status : Temporary  
Employee Group/Union Affiliation : NUE\-PO\-01\|NUE\|Non Union Employee  
Job Level : Individual Contributor  
Job Category : Professional Services  
Department : Po/Ho Corp \- Rgnl Med Fac\-Clincl Implementn \- 0308  
Travel : Yes, 50 % of the Time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  
Colorado Residents: In any materials you submit, you may redact or remove age\-identifying information such as age, date of birth, or dates of school attendance or graduation. You will not be penalized for redacting or removing this information.</t>
        </is>
      </c>
    </row>
    <row r="34">
      <c r="A34" t="inlineStr">
        <is>
          <t>in-8a43afcfe4ee248b</t>
        </is>
      </c>
      <c r="B34" t="inlineStr">
        <is>
          <t>Program Manager V - Community &amp; Social Health</t>
        </is>
      </c>
      <c r="C34" t="inlineStr">
        <is>
          <t>Kaiser Permanente</t>
        </is>
      </c>
      <c r="D34" t="inlineStr">
        <is>
          <t>indeed</t>
        </is>
      </c>
      <c r="E34" t="inlineStr"/>
      <c r="F34" t="inlineStr"/>
      <c r="G34" t="inlineStr">
        <is>
          <t>Oakland, CA, US</t>
        </is>
      </c>
      <c r="H34" s="2" t="n">
        <v>46041</v>
      </c>
      <c r="I34" t="inlineStr">
        <is>
          <t>*\*****\*Position can be located in any KP footprint \- WA, OR, CA, CO, MD, D.C. Salary is for Northern California candidates only \- pay is based on geographic location*****Department Overview:**
The national Community and Social Health team is seeking professionals who are dedicated to fostering health equity and addressing social determinants of health. This role requires innovative thinkers who can lead and contribute to outcome driven projects, enhancing the well\-being of our members and the communities we serve.
Our team consists of individuals who can operate effectively in a fast\-paced environment, can see the broader perspective, and manage multiple projects while identifying connections among them. The ideal candidate should be collaborative and prioritize team success; adaptable and able to perform well in uncertain situations; self\-driven and willing to learn; maintain a high level of professionalism; and foster an inclusive, team\-centered culture.
The Community and Social Health team operates in a matrixed environment; projects and portfolios may be adjusted and assigned based on the changing needs of the team and department, offering opportunities to work with and report to various leaders within the team. The team is dedicated to equity, inclusion, and diversity, and supports the diverse experiences, backgrounds, and skills present within the team.
**Job Summary:**
Manages large\-scale programs or components with multiple workstreams and strategic business goals across departments, functions, or regions with responsibility and accountability for achieving program outcomes from initiation to close\-out in an extended or open\-ended time frame. Leads the work of large program teams by leading others in coordinating and monitoring internal and/or external resources. Proactively monitors, identifies, and mitigates program risks, issues, and trigger events by developing mitigation plans and strategies. Monitors compliance of program activities by ensuring program plans and team members adhere to relevant policies and procedures. Ensures the alignment, buy\-in, engagement, and support of diverse program stakeholders. Reviews vendor performance levels, ensures service level agreements are met, and participates in contract negotiations with vendors.
 **Essential Responsibilities:*** Promotes learning in others by communicating information and providing advice to drive projects forward; builds relationships with cross\-functional stakeholders. Listens, responds to, seeks, and addresses performance feedback; provides actionable feedback to others, including upward feedback to leadership and mentors junior team members. Practices self\-leadership; creates and executes plans to capitalize on strengths and improve opportunity areas; influences team members within assigned team or unit. Adapts to competing demands and new responsibilities; adapts to and learns from change, challenges, and feedback. Models team collaboration within and across teams.
* Conducts or oversees business\-specific projects by applying deep expertise in subject area; promotes adherence to all procedures and policies. Partners internally and externally to make effective business decisions; determines and carries out processes and methodologies; solves complex problems; escalates high\-priority issues or risks, as appropriate; monitors progress and results. Develops work plans to meet business priorities and deadlines; coordinates and delegates resources to accomplish organizational goals. Recognizes and capitalizes on improvement opportunities; evaluates recommendations made; influences the completion of project tasks by others.
* Manages large\-scale programs or components with multiple workstreams and strategic business goals across departments, functions, or regions with responsibility and accountability for achieving program outcomes from initiation to close\-out in an extended or open ended time frame. Develops, analyzes, and manages highly complex program plans which include scope identification and management, schedule, inter\-dependencies, and resource forecast. Manages and monitors the program financials of large\-scale programs. Monitors program performance to ensure programs effectively deliver maximum long term value or benefit to the organization, and makes adjustments as needed in an uncertain environment where scope may be fluid. Leads program activities related to organizational change management (e.g., development and execution of user adoption, implementation, and training plans) as defined by the program. Drives allocation of resources, establishes schedules, and task assignments to ensure established program management practices are in place. This role may perform project management duties in addition to program management responsibilities.
* Leads the work of large program teams by monitoring internal and external resources. Leads others in requesting and coordinating internal and/ or external resources based on the alignment of team member skills and program demands. Communicates a clear vision of program goals and objectives to the team. Delivers performance feedback to team members supervisors.
* Proactively monitors, identifies, and mitigates program risks, issues, and trigger events by developing mitigation plans and strategies; and resolving or escalating risks or issues as appropriate.
* Monitors adherence of program activities to policies and procedures by ensuring program plans and team members follow KP, departmental, and/or business line policies and procedures.
* Ensures the alignment, buy\-in, engagement and support of diverse program stakeholders by building and maintaining relationships as well as communicating appropriately with internal customers, third party vendors, senior management, and business leaders; and clarifying accountability and authority across stakeholders. Identifies and works closely with key stakeholders based on their level of influence and decision making and ensures all appropriate stakeholders are represented and included. Provides insight to key stakeholders and program sponsors by developing program goals, setting the prioritization of deliverables, discussing involvement of business processes (e.g. program change management, communication) and facilitating decisions necessary for program delivery. Communicates tough issues to stakeholders while maintaining an independent opinion, providing recommendations, delivering formal presentations, and providing reports to various senior audiences. Engages with senior stakeholders to identify long term value to the organization and define success.
* Reviews vendor performance levels and ensures service level agreements are met. Partners with Procurement and/or Legal to develop service level and/or scope of work agreements as appropriate. Participates in contract negotiations with vendors and reviews program invoices submitted by vendors for accuracy.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Applied Data Analysis
* Change Management
* Conflict Resolution
* Financial Acumen
* Managing Diverse Relationships
* Negotiation
* Project Management
* Project Management Tools
* Quality Assurance Process
* Risk Assessment
* Service Focus
* Strategic Program Management
**Minimum Qualifications:**  
* Minimum three (3\) years experience in a leadership role with or without direct reports.
* Bachelors degree from an accredited college or university and minimum eight (8\) years experience in project management or a directly related field, including minimum four (4\) years program management experience OR Minimum eleven (11\) years experience in project management or a directly related field including minimum four (4\) years program management experience.
 **Preferred Qualifications:*** Master's degree from an accredited college or university.
* Four (4\) years of experience working with clinical operations
* Three (3\) years inter\-regional project management experience.
* Three (3\) years experience managing vendor contracts and relationships.
PrimaryLocation : California,Oakland,Ordway  
HoursPerWeek : 40  
Shift : Day  
Workdays : Mon, Tue, Wed, Thu, Fri  
WorkingHoursStart : 09:00 AM  
WorkingHoursEnd : 05:00 PM  
Job Schedule : Full\-time  
Job Type : Standard  
Employee Status : Regular  
Employee Group/Union Affiliation : NUE\-PO\-01\|NUE\|Non Union Employee  
Job Level : Individual Contributor  
Job Category : Professional Services  
Department : Po/Ho Corp \- Social Health Practice \- 0308  
Travel : No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t>
        </is>
      </c>
    </row>
    <row r="35">
      <c r="A35" t="inlineStr">
        <is>
          <t>in-86195f3fefb49270</t>
        </is>
      </c>
      <c r="B35" t="inlineStr">
        <is>
          <t>Program Manager I</t>
        </is>
      </c>
      <c r="C35" t="inlineStr">
        <is>
          <t>Eaton</t>
        </is>
      </c>
      <c r="D35" t="inlineStr">
        <is>
          <t>indeed</t>
        </is>
      </c>
      <c r="E35" t="inlineStr"/>
      <c r="F35" t="inlineStr"/>
      <c r="G35" t="inlineStr">
        <is>
          <t>Smyrna, GA, US</t>
        </is>
      </c>
      <c r="H35" s="2" t="n">
        <v>46041</v>
      </c>
      <c r="I35" t="inlineStr">
        <is>
          <t>Eaton’s ES AMER ARS division is currently seeking a Program Manager I. The position will be based at our facility in Smyrna, GA. We are offering relocation assistance for candidates that reside within the U.S.
The expected annual salary range for this role is $97000 \- $143000 a year. This position is also eligible for a variable incentive program.
Please note the salary information shown above is a general guideline only. Salaries are based upon candidate skills, experience, and qualifications, as well as market and business considerations.
**What you’ll do:**
-------------------
This position is responsible for management of the Satellite Plant Expansion. The Program Manager manages the project planning, execution, requirements changes, risk mitigation, and issue tracking to achieve organizational objectives. This position requires up to 25% travel.
**Job Responsibilities:**
* Accountable for program scope and successful execution within technical, schedule, cost and quality commitments.
* Lead construction and installation management. Including but not limited to machinery install and startup, in addition to process layout design and implementation.
* Ensure standard program management tools and processes are utilized, including the use of Eaton’s PROLaunch process and agile methodologies as applicable.
* Lead global project teams. Identify required activities across functions and locations and hold team members accountable for successful execution. Maintain a structured resource allocation plan.
* Employ effective requirements and change management techniques. Assess and promptly communicate potential impacts of any changes and recommendations to stakeholders.
* Lead teams in program risk assessment and deployment of sound mitigation strategies. Monitor risk and take decisive and early action to resolve any issues.
* Maintain a robust Communications Plan, inclusive of regular presentations to senior leaders relevant to status of programs. Prepare and publish formal program metrics and reports on a (minimum) monthly basis.
* Participate in annual planning processes such as road mapping, waterlining, and profit planning. Understand CPA strategic plans and help determine project priorities within the portfolio.
* Understand Eaton program management, financial, and productivity tracking systems and processes. Work with product line leaders to accurately forecast, monitor, and report on program financials. Manage product line portfoliio within profit plan budget.
* Serve as a PROLaunch champion, mentor other PMs in the PMO community, help with implementation of improvement action plans and standardization of PM best practices.
**Qualifications:**
-------------------
**Basic Qualifications:**  
* Bachelor's degree from an accredited institution
* Minimum of 3 years’ experience leading programs or projects for engineering or manufacturing teams
* Eaton will not consider applicants for employment immigration sponsorship or support for this position. This means that Eaton will not support any CPT, OPT, or STEM OPT plans, F\-1 to H\-1B, H\-1B cap registration, O\-1, E\-3, TN status, I\-485 job portability, etc.
**Preferred Qualifications:**  
* Master's Degree from an accredited institution in a Business or Engineering Discipline
* Minimum of 6 years experience in program management and leadership of project teams
**Technical knowledge**  
* PMP Certification preferred
* Experience managing new product development projects
* Knowledge of Program and Project Management methodologies, processes and tools.
**Skills:**
-----------
**Position Criteria:**  
* Proficient communication and presentation skills – both verbal and written with ability to make necessary status reports and technical presentations to Eaton management and customer.
* Strong analytical skills and business acumen
* Must be able to achieve goals by working collaboratively and cross\-functionally
* Must be capable of working effectively in diverse cultural situations with our global team members.
* Must be capable of initiating and providing recommendations for Business Unit and Division senior leadership review and approval that will achieve desired outcomes.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row>
    <row r="36">
      <c r="A36" t="inlineStr">
        <is>
          <t>in-189a8e3324e41ce0</t>
        </is>
      </c>
      <c r="B36" t="inlineStr">
        <is>
          <t>Principal Product Manager</t>
        </is>
      </c>
      <c r="C36" t="inlineStr">
        <is>
          <t>Microsoft</t>
        </is>
      </c>
      <c r="D36" t="inlineStr">
        <is>
          <t>indeed</t>
        </is>
      </c>
      <c r="E36" t="inlineStr"/>
      <c r="F36" t="inlineStr"/>
      <c r="G36" t="inlineStr">
        <is>
          <t>Redmond, WA, US</t>
        </is>
      </c>
      <c r="H36" s="2" t="n">
        <v>46036</v>
      </c>
      <c r="I3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Copilot for Security empowers defenders to detect hidden patterns, harden defenses, and respond to incidents faster with generative AI. The same platform also empowers IT Admins and Data Security admins to proactively protect the assets. While Generative AI has created a new set of possibilities, it’s also created a new set of challenges: hallucination, prompt injection, rapidly changing industry trends. Our team is at the forefront of both the opportunities and the challenges for Microsoft Security. We are looking for a Principal Product Manager for Security Copilot to execute strategic priorities, drive alignment across internal and external stakeholders, and design/define critical capabilities. Our culture is centered on embracing a growth mindset, a theme of inspiring excellence, and empowering teams to maximize productivity. In doing so, we create life\-changing innovations that impact billions of lives around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Principal Product Manager, you’ll define strategy and deliver secure, scalable AI experiences that protect customers globally. You’ll lead innovation in agentic systems and Responsible AI, shaping the next generation of security solutions. Other REsponsibilities include:
* Understand security customers and markets Develop strategy and build buy\-in from cross\-functional teams into your ideas
* Translate strategic plans into work involving cross\-team collaboration.
* Develop clear requirements and work closely with the software engineering team to meet product goals.
* Lead the execution of strategic initiatives you’ve championed.
* Define product vision and roadmap for agentic AI security workflows.
* Drive cross\-functional alignment and secure buy\-in for strategic initiatives. Author clear requirements and partner with engineering to deliver resilient AI capabilities.
* Champion Responsible AI principles and implement safety guardrails. Establish evaluation frameworks for reliability, performance, and ethical compliance.
**Qualifications** **Required/minimum qualifications**
* Bachelor's Degree AND 8\+ years experience in product/service/program management or software development OR equivalent experience.
**Other Requirements*** Candidates must be able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**Additional or preferred qualifications***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\#MSFT Security \#SCEM \#MSFTSecurity \#GenAI \#SecurityCopilot \#Security \#Agents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
      <c r="A37" t="inlineStr">
        <is>
          <t>in-f3648dae6885cf9d</t>
        </is>
      </c>
      <c r="B37" t="inlineStr">
        <is>
          <t>Principal Product Manager</t>
        </is>
      </c>
      <c r="C37" t="inlineStr">
        <is>
          <t>Microsoft</t>
        </is>
      </c>
      <c r="D37" t="inlineStr">
        <is>
          <t>indeed</t>
        </is>
      </c>
      <c r="E37" t="inlineStr"/>
      <c r="F37" t="inlineStr"/>
      <c r="G37" t="inlineStr">
        <is>
          <t>Redmond, WA, US</t>
        </is>
      </c>
      <c r="H37" s="2" t="n">
        <v>46036</v>
      </c>
      <c r="I37" t="inlineStr">
        <is>
          <t>**Overview**  
As M365 Copilot Customer and Analytics Driven Evals Team (CADETs) we are looking for a highly motivated **Principal Product Manager** who thrives at the intersection of customer engagement, product quality, and actionable insights. As part of the CADETs, you will manage feedback channels, drive VIP customer partnerships, and ensure insights flow into the Copilot product development cycle. This role focuses on driving customer engagement, product adoption, and quality improvements for Copilot experiences across M365 Copilot Chat, Researcher, and Analyst. You will collaborate with engineering, data science, solution architecture, and customer\-facing teams to deliver impactful solutions that meet strategic customer needs.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Execute Engagement Plans: Drive M365 Copilot customer engagement programs, ensuring alignment with business objectives and strategic priorities.
* VIP Customer Partnerships: Build and maintain deep relationships with strategic accounts, ensuring their workflows and priorities inform product decisions.
* Feedback Flywheel Ownership: Capture, synthesize, and prioritize feedback from internal and external customers, including dogfooding and stress tests.
* Actionable Insights: Work with the rest of the team to convert the feedback into evaluation tasks and metrics that drive product quality improvements across M365 Copilot experiences.
* Program Rhythm: Maintain operational cadence, reporting, and communication for feedback metrics and adoption signals.
**Qualifications** **Required Qualifications:**
* Bachelor's Degree AND 8\+ years experience in product/service/program management or software development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AND 12\+ years experience in product/service/program management or software development
	+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8">
      <c r="A38" t="inlineStr">
        <is>
          <t>in-67246dc28531ba84</t>
        </is>
      </c>
      <c r="B38" t="inlineStr">
        <is>
          <t>Senior Hardware Program Manager</t>
        </is>
      </c>
      <c r="C38" t="inlineStr">
        <is>
          <t>Microsoft</t>
        </is>
      </c>
      <c r="D38" t="inlineStr">
        <is>
          <t>indeed</t>
        </is>
      </c>
      <c r="E38" t="inlineStr"/>
      <c r="F38" t="inlineStr"/>
      <c r="G38" t="inlineStr">
        <is>
          <t>Redmond, WA, US</t>
        </is>
      </c>
      <c r="H38" s="2" t="n">
        <v>46035</v>
      </c>
      <c r="I38" t="inlineStr">
        <is>
          <t>**Overview**  
Are you passionate about creating amazing devices that empower people to achieve more? The Surface team focuses on building devices that fully express the Windows vision, and the Surface Wireless Team focuses on the wireless features that transform that vision into reality. Creating these devices requires close coordination between a wide variety of internal Microsoft teams and strategic technology partners. Program Managers drive that coordination and play a crucial role in the overall product realization process.
As a **Senior Hardware Program Manager** on the Surface Wireless Team, you will lead complex and multidisciplinary hardware development efforts to enable premium wireless connectivity and location features in the Surface device portfolio. You will coordinate with the product planning team, device program managers and your wireless Software Program Manager counterpart to define the wireless subsystem requirements rapidly and efficiently. You will work diligently to construct, maintain, and adapt program plans and schedules; coordinate and drive the engineering, verification, certification, compliance, sourcing, and manufacturing teams; and continuously adapt our processes to improve overall team execution. You will succeed in this role by leading without authority; communicating clearly and effectively; effectively building consensus among key team members; leveraging your excellent cross\-functional management skills; driving coordination with external partners; adapting in a dynamic and demanding environment; identifying gaps and working with functional managers and leads to fill those gaps; removing obstacles that are blocking or slowing progress; managing and communicating risks; and efficiently reporting status to relevant teams and leaders. Your expertise from successfully shipping cellular enabled devices will be particularly useful in this role as we expand our cellular connected Surface device offerings.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Align with the device program team on overarching business goals and high\-level requirements.
* Define wireless non\-functional requirements to ensure device within the business constraints.
* Coordinate with program and software teams to ensure bottom\-up schedules merge with the program top\-down schedules.
* Align with the certifications team to ensure accurate requirements for launch window carrier and industry and regulatory requirements.
* Partner with managers, leads, and cross‑functional teams to build and adapt program execution plans and schedules, aligning closely with validation and certification groups to ensure smooth, on‑time delivery and proactively mitigate risks.
* Ensure cross\-functional and cross\-organizational alignment throughout all phases of the program.
* Adapt where necessary for specific programs, but maximize commonality for multiple program efficiencies.
* Ensure proper critical design reviews by relevant teams (DFx, etc.) and members strategic partners as needed.
* Facilitate coordination with the manufacturing test team and the NPI team to ensure proper device specific test fixture delivery and to ensure efficient production and yield ramps.
* Coordinate with the sourcing team to confirm viable key, long lead time, and second source component strategy.
* Identify hidden costs and adapt execution strategies to eliminate from future programs.
* Continuously manage, mitigate, and communicate risks, and proactively inform senior leadership as necessary.
* Organize and present program status to the business, engineering, and senior leadership teams.
* Coordinate transition to the sustaining engineering team.
* Embody our Culture and Values
**Qualifications** **Required Qualifications:**
* Bachelor's Degree AND 5\+ years experience in product/service/program management or software development
	+ OR equivalent experience.
**Preferred Qualifications:**
* Bachelor's or Master's Degree in Electrical Engineering with wireless communication systems emphasis.
* Professional RF design experience with basic understanding of antenna and conducted RF engineering processes.
* 3\+ years of direct experience shipping multiple cellular enabled devices with recent certification experience.
* Excellent written and verbal communication skills.
* Proficient in deploying and adapting lean processes in a dynamic organization.
* Basic understanding of wireless system verification processes, mobile operator and industry (such as GCF, PTCRB, WFA and BTSig) certifications.
* Moderate technical understanding of modern wireless communication systems and device side architectures.
* Basic understanding 3GPP/3GPP2 air interface protocols such as 5G\-NR, 802\.11 air interfaces, Bluetooth, GNSS, NFC, UWB and hybrid wireless location technologies.
\#W\+DJOBS
\#Surface
\#RF
\#RFHW
\#Wireless
\#Cellular
\#5G
\#WiFi
\#Bluetooth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9">
      <c r="A39" t="inlineStr">
        <is>
          <t>in-f8eb30e6e3219780</t>
        </is>
      </c>
      <c r="B39" t="inlineStr">
        <is>
          <t>Principal Technical Program Manager</t>
        </is>
      </c>
      <c r="C39" t="inlineStr">
        <is>
          <t>Microsoft</t>
        </is>
      </c>
      <c r="D39" t="inlineStr">
        <is>
          <t>indeed</t>
        </is>
      </c>
      <c r="E39" t="inlineStr"/>
      <c r="F39" t="inlineStr"/>
      <c r="G39" t="inlineStr">
        <is>
          <t>Redmond, WA, US</t>
        </is>
      </c>
      <c r="H39" s="2" t="n">
        <v>46035</v>
      </c>
      <c r="I39" t="inlineStr">
        <is>
          <t>**Overview**  
Microsoft Specialized Clouds (MSC) team. MSC builds and operates secure, compliant, and mission\-aligned cloud capabilities for regulated and high\-assurance environments — including specialized commercial sectors, governments and Defense Industrial Base (DIB). As our ecosystem expands, strong, strategic partner relationships are essential to delivering durable, compliant, and innovative solutions.
We are hiring a **Principal Program Manager** to own MSC’s end\-to\-end partner engagements across commercial OEMs and DIB partners. You will coordinate deeply with these partners, MSC Engineering, Business Development, CELA, and cross\-company teams to ensure partnerships are healthy, productive, aligned with Microsoft strategy, and operationally unblocked. This is a high\-impact, high\-visibility role in the Technical Advisory Office directly supporting the President of the MSC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**Partner Relationship Ownership:*** Serve as the primary PM owner for MSC’s strategic commercial partners for Azure’s adaptive cloud and DIB partners.
* Maintain a holistic partner health model, including joint workstreams, status tracking, risk identification, and executive reporting.
* Represent partner needs in MSC roadmap conversations, influencing product direction on durability, compliance, interoperability, and certification.
 **Cross\-Company Alignment \&amp; Leadership**
* Collaborate with engineering teams to drive partner facing requirements, dependencies, investigations, and cross team decisions.
* Work closely with Business Development to define long\-term partner strategy, identify new opportunities, and negotiate joint programs.
* Partner tightly with CELA to ensure compliance, data boundaries, export controls, and regulatory considerations are respected throughout the partner lifecycle.
* Support executive prep and materials for leadership including Douglas Phillips, drawing from structures outlined in partner engagement and customer engagement planning.
 **Program Execution Excellence**
* Establish and maintain structured execution frameworks (scorecards, status dashboards, joint workstream trackers, escalation paths).
* Own partner\-related escalations, driving actionable clarity and leadership visibility.
* Track measurable KPIs for partner program success: health indicators, workstream progress, dependency closure, risk reduction, and compliance signals.
* Ensure leadership has crisp, timely updates, including executive summaries, talking points, risks, and decision asks.
* Embody our culture and values.
**Qualifications**  
**Required Qualifications:*** Bachelor's Degree AND 8\+ years experience in engineering, product/technical program management, data analysis, or product development OR equivalent experience.
* 6\+ years of experience managing cross\-functional and/or cross\-team projects.
 **Other Requirements:**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proof of citizenship,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**Preferred Qualifications:**
* Bachelor's Degree Computer Science, Engineering, Data Science, Math, Business, or related field AND 12\+ years experience in engineering, product/technical program management, data analysis, or product development  
OR equivalent experience.
* 10\+ year(s) experience managing cross\-functional and/or cross\-team projects.
* 10\+ year(s) experience leading and managing customer facing projects.
* 8\+ years in Product Management or related roles in cloud/platform/security ecosystems.
* Proven experience managing strategic partnerships or customer/partner relationships.
* Ability to drive multi\-stakeholder alignment across engineering, BD, and legal/regulatory functions.
* Strong communication skills, executive presence, and ability to be effective in communications based on relevant audiences.
* Strong analytical and program leadership capabilities with experience structuring cross\-company programs.
* Active U.S. Government Top Secret Clearance with access to Sensitive Compartmented Information (SCI) based on a Single Scope Background Investigation (SSBI) with Polygraph.
Technical Program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0">
      <c r="A40" t="inlineStr">
        <is>
          <t>in-bf0c9891ee435248</t>
        </is>
      </c>
      <c r="B40" t="inlineStr">
        <is>
          <t>Principal Platform Technical Program Manager</t>
        </is>
      </c>
      <c r="C40" t="inlineStr">
        <is>
          <t>Microsoft</t>
        </is>
      </c>
      <c r="D40" t="inlineStr">
        <is>
          <t>indeed</t>
        </is>
      </c>
      <c r="E40" t="inlineStr"/>
      <c r="F40" t="inlineStr"/>
      <c r="G40" t="inlineStr">
        <is>
          <t>Redmond, WA, US</t>
        </is>
      </c>
      <c r="H40" s="2" t="n">
        <v>46034</v>
      </c>
      <c r="I40" t="inlineStr">
        <is>
          <t>**Overview**  
Microsoft’s Silicon, Cloud Hardware, and Infrastructure Engineering (SCHIE) organization designs and delivers the advanced hardware platforms that power Azure’s global cloud and AI services. As a Principal Platform Technical Program Manager, you will own the end‑to‑end strategy and execution for next‑generation accelerated computing systems. You will lead early product definition, align cross‑disciplinary engineering teams, and ensure each platform meets the performance, reliability, and operational readiness required for the world’s most demanding AI workloads. Your leadership brings compute, networking, firmware, power and cooling, and platform software together into cohesive solutions that scale across Azure’s global footprint.
In this role, you will guide programs from early engineering development through validation, New Product Introduction, and fleet‑level readiness. You will drive cross‑functional execution across internal engineering teams, technology partners, and global manufacturing and supply chain organizations to ensure platforms are built, tested, and ready for production scale. You will play a critical role partnering with internal business and deployment teams to inform program decisions, accelerate readiness milestones, and enable seamless transitions into downstream deployment.
This role is ideal for a technical leader who thrives in fast‑moving, highly complex environments. You will bring deep technical insight, broad systems perspective, and strong program leadership to unite teams, drive decisions, and deliver clarity amid evolving priorities. Your work will directly shape Azure’s accelerated computing roadmap, strengthen Microsoft’s competitive position in AI infrastructure, and empower customers and developers to build, train, and scale the world’s most advanced AI and cloud services.
\#azurehwjobs \#HIFE
 **Responsibilities*** Lead large, cross‑functional teams spanning hardware, software, supply chain, sourcing, networking, and datacenter operations to deliver complex product development programs.
* Own the Plan‑of‑Record (POR): define milestones, align stakeholders, and ensure cross‑functional execution for new platform development.
* Provide technical program leadership, integrating inputs from engineering, validation, manufacturing, and operations to drive readiness and resolve technical or execution risks.
* Develop and maintain cohesive development plans in partnership with technology and engineering partners, ensuring clarity in technical requirements, dependencies, deliverables, and cross‑team responsibilities.
* Identify, assess, and mitigate technical and schedule risks, using scenario planning, structured risk reviews, and recovery strategies to maintain program stability.
* Communicate program status, risks, and decision recommendations to senior leadership with clear framing, tradeoffs, and escalation pathways.
* Drive accountability across functional teams, ensuring decisions are made at the right level and issues are surfaced and resolved without delay.
* Operate effectively in ambiguous environments, establishing structure, processes, and clarity where none exist, including early product definition and evolving requirements.
* Ensure alignment across all partner teams by maintaining rigorous tracking of engineering progress, POR adherence, and readiness for datacenter deployment.
* Apply program management tools and communication mechanisms to measure engineering impact, track metrics, and ensure transparency across workstreams.
 **Qualifications**  
Required Qualifications
* Do you have Bachelor's Degree AND 6\+ years experience in engineering, product/technical program management, data analysis, or product development OR equivalent experience?
* 3\+ years’ experience managing cross\-functional and/or cross\-team projects.
Other: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12\+ years of technical program management or project management experience or a technical role with systems engineering experience, preferably in Cloud server design, accelerators, Networking solutions, FW \&amp; SW development and deployment, and systems solutions from cradle to grave.
* 6\+ years of experience in managing cross\-functional and / or cross\-team projects, responsible for critical systems and operations in a matrix organization.
* Experience with hardware, firmware \&amp; software and complex system design, test and integration.
* Knowledge of high\-volume server design and manufacturing is desired.
* Knowledge about datacenters \&amp; operation at scale.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1">
      <c r="A41" t="inlineStr">
        <is>
          <t>in-658ac983fd3df18c</t>
        </is>
      </c>
      <c r="B41" t="inlineStr">
        <is>
          <t>Critical Environment Program Manager - CTJ - Top Secret</t>
        </is>
      </c>
      <c r="C41" t="inlineStr">
        <is>
          <t>Microsoft</t>
        </is>
      </c>
      <c r="D41" t="inlineStr">
        <is>
          <t>indeed</t>
        </is>
      </c>
      <c r="E41" t="inlineStr"/>
      <c r="F41" t="inlineStr"/>
      <c r="G41" t="inlineStr">
        <is>
          <t>VA, US</t>
        </is>
      </c>
      <c r="H41" s="2" t="n">
        <v>46034</v>
      </c>
      <c r="I41" t="inlineStr">
        <is>
          <t>**Overview**  
Microsoft’s Cloud Operations \&amp; Innovation (CO\+I) is the engine that powers our cloud services. As a CO\+I Critical Environment Program Manager,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trainings and opportunities including Career Rotation Programs, Diversity \&amp; Inclusion trainings and events, and professional certifications.
Our infrastructure is comprised of a large global portfolio of more than 200 datacenters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***Data Center Operations / Service Delivery:***
* Establish strong working relationships with customers.
* Oversee the day\-to\-day operations and maintenance of mechanical and electrical equipment in a datacenter
	+ Manage, plan control and organize the planned preventative and corrective electrical and/or mechanical equipment.
	+ This involves utilizing CMMS and monitoring the performance of electrical plant and machinery, ensuring work is undertaken to prevent failure/loss of the plant and equipment and the production of work order and allocating the work daily to the Technicians, monitoring progress, and inspecting completed work to ensure the required standards are achieved.
* Ensure that electrical, mechanical, and/or fire/life safety equipment within the datacenter is operating at peak efficiency.
* Ensure compliance with infrastructure operations standardization
* Act as an escalation point for all facilities\-related issues within the datacenter, escalating to the Data Operations Manager as needed. This may include assisting technicians in times of emergencies, job training, and providing input/recommendations on electrical/mechanical design parameters.
* Management of small\-to\-medium projects from conception to completion
* Ensure routine reporting for critical infrastructure, inclusive of operational and maintenance KPIs, objectives, organizational polices, procedures, and standards.
* Driving cost/energy efficiency projects
* Identifying single points\-of\-failure at regional datacenter locations
* Coordinate, plan, schedule, and supervise CE audits and compliance verifications
* Drive identification and remediation of vulnerabilities (such as single points of failure). Provide recommendations on new data center equipment designs, technologies, and construction methods. Drive cost/energy efficiency projects
***Data Center Work Environment:***
* Share best practices, assists others in learning role, process, procedures; and mentors others
* Promotes a culture of safety, security, and compliance in all aspect of datacenter activities
* Realize the impact of change on others
* Learn, live, and coach the One Microsoft culture and values. Lead through change by bringing clarity, generating energy, and delivering success
* Embody our culture and values
* Removes barriers to agility to enable the team to shift priorities quickly without losing productivity.
**Qualifications** **Required Qualifications:**
* High School Qualification or equivalent AND 3\+ years experience supporting IT equipment or related technology or delivering server and network deployment projects in large\-scale environments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Security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2\+ years experience in Critical Environment infrastructures (e.g., UPS, Generator, AHU) or working in physical IT infrastructures (e.g., Servers, SANs, Networking, Capacity, DC Rack/Enclosures, structured cabling).
* Technical College degree in Computer Science, Math, Telecommunications, Electrical/Mechanical Engineering or related field.
* Applicable certifications: ASICS/Inventory Control, CompTIA, Microsoft, Network Certifications, PMP, ITIL, CDCP.
* 6 months \+ of experience working with the operation of building cooling, electrical, mechanical, and life safety systems
* 6 months \+ of experience with Electrical Power Monitoring Systems (EPMS), Branch Circuit Monitoring (BCM), and Building Automation Systems (BAS)
* 2\+ years of experience with project management or relevant certification/training in project management
* Associate’s or Bachelor’s degree in applicable engineering field or mechanical or electrical trades
* 2\+ years experience working on large scale projects.
Data Center Operations Management IC4 \- The typical base pay range for this role across the U.S. is USD $102,600 \- $202,800 per year. There is a different range applicable to specific work locations, within the San Francisco Bay area and New York City metropolitan area, and the base pay range for this role in those locations is USD $137,500 \- $225,800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2">
      <c r="A42" t="inlineStr">
        <is>
          <t>in-7c21b3a3a91ddee3</t>
        </is>
      </c>
      <c r="B42" t="inlineStr">
        <is>
          <t>Principal Product Manager</t>
        </is>
      </c>
      <c r="C42" t="inlineStr">
        <is>
          <t>Microsoft</t>
        </is>
      </c>
      <c r="D42" t="inlineStr">
        <is>
          <t>indeed</t>
        </is>
      </c>
      <c r="E42" t="inlineStr"/>
      <c r="F42" t="inlineStr"/>
      <c r="G42" t="inlineStr">
        <is>
          <t>Redmond, WA, US</t>
        </is>
      </c>
      <c r="H42" s="2" t="n">
        <v>46033</v>
      </c>
      <c r="I4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Join the Azure Postgres team and be part of one of the fastest\-growing services in the cloud database space. We're a nimble, high\-impact team driven by innovation and a passion for delivering a best\-in\-class Postgres experience on Azure and we are looking for a Principal Product Manager. As a Principal Product Manager here, you will work at the intersection of open\-source technology and cloud\-native services, shaping the future of managed Postgres for developers and enterprises worldwide. If you're excited about building scalable, distributed, highly available, highly reliable, and intelligent database solutions in an agile environment that values bold ideas and rapid execution, we’d love to hear from you. Let’s redefine what’s possible with Postgres in the cloud—together.
We do not just value differences or different perspectives. We seek them out and invite them in so we can tap into the collective power of everyone in the company. As a result, our customers are better served.
 **Responsibilities**  
* Drive features that are envisioned from ideation to exploration/validation with customers to launch, including partnering with marketing and finance.
* Define and evolve the long\-term vision for Azure Postgres, aligning with Microsoft’s broader data platform strategy and customer needs.
* Collaborate with engineering, design, marketing, and support teams to deliver high\-quality, reliable, and scalable Postgres services.
* Ability to technically engage with customers to understand pain points and opportunities, validate their high\-scale database solutions and architecture, translating insights into product features that differentiate Azure Postgres.
* Stay connected with the Postgres community, contributing to and leveraging open\-source innovation to enhance Azure’s managed offering.
* Partner with marketing and field teams to drive adoption, create compelling messaging, and support customer onboarding.
* Use telemetry, customer feedback, and market analysis to inform decisions and measure success.
Embody our culture and values
 **Qualifications** **Required/Minimum Qualifications**
* Bachelor's Degree AND 6\+ years experience in engineering, product/technical program management, data analysis, or product development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4\+ years' experience in relational databases ideally PostgreSQL or distributed systems.
* 3\+ years of experience managing cross\-functional and/or cross\-team projects.
* 2\+ years' experience in reading/writing code (Samples applications/demos)
* Proven experience driving multiple features from ideation to launch.
\#azdat \#azuredata \#PostgreSQL \#Postgres \#OpenSource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3">
      <c r="A43" t="inlineStr">
        <is>
          <t>in-fed9c2db38137c89</t>
        </is>
      </c>
      <c r="B43" t="inlineStr">
        <is>
          <t>Senior Manager Product Owner</t>
        </is>
      </c>
      <c r="C43" t="inlineStr">
        <is>
          <t>Eaton</t>
        </is>
      </c>
      <c r="D43" t="inlineStr">
        <is>
          <t>indeed</t>
        </is>
      </c>
      <c r="E43" t="inlineStr"/>
      <c r="F43" t="inlineStr"/>
      <c r="G43" t="inlineStr">
        <is>
          <t>Menomonee Falls, WI, US</t>
        </is>
      </c>
      <c r="H43" s="2" t="n">
        <v>46033</v>
      </c>
      <c r="I43" t="inlineStr">
        <is>
          <t>Eaton’s Corporate Sector division is currently seeking a Senior Manager Product Owner. The expected annual salary range for this role is $165000 \- $242000 a year. This position is also eligible for a variable incentive program.
Please note the salary information shown above is a general guideline only. Salaries are based upon candidate skills, experience, and qualifications, as well as market and business considerations.
**Job Summary**
---------------
The Product Line Owner plays a crucial role in overseeing multiple products, either directly or through the management of other product owners. This individual is responsible for setting and championing the product vision, collaborating with key senior leaders to influence strategic business objectives, developing and maintaining the product roadmap, and defining essential operational processes, including the product release schedule.
**Key responsibilities include:**
* Working closely with business partners and customers to define epics that align with key business objectives for the Scrum or Kanban team.
* Communicating strategy and status effectively at the C level.
* Tracking and managing product funding while defining work priorities for the product team.
* Balancing new features with continuous improvement, system health, and support.
The Product Line Owner collaborates with multiple product teams, including analysts, engineers, and other members, to execute the product roadmap, guide the product development lifecycle, define user stories, and represent the voice of the customer across relevant portfolios and business units.
**What you’ll do:**
-------------------
**Job Responsibilities**
* Define and champion the product vision, roadmap, and epics, working with senior leaders to craft strategic business objectives and enterprise\-spanning plans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including across Eaton's portfolio and with other business units
* Drive definition and continuous improvement of product processes (e.g., Lean, Agile, Scrum, DevSecOps, etc.)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Manage vendor strategy and relationship."
**Qualifications:**
-------------------
**Basic Qualificaitons:**
* Bachelor’s degree from an accredited institution
* Minimum of ten (10\) years of experience as an analyst, BRM, project manager, engineer or program lead on highly complex technology projects and programs.
* Minimum of seven (7\) years of experience as a Product Owner or equivalent position.
* Legally authorized to work in the U.S. without company sponsorship now or in the future.
* No relocation benefit is being offered for this position. Only candidates within a 50\-mile radius of Beachwood, OH: Galesburg MI,, Houston TX, Menomonee Falls WI, Moon Township PA, or Raleigh NC will be considered. Active\-Duty Military Service member candidates are exempt from the geographical area limitation.
* This position requires access to export\-controlled information. To conform to U.S. Government export regulations applicable to that information, applicant must be a U.S. person, defined as a (i) U.S. citizen or national, (ii) U.S. lawful, permanent resident (green card holder), (iii) refugee under 8 U.S.C. § 1157, or (iv) asylee under 8 U.S.C. § 1158
 **Preferred Qualifications:**
* Expertise with product management and modern product delivery processes
* Strong understanding of and experience working with Agile, Scrum, and/or Kanban software delivery teams
* Strong understanding of DevSecOps principles
* Strong understanding of modern software development principles including code management, test automation, APIs, microservices, and cloud services.
 **Soft skills**
* Executive communication skills
* Strong knowledge of and experience working with design thinking methodologies
* Expertise with creation and management of product roadmaps
* Strong understanding of lean principles with respect to product and portfolio management
* Data orientation and ability to make data\-driven decisions
* Passion for great customer experiences
* Financial and budget management
* Comfortable working directly with business leaders, external customers, and engineering teams
* Proven ability to drive change across organizational boundaries
* Experience working with diverse, global cultures, organizations and teams"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44">
      <c r="A44" t="inlineStr">
        <is>
          <t>in-04fc536bd50367a0</t>
        </is>
      </c>
      <c r="B44" t="inlineStr">
        <is>
          <t>Senior Manager Product Owner</t>
        </is>
      </c>
      <c r="C44" t="inlineStr">
        <is>
          <t>Eaton</t>
        </is>
      </c>
      <c r="D44" t="inlineStr">
        <is>
          <t>indeed</t>
        </is>
      </c>
      <c r="E44" t="inlineStr"/>
      <c r="F44" t="inlineStr"/>
      <c r="G44" t="inlineStr">
        <is>
          <t>Beachwood, OH, US</t>
        </is>
      </c>
      <c r="H44" s="2" t="n">
        <v>46033</v>
      </c>
      <c r="I44" t="inlineStr">
        <is>
          <t>Eaton’s Corporate Sector division is currently seeking a Senior Manager Product Owner. The expected annual salary range for this role is $165000 \- $242000 a year. This position is also eligible for a variable incentive program.
Please note the salary information shown above is a general guideline only. Salaries are based upon candidate skills, experience, and qualifications, as well as market and business considerations.
**Job Summary**
---------------
The Product Line Owner plays a crucial role in overseeing multiple products, either directly or through the management of other product owners. This individual is responsible for setting and championing the product vision, collaborating with key senior leaders to influence strategic business objectives, developing and maintaining the product roadmap, and defining essential operational processes, including the product release schedule.
**Key responsibilities include:**
* Working closely with business partners and customers to define epics that align with key business objectives for the Scrum or Kanban team.
* Communicating strategy and status effectively at the C level.
* Tracking and managing product funding while defining work priorities for the product team.
* Balancing new features with continuous improvement, system health, and support.
The Product Line Owner collaborates with multiple product teams, including analysts, engineers, and other members, to execute the product roadmap, guide the product development lifecycle, define user stories, and represent the voice of the customer across relevant portfolios and business units.
**What you’ll do:**
-------------------
**Job Responsibilities**
* Define and champion the product vision, roadmap, and epics, working with senior leaders to craft strategic business objectives and enterprise\-spanning plans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including across Eaton's portfolio and with other business units
* Drive definition and continuous improvement of product processes (e.g., Lean, Agile, Scrum, DevSecOps, etc.)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Manage vendor strategy and relationship."
**Qualifications:**
-------------------
**Basic Qualificaitons:**
* Bachelor’s degree from an accredited institution
* Minimum of ten (10\) years of experience as an analyst, BRM, project manager, engineer or program lead on highly complex technology projects and programs.
* Minimum of seven (7\) years of experience as a Product Owner or equivalent position.
* Legally authorized to work in the U.S. without company sponsorship now or in the future.
* No relocation benefit is being offered for this position. Only candidates within a 50\-mile radius of Beachwood, OH: Galesburg MI,, Houston TX, Menomonee Falls WI, Moon Township PA, or Raleigh NC will be considered. Active\-Duty Military Service member candidates are exempt from the geographical area limitation.
* This position requires access to export\-controlled information. To conform to U.S. Government export regulations applicable to that information, applicant must be a U.S. person, defined as a (i) U.S. citizen or national, (ii) U.S. lawful, permanent resident (green card holder), (iii) refugee under 8 U.S.C. § 1157, or (iv) asylee under 8 U.S.C. § 1158
 **Preferred Qualifications:**
* Expertise with product management and modern product delivery processes
* Strong understanding of and experience working with Agile, Scrum, and/or Kanban software delivery teams
* Strong understanding of DevSecOps principles
* Strong understanding of modern software development principles including code management, test automation, APIs, microservices, and cloud services.
 **Soft skills**
* Executive communication skills
* Strong knowledge of and experience working with design thinking methodologies
* Expertise with creation and management of product roadmaps
* Strong understanding of lean principles with respect to product and portfolio management
* Data orientation and ability to make data\-driven decisions
* Passion for great customer experiences
* Financial and budget management
* Comfortable working directly with business leaders, external customers, and engineering teams
* Proven ability to drive change across organizational boundaries
* Experience working with diverse, global cultures, organizations and teams"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45">
      <c r="A45" t="inlineStr">
        <is>
          <t>in-ec515c3a06ab11ad</t>
        </is>
      </c>
      <c r="B45" t="inlineStr">
        <is>
          <t>Senior Manager Product Owner</t>
        </is>
      </c>
      <c r="C45" t="inlineStr">
        <is>
          <t>Eaton</t>
        </is>
      </c>
      <c r="D45" t="inlineStr">
        <is>
          <t>indeed</t>
        </is>
      </c>
      <c r="E45" t="inlineStr"/>
      <c r="F45" t="inlineStr"/>
      <c r="G45" t="inlineStr">
        <is>
          <t>Coraopolis, PA, US</t>
        </is>
      </c>
      <c r="H45" s="2" t="n">
        <v>46033</v>
      </c>
      <c r="I45" t="inlineStr">
        <is>
          <t>Eaton’s Corporate Sector division is currently seeking a Senior Manager Product Owner. The expected annual salary range for this role is $165000 \- $242000 a year. This position is also eligible for a variable incentive program.
Please note the salary information shown above is a general guideline only. Salaries are based upon candidate skills, experience, and qualifications, as well as market and business considerations.
**Job Summary**
---------------
The Product Line Owner plays a crucial role in overseeing multiple products, either directly or through the management of other product owners. This individual is responsible for setting and championing the product vision, collaborating with key senior leaders to influence strategic business objectives, developing and maintaining the product roadmap, and defining essential operational processes, including the product release schedule.
**Key responsibilities include:**
* Working closely with business partners and customers to define epics that align with key business objectives for the Scrum or Kanban team.
* Communicating strategy and status effectively at the C level.
* Tracking and managing product funding while defining work priorities for the product team.
* Balancing new features with continuous improvement, system health, and support.
The Product Line Owner collaborates with multiple product teams, including analysts, engineers, and other members, to execute the product roadmap, guide the product development lifecycle, define user stories, and represent the voice of the customer across relevant portfolios and business units.
**What you’ll do:**
-------------------
**Job Responsibilities**
* Define and champion the product vision, roadmap, and epics, working with senior leaders to craft strategic business objectives and enterprise\-spanning plans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including across Eaton's portfolio and with other business units
* Drive definition and continuous improvement of product processes (e.g., Lean, Agile, Scrum, DevSecOps, etc.)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Manage vendor strategy and relationship."
**Qualifications:**
-------------------
**Basic Qualificaitons:**
* Bachelor’s degree from an accredited institution
* Minimum of ten (10\) years of experience as an analyst, BRM, project manager, engineer or program lead on highly complex technology projects and programs.
* Minimum of seven (7\) years of experience as a Product Owner or equivalent position.
* Legally authorized to work in the U.S. without company sponsorship now or in the future.
* No relocation benefit is being offered for this position. Only candidates within a 50\-mile radius of Beachwood, OH: Galesburg MI,, Houston TX, Menomonee Falls WI, Moon Township PA, or Raleigh NC will be considered. Active\-Duty Military Service member candidates are exempt from the geographical area limitation.
* This position requires access to export\-controlled information. To conform to U.S. Government export regulations applicable to that information, applicant must be a U.S. person, defined as a (i) U.S. citizen or national, (ii) U.S. lawful, permanent resident (green card holder), (iii) refugee under 8 U.S.C. § 1157, or (iv) asylee under 8 U.S.C. § 1158
 **Preferred Qualifications:**
* Expertise with product management and modern product delivery processes
* Strong understanding of and experience working with Agile, Scrum, and/or Kanban software delivery teams
* Strong understanding of DevSecOps principles
* Strong understanding of modern software development principles including code management, test automation, APIs, microservices, and cloud services.
 **Soft skills**
* Executive communication skills
* Strong knowledge of and experience working with design thinking methodologies
* Expertise with creation and management of product roadmaps
* Strong understanding of lean principles with respect to product and portfolio management
* Data orientation and ability to make data\-driven decisions
* Passion for great customer experiences
* Financial and budget management
* Comfortable working directly with business leaders, external customers, and engineering teams
* Proven ability to drive change across organizational boundaries
* Experience working with diverse, global cultures, organizations and teams"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46">
      <c r="A46" t="inlineStr">
        <is>
          <t>in-9faafae44fd37125</t>
        </is>
      </c>
      <c r="B46" t="inlineStr">
        <is>
          <t>Senior Manager Product Owner</t>
        </is>
      </c>
      <c r="C46" t="inlineStr">
        <is>
          <t>Eaton</t>
        </is>
      </c>
      <c r="D46" t="inlineStr">
        <is>
          <t>indeed</t>
        </is>
      </c>
      <c r="E46" t="inlineStr"/>
      <c r="F46" t="inlineStr"/>
      <c r="G46" t="inlineStr">
        <is>
          <t>Houston, TX, US</t>
        </is>
      </c>
      <c r="H46" s="2" t="n">
        <v>46033</v>
      </c>
      <c r="I46" t="inlineStr">
        <is>
          <t>Eaton’s Corporate Sector division is currently seeking a Senior Manager Product Owner. The expected annual salary range for this role is $165000 \- $242000 a year. This position is also eligible for a variable incentive program.
Please note the salary information shown above is a general guideline only. Salaries are based upon candidate skills, experience, and qualifications, as well as market and business considerations.
**Job Summary**
---------------
The Product Line Owner plays a crucial role in overseeing multiple products, either directly or through the management of other product owners. This individual is responsible for setting and championing the product vision, collaborating with key senior leaders to influence strategic business objectives, developing and maintaining the product roadmap, and defining essential operational processes, including the product release schedule.
**Key responsibilities include:**
* Working closely with business partners and customers to define epics that align with key business objectives for the Scrum or Kanban team.
* Communicating strategy and status effectively at the C level.
* Tracking and managing product funding while defining work priorities for the product team.
* Balancing new features with continuous improvement, system health, and support.
The Product Line Owner collaborates with multiple product teams, including analysts, engineers, and other members, to execute the product roadmap, guide the product development lifecycle, define user stories, and represent the voice of the customer across relevant portfolios and business units.
**What you’ll do:**
-------------------
**Job Responsibilities**
* Define and champion the product vision, roadmap, and epics, working with senior leaders to craft strategic business objectives and enterprise\-spanning plans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including across Eaton's portfolio and with other business units
* Drive definition and continuous improvement of product processes (e.g., Lean, Agile, Scrum, DevSecOps, etc.)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Manage vendor strategy and relationship."
**Qualifications:**
-------------------
**Basic Qualificaitons:**
* Bachelor’s degree from an accredited institution
* Minimum of ten (10\) years of experience as an analyst, BRM, project manager, engineer or program lead on highly complex technology projects and programs.
* Minimum of seven (7\) years of experience as a Product Owner or equivalent position.
* Legally authorized to work in the U.S. without company sponsorship now or in the future.
* No relocation benefit is being offered for this position. Only candidates within a 50\-mile radius of Beachwood, OH: Galesburg MI,, Houston TX, Menomonee Falls WI, Moon Township PA, or Raleigh NC will be considered. Active\-Duty Military Service member candidates are exempt from the geographical area limitation.
* This position requires access to export\-controlled information. To conform to U.S. Government export regulations applicable to that information, applicant must be a U.S. person, defined as a (i) U.S. citizen or national, (ii) U.S. lawful, permanent resident (green card holder), (iii) refugee under 8 U.S.C. § 1157, or (iv) asylee under 8 U.S.C. § 1158
 **Preferred Qualifications:**
* Expertise with product management and modern product delivery processes
* Strong understanding of and experience working with Agile, Scrum, and/or Kanban software delivery teams
* Strong understanding of DevSecOps principles
* Strong understanding of modern software development principles including code management, test automation, APIs, microservices, and cloud services.
 **Soft skills**
* Executive communication skills
* Strong knowledge of and experience working with design thinking methodologies
* Expertise with creation and management of product roadmaps
* Strong understanding of lean principles with respect to product and portfolio management
* Data orientation and ability to make data\-driven decisions
* Passion for great customer experiences
* Financial and budget management
* Comfortable working directly with business leaders, external customers, and engineering teams
* Proven ability to drive change across organizational boundaries
* Experience working with diverse, global cultures, organizations and teams"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47">
      <c r="A47" t="inlineStr">
        <is>
          <t>in-b13daef6dd64f959</t>
        </is>
      </c>
      <c r="B47" t="inlineStr">
        <is>
          <t>Senior Manager Product Owner</t>
        </is>
      </c>
      <c r="C47" t="inlineStr">
        <is>
          <t>Eaton</t>
        </is>
      </c>
      <c r="D47" t="inlineStr">
        <is>
          <t>indeed</t>
        </is>
      </c>
      <c r="E47" t="inlineStr"/>
      <c r="F47" t="inlineStr"/>
      <c r="G47" t="inlineStr">
        <is>
          <t>Raleigh, NC, US</t>
        </is>
      </c>
      <c r="H47" s="2" t="n">
        <v>46033</v>
      </c>
      <c r="I47" t="inlineStr">
        <is>
          <t>Eaton’s Corporate Sector division is currently seeking a Senior Manager Product Owner. The expected annual salary range for this role is $165000 \- $242000 a year. This position is also eligible for a variable incentive program.
Please note the salary information shown above is a general guideline only. Salaries are based upon candidate skills, experience, and qualifications, as well as market and business considerations.
**Job Summary**
---------------
The Product Line Owner plays a crucial role in overseeing multiple products, either directly or through the management of other product owners. This individual is responsible for setting and championing the product vision, collaborating with key senior leaders to influence strategic business objectives, developing and maintaining the product roadmap, and defining essential operational processes, including the product release schedule.
**Key responsibilities include:**
* Working closely with business partners and customers to define epics that align with key business objectives for the Scrum or Kanban team.
* Communicating strategy and status effectively at the C level.
* Tracking and managing product funding while defining work priorities for the product team.
* Balancing new features with continuous improvement, system health, and support.
The Product Line Owner collaborates with multiple product teams, including analysts, engineers, and other members, to execute the product roadmap, guide the product development lifecycle, define user stories, and represent the voice of the customer across relevant portfolios and business units.
**What you’ll do:**
-------------------
**Job Responsibilities**
* Define and champion the product vision, roadmap, and epics, working with senior leaders to craft strategic business objectives and enterprise\-spanning plans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including across Eaton's portfolio and with other business units
* Drive definition and continuous improvement of product processes (e.g., Lean, Agile, Scrum, DevSecOps, etc.)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Manage vendor strategy and relationship."
**Qualifications:**
-------------------
**Basic Qualificaitons:**
* Bachelor’s degree from an accredited institution
* Minimum of ten (10\) years of experience as an analyst, BRM, project manager, engineer or program lead on highly complex technology projects and programs.
* Minimum of seven (7\) years of experience as a Product Owner or equivalent position.
* Legally authorized to work in the U.S. without company sponsorship now or in the future.
* No relocation benefit is being offered for this position. Only candidates within a 50\-mile radius of Beachwood, OH: Galesburg MI,, Houston TX, Menomonee Falls WI, Moon Township PA, or Raleigh NC will be considered. Active\-Duty Military Service member candidates are exempt from the geographical area limitation.
* This position requires access to export\-controlled information. To conform to U.S. Government export regulations applicable to that information, applicant must be a U.S. person, defined as a (i) U.S. citizen or national, (ii) U.S. lawful, permanent resident (green card holder), (iii) refugee under 8 U.S.C. § 1157, or (iv) asylee under 8 U.S.C. § 1158
 **Preferred Qualifications:**
* Expertise with product management and modern product delivery processes
* Strong understanding of and experience working with Agile, Scrum, and/or Kanban software delivery teams
* Strong understanding of DevSecOps principles
* Strong understanding of modern software development principles including code management, test automation, APIs, microservices, and cloud services.
 **Soft skills**
* Executive communication skills
* Strong knowledge of and experience working with design thinking methodologies
* Expertise with creation and management of product roadmaps
* Strong understanding of lean principles with respect to product and portfolio management
* Data orientation and ability to make data\-driven decisions
* Passion for great customer experiences
* Financial and budget management
* Comfortable working directly with business leaders, external customers, and engineering teams
* Proven ability to drive change across organizational boundaries
* Experience working with diverse, global cultures, organizations and teams"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48">
      <c r="A48" t="inlineStr">
        <is>
          <t>in-03b9f567a9807308</t>
        </is>
      </c>
      <c r="B48" t="inlineStr">
        <is>
          <t>Senior Manager Product Owner</t>
        </is>
      </c>
      <c r="C48" t="inlineStr">
        <is>
          <t>Eaton</t>
        </is>
      </c>
      <c r="D48" t="inlineStr">
        <is>
          <t>indeed</t>
        </is>
      </c>
      <c r="E48" t="inlineStr"/>
      <c r="F48" t="inlineStr"/>
      <c r="G48" t="inlineStr">
        <is>
          <t>Galesburg, MI, US</t>
        </is>
      </c>
      <c r="H48" s="2" t="n">
        <v>46033</v>
      </c>
      <c r="I48" t="inlineStr">
        <is>
          <t>Eaton’s Corporate Sector division is currently seeking a Senior Manager Product Owner. The expected annual salary range for this role is $165000 \- $242000 a year. This position is also eligible for a variable incentive program.
Please note the salary information shown above is a general guideline only. Salaries are based upon candidate skills, experience, and qualifications, as well as market and business considerations.
**Job Summary**
---------------
The Product Line Owner plays a crucial role in overseeing multiple products, either directly or through the management of other product owners. This individual is responsible for setting and championing the product vision, collaborating with key senior leaders to influence strategic business objectives, developing and maintaining the product roadmap, and defining essential operational processes, including the product release schedule.
**Key responsibilities include:**
* Working closely with business partners and customers to define epics that align with key business objectives for the Scrum or Kanban team.
* Communicating strategy and status effectively at the C level.
* Tracking and managing product funding while defining work priorities for the product team.
* Balancing new features with continuous improvement, system health, and support.
The Product Line Owner collaborates with multiple product teams, including analysts, engineers, and other members, to execute the product roadmap, guide the product development lifecycle, define user stories, and represent the voice of the customer across relevant portfolios and business units.
**What you’ll do:**
-------------------
**Job Responsibilities**
* Define and champion the product vision, roadmap, and epics, working with senior leaders to craft strategic business objectives and enterprise\-spanning plans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including across Eaton's portfolio and with other business units
* Drive definition and continuous improvement of product processes (e.g., Lean, Agile, Scrum, DevSecOps, etc.)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Manage vendor strategy and relationship."
**Qualifications:**
-------------------
**Basic Qualificaitons:**
* Bachelor’s degree from an accredited institution
* Minimum of ten (10\) years of experience as an analyst, BRM, project manager, engineer or program lead on highly complex technology projects and programs.
* Minimum of seven (7\) years of experience as a Product Owner or equivalent position.
* Legally authorized to work in the U.S. without company sponsorship now or in the future.
* No relocation benefit is being offered for this position. Only candidates within a 50\-mile radius of Beachwood, OH: Galesburg MI,, Houston TX, Menomonee Falls WI, Moon Township PA, or Raleigh NC will be considered. Active\-Duty Military Service member candidates are exempt from the geographical area limitation.
* This position requires access to export\-controlled information. To conform to U.S. Government export regulations applicable to that information, applicant must be a U.S. person, defined as a (i) U.S. citizen or national, (ii) U.S. lawful, permanent resident (green card holder), (iii) refugee under 8 U.S.C. § 1157, or (iv) asylee under 8 U.S.C. § 1158
 **Preferred Qualifications:**
* Expertise with product management and modern product delivery processes
* Strong understanding of and experience working with Agile, Scrum, and/or Kanban software delivery teams
* Strong understanding of DevSecOps principles
* Strong understanding of modern software development principles including code management, test automation, APIs, microservices, and cloud services.
 **Soft skills**
* Executive communication skills
* Strong knowledge of and experience working with design thinking methodologies
* Expertise with creation and management of product roadmaps
* Strong understanding of lean principles with respect to product and portfolio management
* Data orientation and ability to make data\-driven decisions
* Passion for great customer experiences
* Financial and budget management
* Comfortable working directly with business leaders, external customers, and engineering teams
* Proven ability to drive change across organizational boundaries
* Experience working with diverse, global cultures, organizations and teams"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49">
      <c r="A49" t="inlineStr">
        <is>
          <t>in-5f4bde234227ef10</t>
        </is>
      </c>
      <c r="B49" t="inlineStr">
        <is>
          <t>Energy Analytics Program Manager</t>
        </is>
      </c>
      <c r="C49" t="inlineStr">
        <is>
          <t>Microsoft</t>
        </is>
      </c>
      <c r="D49" t="inlineStr">
        <is>
          <t>indeed</t>
        </is>
      </c>
      <c r="E49" t="inlineStr"/>
      <c r="F49" t="inlineStr"/>
      <c r="G49" t="inlineStr">
        <is>
          <t>Redmond, WA, US</t>
        </is>
      </c>
      <c r="H49" s="2" t="n">
        <v>46020</v>
      </c>
      <c r="I49" t="inlineStr">
        <is>
          <t>**Overview** **Microsoft’s Cloud Operations \&amp; Innovation (CO\+I)** team is responsible for the full lifecycle of Microsoft’s cloud infrastructure, spanning site selection, development, and operations. Our global footprint includes more than 400 datacenters in 34 countries, supported by over 165,000 miles of fiber optic cable. These facilities form the backbone of Microsoft Azure and are central to our commitment to reliable, secure, and sustainable digital infrastructure.
**The CO\+I Energy Analytics team builds data platforms and insights that support Microsoft’s global datacenter growth and sustainability goals.**
We work across the CO\+I Energy Team to translate complex energy data into trusted, actionable insights that inform decisions at scale. Our work helps the Energy Team plan, operate, and optimize responsibly as Microsoft continues to grow its cloud footprint worldwide and solidify its leadership in providing infrastructure for the global AI economy.
We value diverse perspectives, a growth mindset, and data‑driven problem solving. Our team takes a collaborative, end‑to‑end approach to challenges—combining technical rigor with curiosity and continuous learning—to deliver meaningful impact.
**As an Energy Analytics Program Manager,** you will be focused on developing the business analytics and actionable insights required to operate and scale one of the world’s largest corporate energy portfolios. A successful candidate will have a strong understanding of the utility industry, large load energy management, and electricity market structures. They will have the ability to identify and solve problems, collaborate with cross\-functional teams to identify business needs, and independently drive initiatives to completion. They will bring an innovative, collaborative presence to the role to enable energy analytics to scale with confidence as our portfolio grows, helping the business realize growth goals, manage costs, and meet sustainability targets. This role will provide the candidate with a unique opportunity to join a high impact team and gain exposure to business\-critical topics of energy markets and data center infrastructure.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**Market Intelligence \&amp; Rates:** Develop and manage analyses and content related to the global data center portfolio including studies, methodologies, and performance metrics. Research markets, competitors, and industry trends. Performs analysis of supplier pricing, cost, capabilities, and capacity for data centers.
* **Sourcing Strategy:** Support the development of forecasting tools and processes, collaborates across large cross\-functional organization, sets targets, makes and delivers to budget commitments.
* **Program Management:** Collaborate with partner teams to develop strategies to align and manage infrastructure delivery and customer load\-side analytics and goals. Collaborates with others to track, coordinate, and communicate end\-to\-end project schedules for multiple features or functional areas (e.g., product, service, systems), leveraging automation, artificial intelligence, and/or workflows where applicable. Helps monitor processes and hold stakeholders accountable for following the established schedule and processes. Help track and manage dependencies to enable cohesive, connected user scenarios, and to identify potential risk areas and escalate appropriately. Begins to adjust or course correction when projects are not aligned to schedules or goals.
* **Orchestration and Collaboration:** Works within and across teams to enable data sources, methodologies, analytical tools and processes, and business needs, to facilitate relevant insight generation, reporting, and interpretation. Engages stakeholders to identify and act on opportunities to leverage resources and solutions that were instrumental to success in similar contexts, and consults across teams on decisions related to analyses, insights reporting, and/or their interpretations.
* **Other**
* + Embody our Culture and Values
**Qualifications*** **Required/minimum qualifications**
Master's degree in Business, Supply Chain Management, Engineering, Materials Science, or related field AND 1\+ year(s) experience in procurement, supply chain, sourcing, engineering, operations, or relevant sales\-related roles OR Bachelor's degree in Business, Supply Chain Management, Engineering, Materials Science, or related field AND 2\+ years experience in procurement, supply chain, sourcing, engineering, operations, or relevant sales\-related roles OR equivalent experience.
* **Additional or preferred qualifications**
Master's degree in Business, Supply Chain Management, Engineering, Materials Science, or related field AND 3\+ years experience in procurement, supply chain, sourcing, engineering, operations, or relevant sales\-related roles OR Bachelor's degree in Business, Supply Chain Management, Engineering, Materials Science, or related field AND 5\+ years experience in procurement, supply chain, sourcing, engineering, operations, or relevant sales\-related roles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Sourcing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0">
      <c r="A50" t="inlineStr">
        <is>
          <t>in-0aa5776bf96c4b35</t>
        </is>
      </c>
      <c r="B50" t="inlineStr">
        <is>
          <t>Senior Product Manager</t>
        </is>
      </c>
      <c r="C50" t="inlineStr">
        <is>
          <t>Microsoft</t>
        </is>
      </c>
      <c r="D50" t="inlineStr">
        <is>
          <t>indeed</t>
        </is>
      </c>
      <c r="E50" t="inlineStr"/>
      <c r="F50" t="inlineStr"/>
      <c r="G50" t="inlineStr">
        <is>
          <t>Redmond, WA, US</t>
        </is>
      </c>
      <c r="H50" s="2" t="n">
        <v>46016</v>
      </c>
      <c r="I50" t="inlineStr">
        <is>
          <t>**Overview**  
Microsoft Cloud Operations \+ Innovation (CO\+I) is responsible for managing one of the world’s largest cloud infrastructures. CO\+I oversees the delivery of more than 200 Microsoft web portals, as well as Live and Online Services globally, encompassing areas such as infrastructure, security and compliance, operations, globalization, and manageability. The team emphasizes intelligent growth, operational efficiency, and providing a trusted experience to customers and partners worldwide. We are seeking a dedicated and dynamic professional to contribute to building the network that supports leading online services.
The Infrastructure Planning and Execution Center of Excellence team (IPA CoE) is responsible for enabling and optimizing the foundation that supports infrastructure delivery and execution for Land, Energy, Networking, and Datacenter Planning through efficient processes, data driven decision making, innovation, and delivering automated and integrated tool sets.
As a Senior Product Manager, you will own and guide technology initiatives from ideation and strategic development through requirements gathering, process enhancement, and execution to advance our organization’s next generation of core services.
In this capacity, you will serve as a vital liaison between Region Design, Datacenter Planning business stakeholders, and internal engineering teams. You will analyze and document customer processes to map critical information flows and key handoffs within a complex environment comprising numerous stakeholders and multiple internal and external systems. Additionally, you will assess current process maturity and develop actionable improvement plans. Engaging with customers, you will identify objectives, unmet needs, and pain points, transforming these insights into comprehensive “To\-Be” processes and high quality requirements that support end\-to\-end customer scenarios.
Throughout the product development lifecycle, you will lead projects aimed at promoting high\-quality, scalable technology solutions with appropriate flexibility, while fostering successful implementation within a customer\-centric, innovative, and collaborative team culture.
Your primary responsibilities will include driving enhancements and results through technological solutions and process improvements for Region Design and Datacenter Planning business functions, while maintaining a holistic perspective.
Aligned with Microsoft’s core values, we are committed to fostering an inclusive workplace where all employees can positively shape our organizational culture each day.
 **Responsibilities**  
* Collaborate with Business architecture, Product Managers, Business partners and Engineering teams to create program \&amp; strategy roadmaps, project plan and execute on programs and initiatives
* Work closely with engineers, partners, and stakeholders to gather, define and prioritize requirements and ensure alignment on end\-to\-end scenarios
* Listen and learn directly from customers and through customer data to ensure we’re making correct decisions each step of the way.
* Drive analysis on current inefficiencies and provide thoughtful solutions with clear downstream impacts that contribute to overall business goals and strategies, enabling us to scale to meet projected demand growth for our cloud business
* Collaborate with business and engineering teams to create To Be process flows and drive change management aligned with business and technical initiatives.
* Remove process ambiguity and drive to clear solutions that are delivered with high quality
* Coordinate with all segments and functional organizations at both the executive and project team levels, to ensure clarity on requirements, workflow and process
* Primary point of contact interfacing between business and engineering driving enhancements and results through technological solutions and process improvements
* Manage schedules, risks, and issues and communicate them effectively to the team, management, and partners.
* Champion engineering and operational excellence, establishing metrics and process for regular assessment and improvement
* Use data and analytics to support the business
**Qualifications**  
* Bachelor's Degree AND 5\+ years experience in product/service/program management or software development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While not required, we also look for the following**Preferred Qualifications:**
* BA/BS Degree in Computer Science, Supply Chain, Engineering or related technical discipline, or 5\+ years of related professional experience.
* Previous experience with Planning Processes, Inventory Management, Supply Planning principles and/or tooling in a Supply Chain for Hi\-Tech or Hyperscaler industry environment
* 5\+ years of experience in Program Management or Product Management: defining, driving, and shipping software products or services utilizing both waterfall and agile methodologies
* Track record of effectively collaborating across feature teams and disciplines as a contributor or leader
* Planning and time management skills, the ability to simultaneously manage multiple projects with time results\- driven timelines and be able to prioritize work accordingly
* Proven ability to define customer\-focused scenarios, author detailed requirements, process flows, functional specifications, and demonstrated ability to lead virtual teams to ensure that scenarios are delivered end\-to\-end at product milestones.
* Ability to navigate in an ambiguous environment.
* Ability to assemble and articulate a simple strategy out of complex concepts and disparate requirements
* Advanced proficiency in data analysis, including extracting information from diverse sources using SQL and Kusto queries. Capable of analyzing data, drawing insights, and effectively summarizing findings to present to stakeholders in order to facilitate focused and objective discussions
* Clear and concise communication skills, both written and verbal
* Advanced knowledge of Data Center specific supply chain with specific focus on region design, supply planning and optimization, complexity due to data center design and hardware life cycle, knowledge of critical infrastructure and constraints, combined with in depth understanding of S\&amp;OP
* Experience/background in supply chain planning
* Experience/background with advanced Supply Planning software like SAP IBP, Kinaxis RapidResponse, Blue Yonder
* Advanced business acumen
* Detailed oriented and thorough
* Proficiency using Microsoft Office Suite, OneNote, SharePoint, Power BI.
* Experience with Kusto, SQL, DAX, and other data analysis tools
* Advance problem\-solving skills
* Proven success working in a complex environment and across a diverse set of business, engineering, and operational stakeholders
* Track record of problem\-solving and achieving results through digital transformation
* Agile in focus and communications \- shifting from strategic to tactical depending on the needs of the day and the audience
* Embraces continuous improvement and new ways of doing thing
\#COICareers \| \#EPCCareers \| \#DCDCareers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1">
      <c r="A51" t="inlineStr">
        <is>
          <t>in-c16563290ce63fc0</t>
        </is>
      </c>
      <c r="B51" t="inlineStr">
        <is>
          <t>Sr. Supply Chain Product Manager, Amazon Custom Modules</t>
        </is>
      </c>
      <c r="C51" t="inlineStr">
        <is>
          <t>Amazon.com</t>
        </is>
      </c>
      <c r="D51" t="inlineStr">
        <is>
          <t>indeed</t>
        </is>
      </c>
      <c r="E51" t="inlineStr"/>
      <c r="F51" t="inlineStr"/>
      <c r="G51" t="inlineStr">
        <is>
          <t>Austin, TX, US</t>
        </is>
      </c>
      <c r="H51" s="2" t="n">
        <v>45935</v>
      </c>
      <c r="I5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in-2bf230e56cf87d00</t>
        </is>
      </c>
      <c r="B52" t="inlineStr">
        <is>
          <t>Senior Lead Technical Product Manager</t>
        </is>
      </c>
      <c r="C52" t="inlineStr">
        <is>
          <t>ADP</t>
        </is>
      </c>
      <c r="D52" t="inlineStr">
        <is>
          <t>indeed</t>
        </is>
      </c>
      <c r="E52" t="inlineStr"/>
      <c r="F52" t="inlineStr"/>
      <c r="G52" t="inlineStr">
        <is>
          <t>Roseland, NJ, US</t>
        </is>
      </c>
      <c r="H52" s="2" t="n">
        <v>46042</v>
      </c>
      <c r="I52" t="inlineStr">
        <is>
          <t>**ADP is hiring a Senior Lead Technical Product Manager**
*We’re hiring a Senior Lead Technical Product Manager* to join the team working on ADP’s next\-generation SMB HCM/Payroll platform. *You’ll join a growing team of PMs, designers, engineers, and data scientists combining emerging technologies with ADP’s industry leading HCM expertise to develop first\-of\-their\-kind products in payroll, HR, time, benefits, and compliance.*
*We’re looking for someone who thrives on ambiguity, rapid change, and hard operational constraints. You’ll operate with wide latitude, working across technical, business, and design partners to clarify messy requirements, shape and socialize durable roadmaps, and architect product decisions that build real\-world customer trust and confidence. You know your toolbox, but you’re eager to expand it, bringing a repertoire of planning, prioritization, and validation techniques from experience across diverse domains and problems.*
*You’re energized by new problems, able to defend your product decisions, and ready to push for technical, design, and market excellence. You raise the overall craft level by sharing approaches, mentoring junior teammates, and embodying high standards and best practices.*
Like what you see?**Apply now!**
**Learn more about ADP at jobs.adp.com**
**Here's what you can expect on a typical day:**
* **Scrums and keeping momentum:**You’ll work with multiple teams (sometimes at once) to clarify responsibilities, anticipate obstacles, and keep priorities moving. You represent in cross\-team forums and are often the go\-to for gnarlier x\-org, vendor, or integration blockers.
* **Research \&amp; Requirements:**Beyond authoring sharp briefs, you scope and pressure\-test requirements, incorporating your own primary research, prototypes, or validation experiments as needed. If there’s no test plan for the latest version of the model, or if analytics updates are dragging, you’ll pick up the baton and drive it yourself. You break down vague, multi\-path deliverables into testable, deliverable roadmap.
* **Relationships:**You build alliances in every direction, mentoring junior PMs or designers, leveling up team practices, and educating and collaborating with stakeholders. Your comms are sharp and your thoughtful approach to gaining alignment demonstrates the depth and range of your experience. You adapt formality, volume, and channel to fit your audience and moment.
* **Measurement:**You work backwards from outcomes. You set objectives up front, ensure the team and the product are set up with analytics and feedback capabilities, and adjust course as evidence emerges. You’re comfortable with various kinds and quality of data, and how to get it… whether analyzing KPIs, querying a database, or running a short user testing cycle.
* **Variety of work:**You wear many hats: drafting new technical specs for the data model, testing work\-in\-progress features and integrations, wireframing out rough solutions, investigating partner or internal API specs and SLAs, building business cases, slide\-smithing for upcoming reviews and updates. You do whatever advances the product.
* **Influence \&amp; Persuasion:**You present and defend priorities and positions with pressure\-testing executives and skeptical teams. In your interactions with stakeholders, you advance by emphasizing product thinking and decision\-making discipline.
* **Integrations:**You lead the charge on (external and internal) partner engagement, from technical diligence to execution and change management with Sales, Marketing, Operations, and Service teams.
**TO SUCCEED IN THIS ROLE:**
* You have a Bachelor’s degree or equivalent. Strong preference for those with technical training, HCI/HF/CS background, or other analytical and critical thinking background. Ideally, this is balanced with a deep interest in design and the business models underpinning today’s market\-leading digital products.
* You have 8\+ years of firsthand experience defining and delivering digital products with agile teams, discovering and documenting requirements, and embedding with agile scrum teams through execution and go to market. This includes working with data scientists and data engineers identifying, defining, testing, iterating, proving out, and shipping products powered by machine learning and GenAI that solve genuine customer and business problems.
* You’re comfortable digging into a technical platform driven by events\-based architecture and scalable data models, can query a database if needed, and can translate the technical tradeoffs for any audience.
* You’ve written or contributed to technical specifications for software systems, and can quickly adapt to internal toolkits for documentation.
* You will own end\-to\-end requirements definition, producing functional specifications that enable high\-quality engineering execution (in addition to user stories\-level definitions).
* You’re an exceptional listener and versatile communicator, naturally building rapport and trust at every level, with everyone you engage with.
* You are a natural optimist with the conviction that the right mindset and grit can overcome any problem — and a track record that backs it up. At the same time, you know when and how to temper your optimism without becoming a champion of the status quo or a cynic.
* You have successfully, productively integrated GenAI / LLM tooling into your professional workflows and are on top of the latest developments with this technology.
* You lead by example. You are sought out to mentor, challenge, and level\-up PM, UXR, or design peers. You practice and advocate for human\-centered design.
* You can debate architecture with engineers, partner on schema/API design, and adapt to new integration models. Architecture diagrams and data models do not give you stress nightmares.
* You’re an excellent, authentic, adaptive, versatile communicator. You can articulate the rationale behind a prioritization decision and gain buy\-in with stakeholders — sometimes at the expense of their own priorities. You can explain technical concepts in a way that resonates with non\-technical audiences. You can inspire and excite people through the power of your storytelling.
* You can operate independently in project mgmt tools like Jira, Confluence, etc for planning, documentation, tracking, and deployments.
* You have end\-to\-end wins in enterprise corp environments, can point to major products and features in market from kickoff to v1 launches, and can recite the performance metrics you’re proudest of and most embarrassed about from memory.
* Bonus for experience launching products in highly regulated domains e.g. payroll, tax, HR, fintech, healthcare, where compliance, auditability, and risk management were key success factors.
**YOU'LL LOVE WORKING HERE BECAUSE YOU CAN:**
.
* **Deliver at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What are you waiting for?**Apply today!**
Find out why people come to ADP and why they stay: https://youtu.be/ODb8lxBrxrY
(ADA version: https://youtu.be/IQjUCA8SOoA )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$91,900\.00 \- USD $246,240\.00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53">
      <c r="A53" t="inlineStr">
        <is>
          <t>in-5036787f07f35509</t>
        </is>
      </c>
      <c r="B53" t="inlineStr">
        <is>
          <t>Product Manager</t>
        </is>
      </c>
      <c r="C53" t="inlineStr">
        <is>
          <t>ADP</t>
        </is>
      </c>
      <c r="D53" t="inlineStr">
        <is>
          <t>indeed</t>
        </is>
      </c>
      <c r="E53" t="inlineStr"/>
      <c r="F53" t="inlineStr"/>
      <c r="G53" t="inlineStr">
        <is>
          <t>Roseland, NJ, US</t>
        </is>
      </c>
      <c r="H53" s="2" t="n">
        <v>46042</v>
      </c>
      <c r="I53" t="inlineStr">
        <is>
          <t>**ADP is hiring a Lead Technical Product Manager**
*We’re hiring a Lead Technical Product Manager* to join the team working on ADP’s next\-generation SMB HCM/Payroll platform. *You’ll join a growing team of PMs, designers, and engineers, and data scientists combining emerging technologies with ADP’s industry leading HCM expertise to develop first\-of\-their\-kind products in payroll, HR, time, benefits, and compliance.*
*We’re looking for someone comfortable with ambiguity, rapid change, and hard constraints: every decision needs to hold up under real\-world scale and desirability. You’ll work across technical, business, and design partners to clarify messy requirements, shape roadmap priorities, and build first\-of\-their\-kind HCM products. You’re energized by new problems, able to defend your product decisions, and ready to push for technical, design, and market excellence.*
Like what you see?**Apply now!**
**Learn more about ADP at jobs.adp.com**
**Here's what you can expect on a typical day:**
* You'll start each day working with teams to understand responsibilities, identify any issues, and communicate priorities. You'll continue to have meetings throughout the day as you collaborate across the organization to create and organize your roadmap and backlog.
* **Research \&amp; Requirements.** You'll work closely with design and technical SMEs. You’re excellent at writing sharp 1\-page design briefs with the key ingredients to inspire and guide the solutioning process. You'll document and prioritize product features, working backwards from a prototype, scope, or positioning document to break down user stories and specifications that development teams depend on to execute. You're always learning and researching new industry trends to make our products better. You'll incorporate what makes sense into your product roadmap based on our clients, the market, ADP's goals, and what impact the future of tech will have on your products.
* You'll create strong alliances with varied stakeholders and ensure everyone is in this together. You continually drive progress and innovation with technical and non\-technical partners, inspiring everyone to make the product the best it can be.
* You always work backwards from a vision for the future, including definitions of success. To ensure your product is on the right track and delivering the value you intend (for both clients and ADP), you routinely measure product effectiveness, report outcomes, and drive priorities to get fulfill the potential of the team and the technology.
* **Variety of work.** There is no typical day. You could be working with UX and UXR on journey maps in the morning, defining a backlog of upcoming enhancements in the afternoon, and creating the first draft of a brand new business case before logging off for the day. Best part? You'll get to see those ideas come to life.
* **Presentations \&amp; Persuasion.** You'll speak to internal and external stakeholders to communicate and defend ideas while answering critical questions. You’re capable at persuading and influencing partners with varying seniority and technical expertise.
* HCM covers too many domains for any one team (even a gigantic one) to fully build out its own solutions.You will partner with internal or external partners/vendors to help fill in some product gaps, and debate the merits of various integration approaches. Engaging with external partners, you will play a central role with teams including Business Development, Procurement, OpSec, as well as the vendor teams throughout the contracting and onboarding phase, and into delivery.
**TO SUCCEED IN THIS ROLE:**
* You have a Bachelor's degree OR equivalent. Bonus if you have (academically or personally) technical or critical analysis experience, HCI and/or CS exposure.
* You have 5\+ years of firsthand experience defining and delivering digital products with agile teams, discovering and documenting requirements, and embedding with agile scrum teams through execution and go to market.
* You’ve worked hands on with data scientists and data engineers identifying, defining, testing, iterating, proving out, and shipping software features powered by machine learning that solve genuine customer and business problems. Extra credit if you’ve shipped features with GenAI capabilities.
* You’re comfortable digging into a technical platform driven by events\-based architecture and scalable data models, can query a database if needed, and can translate the technical tradeoffs for any audience.
* You will own end\-to\-end requirements definition, producing detailed functional specifications that enable high\-quality engineering execution (not just user stories\-level definitions).
* You are an outstanding and empathetic listener. You effortlessly build rapport with people.
* You are a natural optimist with the conviction that the right mindset and grit can overcome any problem.
* You have successfully, productively integrated GenAI / LLM tooling into your professional workflows and are on top of the latest developments with this technology.
* You are an ardent advocate for and practitioner of human\-centered design principles.
* You can hold your own with Solutions and Technical Architects as you work through the pros and cons of various architectural approaches to solving a problem. Architecture diagrams and data models do not give you stress nightmares.
* You are an adaptive, versatile communicator. You can articulate the rationale behind a prioritization decision and gain buy\-in with stakeholders. You can explain technical concepts in ways that resonate with non\-technical audiences. You can inspire and excite people through the power of your storytelling.
* You can operate independently in project mgmt tools like Jira, Confluence, etc for planning, documentation, tracking, and deployments.
* You’ve successfully led and delivered high value software products and/or features in an enterprise environment.
* Bonus for experience launching products in highly regulated domains e.g. payroll, tax, HR, fintech, healthcare, where compliance, auditability, and risk management were key success factors.
**YOU'LL LOVE WORKING HERE BECAUSE YOU CAN:**
.
* **Deliver at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What are you waiting for?**Apply today!**
Find out why people come to ADP and why they stay: https://youtu.be/ODb8lxBrxrY
(ADA version: https://youtu.be/IQjUCA8SOoA )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$79,800\.00 \- USD $213,930\.00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54">
      <c r="A54" t="inlineStr">
        <is>
          <t>in-088735770a1fc00d</t>
        </is>
      </c>
      <c r="B54" t="inlineStr">
        <is>
          <t>Product Manager: Capital One Shopping (Remote-Eligible)</t>
        </is>
      </c>
      <c r="C54" t="inlineStr">
        <is>
          <t>Capital One</t>
        </is>
      </c>
      <c r="D54" t="inlineStr">
        <is>
          <t>indeed</t>
        </is>
      </c>
      <c r="E54" t="inlineStr"/>
      <c r="F54" t="inlineStr"/>
      <c r="G54" t="inlineStr">
        <is>
          <t>McLean, VA, US</t>
        </is>
      </c>
      <c r="H54" s="2" t="n">
        <v>46041</v>
      </c>
      <c r="I54" t="inlineStr">
        <is>
          <t>Product Manager: Capital One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We're looking for a Product Manager with a demonstrated interest and aptitude for AI. While formal on\-the\-job experience with AI is a plus, we highly value candidates who have proactively incorporated AI into their personal projects, explored AI\-driven development environments (e.g., Cursor, GitHub Copilot), or built automations using AI agents. Show us how you've used AI to learn, build, and solve problems beyond basic text generation.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At least 3 years of experience working in Product Management
* At least 3 years of experience with SQL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Capital One is open to hiring a Remote Employee for this opportunity.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$179,700 \- $205,100 for Manager, Product Management  
Remote (Regardless of Location): $149,800 \- $171,000 for Manager, Product Management  
McLean, VA: $164,800 \- $188,100 for Manager, Product Management  
San Francisco, CA: $179,700 \- $205,100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5">
      <c r="A55" t="inlineStr">
        <is>
          <t>in-f1260decae5a7b5b</t>
        </is>
      </c>
      <c r="B55" t="inlineStr">
        <is>
          <t>Sr. Product Manager Technical, Deal Tooling &amp; Insights, Strategic Customer Engagements</t>
        </is>
      </c>
      <c r="C55" t="inlineStr">
        <is>
          <t>Amazon Web Services</t>
        </is>
      </c>
      <c r="D55" t="inlineStr">
        <is>
          <t>indeed</t>
        </is>
      </c>
      <c r="E55" t="inlineStr"/>
      <c r="F55" t="inlineStr"/>
      <c r="G55" t="inlineStr">
        <is>
          <t>Austin, TX, US</t>
        </is>
      </c>
      <c r="H55" s="2" t="n">
        <v>45994</v>
      </c>
      <c r="I5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6">
      <c r="A56" t="inlineStr">
        <is>
          <t>in-70188fcedaf1ec44</t>
        </is>
      </c>
      <c r="B56" t="inlineStr">
        <is>
          <t>Sr. Product Manager Technical, Deal Tooling &amp; Insights, Strategic Customer Engagements</t>
        </is>
      </c>
      <c r="C56" t="inlineStr">
        <is>
          <t>Amazon Web Services</t>
        </is>
      </c>
      <c r="D56" t="inlineStr">
        <is>
          <t>indeed</t>
        </is>
      </c>
      <c r="E56" t="inlineStr"/>
      <c r="F56" t="inlineStr"/>
      <c r="G56" t="inlineStr">
        <is>
          <t>Herndon, VA, US</t>
        </is>
      </c>
      <c r="H56" s="2" t="n">
        <v>45994</v>
      </c>
      <c r="I5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7">
      <c r="A57" t="inlineStr">
        <is>
          <t>in-66355343af2d7e2d</t>
        </is>
      </c>
      <c r="B57" t="inlineStr">
        <is>
          <t>Sr. Product Manager Technical, Deal Tooling &amp; Insights, Strategic Customer Engagements</t>
        </is>
      </c>
      <c r="C57" t="inlineStr">
        <is>
          <t>Amazon Web Services</t>
        </is>
      </c>
      <c r="D57" t="inlineStr">
        <is>
          <t>indeed</t>
        </is>
      </c>
      <c r="E57" t="inlineStr"/>
      <c r="F57" t="inlineStr"/>
      <c r="G57" t="inlineStr">
        <is>
          <t>New York, NY, US</t>
        </is>
      </c>
      <c r="H57" s="2" t="n">
        <v>45994</v>
      </c>
      <c r="I5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8">
      <c r="A58" t="inlineStr">
        <is>
          <t>in-b2741938601221c3</t>
        </is>
      </c>
      <c r="B58" t="inlineStr">
        <is>
          <t>Sr. Product Manager Technical, Deal Tooling &amp; Insights, Strategic Customer Engagements</t>
        </is>
      </c>
      <c r="C58" t="inlineStr">
        <is>
          <t>Amazon Web Services</t>
        </is>
      </c>
      <c r="D58" t="inlineStr">
        <is>
          <t>indeed</t>
        </is>
      </c>
      <c r="E58" t="inlineStr"/>
      <c r="F58" t="inlineStr"/>
      <c r="G58" t="inlineStr">
        <is>
          <t>Seattle, WA, US</t>
        </is>
      </c>
      <c r="H58" s="2" t="n">
        <v>45994</v>
      </c>
      <c r="I5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9">
      <c r="A59" t="inlineStr">
        <is>
          <t>in-2e6c28c9ddca981a</t>
        </is>
      </c>
      <c r="B59" t="inlineStr">
        <is>
          <t>Sr. Product Manager Technical, Deal Tooling &amp; Insights, Strategic Customer Engagements</t>
        </is>
      </c>
      <c r="C59" t="inlineStr">
        <is>
          <t>Amazon Web Services</t>
        </is>
      </c>
      <c r="D59" t="inlineStr">
        <is>
          <t>indeed</t>
        </is>
      </c>
      <c r="E59" t="inlineStr"/>
      <c r="F59" t="inlineStr"/>
      <c r="G59" t="inlineStr">
        <is>
          <t>Dallas, TX, US</t>
        </is>
      </c>
      <c r="H59" s="2" t="n">
        <v>45994</v>
      </c>
      <c r="I5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0">
      <c r="A60" t="inlineStr">
        <is>
          <t>in-f10f20a41f5f324d</t>
        </is>
      </c>
      <c r="B60" t="inlineStr">
        <is>
          <t>Sr. Product Manager Technical, Deal Tooling &amp; Insights, Strategic Customer Engagements</t>
        </is>
      </c>
      <c r="C60" t="inlineStr">
        <is>
          <t>Amazon Web Services</t>
        </is>
      </c>
      <c r="D60" t="inlineStr">
        <is>
          <t>indeed</t>
        </is>
      </c>
      <c r="E60" t="inlineStr"/>
      <c r="F60" t="inlineStr"/>
      <c r="G60" t="inlineStr">
        <is>
          <t>Arlington, VA, US</t>
        </is>
      </c>
      <c r="H60" s="2" t="n">
        <v>45994</v>
      </c>
      <c r="I6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1">
      <c r="A61" t="inlineStr">
        <is>
          <t>in-97ed17b25dc74b0d</t>
        </is>
      </c>
      <c r="B61" t="inlineStr">
        <is>
          <t>Sr. Product Manager - Tech, WHS Data-Tech</t>
        </is>
      </c>
      <c r="C61" t="inlineStr">
        <is>
          <t>Amazon.com</t>
        </is>
      </c>
      <c r="D61" t="inlineStr">
        <is>
          <t>indeed</t>
        </is>
      </c>
      <c r="E61" t="inlineStr"/>
      <c r="F61" t="inlineStr"/>
      <c r="G61" t="inlineStr">
        <is>
          <t>Bellevue, WA, US</t>
        </is>
      </c>
      <c r="H61" s="2" t="n">
        <v>45836</v>
      </c>
      <c r="I61"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2">
      <c r="A62" t="inlineStr">
        <is>
          <t>in-9f63e92984c9dfff</t>
        </is>
      </c>
      <c r="B62" t="inlineStr">
        <is>
          <t>Sr. Product Manager - Tech, WHS Data-Tech</t>
        </is>
      </c>
      <c r="C62" t="inlineStr">
        <is>
          <t>Amazon.com</t>
        </is>
      </c>
      <c r="D62" t="inlineStr">
        <is>
          <t>indeed</t>
        </is>
      </c>
      <c r="E62" t="inlineStr"/>
      <c r="F62" t="inlineStr"/>
      <c r="G62" t="inlineStr">
        <is>
          <t>Nashville, TN, US</t>
        </is>
      </c>
      <c r="H62" s="2" t="n">
        <v>45836</v>
      </c>
      <c r="I6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3">
      <c r="A63" t="inlineStr">
        <is>
          <t>in-020f8384c07525a0</t>
        </is>
      </c>
      <c r="B63" t="inlineStr">
        <is>
          <t>Sr. Product Manager - Tech, WHS Data-Tech</t>
        </is>
      </c>
      <c r="C63" t="inlineStr">
        <is>
          <t>Amazon.com</t>
        </is>
      </c>
      <c r="D63" t="inlineStr">
        <is>
          <t>indeed</t>
        </is>
      </c>
      <c r="E63" t="inlineStr"/>
      <c r="F63" t="inlineStr"/>
      <c r="G63" t="inlineStr">
        <is>
          <t>Arlington, VA, US</t>
        </is>
      </c>
      <c r="H63" s="2" t="n">
        <v>45836</v>
      </c>
      <c r="I6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4">
      <c r="A64" t="inlineStr">
        <is>
          <t>in-4a648ffda4fc1cad</t>
        </is>
      </c>
      <c r="B64" t="inlineStr">
        <is>
          <t>Principal Product Manager - Technical, Alexa Communications</t>
        </is>
      </c>
      <c r="C64" t="inlineStr">
        <is>
          <t>Amazon.com</t>
        </is>
      </c>
      <c r="D64" t="inlineStr">
        <is>
          <t>indeed</t>
        </is>
      </c>
      <c r="E64" t="inlineStr"/>
      <c r="F64" t="inlineStr"/>
      <c r="G64" t="inlineStr">
        <is>
          <t>Seattle, WA, US</t>
        </is>
      </c>
      <c r="H64" s="2" t="n">
        <v>45993</v>
      </c>
      <c r="I6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in-10a82f81e22a506d</t>
        </is>
      </c>
      <c r="B65" t="inlineStr">
        <is>
          <t>Principal Product Manager - Technical, Alexa Communications</t>
        </is>
      </c>
      <c r="C65" t="inlineStr">
        <is>
          <t>Amazon.com</t>
        </is>
      </c>
      <c r="D65" t="inlineStr">
        <is>
          <t>indeed</t>
        </is>
      </c>
      <c r="E65" t="inlineStr"/>
      <c r="F65" t="inlineStr"/>
      <c r="G65" t="inlineStr">
        <is>
          <t>Sunnyvale, CA, US</t>
        </is>
      </c>
      <c r="H65" s="2" t="n">
        <v>45993</v>
      </c>
      <c r="I65"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in-f48b396bc422b468</t>
        </is>
      </c>
      <c r="B66" t="inlineStr">
        <is>
          <t>Principal Product Manager - Technical, Alexa Communications</t>
        </is>
      </c>
      <c r="C66" t="inlineStr">
        <is>
          <t>Amazon.com</t>
        </is>
      </c>
      <c r="D66" t="inlineStr">
        <is>
          <t>indeed</t>
        </is>
      </c>
      <c r="E66" t="inlineStr"/>
      <c r="F66" t="inlineStr"/>
      <c r="G66" t="inlineStr">
        <is>
          <t>Irvine, CA, US</t>
        </is>
      </c>
      <c r="H66" s="2" t="n">
        <v>45993</v>
      </c>
      <c r="I6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in-b793e2d751211072</t>
        </is>
      </c>
      <c r="B67" t="inlineStr">
        <is>
          <t>Senior Product Manager - Technical, Alexa Communications</t>
        </is>
      </c>
      <c r="C67" t="inlineStr">
        <is>
          <t>Amazon.com</t>
        </is>
      </c>
      <c r="D67" t="inlineStr">
        <is>
          <t>indeed</t>
        </is>
      </c>
      <c r="E67" t="inlineStr"/>
      <c r="F67" t="inlineStr"/>
      <c r="G67" t="inlineStr">
        <is>
          <t>Sunnyvale, CA, US</t>
        </is>
      </c>
      <c r="H67" s="2" t="n">
        <v>45851</v>
      </c>
      <c r="I6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in-748b4e56efe9b447</t>
        </is>
      </c>
      <c r="B68" t="inlineStr">
        <is>
          <t>Senior Product Manager - Technical, Alexa Communications</t>
        </is>
      </c>
      <c r="C68" t="inlineStr">
        <is>
          <t>Amazon.com</t>
        </is>
      </c>
      <c r="D68" t="inlineStr">
        <is>
          <t>indeed</t>
        </is>
      </c>
      <c r="E68" t="inlineStr"/>
      <c r="F68" t="inlineStr"/>
      <c r="G68" t="inlineStr">
        <is>
          <t>Seattle, WA, US</t>
        </is>
      </c>
      <c r="H68" s="2" t="n">
        <v>45851</v>
      </c>
      <c r="I6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in-f9e62ba6979e7de7</t>
        </is>
      </c>
      <c r="B69" t="inlineStr">
        <is>
          <t>Principal Product Manager</t>
        </is>
      </c>
      <c r="C69" t="inlineStr">
        <is>
          <t>Oracle</t>
        </is>
      </c>
      <c r="D69" t="inlineStr">
        <is>
          <t>indeed</t>
        </is>
      </c>
      <c r="E69" t="inlineStr"/>
      <c r="F69" t="inlineStr"/>
      <c r="G69" t="inlineStr">
        <is>
          <t>Seattle, WA, US</t>
        </is>
      </c>
      <c r="H69" s="2" t="n">
        <v>46041</v>
      </c>
      <c r="I69" t="inlineStr">
        <is>
          <t>In this role you will work with a set of ML engineers, Developers, cross functional marketing and partnership teams to launch new product MVP and iterate quickly to find a product market fit. You will be a vocal advocate for our customers within and outside OCI, defining requirements, making feature prioritization trade\-offs, collaborating with engineering teams. This role will be visible at the highest levels of the company and requires coordination across many internal and external teams and regular presentations to leadership teams. Good writing skills, and a good understanding of Generative AI landscape, current trends in the market and basic understanding of GPU compute and cloud computing is helpful.  
Who we’re looking for: an experienced PM leader with a proven ability to operate effectively at a strategic and tactical level; a self\-starter with bias to action who can lead new, highly visible projects with full autonomy. You will have a solid technical background – either gained through formal education or experience – and superlative communication skills. You will also have a demonstrable history of product development in the distributed systems and cloud technology domains. Past experience working with containers, Kubernetes, applied Gen AI applications, cloud computing and GPUs will help excel.
**What you'll do**
Identify feature gaps and innovation opportunities by establishing by understating current sales process. Friction to scaled adoption of OCI offerings and working with customers.
Put ideas on the paper, present to leadership teams to take the product to market and find a product\-market\-fit.
Define the vision, strategy and roadmap for existing offerings from OCI AI Incubations portfolio of products,
Work with partners managing partner relationships, growing adoption of partner offerings in OCI.
Manage the product feature backlog and drive the technical teams to quality execution of deliverables.  
Evangelize our product by building a GTM strategy and working with Marketing, Architects, and field teams are set up for success.  
**What you'll bring**
6\+ years in product management with at least 2\+ years of PM experience in cloud computing
Experience with full product lifecycle, from conception to go\-to\-market
Bachelor’s degree in computer science, engineering, analytics, mathematics, or statistics
4\+ years of experience working with engineering teams (technical product or program management or software engineering)  
**Preferred Qualifications**
Hands\-on experience with containers, Kubernetes, and basic experience with Generative AI applications.
Master's degree in computer science, information systems or business</t>
        </is>
      </c>
    </row>
    <row r="70">
      <c r="A70" t="inlineStr">
        <is>
          <t>in-6f8d9310c7d9c5e4</t>
        </is>
      </c>
      <c r="B70" t="inlineStr">
        <is>
          <t>Principal Product Manager - Tech, Recommender Systems, Prime Video Personalization &amp; Discovery</t>
        </is>
      </c>
      <c r="C70" t="inlineStr">
        <is>
          <t>Amazon.com</t>
        </is>
      </c>
      <c r="D70" t="inlineStr">
        <is>
          <t>indeed</t>
        </is>
      </c>
      <c r="E70" t="inlineStr"/>
      <c r="F70" t="inlineStr"/>
      <c r="G70" t="inlineStr">
        <is>
          <t>Washington, DC, US</t>
        </is>
      </c>
      <c r="H70" s="2" t="n">
        <v>45753</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in-9508f11aaa8fbc55</t>
        </is>
      </c>
      <c r="B71" t="inlineStr">
        <is>
          <t>Principal Product Manager - Tech, Recommender Systems, Prime Video Personalization &amp; Discovery</t>
        </is>
      </c>
      <c r="C71" t="inlineStr">
        <is>
          <t>Amazon.com</t>
        </is>
      </c>
      <c r="D71" t="inlineStr">
        <is>
          <t>indeed</t>
        </is>
      </c>
      <c r="E71" t="inlineStr"/>
      <c r="F71" t="inlineStr"/>
      <c r="G71" t="inlineStr">
        <is>
          <t>Seattle, WA, US</t>
        </is>
      </c>
      <c r="H71" s="2" t="n">
        <v>45753</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in-34004a01a5ae6cfb</t>
        </is>
      </c>
      <c r="B72" t="inlineStr">
        <is>
          <t>Continuous Improvement Program Manager</t>
        </is>
      </c>
      <c r="C72" t="inlineStr">
        <is>
          <t>SCN BestCo</t>
        </is>
      </c>
      <c r="D72" t="inlineStr">
        <is>
          <t>indeed</t>
        </is>
      </c>
      <c r="E72">
        <f>HYPERLINK("https://www.indeed.com/viewjob?jk=34004a01a5ae6cfb", "https://www.indeed.com/viewjob?jk=34004a01a5ae6cfb")</f>
        <v/>
      </c>
      <c r="F72">
        <f>HYPERLINK("https://recruiting2.ultipro.com/HAR1030HARY/JobBoard/be6488f0-4b70-4588-95fe-a85a47f28ad2/OpportunityDetail?opportunityId=1fc42522-ba9f-43ef-8e6c-67b7c0622b17&amp;postingId=b07be9b8-0882-4801-a56e-391a02df9e41", "https://recruiting2.ultipro.com/HAR1030HARY/JobBoard/be6488f0-4b70-4588-95fe-a85a47f28ad2/OpportunityDetail?opportunityId=1fc42522-ba9f-43ef-8e6c-67b7c0622b17&amp;postingId=b07be9b8-0882-4801-a56e-391a02df9e41")</f>
        <v/>
      </c>
      <c r="G72" t="inlineStr">
        <is>
          <t>Santa Cruz, CA, US</t>
        </is>
      </c>
      <c r="H72" s="3" t="n">
        <v>46043</v>
      </c>
      <c r="I72" t="inlineStr">
        <is>
          <t>We believe being healthy should not require tradeoffs. SCN BestCo is a leading innovator, developer and manufacturer of Vitamin, Mineral \&amp; Supplement (VMS), Over\-the\-Counter (OTC) and prebiotics/probiotics in enjoyable forms such as gummies, lozenges and chews. With over 50 years of excellence, our team leads the way in changing how consumers make healthier choices. With unique food science expertise and proprietary processes, we’ve pioneered many firsts. The fire in our belly to create new to the world products has guided and continues to be core to our mission of making health and wellness more enjoyable. Come join us and become a part of our winning formula!
The Continuous Improvement Program Manager drives site Continuous Improvement (CI) initiatives by working and collaborating with all levels of the organization. This position contributes to the systems analysis, design, redesign and reengineering of processes, systems, procedures, and operational changes to increase efficiency, safety, effectiveness, culture, compliance, and quality. The CI Program Manager heads, identifies, develops and executes long\-term and short\-term CI strategies, working closely with production, planning, maintenance and distribution to increase capacity, reduce lead times, improve delivery upon request and improve product quality.
**Note: Must be Bi\-lingual Spanish/English**
Estimated starting annual base salary is $114,972\.35 \- $172,458\.53 per year less applicable withholdings and deductions, paid on a bi\-weekly basis. Please note that the actual compensation offered may vary based on relevant factors as determined by the Company, which may include, but is not limited to, location, experience, qualifications, education, skillset, and market conditions. The target base compensation for this role is in the low to middle of the range, with the top of the range reserved for only exceptional circumstances. In addition, this role is eligible for a discretionary, variable annual incentive, paid based on Company performance factors. SCN BestCo offers a competitive benefits package to eligible full\-time employees, which currently includes medical, dental, and vision plans, 401(k) with employer matching contributions, life insurance, paid time off, tuition reimbursement, and more, as well as paid sick leave in accordance with applicable law. Each benefit is subject to eligibility requirements as specified in plan documents, and the Company reserves the right to modify the benefits it offers from time to time.
**Essential Duties and Responsibilities**
* Plan, lead, define, develop, review and audit strategic activities for CI initiatives while reinforcing established standards across the company.
* Develop and maintain a site CI plan aligned with business strategies, improvement needs and industry best practices, including a multi\-year transformational roadmap for each of the business units.
* Continuously engage staff at all levels throughout the site to drive the CI strategy in collaboration with leadership.
* Actively manage the CI strategy and elements, driving committed results and developing tools/methods for future versions.
* Develop and track metrics related to improvement activities and promote standard processes, improved flow, and waste elimination.
* Provide strategic leadership to production personnel and assure that facility improvement initiatives support corporate strategy and goals.
* Facilitate training and development in lean manufacturing techniques, working directly with production, maintenance, and quality management to assess, prioritize, and implement CI activities.
* Conduct routine reviews and report on overall CI activities including accomplishments, participation, project activities and anticipated needs, summarizing and reporting results for appropriate management as necessary.
* Develop and implement methods and procedures for monitoring projects and reporting project status.
* Review technical opportunities and procedures for monitoring projects and reporting project status.
* Coordinate and execute capacity improvements and develop implementation plans interdepartmentally as well as for each work group.
* Design, implement and deliver site\-side initiatives and standards on a group\-by\-group basis in support of CI to drive future versions and/or improvements of the strategy and company culture.
* Partner with leadership to develop competencies and drive behaviors throughout the organization.
* Coordinate research surveys and studies, review compilations and analyses to determine potential benefits and expenditure justification. Submit proposals for final approval and implementation.
* Support management with daily improvement activities.
* Review technical publications to stay abreast of developments in the industry.
**Required Qualifications**
**Education \&amp; Experience:**
* Bachelor’s degree in business, finance, engineering, or another related field.
* **Bi\-lingual Spanish/English**
* 8 years’ professional experience in continuous improvement or equivalent.
* 4 years’ experience in leadership and employee management/development.
* Prior experience in food \&amp; beverage or pharmaceutical manufacturing.
* HAACP and/or ISO certification.
* Demonstrated project management experience in a fast\-paced environment.
**Knowledge, Skills, \&amp; Abilities (KSAs):**
* Proficiency in Microsoft Office including Word, Excel, PowerPoint and SharePoint.
* Strong analytical, leadership, Communication, attention to detail and organizational skills.
*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 Must have the ability to communicate effectively, verbally and written, with internal staff and management. Ability to read and interpret documents such as safety rules, operating and maintenance instructions, and procedure manuals. Ability to write routine reports and correspondence. Ability to speak effectively before groups of customers or employees of organization.
* Must be able to demonstrate practical problem solving and trouble shooting skills. Ability to define problems, collect data, establish facts, and draw valid conclusions. Ability to interpret an extensive variety of technical instructions in mathematical or diagram form and deal with several abstract and concrete variables.
**Preferred Qualifications**
* Master’s degree in a related field.
* Certification in Lean Management and/or Total Productive Maintenance (TPM).
* Six Sigma certification.
* Project Management Professional (PMP) certification.</t>
        </is>
      </c>
    </row>
    <row r="73">
      <c r="A73" t="inlineStr">
        <is>
          <t>in-5283caac4dc97d21</t>
        </is>
      </c>
      <c r="B73" t="inlineStr">
        <is>
          <t>Product Manager</t>
        </is>
      </c>
      <c r="C73" t="inlineStr">
        <is>
          <t>Gameday Logistics</t>
        </is>
      </c>
      <c r="D73" t="inlineStr">
        <is>
          <t>indeed</t>
        </is>
      </c>
      <c r="E73">
        <f>HYPERLINK("https://www.indeed.com/viewjob?jk=5283caac4dc97d21", "https://www.indeed.com/viewjob?jk=5283caac4dc97d21")</f>
        <v/>
      </c>
      <c r="F73">
        <f>HYPERLINK("http://www.indeed.com/job/product-manager-5283caac4dc97d21", "http://www.indeed.com/job/product-manager-5283caac4dc97d21")</f>
        <v/>
      </c>
      <c r="G73" t="inlineStr">
        <is>
          <t>New Braunfels, TX, US</t>
        </is>
      </c>
      <c r="H73" s="3" t="n">
        <v>46043</v>
      </c>
      <c r="I73" t="inlineStr">
        <is>
          <t>Job Description
Gameday Logistics (GamedayLGX) is seeking a Product Manager to support the development and delivery of our core SaaS travel logistics platform. This role focuses on execution, cross\-functional collaboration, and building workflow\-driven software products that support real\-world operations for athletic programs and teams.
This is a full\-time, in\-office position. Remote or hybrid work is not available for this role.
Responsibilities
* Gather, document, and manage product requirements, user stories, and acceptance criteria
* Work closely with software engineers to define, prioritize, and deliver product features
* Own and maintain the product backlog using tools such as Jira or similar
* Support development of client\-facing travel proposal workflows
* Help build and maintain client and vendor dashboards for requests, changes, and communication
* Support transportation sourcing workflows within the platform
* Identify opportunities to improve operational efficiency, user experience (UX), and revenue through technology
* Participate in Agile / Scrum ceremonies including sprint planning, backlog grooming, and retrospectives
* Collaborate with engineering, operations, and leadership teams daily
* Support product delivery from concept, design, and development through launch and iteration
* Contribute to planning and execution of a mobile application experience
Qualifications
* 3\+ years of experience as a Product Manager, Technical Product Manager, or in a software product delivery role
* Experience working on SaaS platforms, B2B software, internal tools, or workflow\-based applications
* Familiarity with Agile methodologies, Scrum, and Kanban
* Experience writing user stories, requirements documentation, and product specifications
* Ability to work closely with engineering teams, including understanding APIs, system integrations, and technical tradeoffs
* Experience with tools such as Jira, Confluence, Figma, or similar
* Strong communication, organization, and prioritization skills
* Comfortable working in a fast\-paced, execution\-focused environment
* Willingness and ability to work full\-time, in\-office
Additional Information
* Salary range is posted
* Benefits available per company policy
* This role is not remote or hybrid
How to Apply
Apply through Indeed with your resume. Candidates with experience in SaaS product management, Agile development, Jira, APIs, and workflow\-driven platforms are encouraged to apply.
Job Type: Full\-time
Pay: $75,000\.00 \- $100,000\.00 per year
Benefits:
* Dental insurance
* Flexible schedule
* Health insurance
* Life insurance
* Paid time off
* Parental leave
* Referral program
* Vision insurance
Work Location: In person</t>
        </is>
      </c>
    </row>
    <row r="74">
      <c r="A74" t="inlineStr">
        <is>
          <t>in-48b2bdb2ceab7d0f</t>
        </is>
      </c>
      <c r="B74" t="inlineStr">
        <is>
          <t>Senior Product Manager, AI Evaluations</t>
        </is>
      </c>
      <c r="C74" t="inlineStr">
        <is>
          <t>ServiceNow</t>
        </is>
      </c>
      <c r="D74" t="inlineStr">
        <is>
          <t>indeed</t>
        </is>
      </c>
      <c r="E74">
        <f>HYPERLINK("https://www.indeed.com/viewjob?jk=48b2bdb2ceab7d0f", "https://www.indeed.com/viewjob?jk=48b2bdb2ceab7d0f")</f>
        <v/>
      </c>
      <c r="F74">
        <f>HYPERLINK("https://jobs.smartrecruiters.com/ServiceNow/744000104792794-senior-product-manager-ai-evaluations", "https://jobs.smartrecruiters.com/ServiceNow/744000104792794-senior-product-manager-ai-evaluations")</f>
        <v/>
      </c>
      <c r="G74" t="inlineStr">
        <is>
          <t>Santa Clara, CA, US</t>
        </is>
      </c>
      <c r="H74" s="3" t="n">
        <v>46043</v>
      </c>
      <c r="I7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**About the team:**
The ServiceNow AI Experiences and Innovation organization is responsible for driving our Agentic AI strategy and roadmap to be the AI platform for business transformation. Come join our growing team and work with some of the brightest minds in the industry as we unlock the potential of this profound technology and make it real for our customers.
**About the role:**
As enterprises continue to grow their AI maturity and adoption, we need to provide our customers with tooling experiences that allow for robust evaluation of agentic AI systems and models. Agentic AI systems require the orchestration of multiple components (e.g., LLMs, RAG, frameworks), and given this level of complexity, this is a unique opportunity for someone to step in to help build a simple, but powerful experience that our allows our customers to build and deploy agentic AI systems and models with more confidence and with minimal human intervention.
You will have strong customer empathy, and an innovative mindset to understand new capabilities customers need to ensure they are able to assess accuracy, performance and quality of Agentic AI systems and models. Strong partnership skills should be brought to the table to ensure that we are building products that can be used across the various business units. This role includes regular external customer engagement opportunities as part of a high\-impact, customer\-centric environment with a highly collaborative team.
What you get to do in this role:
* Distill and transform ServiceNow customer and partner ideas and feedback into a cohesive product vision and roadmap.
* Own end\-to\-end feature and capability development by defining product requirements, setting up user research, and managing development \&amp; testing by release.
* Clearly communicate priorities, plans, and customer outcomes to key internal stakeholders.
* Partner with ServiceNow AI research teams to plan experiments and help convert them into scalable features delivering high value for customers.
* Maintain a perspective on the rapidly evolving generative AI landscape to feed product evolution around helping customers to build and deploy trustworthy Agentic AI systems.
**Qualifications**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5\+ years of Product Management experience or equivalent in a technical role in enterprise SaaS.
* Experience in evaluating LLMs and AI solutions.
* Experience working on developer tools and for technical end users.
* Strong prioritization skills and the discipline to focus on customer needs.
* Experience defining and capturing product requirements and transforming them into a product roadmap.
* Deep curiosity about customer needs and a track record in building customer relationships and delivering customer\-centric solutions.
* Drive solution development through big\-picture solution development.
* Ability to inspire and align engineering teams to deliver exceptional experiences.
FD21
For positions in this location, we offer a base pay of $140,700 \- $239,200,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75">
      <c r="A75" t="inlineStr">
        <is>
          <t>in-fa6b18a7ce4effe8</t>
        </is>
      </c>
      <c r="B75" t="inlineStr">
        <is>
          <t>Assistant Program Manager-Residential- Southview</t>
        </is>
      </c>
      <c r="C75" t="inlineStr">
        <is>
          <t>Thomas Allen</t>
        </is>
      </c>
      <c r="D75" t="inlineStr">
        <is>
          <t>indeed</t>
        </is>
      </c>
      <c r="E75">
        <f>HYPERLINK("https://www.indeed.com/viewjob?jk=fa6b18a7ce4effe8", "https://www.indeed.com/viewjob?jk=fa6b18a7ce4effe8")</f>
        <v/>
      </c>
      <c r="F75">
        <f>HYPERLINK("https://recruiting2.ultipro.com/THO1020THOA/JobBoard/603c371b-091b-420d-a651-2bceff7f99cc/OpportunityDetail?opportunityId=259d1951-c76f-45da-96f3-7722e06d1c9c&amp;postingId=8af13417-cf6b-427f-894c-8b035a936823", "https://recruiting2.ultipro.com/THO1020THOA/JobBoard/603c371b-091b-420d-a651-2bceff7f99cc/OpportunityDetail?opportunityId=259d1951-c76f-45da-96f3-7722e06d1c9c&amp;postingId=8af13417-cf6b-427f-894c-8b035a936823")</f>
        <v/>
      </c>
      <c r="G75" t="inlineStr">
        <is>
          <t>South Saint Paul, MN, US</t>
        </is>
      </c>
      <c r="H75" s="3" t="n">
        <v>46043</v>
      </c>
      <c r="I75" t="inlineStr">
        <is>
          <t>**Assistant Program Manager**
-----------------------------
### **Thomas Allen, Inc.**
Join our team as a Residential Assistant Program Manager, where you'll collaborate with the Program Manager to ensure smooth day\-to\-day activities while providing exceptional person\-centered care in accordance with MN 245D and the Positive Supports Rule.
This position offers a rewarding opportunity to make a real difference in the lives of those we serve, and to develop your leadership skills in a supportive and collaborative team environment. You'll encounter new challenges and opportunities for growth every day as you promote the independence, community integration, and well\-being of our individuals.
As a Residential Assistant Program Manager, you'll be part of a dedicated team committed to excellence, open communication, and continuous learning. Join us to take your career to the next level and make a meaningful impact on the lives of those we serve.
The schedule for this position is Monday\- Friday 2p\-10p
**FLSA Status: Hourly, Non\-Exempt**  
**Hiring Range:** **$18\.40\- $20\.40 Depending on Experience**  
**Website:** **Thomas Allen (thomasalleninc.com)**
#### **Responsibilities****:**
* Partner with leadership to lead a team in providing person\-centered support services to individuals receiving services under 245D regulations, while fostering positive and respectful relationships with each person served.
* Collaborate with leadership to develop and implement individualized service plans that reflect the needs and preferences of each individual served, while promoting their independence and community integration.
* Work closely with leadership to ensure that individuals receiving services have access to quality care and services, including medical care and behavioral supports, in a safe and positive environment.
* Maintain accurate documentation of services provided and comply with all applicable regulations and policies, while encouraging the team to maintain high standards of professionalism and ethics.
* Coordinate transportation services as needed to individuals receiving services, promoting inclusivity and accessibility in partnership with leadership.
* Participate in quality assurance and improvement activities, working with the team to continuously improve service delivery and outcomes.
* Provide training and coaching to team members, fostering a positive and supportive work environment that values collaboration and continuous learning.
* Assist with scheduling, including alternating on\-call duties, and finding staff to fill in as needed, in partnership with leadership and the team's overall success.
* Perform other duties as assigned, contributing to the overall success of the team and the individuals receiving services, while working in partnership with leadership to achieve the team's goals.
#### **Qualifications:**
* Passion for providing person\-centered support that values individual preferences, interests, and goals
* Must have at least 2 years of full\-time experience working in a Community Residential setting.
* Must be mature, polite, and possess leadership abilities and demonstrate competency in the completion of the above noted job responsibilities.
* Ability to assist with personal hygiene, meal preparation, home maintenance, and community outings
* Physical ability to lift and move individuals and objects as required by the site
* Possession of a high school diploma or equivalent
* Ability to communicate effectively in English, both verbally and in writing
* Possession of a valid driver's license, auto insurance, and a clean driving record
* Successful completion of a DHS background clearance at no cost to you
* Valid driver's license, reliable vehicle, acceptable driving record, and proof of auto insurance required
* Possess current or willing to obtain First Aid training and CPR Certificate as required by the home/division.
* Individual must be mature, polite, competent, and possess team playing abilities, effective listening skills and strong overall social and communication skills.
* Must be proficient at High School level in speaking, comprehending, reading and writing English to fully communicate with the individuals we serve and staff members, to implement specialized medical and/or behavioral protocols and programming within the home/division, and to document required information.
* Must successfully complete Thomas Allen’s Medication Administration training course and prove competency.
#### **As a valued member of our team, you will be eligible for our benefits\-**
**Benefits provided to all employees:**
* Mileage reimbursement for work\-related travel
* Paid training and certifications to help you develop new skills and advance your career
* Employee appreciation programs to recognize your contributions and efforts
* Mental health support to prioritize your well\-being
* Opportunities for career advancement and growth to help you achieve your professional goals\=
**Additional benefits gained for employees working 30\+ hours per week:**
* Comprehensive medical, dental, vision, disability, and life insurance coverage
* Health Savings Account (HSA), Flexible Spending Account (FSA), and Dependent Care Account (DCA) options to help you manage healthcare expenses
* 401(k) to help you plan for your financial future
**Additional benefits gained for employees working 35\+ hours per week:**
* Paid holidays to celebrate with family and friends and an additional floating holiday to use when you need it!
* Paid time off (PTO) to help you recharge and maintain work\-life balance
#### **Professional Development**
* Paid training and certifications to help you develop new skills and advance your career
* Tuition, licensure, and certification reimbursement to support your ongoing professional development
* Opportunities for career advancement and growth to help you achieve your professional goals
#### ***If you're passionate about uplifting individuals with disabilities, we want you on our team! Apply now and join a supportive, inclusive community making a positive difference.***
#### ***Thomas Allen is an Equal Opportunity Employer committed to diversity.***</t>
        </is>
      </c>
    </row>
    <row r="76">
      <c r="A76" t="inlineStr">
        <is>
          <t>in-ecbd3515a64d181c</t>
        </is>
      </c>
      <c r="B76" t="inlineStr">
        <is>
          <t>Program Manager</t>
        </is>
      </c>
      <c r="C76" t="inlineStr">
        <is>
          <t>Physicians Mutual</t>
        </is>
      </c>
      <c r="D76" t="inlineStr">
        <is>
          <t>indeed</t>
        </is>
      </c>
      <c r="E76">
        <f>HYPERLINK("https://www.indeed.com/viewjob?jk=ecbd3515a64d181c", "https://www.indeed.com/viewjob?jk=ecbd3515a64d181c")</f>
        <v/>
      </c>
      <c r="F76">
        <f>HYPERLINK("https://physiciansmutual.mua.hrdepartment.com/hr/ats/Posting/view/2036", "https://physiciansmutual.mua.hrdepartment.com/hr/ats/Posting/view/2036")</f>
        <v/>
      </c>
      <c r="G76" t="inlineStr">
        <is>
          <t>Omaha, NE, US</t>
        </is>
      </c>
      <c r="H76" s="3" t="n">
        <v>46042</v>
      </c>
      <c r="I76" t="inlineStr">
        <is>
          <t>Physicians Mutual is looking to hire a Program Manager for the Project Delivery Team.
**Responsibilities:**
* Define project scope, deliverables, and success criteria for strategic and non\-strategic objectives within the enterprise.
* Work with business and technical stakeholders to gather requirements needed to deliver business value across the organization.
* Create project timelines and planning work into releases.
* Monitor projects to ensure scope and budget is maintained throughout the life cycle.
* Manage project dependencies, milestones and critical paths.
* Provide continuous communication with business partners and technical stakeholders throughout the project lifecycle to share status, risks and outcomes.
* Maintain project artifacts (RAID logs, timelines, release schedules, change logs, etc.)
* Excels at communication, presentation, and facilitation at all levels.
* Seeks opportunities to optimize business value without significantly increasing scope.
* Provide executive summaries and steering committee updates.
* Work with vendors to manage acquisitions or implementations of software applications.
**Requirements:**
* BS in Computer Science or relevant discipline and/or equivalent experience.
* 7\-10 years of progressive experience in Information Technology or relevant industry.
* 5 years of experience in project or program management.
* Experience communicating, facilitating, and coordinating across all levels of an enterprise.
* Demonstrate the ability to launch \&amp; deliver multiple concurrent projects.
**Preferred:**
* Scrum experience
* Certifications (SAFe Certification POPM, CSM, CBAP, CSPO, etc.)
* Experience navigating Commissions projects and systems
**About Us**
Health. Life. Retirement. The Physicians Mutual family empowers people from all walks of life to enjoy the financial security they deserve. That’s what Insurance for all of us® is about.
The Physicians Mutual family includes Physicians Mutual Insurance Company, Physicians Life Insurance Company and Physicians Select Insurance Company. Physicians Mutual offers reliable dental and supplemental health insurance, and pet insurance. Physicians Life provides important life insurance, Medicare Supplement insurance and coverage for funeral pre\-planning. Physicians Select Insurance Company additionally offers exclusive Medicare Supplement insurance.
Since our start in 1902, our dedication to delivering on our promise has helped make us one of the nation’s leading health and life insurance providers. In fact, we are rated in the top 1% of insurance companies. We consistently maintain some of the highest financial strength ratings in the nation from independent insurance analysts, including A.M. Best Company and Weiss Ratings, ensuring we’ll be there for our policyowners and our employees far into the future.
But the achievement we’re most proud of? We have a 95% customer satisfaction rating — a true sign of a company dedicated to embodying its vision.
Job Requirements
Category
Information Technology
Job Type
Full\-time
Travel</t>
        </is>
      </c>
    </row>
    <row r="77">
      <c r="A77" t="inlineStr">
        <is>
          <t>in-cdca4ed323038f96</t>
        </is>
      </c>
      <c r="B77" t="inlineStr">
        <is>
          <t>Program Manager - EPIC</t>
        </is>
      </c>
      <c r="C77" t="inlineStr">
        <is>
          <t>Cone Health</t>
        </is>
      </c>
      <c r="D77" t="inlineStr">
        <is>
          <t>indeed</t>
        </is>
      </c>
      <c r="E77">
        <f>HYPERLINK("https://www.indeed.com/viewjob?jk=cdca4ed323038f96", "https://www.indeed.com/viewjob?jk=cdca4ed323038f96")</f>
        <v/>
      </c>
      <c r="F77">
        <f>HYPERLINK("https://careers.conehealth.com/us/en/job/JR140658/Program-Manager-EPIC", "https://careers.conehealth.com/us/en/job/JR140658/Program-Manager-EPIC")</f>
        <v/>
      </c>
      <c r="G77" t="inlineStr">
        <is>
          <t>Greensboro, NC, US</t>
        </is>
      </c>
      <c r="H77" s="3" t="n">
        <v>46042</v>
      </c>
      <c r="I77" t="inlineStr">
        <is>
          <t>Cone Health
Location: 1121 North Church Street,Greensboro, NC 27401
Category: Other
Job ID: JR140658
 Full Time (40 Hours/Week)
Remote: Hybrid
 Days/No Weekends (United States of America)
 No
 IT
 Information Technology
 Other
**Description**
---------------
The Program Manager assists in the planning and organization of operational activities of a specific initiative within the organization, and assists in an oversight capacity for its daily operations. Working under direct supervision, this position helps establish key performance indicators (KPIs) specific to the practice/medical group industry to measure program success, regularly assesses patient satisfaction levels, healthcare outcomes, and resource utilization, and identifies opportunities for continuous improvement and innovation in patient care. The program manager should ideally have the following experience: Experience with Accountable Care organizations and Federal regulatory programs. Value\-based reimbursement, EHR donation programs Community connect Prefer many years of experience managing large projects including epic certifications. Ambulatory experience would be desired.  
**Essential Job Function*** Supports the development of the strategic planning process for new healthcare programs, aligning them with the practice/medical group's mission of providing high\-quality patient care, improving healthcare outcomes, and expanding service offerings to meet the needs of the patients.
* Supports program staff, which includes physicians, nurses, and administrative personnel, fostering a cohesive and motivated team that actively collaborates to implement innovative medical treatments, patient care protocols, and operational improvements for respective sites.
* Drafts program budgets, ensuring optimal allocation of resources to critical areas such as medical equipment acquisition, staff training, and patient outreach initiatives, while consistently monitoring financial performance to meet program goals and maintain cost\-effectiveness.
* Cultivates and maintains strong relationships with internal and external stakeholders, including healthcare professionals from various specialties, hospital department heads, local health organizations, community leaders, and funding agencies, to forge partnerships that support the hospital/medical group's growth and improve patient health outcomes.
* Oversees the successful execution of healthcare programs, which may include initiatives such as community health screenings, patient education workshops, disease management programs, and clinical research studies, while ensuring strict adherence to medical standards, safety protocols, and ethical considerations.
* Provides regular updates to senior leadership, presenting program status reports, accomplishments, challenges, and potential solutions, and communicates program impact to internal stakeholders, such as medical staff, department heads, and external stakeholders to maintain transparency and engagement in the organization's healthcare initiatives.
* Performs other duties as assigned.
**Education**
* Required: Bachelor's Degree
**Experience*** Required: 3 Years
**Licensure/Certification/Listing**</t>
        </is>
      </c>
    </row>
    <row r="78">
      <c r="A78" t="inlineStr">
        <is>
          <t>in-bf4a03dd462f1fa4</t>
        </is>
      </c>
      <c r="B78" t="inlineStr">
        <is>
          <t>Program Manager</t>
        </is>
      </c>
      <c r="C78" t="inlineStr">
        <is>
          <t>Cone Health</t>
        </is>
      </c>
      <c r="D78" t="inlineStr">
        <is>
          <t>indeed</t>
        </is>
      </c>
      <c r="E78">
        <f>HYPERLINK("https://www.indeed.com/viewjob?jk=bf4a03dd462f1fa4", "https://www.indeed.com/viewjob?jk=bf4a03dd462f1fa4")</f>
        <v/>
      </c>
      <c r="F78">
        <f>HYPERLINK("https://careers.conehealth.com/us/en/job/JR141367/Program-Manager", "https://careers.conehealth.com/us/en/job/JR141367/Program-Manager")</f>
        <v/>
      </c>
      <c r="G78" t="inlineStr">
        <is>
          <t>Greensboro, NC, US</t>
        </is>
      </c>
      <c r="H78" s="3" t="n">
        <v>46042</v>
      </c>
      <c r="I78" t="inlineStr">
        <is>
          <t>Corporate Headquarters
Location: 300 East Wendover Avenue,Greensboro, NC 27401
Category: Corporate Professions
Job ID: JR141367
 Full Time (40 Hours/Week)
Remote: Onsite
 Days/No Weekends (United States of America)
 No
 Education Residency
 Education\-Research
 Professional/Management
**Description**
---------------
The Program Manager assists in the planning and organization of operational activities of a specific initiative within the organization, and assists in an oversight capacity for its daily operations. Working under direct supervision, this position helps establish key performance indicators (KPIs) specific to the practice/medical group industry to measure program success, regularly assesses patient satisfaction levels, healthcare outcomes, and resource utilization, and identifies opportunities for continuous improvement and innovation in patient care.  
**Essential Job Function*** Supports the development of the strategic planning process for new healthcare programs, aligning them with the practice/medical group's mission of providing high\-quality patient care, improving healthcare outcomes, and expanding service offerings to meet the needs of the patients.
* Supports program staff, which includes physicians, nurses, and administrative personnel, fostering a cohesive and motivated team that actively collaborates to implement innovative medical treatments, patient care protocols, and operational improvements for respective sites.
* Drafts program budgets, ensuring optimal allocation of resources to critical areas such as medical equipment acquisition, staff training, and patient outreach initiatives, while consistently monitoring financial performance to meet program goals and maintain cost\-effectiveness.
* Cultivates and maintains strong relationships with internal and external stakeholders, including healthcare professionals from various specialties, hospital department heads, local health organizations, community leaders, and funding agencies, to forge partnerships that support the hospital/medical group's growth and improve patient health outcomes.
* Oversees the successful execution of healthcare programs, which may include initiatives such as community health screenings, patient education workshops, disease management programs, and clinical research studies, while ensuring strict adherence to medical standards, safety protocols, and ethical considerations.
* Provides regular updates to senior leadership, presenting program status reports, accomplishments, challenges, and potential solutions, and communicates program impact to internal stakeholders, such as medical staff, department heads, and external stakeholders to maintain transparency and engagement in the organization's healthcare initiatives.
* Performs other duties as assigned.
**Education**
* Required: Bachelor's Degree
**Experience*** Required: 3 Years
**Licensure/Certification/Listing**</t>
        </is>
      </c>
    </row>
    <row r="79">
      <c r="A79" t="inlineStr">
        <is>
          <t>in-2b9da03e31477010</t>
        </is>
      </c>
      <c r="B79" t="inlineStr">
        <is>
          <t>ITS Workforce Training Program Manager Senior Certified</t>
        </is>
      </c>
      <c r="C79" t="inlineStr">
        <is>
          <t>Cone Health</t>
        </is>
      </c>
      <c r="D79" t="inlineStr">
        <is>
          <t>indeed</t>
        </is>
      </c>
      <c r="E79">
        <f>HYPERLINK("https://www.indeed.com/viewjob?jk=2b9da03e31477010", "https://www.indeed.com/viewjob?jk=2b9da03e31477010")</f>
        <v/>
      </c>
      <c r="F79">
        <f>HYPERLINK("https://careers.conehealth.com/us/en/job/JR143881/ITS-Workforce-Training-Program-Manager-Senior-Certified", "https://careers.conehealth.com/us/en/job/JR143881/ITS-Workforce-Training-Program-Manager-Senior-Certified")</f>
        <v/>
      </c>
      <c r="G79" t="inlineStr">
        <is>
          <t>Greensboro, NC, US</t>
        </is>
      </c>
      <c r="H79" s="3" t="n">
        <v>46042</v>
      </c>
      <c r="I79" t="inlineStr">
        <is>
          <t>Market Street \- 4411
Location: 4411 West Market Street,Greensboro, NC 27407
Category: Information Technology \&amp; Cyber Security
Job ID: JR143881
 Full Time (40 Hours/Week)
Remote: Hybrid
 Days/No Weekends (United States of America)
 No
 IT Network
 Information Technology
 Information Systems
**Description**
---------------
The ITS Workforce Training Program Manager Senior is responsible for the execution and continuous improvement of the ITS department training programs and overall departmental skill development. This role reports to the Director of ITS Business Management and partners with People and Culture to facilitate development programs and create a culture of continuous coaching and feedback. This role partners closely with Operations, support departments and the curriculum design/training team, to ensure training supports quality production in the field, meets compliance standards, and empowers our frontline team. The ITS Workforce Training Program Manager Senior will work to identify the skills needs across the department, identify skill gaps, and create a training program to close any gaps. This position blends program development, content organization, training operations, and coaching, with a strong forward \-facing mindset. Special Skills: Proven experience in coaching, skill development, workforce program management, content development, and organizational development. Proven experience aligning learning programs to business strategy to produce measurable performance outcomes. Highly effective facilitator, communicator, and stakeholder partner. This role is hybrid and requires one\-two days onsite as needed. The Program Manager Senior Certified leads and manages the development and implementation of a body of similar projects at the enterprise level. Working under limited supervision, this role is responsible for the end\-to\-end charge of the program, from shaping the approach to achieving the desired outcomes through delivery and post\-delivery value realization.  
**Essential Job Function*** Develops the overall approach for large programs, significant time frames, and the definition of major deliverables to address and meet the desired goals and outcomes.
* Coordinates a deeper understanding of the overall body of work and acts as an advisor across the wider stakeholder community.
* Manages significant bodies of work as a unified program.
* Interacts regularly with executive sponsors to inform, alert, negotiate, and maintain a continuing good relationship and shared vision for the program outcome.
* Leads review with the executive sponsor and stakeholders to identify organic or specific program needs and changes and directs appropriate approaches to address.
* Monitors and coordinates dependencies across the projects in the program and resolves conflicts and issues.
* Oversees the creation and maintenance of the required program documentation and artifacts, including agendas, meeting minutes, communication plans, and program reports.
* Performs other duties as assigned.
**Education**
* Required: Bachelor's Degree
**Experience*** Required: 5 years
**Licensure/Certification/Listing*** Required: PgMP, PMP, Lean, and/or SCM certification</t>
        </is>
      </c>
    </row>
    <row r="80">
      <c r="A80" t="inlineStr">
        <is>
          <t>in-5c2d4af0b4722791</t>
        </is>
      </c>
      <c r="B80" t="inlineStr">
        <is>
          <t>Product Manager Chemical Industry - Pittsburgh, PA or Kingsport, TN</t>
        </is>
      </c>
      <c r="C80" t="inlineStr">
        <is>
          <t>Synthomer</t>
        </is>
      </c>
      <c r="D80" t="inlineStr">
        <is>
          <t>indeed</t>
        </is>
      </c>
      <c r="E80">
        <f>HYPERLINK("https://www.indeed.com/viewjob?jk=5c2d4af0b4722791", "https://www.indeed.com/viewjob?jk=5c2d4af0b4722791")</f>
        <v/>
      </c>
      <c r="F80">
        <f>HYPERLINK("https://synthomer.wd3.myworkdayjobs.com/synthomercareers/job/US-TN-Kingsport/Product-Manager_R6682", "https://synthomer.wd3.myworkdayjobs.com/synthomercareers/job/US-TN-Kingsport/Product-Manager_R6682")</f>
        <v/>
      </c>
      <c r="G80" t="inlineStr">
        <is>
          <t>Kingsport, TN, US</t>
        </is>
      </c>
      <c r="H80" s="3" t="n">
        <v>46042</v>
      </c>
      <c r="I80" t="inlineStr">
        <is>
          <t>On site \- Locations, Pittsburgh or Kingsport.
Synthomer is a global manufacturer in the chemical industry, we make a variety of products sold B2B including, formulations for coatings, health care, non\-woven fiber bonding, as well as adhesives and applications that address many customer challenges. This role is in the resin and adhesives business. Experience in chemicals and supply chain as well as product development are essential.
**Summary**
 Responsible to define strategic product direction and drive operational results through deliberate management of the portfolio and product mix, which includes quality, regulatory, and supply chain cost activities. Ensures maximum return on assets and supports variable margin delivery for the business. Develops and executes pricing and contract strategy. Continuously monitors the behavior of the offer and influences business decisions using effective analytics, customer\-centric recommendations, and product expertise.
**Job Responsibilities**
* Develops, communicates, and executes pricing strategy, manages profitability metrics, and identifies variable margin improvement opportunities at an order, customer, market segment, application, geography, and product level while ensuring quotes are provided quickly and consistently.
* Develops mass price change strategies for pricing analyst implementation.
* Monitors, considers, and communicates changing competitive activities including supply and demand and market activity, competitive cost curves, and trade flow information to influence price band modeling.
* Develops price forecast for Integrated Business Planning and review/adjust pricing actions to close gaps in monthly financial performance to expectations. Collaborate action plan as needed with Marketing and Sales.
* Manages contract and incentive processes including providing input to developing strategy, creating key principles document, and partnering with Business Leadership Team and Sales to implement.
* Responsible for the management of the product portfolio as assigned, which includes both strategic and operational oversight, including lifecycle, formula rationalization, and product obsolescence (discontinuation or inactivation).
* Utilizes product portfolio lifecycle analysis approach and analyzes Win / Loss data to make insight\-based product decisions for greater optimization.
* Leads competitive intelligence efforts involving business, sales, strategy, pricing, manufacturing, and technology; includes gathering, constructing, synthesizing, and analyzing key competitors and products including assets, capacities, utilization, cost base and strategies. Recommend actions to defend and grow market volume and maximize margin.
* Manages force majeure activities and allocation decisions.
* Monitors and communicates changing competitive asset activities including supply and demand modeling, market share, and conclusions.
* Leads and collaborates with cross\-functional groups to produce and procure the product, including manufacturing, quality, supply chain and technology on projects related to asset strategy development, inventory management, product specifications, complaints, and qualification strategies.
* Facilitates commercialization for new products, end markets, applications, and different geographical locations to ensure successful launch or entry.
* Manages asset allocation and product sampling throughout all stages of product lifecycle (e.g. stage\-gate, supply chain).
* Oversees enforcement of product quality, customer specification requirements, and regulatory commitments.
* Ensure S\&amp;OP plans are managed in alignment with product strategies. Initiate actions to address variances, maximize value.
* Determines how to communicate critical inputs (e.g. quality specs, customer preferences) to manufacturing in order to meet market demand and support integrated Business Planning.
* Defines how much and what type of business to contract, coordinates contract volume commitments based on product/asset utilization with Pricing Manager/Analyst.
* Supports Market Leader in responding to customer inquiries.
* Serve on a Stage Gate Project and/or member of a segment team (as requested).
**Requirements**
* Bachelor's Degree in Business, Marketing, Finance or similar field.
* Minimum 5 years’ professional work experience in a supply chain, procurement, sales and/or product management role (or combination thereof). Chemical industry experience preferred.
* Strong financial and global business acumen, including relevant industry knowledge.
* Self\-motivated with a strong drive, determination and target\-oriented mindset.
* A mission\-driven, team player with the desire to make an impact and difference.
* Ability to plan and manage at both strategic and operational levels.
* Full commitment to business integrity, customer value, teamwork, innovation, and diversity, equity and inclusion (DE\&amp;I).
* Must be able to interact and communicate professionally and effectively across functions and all levels within the organization.
* Strong problem solving, critical thinking and analytical capabilities.
* Excellent communication, negotiation and presentation skills (both written and verbal).
* High level of proficiency with Microsoft Office (Word, Excel, PowerPoint).
* Valid driver’s license and ability to travel.</t>
        </is>
      </c>
    </row>
    <row r="81">
      <c r="A81" t="inlineStr">
        <is>
          <t>in-a4483cf24f082667</t>
        </is>
      </c>
      <c r="B81" t="inlineStr">
        <is>
          <t>Program Manager</t>
        </is>
      </c>
      <c r="C81" t="inlineStr">
        <is>
          <t>Security On-Demand</t>
        </is>
      </c>
      <c r="D81" t="inlineStr">
        <is>
          <t>indeed</t>
        </is>
      </c>
      <c r="E81">
        <f>HYPERLINK("https://www.indeed.com/viewjob?jk=a4483cf24f082667", "https://www.indeed.com/viewjob?jk=a4483cf24f082667")</f>
        <v/>
      </c>
      <c r="F81">
        <f>HYPERLINK("https://deepseas.pinpointhq.com/en/postings/d3903b1e-0b74-4a0f-a70d-ee62178234f5", "https://deepseas.pinpointhq.com/en/postings/d3903b1e-0b74-4a0f-a70d-ee62178234f5")</f>
        <v/>
      </c>
      <c r="G81" t="inlineStr">
        <is>
          <t>Remote, US</t>
        </is>
      </c>
      <c r="H81" s="3" t="n">
        <v>46042</v>
      </c>
      <c r="I81" t="inlineStr">
        <is>
          <t>The Strategic Services Program Operations Manager plays a critical role in ensuring the successful execution, governance, and continuous improvement of DeepSeas’ strategic service programs. Acting as the operational backbone of the DeepSeas shared service MDR offering, this role drives alignment across client engagements, delivery teams, and leadership to ensure programs are delivered with consistency, efficiency, and measurable impact.  
The ideal candidate will be a strategic thinker and disciplined operator with exceptional organizational skills, strong client\-facing experience, and the ability to translate program execution into business outcomes.  
Key Responsibilities
Strategic Alignment \&amp; Governance  
* Establish, maintain, and enforce standards for program execution, reporting, and quality assurance.
* Track and mitigate program\-level risks and issues to ensure smooth service delivery.
* Coordinate the development and maintenance of integrated success plans across multiple client workstreams.
Program Planning \&amp; Execution  
* Lead program lifecycle activities including kickoff, onboarding, milestone tracking, and closure.
* Monitor deliverables, dependencies, and timelines across active projects and initiatives.
* Ensure timely execution of deliverables while upholding quality standards.
* Track and manage ad\-hoc client requests to ensure alignment with contractual obligations.
Client Engagement \&amp; Communication  
* Serve as the central coordination point between clients, delivery teams, finance, and leadership.
* Represent the DeepSeas MDR platform in client discussions and strategic touchpoints.
* Facilitate Quarterly Business Reviews (QBRs) and coordinate executive briefings and intelligence updates.
Resource \&amp; Utilization Management  
* Monitor staff availability, allocation, and utilization across engagements.
* Align skilled resources to client needs and forecast demand for upcoming initiatives.
* Support capacity planning and workforce decisions based on program pipeline and client growth.
Financial \&amp; Contractual Oversight  
* Support scoping, pricing, and Statement of Work (SOW) development.
* Track program\-level budgets, burn rates, and profitability metrics.
* Ensure accurate invoicing and revenue recognition tied to contractual milestones.
Continuous Improvement \&amp; Innovation  
* Identify opportunities to optimize delivery models, tools, and methodologies.
* Coordinate innovation campaigns and promote best practices across service delivery.
* Support staff training, enablement, and knowledge\-sharing initiatives.
* Capture lessons learned and drive repeatable improvements across engagements.
* Benchmark performance and client satisfaction to inform strategic adjustments.
Annual Performance Goals  
Business Operator  
* Achieve 95%\+ on\-time delivery of program milestones and client deliverables.
* Improve resource utilization efficiency by 30%, aligning staffing with demand forecasts.
* Ensure 100% compliance with governance standards and contractual obligations.
Client Service  
* Deliver consistently positive client satisfaction scores as measured through QBRs and surveys.
* Reduce program\-level risks and issues by at least 30% within the first year through proactive tracking and mitigation.
* Facilitate quarterly executive briefings with actionable insights and recommendations.
Capability Development  
* Launch at least one innovation initiative per quarter that improves delivery models or client outcomes.
* Capture and implement lessons learned across at least 80% of client engagements.
* Contribute to the development of standardized delivery methodologies, playbooks, and governance frameworks.
Personal Growth  
* Develop advanced expertise in program governance, client engagement, and financial oversight.
* Pursue / maintain certification or training in program/project management (e.g., PMP, PgMP, or SAFe).
* Build thought leadership by presenting best practices or lessons learned at internal forums and industry events.
Skills Knowledge and Expertise
· Program / project management experience across multiple large scale operations programs
· Enterprise technology consulting experience in a client facing role
· Exposure to cybersecurity and security operations programs
· Must be able to understand job duties and responsibilities, have the necessary skills/knowledge and be willing and able to continue learning and growing within the field.
Why DeepSeas?
At Deep Seas, we like to say that heart rates go down, careers take off, and security programs mature. Our values provide the ultimate guide for our daily behavior and decisions. Without these values, we aren’t Deep Seas. They preserve the essence of our organization, reflect the personalities of our Deeps (how we affectionately refer to our teammates), and enable us to exceed expectations. Our values are:* We are client obsessed.
* We stand in solidarity with our teammates.
* We prioritize personal health and well\-being.
* We believe in the power of diversity.
* We solve hard problems at the speed of cyber.
This is your chance to join a supportive crew of teammates and an industry\-leading organization that values opportunities for growth. If DeepSeas sounds like a good fit for you, send us your resume and let’s talk!  
**Information security is everyone’s responsibility:**
* Understanding and following DeepSeas’s information security policies and procedures.
* Remaining vigilant and reporting any suspicious activity or possible weaknesses in DeepSeas’s information security.
* Actively participating in DeepSeas’s efforts to maintain and improve information
* security.
* DeepSeas considers this position is as Moderate Risk with a potential to
* view/access/download restricted/private client/internal data. This information must be treated with
* Sensitivity and in the most secure manner. HR reserves the right to perform random background/drug
* Screens to ensure the safety of client/DeepSeas data
About DeepSeas
With nearly 30 years of experience in cyber defense, DeepSeas is trusted by 350\+ clients, including Fortune 100 enterprises and mid\-market organizations. Leveraging deep expertise that combines world\-class cyber threat detection and response with industry\-leading analysts, tailored threat intelligence, and accredited incident responders, DeepSeas is always on, always watching. Its Managed Detection \&amp; Response offering, DeepSeas MDR\+, is anchored by its acquisition of Booz Allen Hamilton’s commercial Managed Threat Services (MTS) business in 2022\. DeepSeas is the first and only MDR provider that covers the entire converged attack surface for the mid\-market, including OT, IT, cloud, and mobile. Its full\-spectrum cyber threat monitoring service is award\-winning and backed by world\-renowned researchers, data scientists, and mathematicians who have published over 250 papers and created a broad base of intellectual property, while achieving a number of scientific breakthroughs in the areas of big data, machine learning, and artificial intelligence as it applies to the detection of advanced and unknown cyber threats.</t>
        </is>
      </c>
    </row>
    <row r="82">
      <c r="A82" t="inlineStr">
        <is>
          <t>in-859d40f90c216b72</t>
        </is>
      </c>
      <c r="B82" t="inlineStr">
        <is>
          <t>Senior DevOps Program Manager</t>
        </is>
      </c>
      <c r="C82" t="inlineStr">
        <is>
          <t>Keeper Security, Inc.</t>
        </is>
      </c>
      <c r="D82" t="inlineStr">
        <is>
          <t>indeed</t>
        </is>
      </c>
      <c r="E82">
        <f>HYPERLINK("https://www.indeed.com/viewjob?jk=859d40f90c216b72", "https://www.indeed.com/viewjob?jk=859d40f90c216b72")</f>
        <v/>
      </c>
      <c r="F82">
        <f>HYPERLINK("https://job-boards.greenhouse.io/keepersecurity/jobs/4090316009", "https://job-boards.greenhouse.io/keepersecurity/jobs/4090316009")</f>
        <v/>
      </c>
      <c r="G82" t="inlineStr">
        <is>
          <t>El Dorado Hills, CA, US</t>
        </is>
      </c>
      <c r="H82" s="3" t="n">
        <v>46042</v>
      </c>
      <c r="I82" t="inlineStr">
        <is>
          <t>**Description**
Keeper Security is hiring a Senior DevOps Program Manager to lead complex, cross\-functional initiatives that shape and advance Keeper’s global cloud infrastructure, automation capabilities, and compliance posture. This role is ideal for a hands\-on technical program leader who excels at bridging engineering execution with strategic planning.
Keeper’s cybersecurity software is trusted by millions of people and thousands of organizations, globally. Keeper is published in 23 languages and is sold in over 150 countries. Join one of the fastest\-growing cybersecurity companies and bring your IL5 DevOps expertise to mission\-critical work.
**About Keeper**
Keeper Security is transforming cybersecurity for organizations globally with zero\-trust privileged access management built with end\-to\-end encryption. Keeper’s cybersecurity solutions are FedRAMP and StateRAMP Authorized, SOC 2 compliant, FIPS 140\-2 validated, as well as ISO 27001, 27017 and 27018 certified. Keeper deploys in minutes, not months, and seamlessly integrates with any tech stack to prevent breaches, reduce help desk costs and ensure compliance. Trusted by millions of individuals and thousands of organizations, Keeper is the leader for password, passkey and secrets management, privileged access, secure remote access and encrypted messaging. Learn how our zero\-trust and zero\-knowledge solutions defend against cyber threats at KeeperSecurity.com.
**About the Job**
The Senior DevOps Program Manager will orchestrate large\-scale cloud, automation, and infrastructure initiatives that span Engineering, Security, and Operations. This role is responsible for driving the execution of Keeper’s infrastructure roadmap, enabling modern DevOps practices, and ensuring that all programs align with zero\-trust, zero\-knowledge, and compliance\-driven requirements.
This position requires a blend of deep technical understanding and strong program leadership. You will manage cross\-team dependencies, define program priorities, enhance CI/CD and automation workflows, strengthen observability practices, and ensure alignment with compliance frameworks including FedRAMP, SOC 2, and ISO 27001\.
**Responsibilities**
* Lead end\-to\-end execution of complex DevOps and infrastructure programs, including cloud modernization, CI/CD optimization, automation, and security integrations
* Partner with Engineering, Security, Compliance, and Product leadership to define program strategy, priorities, and success criteria
* Oversee large\-scale cloud initiatives across AWS and other platforms, ensuring scalability, cost efficiency, and operational resilience
* Coordinate Infrastructure\-as\-Code (IaC) initiatives using Terraform and related automation tooling
* Drive improvements across CI/CD pipelines (GitHub Actions, Jenkins, etc.) to reduce deployment friction and enhance reliability
* Champion best practices in automated testing, security scanning, and release governance
* Integrate compliance and security\-by\-design principles into all DevOps programs, ensuring alignment with FedRAMP, SOC 2, ISO 27001, and similar standards
* Collaborate closely with security engineering and the CISO to ensure program\-level compliance and audit readiness
* Oversee observability, SRE, and monitoring initiatives to enhance system visibility, performance, and incident response
* Define SLIs, SLOs, and error budgets in partnership with Engineering and Security teams
* Serve as a cross\-functional liaison, ensuring consistent communication, dependency tracking, and alignment across teams
* Manage program timelines, risks, and stakeholder expectations across multiple initiatives
* Work with Agile, Waterfall, or hybrid methodologies to ensure effective delivery depending on program needs
* Identify and adopt emerging technologies that strengthen Keeper’s cloud, automation, and monitoring capabilities
**Requirements**
* Bachelor’s degree in Computer Science, Engineering, or a related technical field (Master’s preferred)
* 8\+ years of experience in DevOps, Cloud Infrastructure, or Site Reliability Engineering
* 4\+ years of technical program or project management experience in a SaaS, cloud\-native, or cybersecurity environment
* Proven experience with AWS cloud services (ECS, EKS, Lambda, RDS, S3, IAM, etc.)
* Hands\-on familiarity with Terraform, Docker, Kubernetes, and CI/CD tooling such as GitHub Actions or Jenkins
* Strong understanding of automation, cloud security, and modern DevOps best practices
* Demonstrated success managing cross\-functional initiatives in high\-security or compliance\-driven environments
* Experience with observability platforms (Datadog, Prometheus, Grafana) and incident management workflows
* Excellent communication skills with the ability to guide stakeholders, influence decisions, and manage expectations
### **Preferred Qualifications**
* AWS Certified DevOps Engineer or similar cloud certifications
* Experience working within FedRAMP, DoD, or regulated government environments
* Exposure to secrets management or privileged access management systems
* Experience with DevSecOps automation and compliance\-as\-code tooling
* PMP certification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83">
      <c r="A83" t="inlineStr">
        <is>
          <t>in-cceee87c2fe0f97c</t>
        </is>
      </c>
      <c r="B83" t="inlineStr">
        <is>
          <t>Senior Technical Product Manager, Privileged Access Management (PAM) New</t>
        </is>
      </c>
      <c r="C83" t="inlineStr">
        <is>
          <t>Keeper Security, Inc.</t>
        </is>
      </c>
      <c r="D83" t="inlineStr">
        <is>
          <t>indeed</t>
        </is>
      </c>
      <c r="E83">
        <f>HYPERLINK("https://www.indeed.com/viewjob?jk=cceee87c2fe0f97c", "https://www.indeed.com/viewjob?jk=cceee87c2fe0f97c")</f>
        <v/>
      </c>
      <c r="F83">
        <f>HYPERLINK("https://job-boards.greenhouse.io/keepersecurity/jobs/4106538009", "https://job-boards.greenhouse.io/keepersecurity/jobs/4106538009")</f>
        <v/>
      </c>
      <c r="G83" t="inlineStr">
        <is>
          <t>Remote, US</t>
        </is>
      </c>
      <c r="H83" s="3" t="n">
        <v>46042</v>
      </c>
      <c r="I83" t="inlineStr">
        <is>
          <t>**Description**
Keeper Security is seeking a Senior Technical Product Manager to lead and evolve KeeperPAM, our next\-generation Privileged Access Management platform designed for today’s hybrid enterprise. This role is for a deeply technical Product Manager who codes, collaborates, and ships like an engineer. This is a 100% remote position, with an opportunity to work a hybrid schedule for candidates based in the El Dorado Hills, CA area.
Keeper’s cybersecurity software is trusted by millions of people and thousands of organizations globally. Keeper is published in 23 languages and sold in over 150 countries. Join one of the fastest\-growing cybersecurity companies and help take a modern, zero\-trust PAM platform to the next level.
**About Keeper**
Keeper Security is transforming cybersecurity for organizations globally with zero\-trust privileged access management built with end\-to\-end encryption. Keeper’s cybersecurity solutions are FedRAMP and StateRAMP Authorized, SOC 2 compliant, FIPS 140\-2 validated, as well as ISO 27001, 27017 and 27018 certified. Keeper deploys in minutes, not months, and seamlessly integrates with any tech stack to prevent breaches, reduce help desk costs and ensure compliance. Trusted by millions of individuals and thousands of organizations, Keeper is the leader for password, passkey and secrets management, privileged access, secure remote access and encrypted messaging. Learn how our zero\-trust and zero\-knowledge solutions defend against cyber threats at KeeperSecurity.com.
**About the Job**
As the Senior Technical Product Manager for KeeperPAM, you will work closely with engineering, design, security, and cross\-functional business teams to deliver secure, scalable, and user\-centric privileged access solutions. This role requires strong hands\-on technical experience, deep infrastructure and security empathy, and the ability to translate complex access control, identity, and session management requirements into powerful product capabilities. At Keeper, Product Managers are expected to read, write, and understand code, actively participate in architecture discussions, and engage with engineers at a technical depth. This role is best suited for a former engineer or highly technical PM who is comfortable operating at the system and code level when necessary.
**Responsibilities**
* Partner on the vision, strategy, and multi\-release roadmap for KeeperPAM
* Collaborate closely with engineering and design to deliver secure, scalable access management tools, policies, and automation workflows
* Engage directly with enterprise security teams, IT administrators, and DevOps teams to understand real\-world privileged access use cases
* Monitor trends in privileged access management, session recording, just\-in\-time access, elevation control, and zero\-trust enforcement
* Guide the full product lifecycle from discovery and planning through development, launch, and iteration
* Prioritize and manage the product backlog based on customer value, technical feasibility, and strategic impact
* Coordinate across security, support, documentation, and marketing teams to ensure successful adoption and usage
* Define, track, and analyze key product metrics to inform roadmap and investment decisions
* Maintain deep familiarity with infrastructure security, RBAC and ABAC models, zero\-trust architectures, and enterprise identity ecosystems
* Advocate for least\-privilege access, secure defaults, and security\-first design across all product decisions
* Actively contribute to technical discussions with engineers, review architecture designs, and assist with PR reviews when needed to ensure solutions are technically sound
**Requirements**
* 5\+ years of experience in product management, preferably within B2B enterprise SaaS products
* Strong software engineering background with production\-level coding experience in one or more languages used in automation and enterprise integration, such as Python, Go, PowerShell, or Java
* Ability to work closely with engineers on complex topics including access policy enforcement, authentication protocols, secure session handling, and system architecture
* Experience with privileged access management (PAM) platforms and secure credential handling, including certificates, keys, secrets, and automated rotation
* Familiarity with zero\-trust architectures and enterprise identity providers such as Okta, Azure AD, or LDAP
* Understanding of hybrid environments including cloud platforms (AWS, GCP, Azure) and on\-prem systems
* Demonstrated success delivering technical products with measurable business and user outcomes
* Strong written and verbal communication skills with the ability to influence across engineering, design, security, and business stakeholders
* Highly organized with strong execution discipline and attention to detail
* Experience working within Agile software development environments
* Bachelor’s degree in Computer Science, Engineering, or a related technical field preferred
* Builder mindset with the ability to operate confidently at the code and system level when needed
Preferred Qualifications
* Hands\-on familiarity with PAM solutions such as BeyondTrust, CyberArk, Delinea, or open\-source equivalents
* Experience implementing or managing enterprise\-grade RBAC or ABAC models, session recording, or just\-in\-time access provisioning
* Knowledge of authentication and identity protocols including SAML, OIDC, and LDAP
* Understanding of session tunneling, secure proxying, and credential brokering architectures
* Background working with or contributing to security standards or open\-source infrastructure tools
* Former engineering experience or demonstrated ability to prototype features and build proof\-of\-concept tools
* Passion for secure infrastructure, identity governance, and privileged access workflows at scale
* U.S. Person status preferred due to work involving GovCloud integrations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84">
      <c r="A84" t="inlineStr">
        <is>
          <t>in-e2f601bc5ea59897</t>
        </is>
      </c>
      <c r="B84" t="inlineStr">
        <is>
          <t>Product Manager, AI &amp; Threat Analytics</t>
        </is>
      </c>
      <c r="C84" t="inlineStr">
        <is>
          <t>Keeper Security, Inc.</t>
        </is>
      </c>
      <c r="D84" t="inlineStr">
        <is>
          <t>indeed</t>
        </is>
      </c>
      <c r="E84">
        <f>HYPERLINK("https://www.indeed.com/viewjob?jk=e2f601bc5ea59897", "https://www.indeed.com/viewjob?jk=e2f601bc5ea59897")</f>
        <v/>
      </c>
      <c r="F84">
        <f>HYPERLINK("https://job-boards.greenhouse.io/keepersecurity/jobs/4105252009", "https://job-boards.greenhouse.io/keepersecurity/jobs/4105252009")</f>
        <v/>
      </c>
      <c r="G84" t="inlineStr">
        <is>
          <t>El Dorado Hills, CA, US</t>
        </is>
      </c>
      <c r="H84" s="3" t="n">
        <v>46042</v>
      </c>
      <c r="I84" t="inlineStr">
        <is>
          <t>**Description**
Keeper Security is seeking a Product Manager to join the AI \&amp; Threat Analytics team and directly support the Director of Engineering, AI \&amp; Threat Analytics as Keeper scales machine\-learning\-driven capabilities across its security platform. This is a 100% remote position, with an opportunity to work a hybrid schedule for candidates based in the El Dorado Hills, CA or Chicago, IL metro areas.
Keeper’s cybersecurity software is trusted by millions of people and thousands of organizations globally. Keeper is published in 23 languages and sold in over 150 countries. Join one of the fastest\-growing cybersecurity companies and play a key role in delivering AI\-powered threat detection, behavioral analytics, and risk intelligence that protect enterprise customers.
**About Keeper**
Keeper Security is transforming cybersecurity for organizations around the world with next\-generation privileged access management. Keeper’s zero\-trust and zero\-knowledge cybersecurity solutions are FedRAMP and StateRAMP Authorized, FIPS 140\-2 validated, as well as SOC 2 and ISO 27001 certified. Keeper deploys in minutes, not months, and seamlessly integrates with any tech stack to prevent breaches, reduce help desk costs and ensure compliance. Trusted by thousands of organizations to protect every user on every device, Keeper is the industry leader for best\-in\-class password management, secrets management, privileged access, secure remote access and encrypted messaging. Learn more at KeeperSecurity.com.
**About the Role**
As a Product Manager, AI \&amp; Threat Analytics, you will serve as the product execution partner for AI engineers, ML practitioners, and threat researchers. This role is embedded directly within the AI \&amp; Threat Analytics engineering organization and focuses on turning models, data pipelines, graph analytics, and applied AI interfaces into well\-defined, shippable product capabilities. You will work hands\-on with engineering leadership to prioritize initiatives, define requirements, coordinate cross\-product integration, and ensure AI\-driven features deliver measurable security outcomes. This is not a research or marketing PM role, it is an execution\-focused position that bridges advanced AI systems and production security products.
**Responsibilities**
* Support planning and delivery of releases aligned with the AI \&amp; Threat Analytics roadmap
* Translate AI models, graph analytics, and data pipelines into clear product requirements and user stories
* Define success metrics, acceptance criteria, and iteration plans for AI\-driven security features
* Coordinate AI integrations across Keeper product teams and platform services
* Act as the primary AI product point of contact for Product, PMO, and go\-to\-market teams
* Track execution progress, dependencies, and delivery risks across AI initiatives
* Support post\-launch analysis, feedback collection, and continuous improvement of AI\-powered features
**Requirements**
* 5\+ years of experience in Product Management, Technical Product Management, or a closely related role
* Hands\-on experience working with AI or machine\-learning\-driven systems in development or production environments
* Strong understanding of AI and ML concepts, limitations, and tradeoffs (without being responsible for model training)
* Proven ability to work closely with engineers on technically complex systems
* Experience translating data pipelines, analytics, or model outputs into user\-facing product capabilities
* Strong written and verbal communication skills across technical and non\-technical audiences
* Familiarity with cloud platforms such as AWS, GCP, or Azure in data or ML contexts
* Bachelor’s degree in a technical or quantitative field, or equivalent practical experience
* Due to FedRAMP requirements, candidates must be a U.S. Person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85">
      <c r="A85" t="inlineStr">
        <is>
          <t>in-01093cb3d76bf4be</t>
        </is>
      </c>
      <c r="B85" t="inlineStr">
        <is>
          <t>Learning &amp; Accessibility Program Manager</t>
        </is>
      </c>
      <c r="C85" t="inlineStr">
        <is>
          <t>The University of Michigan</t>
        </is>
      </c>
      <c r="D85" t="inlineStr">
        <is>
          <t>indeed</t>
        </is>
      </c>
      <c r="E85">
        <f>HYPERLINK("https://www.indeed.com/viewjob?jk=01093cb3d76bf4be", "https://www.indeed.com/viewjob?jk=01093cb3d76bf4be")</f>
        <v/>
      </c>
      <c r="F85">
        <f>HYPERLINK("https://careers.umich.edu/job_detail/273164/learning-accessibility-program-manager", "https://careers.umich.edu/job_detail/273164/learning-accessibility-program-manager")</f>
        <v/>
      </c>
      <c r="G85" t="inlineStr">
        <is>
          <t>Ann Arbor, MI, US</t>
        </is>
      </c>
      <c r="H85" s="3" t="n">
        <v>46042</v>
      </c>
      <c r="I85" t="inlineStr">
        <is>
          <t>**How to Apply**
----------------
A cover letter is required for consideration for this position and should be attached as the first page of your resume. The cover letter should address your specific interest in the position and outline skills and experience that directly relate to this position.
**Job Summary**
---------------
The Office of Medical Student Education (OMSE) seeks a Learning \&amp; Accessibility Manager. The candidate will provide expertise, leadership, and service to innovative programs to support medical student academic success and wellbeing. The successful candidate will spearhead programmatic strategies to support learning development, evaluate and identify individual student learning difficulties, and assist students with effective strategies for academic productivity. The candidate will review disability documentation, determine, and coordinate the implementation of appropriate accommodations for medical students who qualify as persons with disabilities under ADAAA, Section 504 and Section 508 of the Rehabilitation Act of 1973\.
**Why Join Michigan Medicine?**
-------------------------------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
PROGRAM DEVELOPMENT AND ADMINISTRATION
* Provide oversight and direction to academic support programs that address professional and personal attributes that contribute to medical student academic success and wellbeing. Act independently and use expertise to administer individualized study plans, pre\-matriculation programs, tutorial support, academic coaching programs, peer\-to\-peer mentoring, and other programs.
* Supervise full\-time Learning \&amp; Disability Coordinator in implementation of disability accommodations, procurement of services, assistive technology, and medical student tutoring program. Complete annual performance evaluations, and guide/recommend professional development opportunities. Supervise 35\+ medical student tutors.
* Lead groups of faculty, staff, and students in the development, planning, implementation, and assessment of existing and new programs for medical students. This includes workshops, courses, seminars focused on board preparation, study skills, and/or clinical skills integration.
* Serve as course director for Trunk Consolidation Course for students preparing for USMLE Step 1 exam.
ACADEMIC SUPPORT AND ACHIEVEMENT
* Provide continuous academic support and academic counseling for medical students. Meet privately with students to evaluate and support academic performance. As appropriate, identify and/or provide referrals to a network of specialists to further ascertain student learning abilities and difficulties.
* Provide leadership, advocacy, expertise, oversight, and direction to Learning \&amp; Accessibility support programs through partnerships with OMSE leadership, in particular the Assistant Dean, Director of Student Affairs, and Counseling and Advising staff, as well as other entities at the Medical School and campus. Establish programs that address the specific professional and personal attributes contributing to medical student academic success and wellbeing. Act independently and utilize expertise in order to administer individualized study plans, tutorial support, academic coaching programs, peer\-to\-peer mentoring, study skill seminars, and wellness programs.
* Coordinate remediation of medical student gaps in clinical knowledge with clinical faculty as required.
* Serve and participate on medical student Competency Committees.
* Contribute to innovations in the medical student curriculum through work with members of the Office of Medical Student Education.
* Stay abreast of resources and best practices in learning support for medical students through active participation in professional societies and networking.
DISABILITY SUPPORT SERVICES
* Consult with medical school applicants regarding disability services available within UMMS.
* Review documentation from professionals qualified to diagnose disabilities, including neuropsychologists, medical doctors, and other professionals.
* On a case\-by\-case basis, identify curricular barriers and identify appropriate accommodations. Exercise professional judgement and specialized training to conduct the interactive process required for determining eligibility for disability accommodations in both the didactic and clinical settings.
* Provide ongoing monitoring and collaboration with students with disabilities, faculty, administrators, and staff to ensure effective and seamless implementation of approved accommodations.
* Refer students for neuropsychological testing, psychological, and therapeutic support as required.
* Participate in resolution of any conflict that arises in the implementation of disability accommodations.
* Interpret and apply the UMMS Technical Standards appropriately; with Assistant Dean for Student Affairs, co\-chair Advisory Board for Accommodations and Technical standards (ABATS).
* Advise and assist students in the process of applying for accommodations for USMLE exams; review personal statements, certify initial applications, and provide guidance in the filing of appeals if accommodation requests are denied.
* Engage in outreach and advocacy for students with disabilities.
* Collaborate with Student Accessibility and Accommodation Services and other University groups involved with disability, equity, and inclusion.
* Maintain affiliation and engagement with professional organizations to keep abreast of disability\-related laws and best practices in health sciences higher education; consult with University of Michigan ADA Coordinator and Office of General Counsel as needed.
**Required Qualifications\***
-----------------------------
* Master's Degree in relevant social or behavioral science discipline (e.g., Counseling, Education, Psychology).
* At least 5 years of relevant experience working in an educational setting with demonstrable skills in academic and student program development.
* Ability to evaluate learning difficulties, familiarity with diagnostic assessment tools, expertise with developing individual and programmatic interventions to improve learning ability.
* Knowledge of relevant disability laws (ADA, Section s504 and 508 of Rehabilitation Act of 1973\).
* Excellent verbal, written, interpersonal, and organizational skills.
* Proven ability to work well with faculty, students, and staff, and as a member of a team.
* Outstanding attention to detail and project deadlines.
* Proven ability to maintain individual rights to privacy and confidentiality.
**Work Locations**
------------------
The Office of Medical Student Education operates in a hybrid work environment consisting of both in\-person and remote work. This position will be classified as a flex position. Onboarding and training will primarily take place in\-person. Thereafter, the selected staff member will be onsite 1\-2 days/week and work with the OMSE \- Student Affairs Director to determine the most effective hybrid work schedule in order to support students, professional development and growth in position, and workplace efficiency.
**Modes of Work**
-----------------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**Background Screening**
------------------------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
Job openings are posted for a minimum of seven calendar days. The review and selection process may begin as early as the eighth day after posting. This opening may be removed from posting boards and filled anytime after the minimum posting period has ended.
**U\-M EEO Statement**
----------------------
The University of Michigan is an equal employment opportunity employer.
### **Job Opening ID**
273164
### **Working Title**
Learning \&amp; Accessibility Program Manager
### **Job Title**
Student Affairs Program Mgr
### **Work Location**
Ann Arbor Campus
Ann Arbor, MI
### **Modes of Work**
Hybrid
### **Full/Part Time**
Full\-Time
### **Regular/Temporary**
Regular
### **FLSA Status**
Exempt
### **Organizational Group**
Medical School
### **Department**
MM OMSE Curriculum Srvs Gen.
### **Posting Begin/End Date**
1/21/2026 \- 2/02/2026
### **Career Interest**
Academic \&amp; Student Services</t>
        </is>
      </c>
    </row>
    <row r="86">
      <c r="A86" t="inlineStr">
        <is>
          <t>in-fab7effb0c09017d</t>
        </is>
      </c>
      <c r="B86" t="inlineStr">
        <is>
          <t>Technical Program Manager (Anaplan)</t>
        </is>
      </c>
      <c r="C86" t="inlineStr">
        <is>
          <t>AGW</t>
        </is>
      </c>
      <c r="D86" t="inlineStr">
        <is>
          <t>indeed</t>
        </is>
      </c>
      <c r="E86">
        <f>HYPERLINK("https://www.indeed.com/viewjob?jk=fab7effb0c09017d", "https://www.indeed.com/viewjob?jk=fab7effb0c09017d")</f>
        <v/>
      </c>
      <c r="F86">
        <f>HYPERLINK("https://www2.jobdiva.com/candidates/myjobs/openjob_outside.jsp?a=48jdnwfh8vhzflv7zcdp76mde2du7o006c79o0fir46s6a2nlffdcojc2myqww0k&amp;SearchString=&amp;StatesString=&amp;source=indeed.com&amp;id=27157551&amp;compid=3", "https://www2.jobdiva.com/candidates/myjobs/openjob_outside.jsp?a=48jdnwfh8vhzflv7zcdp76mde2du7o006c79o0fir46s6a2nlffdcojc2myqww0k&amp;SearchString=&amp;StatesString=&amp;source=indeed.com&amp;id=27157551&amp;compid=3")</f>
        <v/>
      </c>
      <c r="G86" t="inlineStr">
        <is>
          <t>New York, NY, US</t>
        </is>
      </c>
      <c r="H86" s="3" t="n">
        <v>46042</v>
      </c>
      <c r="I86" t="inlineStr">
        <is>
          <t>**ApTask Global Workforce (AGW)** **is seeking a Technical Program Manager (Anaplan) for a remote position located in New York, NY 10007\. This is a 6\+ month contract opportunity. This position is 100% remote.**  
**Summary:**  
The main function of a Technical Program Manager is to provide successful definition, implementation, and delivery of complex programs that require cross\-functional collaboration and interdependencies across a group of projects and/or related activities. This role is responsible for delivering scalable solutions to enable high impact business outcomes and ensure availability, performance, efficient operation and support of Anaplan. You will have experience with enabling and improving business processes with Anaplan along with a proven history of successfully managing Anaplan at scale.  
**Responsibilities:**
* Deliver programs within the constraints of scope, quality, time, and budget.
* Collaborate with business stakeholders to develop product strategy, roadmaps, impact metrics, gather requirements, and provide solutions, support, and maintain the Anaplan Application.
* Collaborate with other Application Managers, Engineers and business stakeholders to execute the roadmap and integrate Anaplan with other systems and tools.
* Analyze business processes and identify opportunities for improvement through Anaplan.
* Translate business processes and requirements into technical requirements \&amp; design documentation.
* Design, build, and deploy Anaplan models, dashboards, and reports to meet business requirements.
* Ensure data integrity, validation, and security. Review vendor solutions to ensure they meet requirements.
* Quickly respond to and resolve support issues and provide status updates.
* Provide technical/application support and troubleshooting for Anaplan applications.
* Develop and maintain data governance policies and procedures.
* Collaborate with Data Engineers on integration requirements and operations.
* Perform data analysis and provide insights to inform business decisions.
* Communicate application updates, changes, and benefits to business stakeholders.
* Provide training and support to end\-users and foster relationships with cross\-functional teams.
* Stay up\-to\-date with Anaplan product releases, features, and best practices.
**Requirements:**
* Bachelor's degree in Computer Science, Computer Engineering, relevant technical field, or equivalent practical experience.
* 5\+ years of roadmap planning, developing, implementing and supporting Anaplan.
* Self\-starter with demonstrated ability to manage multiple projects and tasks.
* Experience with managing professional services vendors.
* Demonstrated ability to work as part of a team in a collaborative environment, build consensus and promote the exchange of information.
* Demonstrated expertise effectively collaborating with stakeholders and users.
* Experience driving business outcomes by analyzing SLAs, priority, and operational metrics.
* Minimum of 3 years of experience in implementing Performance Management Solutions using Anaplan, Oracle Hyperion, SAP EPM, IBM TM1/Cognos, Tableau, or similar technologies.
* Prior experience in a project team environment using structured methodologies for gathering business requirements, business processes, data conversions and system interfaces.
* Only candidates available and ready to work directly as ApTask Global Workforce (AGW) employees will be considered for this position.
**Desired skills:**
* Master's degree and/or equivalent experience in Finance, Information Technology or Business Administration.
* Certified Anaplan Solution Architect.
* Working knowledge of financial or sales planning.
* Implementation of Anaplan in 2\+ companies.
* Prior experience in Software Development Life Cycle (SDLC) like Agile methodologies.
* Demonstrated working knowledge of Relational Database Management Systems (RDBMS) – SQL, ANSI SQL, MySQL, PL/SQL in Oracle, PartiQL in AWS, SAS.
**Pay rate**: is up to $168\.16/hr.  
**If you have the described qualifications and are interested in this exciting opportunity, please apply!**  
**ApTask Global Workforce (AGW)**  
ApTask Global Workforce (AGW) is a certified Minority and Veteran workforce solutions company. AGW delivers operational, clinical, lab and professional talent with a strong focus on healthcare and life sciences. The company supports clients with reliable staffing, program expertise and a commitment to quality, speed and consistent delivery.  
**Benefits of working with ApTask Global Workforce include:*** Medical
* Dental
* Vision
* Sick Pay (for applicable states/municipalities)
Our team stays close to the process and is here to guide you every step of the way. To learn more, please visit our website https://www.agwtalent.com/.  
ApTask Global Workforce is an Equal Opportunity Employer. Candidates will receive consideration without regard to their race, color, religion, sex, sexual orientation, gender identity, national origin, disability or status as a protected veteran.</t>
        </is>
      </c>
    </row>
    <row r="87">
      <c r="A87" t="inlineStr">
        <is>
          <t>in-eae82a0bc249417f</t>
        </is>
      </c>
      <c r="B87" t="inlineStr">
        <is>
          <t>Technical Program Manager - Enterprise Data Strategy &amp; Enablement</t>
        </is>
      </c>
      <c r="C87" t="inlineStr">
        <is>
          <t>Blue Yonder</t>
        </is>
      </c>
      <c r="D87" t="inlineStr">
        <is>
          <t>indeed</t>
        </is>
      </c>
      <c r="E87">
        <f>HYPERLINK("https://www.indeed.com/viewjob?jk=eae82a0bc249417f", "https://www.indeed.com/viewjob?jk=eae82a0bc249417f")</f>
        <v/>
      </c>
      <c r="F87">
        <f>HYPERLINK("https://jda.wd5.myworkdayjobs.com/en-US/JDA_Careers/job/Dallas/Technical-Program-Manager---Enterprise-Data-Strategy---Enablement_254100", "https://jda.wd5.myworkdayjobs.com/en-US/JDA_Careers/job/Dallas/Technical-Program-Manager---Enterprise-Data-Strategy---Enablement_254100")</f>
        <v/>
      </c>
      <c r="G87" t="inlineStr">
        <is>
          <t>Dallas, TX, US</t>
        </is>
      </c>
      <c r="H87" s="3" t="n">
        <v>46042</v>
      </c>
      <c r="I87" t="inlineStr">
        <is>
          <t>Role: Technical Program Manager – Enterprise Data Strategy \&amp; Enablement
Location: US Remote
Synonymous Business Title (s): *Business Analytics Consultant*  
Overview:  
Blue Yonder is a leading global, AI‑driven supply chain software company that helps organizations optimize demand planning, logistics, and execution through advanced artificial intelligence and machine learning solutions.
The Technical Program Manager (TPM) will play a critical role in driving the execution of our Enterprise Data Strategy and enabling the transformation of our BI organization into a Strategic Data Enablement function. This role will be responsible for leading cross\-functional programs spanning data governance, data quality, semantic modeling, architecture modernization, AI\-powered analytics, and operational excellence across our data platforms.
What You’ll be Doing:
Program Leadership \&amp; Execution* Drive planning, execution, and delivery of cross\-functional programs across the six pillars of the Enterprise Data Strategy.
* Lead end\-to\-end program management for major initiatives including the Unified Semantic Layer, Metrics\-That\-Matter, governance rollout, and platform modernization.
* Establish and maintain roadmaps, OKRs, RAG status, risks, dependencies, and milestones.
* Ensure program visibility and alignment across leadership, technical teams, and business partners.
Cross\-Functional Coordination* Facilitate collaboration between Data Engineering, MDM, Analytics Engineering, BI Advisors, Data Governance, Security, and IT.
* Coordinate intake, prioritization, and resource assignment.
* Serve as connective tissue between teams to unblock progress and ensure timely decisions.
* Prepare and run steering meetings, working groups, and program reviews.
Governance \&amp; Standards* Support operationalization of governance processes (data ownership, stewardship, quality workflows, policies, RACI).
* Drive rollout and adoption of definitions, standards, and architectural guardrails.
* Ensure compliance and audit\-readiness for SOX, IPE, lineage, and metadata requirements.
Operational Excellence* Establish repeatable program management frameworks and reporting.
* Improve processes around intake, execution, testing, release, communication, and post\-implementation review.
* Identify gaps, inefficiencies, and implement improvements.
Stakeholder Management \&amp; Communication* Provide clear, concise updates to senior leaders.
* Translate complex technical concepts into business\-friendly language.
* Build high\-quality materials for executive reviews and planning cycles.
Technical Acumen* Understand data architecture patterns, semantic modeling, MDM, data quality frameworks, and analytics workflows.
* Work effectively with engineers, architects, and data modelers.
* Provide context for technical decisions, tradeoffs, and risk identification.
What We’re Looking For:
Required:* Minimum 5\+ years of professional experience in Technical Program Management.
* Must have experience leading cross\-functional programs in data, analytics, BI, data engineering, or enterprise architecture.
* Must have a solid understanding of modern data stacks (Databricks, Snowflake, Azure, AWS, AtScale, Purview, MDM).
* Experience with governance, lineage, or compliance programs.
Preferred:* Experience in SaaS or high\-growth tech environments.
* Familiarity with semantic layer tools, metadata tools, or MDM platforms.
* Background in Agile or hybrid delivery.
* PMP, Agile, or Scrum certifications (optional).
Soft Skills:* Exceptional analytical, problem\-solving, and project management skills.
* Excellent communication skills, with the ability to articulate complex concepts to a diverse audience.
* Strong leadership qualities and the ability to foster teamwork and collaboration.
\-
The annual salary range for this position is $120,334\.55 to $145,000\.00\.
The salary range information provided, reflects the anticipated base salary range for this position based on current national data. Minimums and maximums may vary based on location. Individual salary will be commensurate with skills, experience, certifications or licenses and other relevant factors. In addition, this role will be eligible to participate in either the annual performance bonus or commission program, determined by the nature of the position.
At Blue Yonder, we care about the wellbeing of our employees and those most important to them. This is reflected in our robust benefits package and options that includes:* Comprehensive Medical, Dental and Vision
* 401K with Matching
* Flexible Time Off
* Corporate Fitness Program
* A variety of voluntary benefits such as; Legal Plans, Accident and Hospital Indemnity, Pet Insurance and much more
At Blue Yonder, we are committed to a workplace that genuinely fosters inclusion and belonging in which everyone can share their unique voices and talents in a safe space. We continue to be guided by our core values and are proud of our diverse culture as an equal opportunity employer. We understand that your career search may look different than others, and embrace the professional, personal, educational, and volunteer opportunities through which people gain experience.
Our Values  
If you want to know the heart of a company, take a look at their values. Ours unite us. They are what drive our success – and the success of our customers. Does your heart beat like ours? Find out here: Core Values
All qualified applicants will receive consideration for employment without regard to race, color, religion, sex, sexual orientation, gender identity, national origin, disability or protected veteran status.</t>
        </is>
      </c>
    </row>
    <row r="88">
      <c r="A88" t="inlineStr">
        <is>
          <t>in-90f94c4b4f7c02a2</t>
        </is>
      </c>
      <c r="B88" t="inlineStr">
        <is>
          <t>Program Manager - RN- South Lake Tahoe</t>
        </is>
      </c>
      <c r="C88" t="inlineStr">
        <is>
          <t>RestorixHealth</t>
        </is>
      </c>
      <c r="D88" t="inlineStr">
        <is>
          <t>indeed</t>
        </is>
      </c>
      <c r="E88">
        <f>HYPERLINK("https://www.indeed.com/viewjob?jk=90f94c4b4f7c02a2", "https://www.indeed.com/viewjob?jk=90f94c4b4f7c02a2")</f>
        <v/>
      </c>
      <c r="F88">
        <f>HYPERLINK("https://jobs.dayforcehcm.com/en-US/restorixhealth/CANDIDATEPORTAL/jobs/31789", "https://jobs.dayforcehcm.com/en-US/restorixhealth/CANDIDATEPORTAL/jobs/31789")</f>
        <v/>
      </c>
      <c r="G88" t="inlineStr">
        <is>
          <t>South Lake Tahoe, CA, US</t>
        </is>
      </c>
      <c r="H88" s="3" t="n">
        <v>46042</v>
      </c>
      <c r="I88" t="inlineStr">
        <is>
          <t>**JOB SUMMARY:**  
The Program Manager is wholly responsible for the overall leadership, performance, and day\-to\-day activities within his or her Wound Care and/or Hyperbaric treatment center(s) assigned to the individual and is responsible for ensuring the delivery of consistent, high quality patient care and service through a blended hands\-on and leadership by example approach. He or she is responsible for staff management, team building, budgeting, revenue cycle management, clinical operations, hospital partner interaction and retention, physician management, professional education/community referral development and ensuring compliance with all company policies and procedures.
**PRIMARY RESPONSIBILITIES:**  
Staff Management and Team Building Duties
* Lead by example and model ideal behaviors while performing all duties and in interactions with staff and patients.
* Work in collaboration with RXH/hospital Partner Human Resources Department to conduct interviews for prospective staff and determine suitability for hire.
* Establish performance expectations, provide regular feedback, including completing performance appraisals, and consistently manage these expectations.
* Participate in continuing education meetings, committees or workgroups and identify needs, both managerially and clinically, and seed resources as needed.
* Coordinate or facilitate training and educational programs in collaboration with other support departments (facility Implementation Team, Revenue Cycle, Human Resources, and Clinical Operations) including but not limited to orientation of new staff, mandatory requirements, developmental needs, and competencies training.
* Maintain and ensure all staff meet all compliance requirements including but not limited to RXH’s compliance plan, center\-specific policies, and procedures, federal (Medicare) and state (Medicaid) programs, and Joint Commission.
* Comply with all the HIPAA Privacy and Confidentiality Policy and Procedures outlined in the “Privacy, Security and Confidentiality Agreement.”
* Administer and uphold all the Company’s values and policies and procedures.
* Continuously work towards the Company’s goal and vision.
* Performs other duties as assigned.
Clinical Operations
* Be visible in wound clinic aligning supportive documentation for procedures (graft utilization, debridement) in conjunction with clinical staff.
* Collaborate with Medical Director and staff to develop, implement and manage RXH’s Performance Improvement Plan to improve Quality Outcomes.
* Plan, implement, evaluate, and adjust staffing patterns and clinic flow to improve efficiencies and productivity in accordance with acuity levels.
* Complete in a timely manner all billing and utilization documentation requirements via EMR including registration, charge posting, and supporting medical documentation notes.
* Ensure appropriate compliance with Clinical Practice Pathways and initiates, modify and effect unit\-based changes in clinical practice to maximize patient outcomes.
* Review retrospectively monthly outcome report(s) and collaborate with RXH RD/Hospital Partner to identify improvement opportunities.
* Serve as an advisor and communicate effectively with staff, patients, and family to monitor patient and referring physician satisfaction.
* Responsible for preparing and submitting the quarterly safety survey, for reporting, investigating, and taking preventative measures for safety incidents and performing any other reporting required by the business.
* Authorize purchase of supplies and equipment in collaboration with supervisor.
* Provides professional nursing care by utilizing all elements of nursing processes.
* Develops patient specific wound care plan and regularly reviews wound progress.
* Measures and photographs wound progress and provides updates to physician on an ongoing basis as changes occur.
* Assists providers and is present for specialized wound care procedures within the wound clinic.
* Follows up with lab and diagnosis results, communicates to provider and patient, and documents accurately in the medical record.
* Adhere to all local facility regulations, patient safety initiatives and infection control regulations.
* Adheres to RXH and host facility regulatory and accrediting standards policies/procedures.
* Establishes weekly contacts with the center’s administration and medical staff.
* Educates referral sources on RXH benefits, referral process, and clinic specific information
* Establish and ensure compliance with all RXH policies and procedures in cooperation with the hospital.
* Attends and conducts local medical community functions, such as conventions and in\-service
training.
* Completes strategic marketing plans and completes local onsite marketing strategies timely in
* addition to virtual marketing strategies
* Actively participates in all Quality Management measures (i.e., survey preparation, documentation, audits, patient satisfaction survey completion, and hygiene observations.
* Facilitates coordination of care.
* Ensures completion of the pre\-and post\-clinic checklist tasks.
* Provides ongoing patient education relevant to disease processes, mediations, nutrition, vitamin therapy, and pressure reduction.
* Ensures accuracy, legibility, and completion of all staff documentation and adheres to daily chart check and correction policy.
Administration and Performance Management
* Prepare, establish, and manage salary, supplies, equipment and material budgets and financial performance objectives, in coordination with RXH Regional Director.
* Manage and/or coordinate all aspects of the revenue cycle including registration, scheduling, hyperbaric conversion, treatment authorization, documentation, coding, charge entry, billing, collections, and denial processes.
* Maximize monthly program utilization by controlling external barriers including scheduling constraints, scope of supervision coverage, medical clearances, compliance, and chamber maintenance.
* Implement audit and reconciliation processes to ensure accuracy. Regularly review the Charge Description Master and Superbill to ensure appropriate reimbursement.
* Conduct chart audits to monitor and ensure documentation meets regulatory and billing requirements. Stay current with reimbursement changes, providing physician and staff updates and education as needed.
* Review and analyze key financial reports, identify key indicator trends, and develop plans to ensure best practices are implemented to appropriately maximize clinic and overall program profitability and/or address variances.
Partner Relationship Management (partner hospital, participating physicians, referral sources)
* Interface and collaborate with hospital and RXH staff and management and uphold hospital partner reporting and operating requirements.
* Problem solve and troubleshoot issues between the center and its physicians and hospital partners.
* Work effectively with case managers and other disciplines to assist in the planning and implantation of strategies to improve performance and outcomes.
* Facilitate and/or conduct individual and group educational presentations to the various referral sources and general community.
* Track and report all inpatient, outpatient, outreach, HBO, and ancillary revenues generated by the program. Work with Regional Director to complete a quarterly financial review and present results to hospital leadership.
**EDUCATION AND TECHNICAL SKILLS:**  
* Minimum of 5 years of experience in an ambulatory or equivalent setting.
* Bachelor’s degree in nursing, preferred.
* Registered Nurse Graduate of an accredited school of professional nursing. Holding current license with appropriate State Board of Nursing without restriction. Maintains full knowledge and works within their scope of practice
* Training and Experience \- Preferred wound care clinic experience, graduated from an accredited nursing program and holds an active license in the state(s) working in.
* Possesses a thorough knowledge of evidence based wound healing standards and demonstrates
expertise regarding wound etiology assessment, wound bed preparation, and related wound
management strategies. Demonstrates proficiency to assess patients’ wound care needs and assists to formulate individual wound management plans. Must be knowledgeable of the policies and procedures governing RestorixHealth.
* Demonstrates proficiency to assess patients’ wound care needs and assists to formulate individual wound management plans. Must be knowledgeable of the policies and procedures governing RestorixHealth.
* Experience in medical sales, process management, leadership, marketing, and referral source generation preferred.
* Must have intermediate Microsoft Office Suite skills, be technologically savvy and comfortable learning and teaching new applications.
* Possesses and maintains current BLS from the American Heart Association. Must have and maintain a valid ACLS certification through the American heart Association if the hospital requires it.
**ADDITIONAL ELIGIBILITY QUALIFICATIONS/COMPETENCIES:**  
* Strong leadership skills with focus on leading by example, team building, engaging and coaching colleagues and flexibility.
* Strong organizational and problem\-solving skills.
* Excellent collaboration skills to foster relationships with all key departments such as: Revenue Cycle, Clinical Education, Human Resources, Finance and Compliance to accomplish key initiatives as directed by Regional Director.
* Exceptional communication skills, both oral and written, as well as interpersonal skills to enable communication and collaboration with physicians, patients, families, and ancillary staff.
* Excellent critical thinking skills and ability to make sound, independent clinical judgements.
* Ability to prioritize and multi\-task while working in a fast\-paced team environment.
* Display drive and fortitude.
* Work in a fast\-paced clinical environment.
* Exhibit critical thinking.
* Exhibit the ability to make sound nursing judgement.
* Embrace and thrive in a team environment; fosters a sense of teamwork
* Willing to continue coordination of care efforts even during non\-clinic hours.
* Act professionally as a representative of RXH.
* Diversity – Demonstrates knowledge of Equal Employment Opportunity (EEO) policy; shows respect and sensitivity for cultural differences; educates others on the value of diversity; promotes a harassment\-free environment; builds a diverse workforce.
* Ethics – Treats people with respect; keeps commitments; inspires the trust of others; works with integrity and principles; upholds organizational values.
* Ability to work effectively in a team environment.
* Intermediate Microsoft Outlook, Excel, and Word skills.
**PHYSICAL REQUIREMENTS:**  
* Must have full range of body motion, be able to lift a minimum of 50 lbs., and can stand, sit, walk, bend, lean, and squat for long periods of time with hindrance.
* Vision abilities required include close vision, distance vision and color vision.
* Must be able to speak and hear clearly.
* Must be able to maintain dexterity when pulling, pushing, and gripping emergency carts and stretchers.
* Must be physically able to perform CPR.
**Note:** The above is intended to describe the general content of and requirements for the performance of this job. It is not construed as an exhaustive statement of duties, responsibilities or requirements and may change at any time.
The Company is an Equal Opportunity Employer (EEO). All qualified applicants will receive consideration for employment without regard to race, ethnicity, color, religion, sex, gender identity, gender expression, sexual orientation, national origin, age, disability, or protected veteran status.
INDHP
INDHP</t>
        </is>
      </c>
    </row>
    <row r="89">
      <c r="A89" t="inlineStr">
        <is>
          <t>in-a91ef06d5e661288</t>
        </is>
      </c>
      <c r="B89" t="inlineStr">
        <is>
          <t>Program Manager - RN- South Lake Tahoe</t>
        </is>
      </c>
      <c r="C89" t="inlineStr">
        <is>
          <t>RestorixHealth</t>
        </is>
      </c>
      <c r="D89" t="inlineStr">
        <is>
          <t>indeed</t>
        </is>
      </c>
      <c r="E89">
        <f>HYPERLINK("https://www.indeed.com/viewjob?jk=a91ef06d5e661288", "https://www.indeed.com/viewjob?jk=a91ef06d5e661288")</f>
        <v/>
      </c>
      <c r="F89">
        <f>HYPERLINK("https://jobs.dayforcehcm.com/en-US/restorixhealth/CANDIDATEPORTAL/jobs/31789", "https://jobs.dayforcehcm.com/en-US/restorixhealth/CANDIDATEPORTAL/jobs/31789")</f>
        <v/>
      </c>
      <c r="G89" t="inlineStr">
        <is>
          <t>Reno, NV, US</t>
        </is>
      </c>
      <c r="H89" s="3" t="n">
        <v>46042</v>
      </c>
      <c r="I89" t="inlineStr">
        <is>
          <t>**JOB SUMMARY:**  
The Program Manager is wholly responsible for the overall leadership, performance, and day\-to\-day activities within his or her Wound Care and/or Hyperbaric treatment center(s) assigned to the individual and is responsible for ensuring the delivery of consistent, high quality patient care and service through a blended hands\-on and leadership by example approach. He or she is responsible for staff management, team building, budgeting, revenue cycle management, clinical operations, hospital partner interaction and retention, physician management, professional education/community referral development and ensuring compliance with all company policies and procedures.
**PRIMARY RESPONSIBILITIES:**  
Staff Management and Team Building Duties
* Lead by example and model ideal behaviors while performing all duties and in interactions with staff and patients.
* Work in collaboration with RXH/hospital Partner Human Resources Department to conduct interviews for prospective staff and determine suitability for hire.
* Establish performance expectations, provide regular feedback, including completing performance appraisals, and consistently manage these expectations.
* Participate in continuing education meetings, committees or workgroups and identify needs, both managerially and clinically, and seed resources as needed.
* Coordinate or facilitate training and educational programs in collaboration with other support departments (facility Implementation Team, Revenue Cycle, Human Resources, and Clinical Operations) including but not limited to orientation of new staff, mandatory requirements, developmental needs, and competencies training.
* Maintain and ensure all staff meet all compliance requirements including but not limited to RXH’s compliance plan, center\-specific policies, and procedures, federal (Medicare) and state (Medicaid) programs, and Joint Commission.
* Comply with all the HIPAA Privacy and Confidentiality Policy and Procedures outlined in the “Privacy, Security and Confidentiality Agreement.”
* Administer and uphold all the Company’s values and policies and procedures.
* Continuously work towards the Company’s goal and vision.
* Performs other duties as assigned.
Clinical Operations
* Be visible in wound clinic aligning supportive documentation for procedures (graft utilization, debridement) in conjunction with clinical staff.
* Collaborate with Medical Director and staff to develop, implement and manage RXH’s Performance Improvement Plan to improve Quality Outcomes.
* Plan, implement, evaluate, and adjust staffing patterns and clinic flow to improve efficiencies and productivity in accordance with acuity levels.
* Complete in a timely manner all billing and utilization documentation requirements via EMR including registration, charge posting, and supporting medical documentation notes.
* Ensure appropriate compliance with Clinical Practice Pathways and initiates, modify and effect unit\-based changes in clinical practice to maximize patient outcomes.
* Review retrospectively monthly outcome report(s) and collaborate with RXH RD/Hospital Partner to identify improvement opportunities.
* Serve as an advisor and communicate effectively with staff, patients, and family to monitor patient and referring physician satisfaction.
* Responsible for preparing and submitting the quarterly safety survey, for reporting, investigating, and taking preventative measures for safety incidents and performing any other reporting required by the business.
* Authorize purchase of supplies and equipment in collaboration with supervisor.
* Provides professional nursing care by utilizing all elements of nursing processes.
* Develops patient specific wound care plan and regularly reviews wound progress.
* Measures and photographs wound progress and provides updates to physician on an ongoing basis as changes occur.
* Assists providers and is present for specialized wound care procedures within the wound clinic.
* Follows up with lab and diagnosis results, communicates to provider and patient, and documents accurately in the medical record.
* Adhere to all local facility regulations, patient safety initiatives and infection control regulations.
* Adheres to RXH and host facility regulatory and accrediting standards policies/procedures.
* Establishes weekly contacts with the center’s administration and medical staff.
* Educates referral sources on RXH benefits, referral process, and clinic specific information
* Establish and ensure compliance with all RXH policies and procedures in cooperation with the hospital.
* Attends and conducts local medical community functions, such as conventions and in\-service
training.
* Completes strategic marketing plans and completes local onsite marketing strategies timely in
* addition to virtual marketing strategies
* Actively participates in all Quality Management measures (i.e., survey preparation, documentation, audits, patient satisfaction survey completion, and hygiene observations.
* Facilitates coordination of care.
* Ensures completion of the pre\-and post\-clinic checklist tasks.
* Provides ongoing patient education relevant to disease processes, mediations, nutrition, vitamin therapy, and pressure reduction.
* Ensures accuracy, legibility, and completion of all staff documentation and adheres to daily chart check and correction policy.
Administration and Performance Management
* Prepare, establish, and manage salary, supplies, equipment and material budgets and financial performance objectives, in coordination with RXH Regional Director.
* Manage and/or coordinate all aspects of the revenue cycle including registration, scheduling, hyperbaric conversion, treatment authorization, documentation, coding, charge entry, billing, collections, and denial processes.
* Maximize monthly program utilization by controlling external barriers including scheduling constraints, scope of supervision coverage, medical clearances, compliance, and chamber maintenance.
* Implement audit and reconciliation processes to ensure accuracy. Regularly review the Charge Description Master and Superbill to ensure appropriate reimbursement.
* Conduct chart audits to monitor and ensure documentation meets regulatory and billing requirements. Stay current with reimbursement changes, providing physician and staff updates and education as needed.
* Review and analyze key financial reports, identify key indicator trends, and develop plans to ensure best practices are implemented to appropriately maximize clinic and overall program profitability and/or address variances.
Partner Relationship Management (partner hospital, participating physicians, referral sources)
* Interface and collaborate with hospital and RXH staff and management and uphold hospital partner reporting and operating requirements.
* Problem solve and troubleshoot issues between the center and its physicians and hospital partners.
* Work effectively with case managers and other disciplines to assist in the planning and implantation of strategies to improve performance and outcomes.
* Facilitate and/or conduct individual and group educational presentations to the various referral sources and general community.
* Track and report all inpatient, outpatient, outreach, HBO, and ancillary revenues generated by the program. Work with Regional Director to complete a quarterly financial review and present results to hospital leadership.
**EDUCATION AND TECHNICAL SKILLS:**  
* Minimum of 5 years of experience in an ambulatory or equivalent setting.
* Bachelor’s degree in nursing, preferred.
* Registered Nurse Graduate of an accredited school of professional nursing. Holding current license with appropriate State Board of Nursing without restriction. Maintains full knowledge and works within their scope of practice
* Training and Experience \- Preferred wound care clinic experience, graduated from an accredited nursing program and holds an active license in the state(s) working in.
* Possesses a thorough knowledge of evidence based wound healing standards and demonstrates
expertise regarding wound etiology assessment, wound bed preparation, and related wound
management strategies. Demonstrates proficiency to assess patients’ wound care needs and assists to formulate individual wound management plans. Must be knowledgeable of the policies and procedures governing RestorixHealth.
* Demonstrates proficiency to assess patients’ wound care needs and assists to formulate individual wound management plans. Must be knowledgeable of the policies and procedures governing RestorixHealth.
* Experience in medical sales, process management, leadership, marketing, and referral source generation preferred.
* Must have intermediate Microsoft Office Suite skills, be technologically savvy and comfortable learning and teaching new applications.
* Possesses and maintains current BLS from the American Heart Association. Must have and maintain a valid ACLS certification through the American heart Association if the hospital requires it.
**ADDITIONAL ELIGIBILITY QUALIFICATIONS/COMPETENCIES:**  
* Strong leadership skills with focus on leading by example, team building, engaging and coaching colleagues and flexibility.
* Strong organizational and problem\-solving skills.
* Excellent collaboration skills to foster relationships with all key departments such as: Revenue Cycle, Clinical Education, Human Resources, Finance and Compliance to accomplish key initiatives as directed by Regional Director.
* Exceptional communication skills, both oral and written, as well as interpersonal skills to enable communication and collaboration with physicians, patients, families, and ancillary staff.
* Excellent critical thinking skills and ability to make sound, independent clinical judgements.
* Ability to prioritize and multi\-task while working in a fast\-paced team environment.
* Display drive and fortitude.
* Work in a fast\-paced clinical environment.
* Exhibit critical thinking.
* Exhibit the ability to make sound nursing judgement.
* Embrace and thrive in a team environment; fosters a sense of teamwork
* Willing to continue coordination of care efforts even during non\-clinic hours.
* Act professionally as a representative of RXH.
* Diversity – Demonstrates knowledge of Equal Employment Opportunity (EEO) policy; shows respect and sensitivity for cultural differences; educates others on the value of diversity; promotes a harassment\-free environment; builds a diverse workforce.
* Ethics – Treats people with respect; keeps commitments; inspires the trust of others; works with integrity and principles; upholds organizational values.
* Ability to work effectively in a team environment.
* Intermediate Microsoft Outlook, Excel, and Word skills.
**PHYSICAL REQUIREMENTS:**  
* Must have full range of body motion, be able to lift a minimum of 50 lbs., and can stand, sit, walk, bend, lean, and squat for long periods of time with hindrance.
* Vision abilities required include close vision, distance vision and color vision.
* Must be able to speak and hear clearly.
* Must be able to maintain dexterity when pulling, pushing, and gripping emergency carts and stretchers.
* Must be physically able to perform CPR.
**Note:** The above is intended to describe the general content of and requirements for the performance of this job. It is not construed as an exhaustive statement of duties, responsibilities or requirements and may change at any time.
The Company is an Equal Opportunity Employer (EEO). All qualified applicants will receive consideration for employment without regard to race, ethnicity, color, religion, sex, gender identity, gender expression, sexual orientation, national origin, age, disability, or protected veteran status.
INDHP
INDHP</t>
        </is>
      </c>
    </row>
    <row r="90">
      <c r="A90" t="inlineStr">
        <is>
          <t>in-fd08dc2a14e89b8f</t>
        </is>
      </c>
      <c r="B90" t="inlineStr">
        <is>
          <t>Principal Program Manager for the Program Management Office (PMO)</t>
        </is>
      </c>
      <c r="C90" t="inlineStr">
        <is>
          <t>Axiom Space</t>
        </is>
      </c>
      <c r="D90" t="inlineStr">
        <is>
          <t>indeed</t>
        </is>
      </c>
      <c r="E90">
        <f>HYPERLINK("https://www.indeed.com/viewjob?jk=fd08dc2a14e89b8f", "https://www.indeed.com/viewjob?jk=fd08dc2a14e89b8f")</f>
        <v/>
      </c>
      <c r="F90">
        <f>HYPERLINK("https://axiomspace.wd5.myworkdayjobs.com/External_Career_Site/job/Houston/Principal-Program-Manager-for-the-Program-Management-Office--PMO-_JR100360", "https://axiomspace.wd5.myworkdayjobs.com/External_Career_Site/job/Houston/Principal-Program-Manager-for-the-Program-Management-Office--PMO-_JR100360")</f>
        <v/>
      </c>
      <c r="G90" t="inlineStr">
        <is>
          <t>Webster, TX, US</t>
        </is>
      </c>
      <c r="H90" s="3" t="n">
        <v>46042</v>
      </c>
      <c r="I90" t="inlineStr">
        <is>
          <t>Axiom Space is building the world’s first commercial space station – Axiom Station. Serving as a cornerstone for sustained human presence in space, this next\-generation orbital platform fosters groundbreaking innovation and research in microgravity, and cultivates the vibrant, global space economy of tomorrow. Today, driven by the vision of leading humanity's journey off planet, Axiom Space is the principal provider of commercial human spaceflight services to the International Space Station and developer of advanced spacesuits for the Moon and low\-Earth orbit. Axiom Space is building era\-defining space infrastructure that drives exploration and fuels a vibrant space economy that will empower our civilization to transcend Earth for the benefit of every human, everywhere.
Axiom Space fosters a work environment inclusive of all perspectives. We are the pioneers of commercial space, leading the transformation of low\-Earth orbit into a global space marketplace. Our mission\-driven team is seeking a bold and dynamic **Principal Program Manager** who is fueled by high ownership, execution horsepower, growth mindset, and driven to understand our world, science/technology, and life itself, for the benefit of all on Earth and beyond.
**POSITION SUMMARY**
The **Principal Program Manager** plays a critical role within the Program Management Office (PMO), supporting the delivery of complex aerospace programs and high\-visibility business projects. This position ensures alignment between project execution and organizational goals by establishing effective project controls, driving cross\-functional coordination, and maintaining strong governance practices. The role leads program projects from concept through completion, promoting a culture of accountability, transparency, and operational excellence. The ideal candidate is a highly experienced project leader capable of managing diverse initiatives involving contract negotiations, product development, IT systems, and operational process improvements.
**KEY DUTIES \&amp; RESPONSIBILITIES**
* Lead the on\-time, on\-budget delivery of strategic business projects with aggressive timelines.
* Define and document project scope, develop cost estimates, and build detailed project schedules for complex, cross\-functional initiatives.
* Maintain effective project controls and manage risks, issues, changes, decisions, costs, resources, and timelines, ensuring alignment with business goals.
* Support the drafting and negotiation of contracts with suppliers and customers/innovators, ensuring feasible scope, timelines, and budgets.
* Manage multiple projects concurrently, prioritizing tasks and meeting deadlines while providing clear, transparent communication of project status, health, risks, and forecasts to leadership and stakeholders.
* Drive team effectiveness by identifying workload priorities, removing obstacles, and facilitating resolution of project\-related issues.
* Balance competing project constraints—including scope, quality, schedule, funding, resources, and risk—to ensure project success.
* Serve as SME to cross\-functional teams, collaborating closely with Engineering, Operations, Finance, Procurement, Mission Services, and other internal partners to meet project objectives.
* Support customer reviews, project documentation, and contract\-related activities.
* Apply and maintain agile project management methodologies throughout the project lifecycle where appropriate.
* Maintain standardized tools, templates, and reporting practices to support accurate project tracking.
* Identify opportunities for process improvement that enhance project communication, efficiency, and performance.
* Perform additional job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\&amp; Experience**
**Education**
* Bachelor’s degree in Engineering, Business Administration, Project Management, or a related field required.
* Master’s degree (MBA or MS in Engineering/Management) preferred.
* PMP or PgMP certification strongly preferred.
**Experience**
* 15\+ years of progressive project management experience, preferably within aerospace, defense, or other high\-technology industries.
* Demonstrated success leading complex, cross\-functional projects from initiation through completion, delivering on time and within budget.
* Strong understanding of project lifecycles, systems engineering principles, and commercial or government contract management.
* Proven leadership skills with the ability to influence without authority and effectively engage stakeholders at all organizational levels.
* Experience supporting external customer or supplier negotiations is a plus.
**Additional Skills**
* Proficiency in Microsoft Project, Visio, Excel, and PowerPoint.
* Strong analytical, problem\-solving, and negotiation skills with the ability to proactively address complex challenges.
* Excellent communication skills, including the ability to tailor information for executive leadership.
* Proven track record of delivering high\-quality results under tight deadlines and in fast\-moving, ambiguous environments.
**Grit**
* Passion for space and the mission
* Entrepreneurial, growth mindset
* Perseverance
* Resourceful, adaptable
**Skills**
* Executes priorities with precision and pace
* High EQ and ability to collaborate within teams and cross\-functionally
* Tech\-savvy in using systems and tools to move faster and smarter
* Excellent written and verbal communication skills
**Competencies:**
Embody our core values of **leadership**, **innovation**, and **teamwork.** In addition, to perform the job successfully, an individual should demonstrate the following competencies:
* Accountability
* Sense of Urgency
* Extreme Ownership
* Execution and Delivery
* Efficiency
* Effectiveness
**WORK ENVIRONMENT:**
Generally, an office environment, but can involve inside or outside work depending on the task.
**Requirements**
* Must be able to complete a U.S. government background investigation.
* Management has the prerogative to select at any level for which the position is advertised.
* Proof of U.S. Citizenship or US Permanent Residency is a requirement for this position.
* Must be willing to work evenings and weekends as needed to meet critical project milestones.
**Physical Requirements**
* Work may involve sitting or standing for extended periods (90% of the time)
* May require lifting and carrying up to 25 lbs. (5% of the time)
* Equipment and Machines
* Standard office equipment (PC, phone, printer, etc.)
*Axiom Space is proud to be an equal opportunity employer. Axiom Space does not discriminate on the basis of race, regional color, national origin, gender (including pregnancy, childbirth, or related medical conditions), sexual orientation, gender identity, gender expression, age, status as a protected veteran, status as an individual with disability, or other applicable legally protected characteristics.*</t>
        </is>
      </c>
    </row>
    <row r="91">
      <c r="A91" t="inlineStr">
        <is>
          <t>in-c0c0ce245fcfba19</t>
        </is>
      </c>
      <c r="B91" t="inlineStr">
        <is>
          <t>Associate Product Manager — Commerce &amp; ACTIVE Refund</t>
        </is>
      </c>
      <c r="C91" t="inlineStr">
        <is>
          <t>Active Network</t>
        </is>
      </c>
      <c r="D91" t="inlineStr">
        <is>
          <t>indeed</t>
        </is>
      </c>
      <c r="E91">
        <f>HYPERLINK("https://www.indeed.com/viewjob?jk=c0c0ce245fcfba19", "https://www.indeed.com/viewjob?jk=c0c0ce245fcfba19")</f>
        <v/>
      </c>
      <c r="F91">
        <f>HYPERLINK("https://tsys.wd1.myworkdayjobs.com/TSYS/job/Nashville-Tennessee-USA/Associate-Product-Manager---Commerce---ACTIVE-Refund_R0069037", "https://tsys.wd1.myworkdayjobs.com/TSYS/job/Nashville-Tennessee-USA/Associate-Product-Manager---Commerce---ACTIVE-Refund_R0069037")</f>
        <v/>
      </c>
      <c r="G91" t="inlineStr">
        <is>
          <t>New York, NY, US</t>
        </is>
      </c>
      <c r="H91" s="3" t="n">
        <v>46042</v>
      </c>
      <c r="I91"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Associate Product Manager — Commerce \&amp; ACTIVE Refund
ACTIVE Network is hiring an Associate Product Manager to join the Commerce product team. This role focuses on the implementation, maintenance, and ongoing performance of commerce\-related products, with primary product ownership of ACTIVE Refund and supporting responsibilities across ACTIVE Advantage.
The Associate Product Manager reports to the Manager, Product Management for Active Advantage and Commerce products and works closely with Engineering, Commerce, Finance, Operations, and Customer Support.
### **What You’ll Do**
* Serve as the primary product owner for ACTIVE Refund, responsible for day\-to\-day product health, performance tracking, and operational consistency.
* Monitor adoption, conversion, refund outcomes, and revenue performance across event types and seasons.
* Produce recurring reports and summaries used by product, finance, and operations leadership.
* Act as a core member of the Commerce team, supporting implementation and maintenance work across commerce products, including ACTIVE Advantage.
* Contribute to the launch and upkeep of ACTIVE Advantage benefits, working with internal teams to ensure offerings are accurately represented and properly supported across systems.
* Be a primary user of the Commerce Admin Tool and work closely with the Commerce product team to improve workflows, usability, and reliability based on real operational usage.
* Provide structured feedback and requirements to the Commerce product team informed by hands\-on administration and support needs.
* Maintain clear product documentation and internal references that support cross\-team alignment.
* Partner with Finance to track pricing, cost ratios, and overall financial impact of ACTIVE Refund.
* Coordinate with Customer Support and Operations to identify recurring issues and ensure they are addressed through product or process improvements.
### **What You Bring**
* Strong Excel / Google Sheets skills (pivots, formulas, structured reporting, attention to data accuracy).
* Ability to interpret trends and anomalies and explain them clearly to non\-technical stakeholders.
* Comfort operating across product, commerce, finance, and support teams.
* Clear, direct written communication; precision matters.
* Familiarity with basic product management workflows and tools (requirements, backlog support, cross\-team coordination).
* Ability to manage recurring operational responsibilities without things slipping.
### **Nice to Have**
* Experience with commerce systems, transactional add\-ons, or protection\-style products.
* Exposure to event registration platforms or high\-volume checkout environments.
* Experience supporting partner\-driven or catalog\-style offerings that require ongoing maintenance.
### **About ACTIVE Refund**
ACTIVE Refund is an optional paid protection added during event registration checkout. It allows participants to receive an automatic refund when they are unable to attend an event, based on defined program rules. The product is tightly integrated into ACTIVE’s commerce and registration infrastructure and requires strong operational ownership and cross\-team coordination.
**The above represents the expected $75,000 \- $90,000 range for this job requisition. Ultimately, in determining your pay, we'll consider your location, experience, and other job\-related factors**
------------------------------------------------------------------------------------------------------------------------------------------------------------------------------------------------------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92">
      <c r="A92" t="inlineStr">
        <is>
          <t>in-8a614563fa60cfb0</t>
        </is>
      </c>
      <c r="B92" t="inlineStr">
        <is>
          <t>Associate Product Manager — Commerce &amp; ACTIVE Refund</t>
        </is>
      </c>
      <c r="C92" t="inlineStr">
        <is>
          <t>Active Network</t>
        </is>
      </c>
      <c r="D92" t="inlineStr">
        <is>
          <t>indeed</t>
        </is>
      </c>
      <c r="E92">
        <f>HYPERLINK("https://www.indeed.com/viewjob?jk=8a614563fa60cfb0", "https://www.indeed.com/viewjob?jk=8a614563fa60cfb0")</f>
        <v/>
      </c>
      <c r="F92">
        <f>HYPERLINK("https://tsys.wd1.myworkdayjobs.com/TSYS/job/Nashville-Tennessee-USA/Associate-Product-Manager---Commerce---ACTIVE-Refund_R0069037", "https://tsys.wd1.myworkdayjobs.com/TSYS/job/Nashville-Tennessee-USA/Associate-Product-Manager---Commerce---ACTIVE-Refund_R0069037")</f>
        <v/>
      </c>
      <c r="G92" t="inlineStr">
        <is>
          <t>Nashville, TN, US</t>
        </is>
      </c>
      <c r="H92" s="3" t="n">
        <v>46042</v>
      </c>
      <c r="I92"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Associate Product Manager — Commerce \&amp; ACTIVE Refund
ACTIVE Network is hiring an Associate Product Manager to join the Commerce product team. This role focuses on the implementation, maintenance, and ongoing performance of commerce\-related products, with primary product ownership of ACTIVE Refund and supporting responsibilities across ACTIVE Advantage.
The Associate Product Manager reports to the Manager, Product Management for Active Advantage and Commerce products and works closely with Engineering, Commerce, Finance, Operations, and Customer Support.
### **What You’ll Do**
* Serve as the primary product owner for ACTIVE Refund, responsible for day\-to\-day product health, performance tracking, and operational consistency.
* Monitor adoption, conversion, refund outcomes, and revenue performance across event types and seasons.
* Produce recurring reports and summaries used by product, finance, and operations leadership.
* Act as a core member of the Commerce team, supporting implementation and maintenance work across commerce products, including ACTIVE Advantage.
* Contribute to the launch and upkeep of ACTIVE Advantage benefits, working with internal teams to ensure offerings are accurately represented and properly supported across systems.
* Be a primary user of the Commerce Admin Tool and work closely with the Commerce product team to improve workflows, usability, and reliability based on real operational usage.
* Provide structured feedback and requirements to the Commerce product team informed by hands\-on administration and support needs.
* Maintain clear product documentation and internal references that support cross\-team alignment.
* Partner with Finance to track pricing, cost ratios, and overall financial impact of ACTIVE Refund.
* Coordinate with Customer Support and Operations to identify recurring issues and ensure they are addressed through product or process improvements.
### **What You Bring**
* Strong Excel / Google Sheets skills (pivots, formulas, structured reporting, attention to data accuracy).
* Ability to interpret trends and anomalies and explain them clearly to non\-technical stakeholders.
* Comfort operating across product, commerce, finance, and support teams.
* Clear, direct written communication; precision matters.
* Familiarity with basic product management workflows and tools (requirements, backlog support, cross\-team coordination).
* Ability to manage recurring operational responsibilities without things slipping.
### **Nice to Have**
* Experience with commerce systems, transactional add\-ons, or protection\-style products.
* Exposure to event registration platforms or high\-volume checkout environments.
* Experience supporting partner\-driven or catalog\-style offerings that require ongoing maintenance.
### **About ACTIVE Refund**
ACTIVE Refund is an optional paid protection added during event registration checkout. It allows participants to receive an automatic refund when they are unable to attend an event, based on defined program rules. The product is tightly integrated into ACTIVE’s commerce and registration infrastructure and requires strong operational ownership and cross\-team coordination.
**The above represents the expected $75,000 \- $90,000 range for this job requisition. Ultimately, in determining your pay, we'll consider your location, experience, and other job\-related factors**
------------------------------------------------------------------------------------------------------------------------------------------------------------------------------------------------------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93">
      <c r="A93" t="inlineStr">
        <is>
          <t>in-9b20c3ae9c308638</t>
        </is>
      </c>
      <c r="B93" t="inlineStr">
        <is>
          <t>Travel Product Manager</t>
        </is>
      </c>
      <c r="C93" t="inlineStr">
        <is>
          <t>AAA The Auto Club Group</t>
        </is>
      </c>
      <c r="D93" t="inlineStr">
        <is>
          <t>indeed</t>
        </is>
      </c>
      <c r="E93">
        <f>HYPERLINK("https://www.indeed.com/viewjob?jk=9b20c3ae9c308638", "https://www.indeed.com/viewjob?jk=9b20c3ae9c308638")</f>
        <v/>
      </c>
      <c r="F93">
        <f>HYPERLINK("https://acg.wd1.myworkdayjobs.com/en-US/Careers/job/MI-Admin-Office-Building-AOB/Travel-Product-Manager_JR14787", "https://acg.wd1.myworkdayjobs.com/en-US/Careers/job/MI-Admin-Office-Building-AOB/Travel-Product-Manager_JR14787")</f>
        <v/>
      </c>
      <c r="G93" t="inlineStr">
        <is>
          <t>MI, US</t>
        </is>
      </c>
      <c r="H93" s="3" t="n">
        <v>46042</v>
      </c>
      <c r="I93" t="inlineStr">
        <is>
          <t>It’s a great time to join AAA The Auto Club Group!
JOIN THE TEAM COMMITTED TO DRIVING YOUR CAREER FORWARD
Job Type:
Full time  
Exempt/Non Exempt:  
Salary
Job Description:* This position is able to work remotely but will require frequent travel based on seasonality, industry and corporate events both domestic and internationally.
Travel Product Manager \- The Auto Club Group
What you will do:
Provides leadership in the strategic positioning of Auto Club Group (ACG) Travel products and services in order to meet member needs, build company revenues and meet corporate objectives.
Responsible for strategy and development of travel products in a manner that supports growth of AAA Travel Agency strategies and objectives, including:* Tours
* Cruises
* ACG developed group travel products
* AAA Joint Ventures or club owned products, including AAA Exclusive Vacations, Pleasant Holidays, AAA Member Choice Vacations
* AAA Vacations in consultation with AAA National work groups
* Travel Insurance
* Strategic partners, such as Hertz
* Member travel experience enhancements, such as excursions and discounts
Manage select key travel supplier accounts, with responsibility for annual planning, program development, and performance.
Build annual plans to grow ACG results in alignment with our strategies and partner priorities, manage relationships with our travel partners to secure increasing levels of co\-op marketing funds and overrides. Assess performance and identify actions that will grow ACG’s sales results with our targeted segments and overrides to maximize ACG profitability and deliver planned P\&amp;L results.
Act as a travel product subject matter expert to support AAA Travel Agency sales development activities.
Represent ACG on Travel Partner Advisory Boards and represent ACG strategically on AAA National work groups and task forces, driving ACG leadership in the Federation.
Supervisory Responsibilities:
No direct reports, but manages key Travel accounts as well as relationships with various Travel vendors.
How you will benefit:* A competitive annual salary between $100,000 \- $115,000 with annual bonus potential based on performance
* ACG offers excellent and comprehensive benefits packages, including:
* Medical, dental and vision benefits
* 401k Match
* Paid parental leave and adoption assistance
* Paid Time Off (PTO), company paid holidays, CEO days, and floating holidays
* Paid volunteer day annually
* Tuition assistance program, professional certification reimbursement program and other professional development opportunities
* AAA Membership
* Discounts, perks, and rewards and much more
Required Qualifications (these are the minimum requirements to qualify)
Education (include minimum education and any licensing/certifications):* High school diploma.
* Possession of a valid State Driver’s License
Experience:* Significant experience in developing and implementing travel products
* Planning, developing and maintaining client relationships
* Preparing and presenting proposals
* Leading cross\-functional engagement to meet or exceed sales goals and objectives
Knowledge and Skills:* Ability to work in a self\-directed manner to identify, plan and develop travel products that drive sales and profit growth
* Excellent verbal, written and presentation skills
* Working Knowledge of Microsoft Office applications for word processing, spreadsheets and presentations
* ACG products and services
* Marketing and sales techniques
* Deep knowledge of travel industry trends, practices and travel regulations (ARC, IATAN)
* Travel industry and supplier relationships
* Financial management principles required for planning profitable growth
Preferred Qualifications* Bachelor’s degree in Business Administration, Finance, Marketing, Sales, or Hospitality
* Preferred 5 years of experience in the travel and tourism industry with a specific emphasis on *cruises*
* Prior experience with Salesforce and CRM tools
* Proficient in Excel and PowerPoint
* Strong background in *financial management* through reporting*,* assessment, analysis, and recommendations regarding supplier performance within assigned portfolio.
* Experience communicating financials into actionable plans to drive growth
* Understanding of how to utilize data to make informed decisions
* Strong written and oral communication skills
Work Environment
This position is able to work remotely from a home office location but will require frequent travel based on seasonality, industry and corporate events both domestic and internationally. This is subject to change based on amendments and/or modifications to the ACG Flex Work policy.
Who We Are
Become a part of something bigger.
The Auto Club Group (ACG) provides membership, travel, insurance, and financial service offerings to approximately 14\+ million members and customers across 14 states and 2 U.S. territories through AAA, Meemic, and Fremont brands. ACG belongs to the national AAA federation and is the second largest AAA club in North America.
By continuing to invest in more advanced technology, pursuing innovative products, and hiring a highly skilled workforce, AAA continues to build upon its heritage of providing quality service and helping our members enjoy life’s journey through insurance, travel, financial services, and roadside assistance.
And when you join our team, one of the first things you’ll notice is that same, whole\-hearted, enthusiastic advocacy for each other.
We have positions available for every walk of life! AAA prides itself on creating an inclusive and welcoming environment of diverse backgrounds, experiences, and viewpoints, realizing our differences make us stronger.
To learn more about AAA The Auto Club Group visit www.aaa.com
Important Note:
ACG’s Compensation philosophy is to provide a market\-competitive structure of fair, equitable and performance\-based pay to attract and retain excellent talent that will enable ACG to meet its short and long\-term goals. ACG utilizes a geographic pay differential as part of the base salary compensation program. Pay ranges outlined in this posting are based on the various ranges within the geographic areas which ACG operates. Salary at time of offer is determined based on these and other factors as associated with the job and job level.
The above statements describe the principal and essential functions, but not all functions that may be inherent in the job. This job requires the ability to perform duties contained in the job description for this position, including, but not limited to, the above requirements. Reasonable accommodations will be made for otherwise qualified applicants, as needed, to enable them to fulfill these requirements.
The Auto Club Group, and all its affiliated companies, is an equal opportunity employer. All qualified applicants will receive consideration for employment without regard to race, color, religion, sex, gender identity, sexual orientation, national origin, disability or protected veteran status.
Regular and reliable attendance is essential for the function of this job.
AAA The Auto Club Group is committed to providing a safe workplace. Every applicant offered employment within The Auto Club Group will be required to consent to a background and drug screen based on the requirements of the position.</t>
        </is>
      </c>
    </row>
    <row r="94">
      <c r="A94" t="inlineStr">
        <is>
          <t>in-c6c05c4e825ce286</t>
        </is>
      </c>
      <c r="B94" t="inlineStr">
        <is>
          <t>CPI Black Belt Project/Program Manager</t>
        </is>
      </c>
      <c r="C94" t="inlineStr">
        <is>
          <t>Trimble</t>
        </is>
      </c>
      <c r="D94" t="inlineStr">
        <is>
          <t>indeed</t>
        </is>
      </c>
      <c r="E94">
        <f>HYPERLINK("https://www.indeed.com/viewjob?jk=c6c05c4e825ce286", "https://www.indeed.com/viewjob?jk=c6c05c4e825ce286")</f>
        <v/>
      </c>
      <c r="F94">
        <f>HYPERLINK("https://trimble.wd1.myworkdayjobs.com/en-US/TrimbleCareers/job/US---OH-Dayton/CPI-Black-belt-Project-Program-Manager_R54130", "https://trimble.wd1.myworkdayjobs.com/en-US/TrimbleCareers/job/US---OH-Dayton/CPI-Black-belt-Project-Program-Manager_R54130")</f>
        <v/>
      </c>
      <c r="G94" t="inlineStr">
        <is>
          <t>Dayton, OH, US</t>
        </is>
      </c>
      <c r="H94" s="3" t="n">
        <v>46042</v>
      </c>
      <c r="I94" t="inlineStr">
        <is>
          <t>Your Title: CPI Black Belt Project Lead  
Job Location: Dayton, OH OR Christchurch, NZ  
Our Division: Caterpillar Trimble Control Technologies (CTCT)*Are you interested in defining and driving world\-class quality, ensuring our CTCT customers can reliably operate our industry\-leading solutions?*
What Makes This Role Great:
As a CPI Black Belt you will play a critical role in our quest to deliver defect\-free products to our customers and will primarily focus on leading projects to achieve this goal. The role will focus on working across the organization to deliver thorough root cause corrective action (RCCA) and drive to address the “True Root Cause” of issues related to our products.
Key Exciting Responsibilities:* Leading CPI projects to address issues and defects related to design, manufacturing, and supplier quality
* Supporting the team in data analysis to identify and prioritize key issues to ensure we minimize customer downtime
* Close collaboration with the extended team to support product quality, including a focus on analysis of all field defects and implementing robust stop capability to protect our customers
* Provide coaching to the extended organization on effective RCCA and identification of “True Root Cause” to address the broken process that allowed the defect to be created
Essential Skills \&amp; Experience:* Experience in product development, design engineering, product service engineering, or as a field Technical Representative.
* Experience in more than one product development area or product group is desirable.
* Experience program management or project management.
* Excellent communication skills (written, oral, presentation) for a global and diverse audience
* Strong analytical skills and capabilities. Ability to draw insights from data to make quick, well informed decisions.
Bonus Points For:* Bachelor’s degree in Engineering/Technology Field or equivalent work experience
* 6 Sigma Black Belt training
* Ability to build strong relationships with various stakeholders and strong business acumen
* Distinct customer focus
* Ability to understand both technology and business domains
* Strong leadership, communication, and organizational skills.
Your Core Competencies:  
Analytical Thinking: Knowledge of techniques and tools that promote effective analysis; ability to determine the root cause of organizational problems and create alternative solutions that resolve these problems.  
Influencing: Knowledge of effective influencing tactics and strategies; ability to impact decisions within and outside own organization.  
Problem Solving: Knowledge of approaches, tools, techniques for recognizing, anticipating, and resolving organizational, operational or process problems; ability to apply knowledge of problem solving appropriately to diverse situations.  
Project Management: Knowledge of effective project management strategies and tactics; ability to plan, organize, monitor, and control projects, ensuring efficient utilization of technical and administrative resources to achieve project objectives.
Why You'll Love Working With Us
At Trimble, we're not just a company that "does good"—we are a team dedicated to making a tangible, positive Real\-World Impact. We build innovative solutions designed to solve the world's most critical challenges. From construction sites to transportation hubs, our work tangibly improves how people live, build, move, and grow.
About Your Location
Trimble's Dayton, Ohio office, home to over 400 Trimble employees, is located in the Huber Heights area, and has a long\-standing presence in the community. The Dayton team works on a variety of innovative projects, from corporate payroll and logistics to mechanical and firmware engineering, offering a dynamic environment where employees can make a tangible impact on a global scale
Based at Trimble’s NZ headquarters in Christchurch, New Zealand is also home to over 400 Trimble employees, enjoy free parking, securely covered bike sheds, an onsite gym, showers, an active social club, and a great team environment where people love working with leading technology solutions.
At Trimble, you'll find the inspiration and opportunity to be yourself and thrive. The global community of Team Trimble is passionate about bringing new ideas and innovations to life and building a better, more sustainable future.
Please Note: Only applicants legally entitled to work in either New Zealand or the United States, as appropriate, will be considered.  
About Caterpillar Trimble Control Technologies (CTCT)
The CTCT division (a joint venture between Trimble and Caterpillar) develops positioning, control, and automation products for earthmoving and paving machines in the construction and mining industries, using technologies such as GNSS, optical total stations, lasers, and sonics. The products are used in a range of applications where the operator of the machine benefits from having accurate horizontal and vertical guidance. For more information on currently developed products, seehttp://construction.trimble.com/earthworks.
CPI (Continuous Product Improvement), RCCA (Root Cause Corrective Action), True Root Cause Analysis, Six Sigma Black Belt (LSSBB), DMAIC (Define, Measure, Analyze, Improve, Control), DPU (Defects per Unit), Defect\-Free Targets, NPI (New Product Introduction), 8D Problem Solving, FMEA (Failure Mode and Effects Analysis), Product Development Life Cycle (PDLC), Design Engineering, Manufacturing Quality, Supplier Quality Management, Field Service Engineering, Data Analysis \&amp; Statistical Insights, Stop Capability (Quality Gatekeeping), Reliability Engineering, Field Defect Analysis, Machine Control Systems, GNSS (Global Navigation Satellite System), Optical Total Stations, Automation \&amp; Positioning Technologies, Construction/Mining Technology, Earthmoving \&amp; Paving Solutions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$99,600\.00–$137,000\.00
Pay Rate Type
Salary
Bonus Eligible?
Yes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95">
      <c r="A95" t="inlineStr">
        <is>
          <t>in-a86fd73779ed6c6a</t>
        </is>
      </c>
      <c r="B95" t="inlineStr">
        <is>
          <t>PROGRAM MANAGER I</t>
        </is>
      </c>
      <c r="C95" t="inlineStr"/>
      <c r="D95" t="inlineStr">
        <is>
          <t>indeed</t>
        </is>
      </c>
      <c r="E95">
        <f>HYPERLINK("https://www.indeed.com/viewjob?jk=a86fd73779ed6c6a", "https://www.indeed.com/viewjob?jk=a86fd73779ed6c6a")</f>
        <v/>
      </c>
      <c r="F95">
        <f>HYPERLINK("https://www.jobapscloud.com/MD/sup/bulpreview.asp?b=&amp;R1=26&amp;R2=005476&amp;R3=0003", "https://www.jobapscloud.com/MD/sup/bulpreview.asp?b=&amp;R1=26&amp;R2=005476&amp;R3=0003")</f>
        <v/>
      </c>
      <c r="G95" t="inlineStr">
        <is>
          <t>Annapolis, MD, US</t>
        </is>
      </c>
      <c r="H95" s="3" t="n">
        <v>46042</v>
      </c>
      <c r="I95" t="inlineStr">
        <is>
          <t>**GRADE**
---------
19
**LOCATION OF POSITION**
------------------------
State Board of Elections
151 West St.
Annapolis, MD 21401
**Main Purpose of Job**
-----------------------
Program Manager I is a managerial level of work in the Management Service of the State Personnel Management System. Employees in this classification are responsible for directing programs unique to their agency’s mission and operations and which are not found in other agencies. Employees in this classification have supervisory or managerial responsibility for the work of other employees in the Skilled or Professional Services. Employees in this class receive managerial or executive supervision from a higher\-level manager or an executive. Position allocation within the Program Manager series is determined on the basis of relative job evaluation among similarly functioning positions. The job evaluation factors include: qualifications; nature and purpose of personal contacts; nature of recommendations, commitments, decisions, and conclusions; creative thought; responsibility for planning; responsibility for administration; and nature of supervision received. Program Manager I\-IV are differentiated from Administrator IV\-VII in that Program Manager I\-IV are responsible for one or more agency\-specific programs, including the supervision of staff and responsibility for a budget, while Administrators IV\-VII perform administrative staff work related to the administration of departmental policy and overseeing or coordinating agency operations, or as a special assistant to an executive. Program Manager I\-IV are differentiated from Administrative Program Manager I\-IV in that Administrative Program Managers I\-IV are responsible for one or more program functions found in various agencies, such as public information or directors of administration, including the supervision of staff and responsibility for a budget.
**POSITION DUTIES**
-------------------
As a State Board of Elections Voting System Regional Manager, the employee is responsible for providing on\-site technical and election support to their assigned LBEs throughout all phases of the election; and support, as necessary, all other SBE projects. The employee is responsible for working with the Assistant Deputy For Election Management, Deputy Field Support Manager, and other management and staff to direct and perform the activities for the statewide uniform voting system and the electronic pollbook system (both which will be referred to as voting system). The employee ensures compliance of the voting systems as described in the Maryland Election Law Article and Code of Maryland Regulations Title 33, as well as compliance with other SBE directives, policies and procedures. The employee is further responsible for performing other election related on\-site tasks as assigned that includes support for the statewide voter registration system, and ensuring compliance with the voter registration system regulations, process, and procedures. The employee will also be required to perform various audits related to security of the LBE computers that are connected to Network MD.  
**THIS POSITION WILL BE REQUIRED TO WORK EXTENDED HOURS DURING CRITICAL ELECTION PERIODS.**
**MINIMUM QUALIFICATIONS**
--------------------------
Applicants must meet all minimum (and selective) qualifications to be considered, and to appear on the list of people eligible for hire. Please read all requirements before applying.
Minimum Qualifications
Education
A bachelor's degree from an accredited college or university
Note:
Candidates may substitute the possession of a Bachelor's degree from an accredited college or university and one year of experience in administrative staff or professional work for the required experience
Experience
Technical Skills:
1 Year of experience working with Windows OS
1 Year of experience working with Networking Concepts such as: (ex, IP Addresses, WiFi, and Switches)
1 Year of Experience in installing and configuring hardwired and network printers
1 Year of Experience troubleshooting Desktop and Laptop Computers
1 Year of Experience installing, configuring, and troubleshooting applications
Soft Skills:
1 Year of experience providing customer service and/or helpdesk support
1 Year of experience identifying problems and conveying issues, and resolutions to customer
**DESIRED OR PREFERRED QUALIFICATIONS**
---------------------------------------
Preference will be given to applicants who possess the following preferred qualification(s). Include clear and specific information on your application regarding your qualifications.
1\. 10 years of Election Experience.  
2\. Project Management Experience, Specializing in managing multiple projects a one time.  
3\. Experience with Smartsheet's, Google Suite, and Microsoft Suite of software.  
4\. Experience remaining organized in a fast\-paced, deadline\-driven environment.  
5\. Experience with Election Law and procedure for Federal, State, and Municipal Elections.
**SPECIAL REQUIREMENTS**
------------------------
THIS POSITION WILL BE REQUIRED TO TRAVEL TO THE LOCAL BOARD OF ELECTIONS.
**SELECTION PROCESS**
---------------------
Please make sure that you provide sufficient information on your application to show that you meet the qualifications for this recruitment. All information concerning your qualifications must be submitted by the closing date. We will not consider information submitted after this date. Successful candidates will be ranked as Best Qualified, Better Qualified, or Qualified and placed on the eligible (employment) list for at least one year.
**EXAMINATION PROCESS**
-----------------------
The assessment may consist of a rating of your education, training, and experience related to the requirements of the position. It is important that you provide complete and accurate information on your application. Please report all experience and education that is related to this position.
**BENEFITS**
------------
**STATE OF MARYLAND BENEFITS**
**FURTHER INSTRUCTIONS**
------------------------
**Online applications are highly recommended**. However, if you are unable to apply online, the paper application (and supplemental questionnaire) may be submitted to the State Board of Elections, 151 West St., Suite 200, Annapolis, MD 21401\. Paper application materials must be received by 5:00 pm on the closing date for the recruitment. Resumes will not be accepted in lieu of an application.
If additional information is required, the preferred method is to upload. If you are unable to upload, please fax the requested information to 410\-974\-5126\. Only additional materials that are required will be accepted for this recruitment. All additional information must be received by the closing date and time.
For questions regarding this recruitment, please contact Chris.Lohr@Maryland.gov.
MD TTY Relay Service: 1\-800\-735\-2258\.
We thank our Veterans for their service to our country.
People with disabilities and bilingual candidates are encouraged to apply.
As an equal opportunity employer, Maryland is committed to recruitment, retaining and promoting employees who are reflective of the State's diversity.</t>
        </is>
      </c>
    </row>
    <row r="96">
      <c r="A96" t="inlineStr">
        <is>
          <t>in-0caa6f609e48c49d</t>
        </is>
      </c>
      <c r="B96" t="inlineStr">
        <is>
          <t>WAGE &amp; DATA COLLECTIONS MANAGER (PROGRAM MANAGER I)</t>
        </is>
      </c>
      <c r="C96" t="inlineStr"/>
      <c r="D96" t="inlineStr">
        <is>
          <t>indeed</t>
        </is>
      </c>
      <c r="E96">
        <f>HYPERLINK("https://www.indeed.com/viewjob?jk=0caa6f609e48c49d", "https://www.indeed.com/viewjob?jk=0caa6f609e48c49d")</f>
        <v/>
      </c>
      <c r="F96">
        <f>HYPERLINK("https://www.jobapscloud.com/MD/sup/bulpreview.asp?b=&amp;R1=26&amp;R2=005476&amp;R3=0001", "https://www.jobapscloud.com/MD/sup/bulpreview.asp?b=&amp;R1=26&amp;R2=005476&amp;R3=0001")</f>
        <v/>
      </c>
      <c r="G96" t="inlineStr">
        <is>
          <t>Baltimore, MD, US</t>
        </is>
      </c>
      <c r="H96" s="3" t="n">
        <v>46042</v>
      </c>
      <c r="I96" t="inlineStr">
        <is>
          <t>**Introduction**
----------------
Maryland’s Family and Medical Leave Insurance (FAMLI) program makes sure all workers in Maryland have paid time off for medical and family reasons. FAMLI is a social insurance system covering 2\.6 million workers and 180,000 employers, delivered as a digitally native, public\-facing service. We’re in the early stages of building something as big and as far\-reaching as unemployment insurance or a new health department. We know that delivering services primarily through a website, over the Internet, is a new way of doing business in government.
The Employer Services directorate is responsible for overseeing employer participation in the FAMLI program – ensuring accurate and timely contributions and reports from employers and understanding their needs in complying with and participating in this new benefit.
The Wage Data Collection Manager oversees the collection of wage data reports and quarterly contributions from employers. The Wage Data Collection Manager will work closely with the Manager of Wage Data and Contributions to build out the policies, processes, and standards for the Wage Data and Contributions unit. This position plays a key role in maintaining compliance with FAMLI regulations and providing leadership to the unit.  
**This is a Management Service position that serves at the pleasure of the Appointing Authority.**
**GRADE**
---------
19
**LOCATION OF POSITION**
------------------------
100 S. Charles Street
Baltimore, Maryland 21201
**Main Purpose of Job**
-----------------------
The Wage Data Collection Manager oversees the daily operations of the Wage Data Collection within the Wage Data and Contribution Unit under Employer Services Directorate in the Division of Family and Medical Leave Insurance (FAMLI) at the Maryland Department of Labor (MDOL). This position ensures accurate and timely processing of employer contributions and wage data, playing a key role in maintaining compliance with FAMLI regulations and providing leadership to the team. The Wage Data Collection Manager also supports the strategic objectives of the directorate by implementing and improving operational procedures, managing staff, and resolving escalations.
**POSITION DUTIES**
-------------------
**Duties of this position include but are not limited to:**
* Supervises and leads the Wage Data Collection team, including setting goals, monitoring performance, and providing mentorship.
* Manages the allocation of resources within the team, ensuring optimal workload distribution and high performance.
* Plays a key role in maintaining compliance with regulations.
* Ensures all QWHRs are processed accurately and within the established timelines.
* Oversees invoices/billings are accurate.
* Monitors compliance with FAMLI regulations and escalates discrepancies or issues as necessary.
* Assigns and tracks tasks.
* Monitors quality control and workload.
* Develops, implements, and maintains operational procedures to enhance efficiency and reduces errors.
* Collaborates with stakeholders to resolve QWHR issues and discrepancies.
* Acts as the primary point of contact for escalations related to QWHR processing.
* Prepares and analyzes statistical reports related to employer wage data, and operational efficiency.
* Uses insights from data analysis to recommend and implement process improvements.
* Perform additional related duties and leadership responsibilities as required by the Manager of Wage Data and Contributions.
**MINIMUM QUALIFICATIONS**
--------------------------
**Education:**
* A Bachelor’s degree from an accredited college or university
**Experience:**
* Five years of professional financial accounting experience
* Five years of experience examining, analyzing, and interpreting large data, records and reports.
* Five years of supervisory experience managing or leading teams.
**DESIRED OR PREFERRED QUALIFICATIONS**
---------------------------------------
* Exceptional attention to detail and a track record of identifying problems, generating and implementing creative solutions
* Demonstrated ability to manage projects and adapt to changing priorities, environments, and challenges.
* Proven excellent supervisory and leadership skills
* Strong written and verbal communication
* Proficiency in Microsoft Excel, Microsoft Word, and Google Workspace (Drive, Sheets, Calendar, etc.)
* 3\- 5 years of experience developing and implementing process improvements or system enhancements to streamline financial operations and increase accuracy.
You’ll fit right in at FAMLI if:
* You value autonomy in your work, strive to achieve mastery in your field, and are energized by working for a mission\-driven organization
* You’re a strong and inclusive leader who works well with people
* You’re an excellent collaborator
* You are excited about solving complex human and organizational issues
* You’re an organized person who has experience coordinating complex projects
* You’re great at delegating ownership to capable people
**SPECIAL REQUIREMENTS**
------------------------
All candidates are subject to a background check against files maintained by the Division of Unemployment Insurance (Labor/DUI) to determine whether any monies are owed to Labor/DUI as a result of unemployment insurance overpayment/fraud. Any unpaid debt may have an impact on whether or not a candidate is offered employment.
**SELECTION PROCESS**
---------------------
All information concerning the qualifications, including any required documentation (diploma, transcript, certificate, etc.) must be submitted and received by the closing date. Information submitted after this date will not be considered. Applications that meet minimum and/or selective qualifications will be referred to the hiring unit for interview selection. Units will select those candidates most closely demonstrating the qualifications for the interview.  
Resumes are acceptable as additional information only; however, the application must be completed in its entirety, or it will be subject to rejection.
**EXAMINATION PROCESS**
-----------------------
The assessment may consist of a rating of your education, training, and experience related to the requirements of the position. It is important that you provide complete and accurate information on your application. Please report all experience and education that is related to this position.
The examination for this recruitment will be an evaluation and rating of the information provided on your application. Therefore, it is essential that the application is filled out completely and accurately, listing all relevant education and experience, addressing the specific qualifications shown above and submitting any required documentation (diploma, transcript, certification, license, etc.). Please include clear, detailed and specific information on your application regarding experience qualifications related to the minimum qualifications, desired, and/or selective qualifications of the position.
**\*\*\*Please note that your answers on the supplemental questionnaire must correspond to the information provided on your application to receive credit.**
**BENEFITS**
------------
**This is a full\-time, permanent position and eligible for full State benefits, which include:**
* Flexible hours and hybrid teleworking
* Paid holidays 12\-13 per year
* Generous paid leave package (annual, sick, personal and compensatory leave)
* State Pension ("defined benefit" plan)
* Tax\-deferred supplemental retirement savings plans (401(k) and 457\)
* Comprehensive, subsidized health, dental and prescription plans with little to no deductibles, free generic prescriptions, and free preventative health services
* Flexible Spending Account plans for Health Care and Daycare
* State Employees Credit Union To learn more, please click this link
To learn more, please click this link: **STATE OF MARYLAND BENEFITS**
**FURTHER INSTRUCTIONS**
------------------------
The online application is STRONGLY preferred. However, if you are unable to apply online, or having difficulty with your login or password, please contact DBM's Helpdesk directly at (410\) 767\- 4850 (8:00 AM to 5:00 PM daily, except for holidays and weekends). After business hours, please submit an email request to Application.Help@maryland.gov. If you encounter difficulty attaching required or optional documentation, you may submit via email, mail or deliver in person. Please be sure to include your name, identification number (Easy ID\#) and job announcement number on any documentation to ensure timely processing.  
We thank our Veterans for their service to our country and encourage them to apply. If you are seeking veteran's preference, please submit a copy of your DD\-214\.  
The paper application must be received by 5 pm, close of business, on the closing date for the recruitment, no postmarks will be accepted. Incorrect application forms will not be accepted.  
**PLEASE DO NOT FAX OR EMAIL UNSOLICITED DOCUMENTATION**  
Completed applications, required documentation, and any required addendums may be mailed to:  
**Maryland Department of Labor / Office of Administration**
Attn: Erika Leonard\-Anderson **26\-005476\-0001**
100 S. Charles Street, 5th Floor
Baltimore, MD 21201
For additional information, please contact Erika Leonard\-Anderson via email Erika.leonard\-anderson1@maryland.gov  
The MD State Application Form can be found online  
Department of Labor, Licensing and Regulation is an equal opportunity employer. It is the policy of Labor that all persons have equal opportunity and access to employment opportunities, services, and facilities without regard to race, religion, color, sex, age, national origin or ancestry, marital status, parental status, sexual orientation, disability or veteran status.</t>
        </is>
      </c>
    </row>
    <row r="97">
      <c r="A97" t="inlineStr">
        <is>
          <t>in-fbfd7570fca1b2ad</t>
        </is>
      </c>
      <c r="B97" t="inlineStr">
        <is>
          <t>EMPLOYER SERVICES STANDARDS AND AUDITS ASSISTANT MANAGER (PROGRAM MANAGER I)</t>
        </is>
      </c>
      <c r="C97" t="inlineStr"/>
      <c r="D97" t="inlineStr">
        <is>
          <t>indeed</t>
        </is>
      </c>
      <c r="E97">
        <f>HYPERLINK("https://www.indeed.com/viewjob?jk=fbfd7570fca1b2ad", "https://www.indeed.com/viewjob?jk=fbfd7570fca1b2ad")</f>
        <v/>
      </c>
      <c r="F97">
        <f>HYPERLINK("https://www.jobapscloud.com/MD/sup/bulpreview.asp?b=&amp;R1=26&amp;R2=005476&amp;R3=0002", "https://www.jobapscloud.com/MD/sup/bulpreview.asp?b=&amp;R1=26&amp;R2=005476&amp;R3=0002")</f>
        <v/>
      </c>
      <c r="G97" t="inlineStr">
        <is>
          <t>Baltimore, MD, US</t>
        </is>
      </c>
      <c r="H97" s="3" t="n">
        <v>46042</v>
      </c>
      <c r="I97" t="inlineStr">
        <is>
          <t>**Introduction**
----------------
Maryland’s Family and Medical Leave Insurance (FAMLI) program makes sure all workers in Maryland have paid time off for medical and family reasons. FAMLI is a social insurance system covering 2\.6 million workers and 180,000 employers, delivered as a digitally native, public\-facing service. We’re in the early stages of building something as big and as far\-reaching as unemployment insurance or a new health department. We know that delivering services primarily through a website, over the Internet, is a new way of doing business in government.
The Standards and Audit’s Unit (SAU) focuses on the Employers and their compliance with the Maryland Department of Labor Family and Medical Leave Insurance Program Regulations. Compliance is part of a larger strategy for ensuring an organization’s long\-term sustainability. The Standards and Audits Unit mitigates risks, supports ethical practices, confirms employer accountability, and verifies that employers adhere to laws and regulations.  
As the Assistant Manager of the Standards and Audits Unit, this position will lead a team of specialists dedicated to ensuring employer compliance with FAMLI regulations and state standards. This role involves overseeing audits and reports, managing complex cases, mitigating risk, and implementing efficient protocols to maintain high\-quality results. This position will collaborate across divisions, provide training and guidance to staff, and play a critical role in upholding regulatory integrity. This position is ideal for a detail\-oriented professional with strong leadership skills and expertise in data analysis, auditing, and compliance management.  
**This is a Management Service position that serves at the pleasure of the Appointing Authority.**  
**GRADE**
---------
19
**LOCATION OF POSITION**
------------------------
100 S Charles St. Baltimore, Maryland 21201 with option to hybrid remote work
**Main Purpose of Job**
-----------------------
The **Employer Services Standards and Audits Assistant Manager** within the Family and Medical Leave Insurance (FAMLI) Division, at the Maryland Department of Labor (MDOL), ensures programmatic accuracy of regulatory standards across employer accounts. This position is responsible for verifying employers, ensuring employers are registered for the program, auditing employer accounts, tracking and interpreting regulatory changes, offering expert advice, and assisting in the development of policies and strategies to maintain program integrity. By collaborating with the Policy and Program Integrity Directorates and Legal, the **Employer Services Standards and Audits Assistant Manager** ensures regulatory consistency, supports employers in understanding requirements, and proactively mitigates risks.
**POSITION DUTIES**
-------------------
**Duties of this position include but are not limited to:**Supervision and Leadership
* Supervise, lead, and mentor Standards and Audits Specialists
* Assign work, monitor performance, and ensure quality work is produced
* Create a positive work environment and a high performing team
Employer Registration, Verification, and Audits
* Ensures all employers are registered and verified timely and accurately
* Expediently research flags (predetermined conditions that meet the need for manual verification and research) and document possible issues
* Develop, implement, and maintain compliance procedures
* Monitors, interprets and implements changes in FAMLI program
* Conduct audits to ensure compliance with FAMLI program requirements
Issue Resolution and Stakeholder Collaboration
* Establish and maintain professional relationships with employers to answer questions and resolve issues timely
* Collaborate with Customer Care to resolve escalated inquiries
* Collaborate with Program Integrity on suspected fraud cases
Reports and Analysis
* Perform statistical analysis of data to support findings, identify areas that are high risk and make recommendations for improvements
* Document and prepare reports to communicate findings to employers and stakeholders
* Prepare data and reports for senior leadership
Other duties as assigned
* Performs other duties as assigned and leadership responsibilities as required
**MINIMUM QUALIFICATIONS**
--------------------------
**Education:**
* A Bachelor’s degree from an accredited college or university.
**Experience:**
At least four years of professional experience in auditing, compliance monitoring, regulatory analysis, or financial investigation. This experience must include conducting complex audits, analyzing data for compliance risks, and preparing detailed audit reports.
* Advanced knowledge of state, federal, or local compliance regulations.
* Proficiency in auditing tools, data analytics software, or other relevant technologies (e.g., SQL, Excel, or specialized compliance platforms).
* Experience supervising or mentoring team members in a compliance or auditing environment.
* Strong written and verbal communication skills, including the ability to present findings to leadership or external stakeholders. Applying appropriate research methodologies to perform and report on regulatory audits.
**DESIRED OR PREFERRED QUALIFICATIONS**
---------------------------------------
**Education:**
* A Bachelor’s degree from an accredited college or university in Accounting, Finance, Business Administration, Public Policy, or a related field.
**Experience:**
* Policy and Standard Operating Procedure writing and implementation.
**SPECIAL REQUIREMENTS**
------------------------
All candidates are subject to a background check against files maintained by the Division of Unemployment Insurance (Labor/DUI) to determine whether any monies are owed to Labor/DUI as a result of unemployment insurance overpayment/fraud. Any unpaid debt may have an impact on whether or not a candidate is offered employment.
**SELECTION PROCESS**
---------------------
All information concerning the qualifications, including any required documentation (diploma, transcript, certificate, etc.) must be submitted and received by the closing date. Information submitted after this date will not be considered. Applications that meet minimum and/or selective qualifications will be referred to the hiring unit for interview selection. Units will select those candidates most closely demonstrating the qualifications for the interview.
**A resume and cover letter are strongly encouraged for this position.** Please upload one Word or PDF file that includes your combined cover letter and resume using the “Transcript” upload function, or via the JobAps “Other” tab.  
Resumes are acceptable as additional information only; however, the application must be completed in its entirety, or it will be subject to rejection.
**EXAMINATION PROCESS**
-----------------------
The assessment may consist of a rating of your education, training, and experience related to the requirements of the position. It is important that you provide complete and accurate information on your application.  
The examination for this recruitment will be an evaluation and rating of the information provided on your application. Therefore, it is essential that the application is filled out completely and accurately, listing all relevant education and experience, addressing the specific qualifications shown above and submitting any required documentation (diploma, transcript, certification, license, etc.). Please include clear, detailed and specific information on your application regarding experience qualifications related to the minimum qualifications, desired, and/or selective qualifications of the position.  
**\*\*\*Please note that your answers on the supplemental questionnaire must correspond to the information provided on your application to receive credit.**
**BENEFITS**
------------
This is a full\-time, permanent position and eligible for full State benefits, which include:
* Flexible hours and hybrid teleworking
* Paid holidays 12\-13 per year
* Generous paid leave package (annual, sick, personal and compensatory leave)
* State Pension ("defined benefit" plan)
* Tax\-deferred supplemental retirement savings plans (401(k) and 457\)
* Comprehensive, subsidized health, dental and prescription plans with little to no deductibles, free generic prescriptions, and free preventative health services
* Flexible Spending Account plans for Health Care and Daycare
* State Employees Credit Union
To learn more, please click this link: **STATE OF MARYLAND BENEFITS**
**FURTHER INSTRUCTIONS**
------------------------
The online application is STRONGLY preferred. However, if you are unable to apply online, or having difficulty with your login or password, please contact DBM's Helpdesk directly at (410\) 767\- 4850 (8:00 AM to 5:00 PM daily, except for holidays and weekends). After business hours, please submit an email request to Application.Help@maryland.gov. If you encounter difficulty attaching required or optional documentation, you may submit via email, mail or deliver in person. Please be sure to include your name, identification number (Easy ID\#) and job announcement number on any documentation to ensure timely processing.
We thank our Veterans for their service to our country and encourage them to apply. If you are seeking veteran's preference, please submit a copy of your DD\-214\.
The paper application must be received by 5 pm, close of business, on the closing date for the recruitment, no postmarks will be accepted. Incorrect application forms will not be accepted.
**PLEASE DO NOT FAX OR EMAIL UNSOLICITED DOCUMENTATION**
Completed applications, required documentation, and any required addendums may be mailed to:
**Maryland Department of Labor/ Office of Administration**
Attn: Mercedes Peterman **\#26\-005476\-0002**
100 S. Charles Street, Tower 1 Suite 5000 Baltimore, MD 21201  
**The MD State Application Form can be found online**  
Please contact: Mercedes.peterman2@maryland.gov for additional information concerning the recruitment.  
*Maryland Department of Labor is an equal opportunity employer. It is the policy of LABOR that all persons have equal opportunity and access to employment opportunities, services, and facilities without regard to race, religion, color, sex, age, national origin or ancestry, marital status, parental status, sexual orientation, disability or veteran status.*</t>
        </is>
      </c>
    </row>
    <row r="98">
      <c r="A98" t="inlineStr">
        <is>
          <t>in-97680ff044cd591e</t>
        </is>
      </c>
      <c r="B98" t="inlineStr">
        <is>
          <t>Principal Product Manager, White Label</t>
        </is>
      </c>
      <c r="C98" t="inlineStr">
        <is>
          <t>Upstart</t>
        </is>
      </c>
      <c r="D98" t="inlineStr">
        <is>
          <t>indeed</t>
        </is>
      </c>
      <c r="E98">
        <f>HYPERLINK("https://www.indeed.com/viewjob?jk=97680ff044cd591e", "https://www.indeed.com/viewjob?jk=97680ff044cd591e")</f>
        <v/>
      </c>
      <c r="F98">
        <f>HYPERLINK("https://careers.upstart.com/jobs/principal-product-manager-white-label", "https://careers.upstart.com/jobs/principal-product-manager-white-label")</f>
        <v/>
      </c>
      <c r="G98" t="inlineStr">
        <is>
          <t>Remote, US</t>
        </is>
      </c>
      <c r="H98" s="3" t="n">
        <v>46042</v>
      </c>
      <c r="I98"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As Principal Product Manager, White Label at Upstart, you will lead the creation of a new white label business that we expect to be our primary growth engine into 2027 and beyond. This is a foundational role with outsized impact on Upstart’s long\-term growth.
Upstart White Label enables some of the largest consumer banks in the U.S. to offer Upstart’s industry\-leading borrower experience, automated decisioning, and capital markets partnerships under their own brand, while preserving the direct relationship between bank and borrower.
We will begin by white\-labeling Upstart HELOC. Today, \~90% of HELOC borrowers originate through banks. A white\-labeled HELOC allows us to meet borrowers where they already are, while delivering meaningful differentiation: closing in \~7 days (vs. a 30\-day industry average) and offering fixed\-rate HELOCs (vs. the industry standard of variable rates) and half the cost of origination. This initial product lays the groundwork for extending white label across additional Upstart products over time.
**How You’ll Make an Impact**
* **Define and launch a new line of business:** Lead end\-to\-end discovery to understand what it takes for Upstart to stand up a successful white label offering. Become the subject\-matter expert for launching an initial V1 with a small set of core customers, then partner with Solutions Engineering to scale requirements gathering.
* **Deliver a successful V1 white\-labeled HELOC**: Own product strategy, scope, and sequencing to ensure the initial offering meets partner bank needs while being extensible across future Upstart products and lending verticals.
* **Enable bank demand and distribution:** Partner with bank stakeholders to support demand generation across digital and in\-branch channels, ensuring the product fits naturally into existing bank customer journeys.
* **Power effective go\-to\-market**: Equip Sales and Account Management with the product, messaging, and tooling they need to successfully sell, launch, and scale white\-labeled offerings.
* **Own the borrower experience end\-to\-end**: Ensure a seamless borrower experience despite interaction across both bank\-branded and Upstart\-powered applications, workflows, and UX.
* **Reduce borrower friction**: Work closely with the Verifications team to deeply understand each step in the application flow, challenge assumptions, and strategically streamline or eliminate unnecessary friction.
* **Define operational visibility for banks:** Determine how partner banks should monitor application status, performance, and outcomes in a white\-labeled environment.
**Minimum Qualifications**
* 8\+ years of product management experience on fast\-moving, customer\-obsessed teams.
* Demonstrated ability to drive business outcomes through a strong balance of quantitative metrics and qualitative insight. You are pragmatic about data, comfortable making decisions with imperfect information, and have well\-calibrated risk judgment.
* Strong product sense with experience authoring and executing multi\-quarter roadmaps, and living with the downstream consequences of those decisions.
* Rigorous, analytical problem solver with clear, concise, and persuasive communication skills.
Ownership and growth mindset. You act like an owner, are confident yet humble, open to being wrong, and constantly seeking to improve both yourself and your team.  
* 
**Preferred Qualifications**
Prior 0* + 1 product experience, ideally as a product lead.
	+ Experience building B2B or enterprise software, particularly in partnership\-driven or platform\-based businesses.
**Position location** This role is available in the following locations: Remote \[*A specific city/location is not required if the role does not have an in\-person requirement]*
**Time zone requirements** The team operates on the East/West coast time zones. \[*Only use this section if there are specific time zone requirements that this role must work in; if the role is remote\-US or can work in any timezone in the US, please remove this section.]*
**\[OPTIONAL] In\-Office requirements.** You will be required to work from the {insert location} office x days per week/month.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$187,900—$260,000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99">
      <c r="A99" t="inlineStr">
        <is>
          <t>in-0dda1cbcdd736837</t>
        </is>
      </c>
      <c r="B99" t="inlineStr">
        <is>
          <t>Clinical Program Manager</t>
        </is>
      </c>
      <c r="C99" t="inlineStr">
        <is>
          <t>COOK COUNTY SHERIFF’S OFFICE</t>
        </is>
      </c>
      <c r="D99" t="inlineStr">
        <is>
          <t>indeed</t>
        </is>
      </c>
      <c r="E99">
        <f>HYPERLINK("https://www.indeed.com/viewjob?jk=0dda1cbcdd736837", "https://www.indeed.com/viewjob?jk=0dda1cbcdd736837")</f>
        <v/>
      </c>
      <c r="F99">
        <f>HYPERLINK("https://cookcountyil.taleo.net/careersection/300/jobdetail.ftl?job=468100", "https://cookcountyil.taleo.net/careersection/300/jobdetail.ftl?job=468100")</f>
        <v/>
      </c>
      <c r="G99" t="inlineStr">
        <is>
          <t>Chicago, IL, US</t>
        </is>
      </c>
      <c r="H99" s="3" t="n">
        <v>46042</v>
      </c>
      <c r="I99" t="inlineStr">
        <is>
          <t>**Clinical Program Manager**
**Requisition ID****:** **00138395**
**Organization****:** Sheriff's Department
**Job Posting****:** Jan 21, 2026, 11:34:35 AM **Closing Date****:** Feb 5, 2026, 11:59:00 PM
Full\-time A.M. P.M.**Posting Salary****:** $75,595 \- $79,418 annual **Cook County**
**Sheriff**
**Job Code:** 6676
**Job Title:** Clinical Program Manager
**Salary Grade:** 18
**Department**: Community Support Services – Community Resource Center
**Bargaining Unit:** Not Applicable
**Position Details:** Civilian (non\-sworn) / non\-merit ranked / internal \&amp; external candidates
**FLSA Status:** Exempt
**Probation Period:** 12 months
**Designation – SEAM EE:** Professional
***Characteristics of the Position***
**General****Overview**
Under the supervision of Community Resource Center (CRC) Assistant Executive Director, the Clinical Program Manager is responsible for all day\-to\-day operational and programmatic components of the Community Resource Center’s clinical initiatives which seeks to support justice involved individuals and persons served by the Sheriff’s Office social service programs, with a variety of treatment, linkage, care coordination, case management, crisis, and emergency service needs.
The Clinical Program Manager oversees the implementation of clinical programming as well as plays a key role in maintaining relationships with community partners. In collaboration with supervisors, the Clinical Program Manager will assist with all program data collection, tracking, management of staff, and program evaluation.
#### **Key****Responsibilities and Duties**
Manage the day\-to\-day programmatic components of CRC clinical initiatives including, but not limited to, screening, assessment, intake, individual and group counseling, treatment planning, case management, care coordination, documentation, clinical supervision, maintaining participant lists and tracking systems, clinical supervision, and oversight of any/all assigned staff tasked to make sure the program is able to operate effectively
Oversee the implementation of new programming opportunities for participants, and in collaboration with supervisor, plays a key role in building and maintaining relationships with community partners related to the programming.
Maintain centralized system for documenting client progress and staff workflow, tracks project metrics over time to assist with quarterly program evaluation and provides consistent feedback to supervisor about means to continually improve program outcomes.
Communicate regularly with Sheriff’s Office leadership, civilian, and sworn staff, particularly in the CCDOC Records Department and Classification, the CCDOC Release and Reentry Unit, and CCDOC Program's Department to make sure that discharging individuals are appropriately referred to CRC staff.
Work to ensure services that address the bio\-psychosocial factors that have contributed to each participant's clinical circumstances and equip the individuals with the tools necessary for successful community re\-entry or program linkage.
Participate in multidisciplinary client\-focused team meetings.
Collaborate with medical/mental health provider staff (Cermak Health Systems) with regards to returning citizens’ referrals and coordinated releases.
Serve as liaison between outside organizations/agencies staff and leadership to facilitate in\-person programmatic meetings, including (but not limited to) coordinating, access approval, and scheduling.
Propose, plan, and implement new initiatives in order to strengthen services provided to the clients of the CRC.
Provide consistent feedback to supervisor on ways of continually improving and streamlining program processes, operations, and outcomes.
Assist in the implementation of broad\-based strategy to increase access to programs at CRC which takes into account the demands of the justice population, the effectiveness of existing programming at CRC, and the need for transitional linkages to community resources.
 **Knowledge,****Skills,****Abilities****and****Other****Characteristics**
Understanding of substance abuse and mental health issues and an expansive knowledge of Cook County community resources and networks available to the justice\-involved population.
Working knowledge of the justice system, the justice\-involved population.
Ability to establish and maintain appropriate rapport and boundaries with participants, while maintaining integrity and treating others with respect.
Ability to collaborate effectively with social work, medical, and mental health professionals that provide in\-custody treatment services.
Excellent listening skills, with the ability to communicate effectively, speaking in a clear way that conveys tact and courtesy with a diverse population.
Expertise in maintaining highly detailed, efficient, and accurate documentation and record keeping.
Strong writing skills, including the ability to summarize reports, attendance sheets, and progress notes into succinct, clear sentences.
Passion for working closely with the justice\-involved population, a strong sense of compassion and patience and an interest in serving an underserved population.
Knowledge of computer hardware and software, including Microsoft Word, Excel, and Outlook.
Willingness to maintain confidentiality, as appropriate and required.
Ability to prioritize tasks in a fast\-paced environment and remain organized while multi\-tasking.
Ability to walk long distances or stand for extended periods of time throughout the course of the assigned shift.
 **Minimum****Qualifications**
Master’s or higher degree, from an accredited college or university, in Human Services, Psychology, Counseling, Social Work or a closely related field.
Active state licensure in social work or counseling (Licensed Clinical Social Worker and/or Licensed Clinical Professional Counselor).
Two (2\) or more years of full time, professional work experience in a correctional or closely related setting, working directly with the justice\-involved population.
Intermediate proficiency in the Microsoft Word, Excel, and Outlook.
Three (3\) years of experience directing programs and services related to clinical needs.
Ability to work within the Cook County Sheriff's Office, including the ability to work directly with the detainee and community corrections population.
Ability to walk long distances or stand for extended periods of time throughout the course of the assigned shift.
**Preferred****Qualifications**
Doctorate degree, from an accredited college or university, in Human Services, Psychology, Counseling, Social Work or a closely related field.
Two (2\+) years of clinical supervision experience and/or experience managing a team.
Experience working in additional service settings/with other populations (e.g. housing/ homelessness, substance use treatment, behavioral health settings, community corrections, domestic violence).
40\-hour domestic violence (DV) training.
Substance Abuse Counselor Certification.
CADC (Certified Alcohol and Drug Counselor through IODAPCA) certified.
Bilingual language skills.
Familiarity with laws governing the establishment and operation of the Cook County Department of Corrections, including with municipal and state criminal codes and procedures and knowledge of basic penal management security
 *The duties listed are not set forth for purposes of limiting the assignment of work. They are not**to**be**construed**as**a**complete**list**of**the**many**duties**normally**to**be**performed**under**a**job title or those to be performed temporarily outside an employee’s normal line of work.*
**\*\*Article****EE,****Civilian Selection****Process,****of****the****Sheriff’s****Employment Action Manual (SEAM), applies to this employment process and can be found at the following****link:**
**https://cookcountysheriffil.gov/wp\-content/uploads/2025/11/SEAM\-Article\-EE\-Civilian\-Selection\-Process\-updated\-11\-15\-25\.pdf**
**Please****note****that****there****are****no****remote****job****opportunities, all****positions****are****located** **onsite.**
All Cook County Sheriff’s Office employees must apply on the internal employment page to be considered; the application may be accessed via the SheriffNet site on the Human Resource page.
* Note: All Internal Applicants are subject to Cook County Promotional salary rules if selected.
***I******Certify******that******no******Political******Reasons******or******Factors******were******considered******in******any******decision******I******made******or******action I took related to this Employment Action.******Further, I do not know of or have any reason to believe that anyone else considered or took action based on Political Reasons or Factors with respect to this Employment Action.***
**EEO** **Statement**
The Cook County Sheriff’s Office is an equal opportunity employer and prohibits all unlawful discrimination in its hiring and promotional process. The Cook County Sheriff’s Office employment decisions will not be based on race, color, ancestry, religion, national origin, age, gender identity, sexual orientation, family or parental status, disability, genetic information, or any other basis prohibited by applicable law.
**Benefits**
***Health******Insurance******Program***– Health insurance coverage includes medical, dental and vision care and is available for an employee and his/her eligible dependents.
***Holidays***– Thirteen (13\) Holidays are granted in each Fiscal Year. Employees who are active at the beginning of the fiscal year (December 1st) also qualify for a floating holiday.
***Sick******Leave***– Granted sick leave is earned and accrued at the rate of one (1\) day for each month of service and may be accumulated up to one hundred and seventy\-five (175\) working days.
***Vacation Leave***– Granted Vacation leave is earned and accrued, with employees having the opportunity to accrue fifteen (15\) days within the Fiscal Year; Vacation leave accruals increase based on an employee’s anniversary date of employment.
***Life******Insurance***– Basic term life insurance, equal to one (1\) time the employee’s annual salary, is offered to every employee at no cost and the employee may elect to purchase supplemental coverage.
***Pension******Plan***– Employees contribute into the Cook County Pension Fund and earn a prescribed percentage for each year of service; employees may be eligible for an annual annuity after ten
(10\) years of service and upon reaching a certain age based on when the employee started employment.
***Deferred******Compensation******Program***– Employees may elect to enroll in a deferred compensation plan, a tax deferred plan which may be used as a supplemental retirement option.
The 2025 Cook County Employee Benefits Overview can be viewed at:
https://www.cookcountyil.gov/sites/g/files/ywwepo161/files/documents/2025\-09/OE26\.Employee Benefits Overview (EBO)\_County.pdf
**Drug****and****Alcohol\-Free****Workplace**
It is the policy of the Cook County Sheriff’s Office to provide a drug\- and alcohol\-free workplace for all members.
It is imperative that all Sheriff’s Office members are capable of devoting constant and uninterrupted attention to the performance of all assigned duties without risk to safety and security for themselves, other members, or the public. To ensure the goals of this policy are met, all Sheriff’s Office members shall be subject to drug and alcohol testing, whether mandatory, random, or based on reasonable suspicion.
***\*Must be legally authorized to work in the United States. \****
This position requires successful completion of post\-offer tests, which *may include* a background check, drug screen and/or medical examination. Falsification of any information in the application process will result in disqualification and ineligible for appointment to, or employment in, a position in the County service for a period of five years. For current Cook County Sheriff’s employees, such falsification may result in discipline, up to and including termination, and ineligible for appointment to or employment in a position in the County service for a period of five years. See Cook County Code of Ordinances, Article II, Sections 44\-54 Unlawful Practices Relating to Employees and Employment \- Penalty, 44\-56 Political Discrimination; Cook County Employment Plan, Section V.N. Pre\-Interview License and Certification Verification; Supplemental Policy No. 2014\-2\.13 Ineligible for Rehire List; and Cook County Personnel Rules 3\.3(b) (7\) (8\) (18\).
**Sheriff’s Employment Action Manual (SEAM)**
The Cook County Sheriff’s Office hiring process is governed by the Sheriff’s Employment Action Manual (SEAM) which prohibits employment actions from being influenced by any Political Reasons or Factors for Non\-Exempt Positions. Cook County Sheriff’s officials and employees who become aware of or receive a complaint that involves an allegation of Political Reasons or Factors being considered in the hiring process of Non\-Exempt positions are obligated to refer the complaint to the Cook County Sheriff’s Director of Compliance. If the Cook County Sheriff’s Director of Compliance sustains allegations of Political Reasons or Factors being considered, the Cook County Sheriff’s Office will disqualify the Applicant or Candidate from consideration for employment and disciplinary action will be imposed on any involved Cook County employees, if applicable.”
The advertisement of this position by any individual does not constitute an offer or promise of employment, promotion, or any other employment action and shall not influence the Cook County Sheriff’s Office hiring decision.</t>
        </is>
      </c>
    </row>
    <row r="100">
      <c r="A100" t="inlineStr">
        <is>
          <t>in-a85ea50e4dcc2e3b</t>
        </is>
      </c>
      <c r="B100" t="inlineStr">
        <is>
          <t>Work Services Program Manager</t>
        </is>
      </c>
      <c r="C100" t="inlineStr">
        <is>
          <t>Rauch Inc.</t>
        </is>
      </c>
      <c r="D100" t="inlineStr">
        <is>
          <t>indeed</t>
        </is>
      </c>
      <c r="E100">
        <f>HYPERLINK("https://www.indeed.com/viewjob?jk=a85ea50e4dcc2e3b", "https://www.indeed.com/viewjob?jk=a85ea50e4dcc2e3b")</f>
        <v/>
      </c>
      <c r="F100">
        <f>HYPERLINK("https://joblinkapply.com/joblink/2167/Job/Index/827941?Referrer=Indeed", "https://joblinkapply.com/joblink/2167/Job/Index/827941?Referrer=Indeed")</f>
        <v/>
      </c>
      <c r="G100" t="inlineStr">
        <is>
          <t>New Albany, IN, US</t>
        </is>
      </c>
      <c r="H100" s="3" t="n">
        <v>46042</v>
      </c>
      <c r="I100" t="inlineStr">
        <is>
          <t>Work Services Program Manager  
**Work Services Program Manager**
---------------------------------
**Location:** New Albany, IN  
**Department:** Industrial Services  
**Status:** Full\-Time, Non\-Exempt  
**Hours:** Monday – Friday, 8:00 AM – 4:30 PM
### **About the Role**
The Work Services Program Manager oversees vocational and work\-life services for individuals with disabilities who participate in Rauch Industries programs. This role ensures high\-quality, safe, and compliant services while supporting people in achieving their employment and life goals.
### **Key Responsibilities**
**Individual Plans \&amp; Services**
* Develop, manage, and monitor Individual Plans (IPs) for program participants
* Conduct intakes, plan meetings, and regular progress reviews
* Ensure services support community integration and employment goals
* Maintain accurate documentation and consumer records
**Team Coordination**
* Lead service team meetings and coordinate services across departments
* Ensure staff follow consistent service strategies and documentation standards
* Provide health, behavioral, and support guidance to staff
**Consumer \&amp; Family Support**
* Act as a liaison between consumers, families, residential providers, and funders
* Build and maintain positive relationships with community resources
* Ensure referral and reporting requirements are met
**Direct Support**
* Provide hands\-on support including coaching, behavior support, job training, crisis intervention, and skill development
**Program Quality \&amp; Compliance**
* Monitor outcomes, satisfaction, and program effectiveness
* Ensure compliance with CARF, BQIS, and BDDS regulations
**Staff Leadership**
* Hire, train, supervise, and evaluate Work Services staff
* Support staff development and performance improvement
**Operations \&amp; Safety**
* Support agency planning and program operations
* Enforce safety policies and promote a safe work environment
### **Required Qualifications**
* Bachelor’s degree preferred or equivalent education and experience
* Valid driver’s license and reliable vehicle with Indiana required insurance
* Ability to transport individuals
* Strong communication, organization, and interpersonal skills
* Ability to work effectively with people with disabilities
### **Why Work at Rauch?**
Rauch is dedicated to helping people with disabilities live full, meaningful, and productive lives. This role plays a critical part in supporting independence, employment, and community inclusion.
 ***Rauch is a Drug\-Free Workplace, an Equal Opportunity/Affirmative Action Employer and strong advocate of workforce diversity including individuals with disabilities and veterans.***</t>
        </is>
      </c>
    </row>
    <row r="101">
      <c r="A101" t="inlineStr">
        <is>
          <t>in-c59313df679f584d</t>
        </is>
      </c>
      <c r="B101" t="inlineStr">
        <is>
          <t>Product Manager</t>
        </is>
      </c>
      <c r="C101" t="inlineStr">
        <is>
          <t>Core &amp; Main</t>
        </is>
      </c>
      <c r="D101" t="inlineStr">
        <is>
          <t>indeed</t>
        </is>
      </c>
      <c r="E101">
        <f>HYPERLINK("https://www.indeed.com/viewjob?jk=c59313df679f584d", "https://www.indeed.com/viewjob?jk=c59313df679f584d")</f>
        <v/>
      </c>
      <c r="F101">
        <f>HYPERLINK("https://coreandmain.wd1.myworkdayjobs.com/en-US/coreandmain/job/Remote---South-Carolina/Product-Manager_44698", "https://coreandmain.wd1.myworkdayjobs.com/en-US/coreandmain/job/Remote---South-Carolina/Product-Manager_44698")</f>
        <v/>
      </c>
      <c r="G101" t="inlineStr">
        <is>
          <t>SC, US</t>
        </is>
      </c>
      <c r="H101" s="3" t="n">
        <v>46042</v>
      </c>
      <c r="I101" t="inlineStr">
        <is>
          <t>Based in St. Louis, Core \&amp; Main is a leader in advancing reliable infrastructure™ with local service, nationwide®. As a specialty distributor with a focus on water, wastewater, storm drainage and fire protection products and related services, Core \&amp; Main provides solutions to municipalities, private water companies and professional contractors across municipal, non\-residential and residential end markets, nationwide. With over 370 locations across the U.S., the company provides its customers local expertise backed by a national supply chain. Core \&amp; Main’s 5,700 associates are committed to helping their communities thrive with safe and reliable infrastructure. Visit **coreandmain.com** to learn more.
**Job Summary**
Partner with cross functional team to drive significant product portfolio growth across the U.S. Research, analyze and propose changes in products or services that will increase sales and market share. Supports product marketing efforts on a Regional and National basis for products/merchandise directed towards customers and internal sales staff.
**Major Tasks, Responsibilities and Key Accountabilities**
* Provide market, industry and competitive expertise and analysis to drive product positioning. Understand customers, influencers, and value chain to develop product offerings with clear advantage over competitive offerings.
* Work with cross functional team to provide back\-up support on marketing collateral development, new product launches, packaging development, and brand messaging that helps drive revenue and margins.
* Assist sales personnel in the promotion and sales of products and development of sales tools, customer training programs materials.
* Define product strategies for new and existing products through research and feasibility analysis.
* Serve as the liaison between the Sourcing, Sales, Purchasing and other supporting departments.
* Maintain competitive benchmarking awareness with customers, sales, and marketing. Track product performance and ensure product portfolios maintain a fresh compelling assortment. Track and advise cross functional teams of industry design trends, new technology, new product innovations, regulatory compliance, and industry standards.
* Support business channel/segment expansion through effective product management and assortment development. Work with sales, marketing, and advertising to develop innovative marketing/promotional/go\-to\- market programs and trade show events.
* May periodically attend Trade Shows and Product/Technical conferences and make periodic visits to customers' offices and field locations to gather market intelligence and feedback.
* May perform demonstrations/training of products at selected field locations. May sometimes provide product training to customers on proper use and installation of products.
* Collaborates with appropriate colleagues in the development of Regional and National sales forecasts, budgets, and goals.
**Preferred Qualifications**
* Bachelor's Degree in Business.
* Five years B2B product management or sales experience in industrial distribution and/or contractor supply.
* Proven experience in managing day\-to\-day relationships with external business partners.
* Previous track record of working with cross functional teams in the development of product offerings, marketing collateral, product packaging and brand positioning.
* Previous experience researching and bringing to market new product lines or services.
* Experience developing and maintaining multi\-generational product plans (MGPP).
* Accomplished product management leader with extensive experience guiding global product strategy, lifecycle management, and cross‑functional execution across industrial technology markets.
* Adept at partnering with engineering, operations, sales, and executive stakeholders to align product vision with market needs, streamline processes across complex ERP ecosystems, and ensure quality, compliance, and third‑party approvals.
* Bilingual English–Chinese communicator with a strong track record improving product performance, reducing risk, and driving adoption in global construction, manufacturing, and industrial channels.
**Career Level Dimensions**
Typical Training/Experience
* Typically requires BS/BA in a related discipline.
* Generally, 5\-8 years of experience in a related field; certification is required in some areas OR MS/MA and generally 3\-5 years of experience in a related field.
* Certification is required in some areas.
Problem Complexity
* Identifies key barriers/core problems and applies problem solving skills to deal creatively with complex situations.
* Troubleshoots and resolves complex problems.
This information indicates the general nature and level of work performed by associates in this role. It is not designed to contain a comprehensive inventory of all duties, responsibilities, and qualifications required of associates assigned to this role. This description supersedes any previous or undated descriptions for this role. Management retains the right to add or change the duties of the position at any time.
Core \&amp; Main is an Equal Employment Opportunity employer. Employment at Core \&amp; Main is based solely on a person’s merit and qualifications directly related to professional competence. Core \&amp; Main does not discriminate against any employee or applicant on the basis of race, creed, color, religion, national origin, nationality, ancestry, age, disability, veteran status, pregnancy or related condition (including breastfeeding), affectional or sexual orientation, gender identity or expression, marital status, status with regard to public assistance, citizenship, or any other basis protected by law.
None of the questions in this application are intended to elicit information regarding any protected characteristics, nor imply any limitation, illegal preferences or discrimination based upon non\-job\-related information or protected characteristics.
For more information, please visit https://www.eeoc.gov</t>
        </is>
      </c>
    </row>
    <row r="102">
      <c r="A102" t="inlineStr">
        <is>
          <t>in-3b2354756f185946</t>
        </is>
      </c>
      <c r="B102" t="inlineStr">
        <is>
          <t>Senior Product Manager - SaaS platform</t>
        </is>
      </c>
      <c r="C102" t="inlineStr">
        <is>
          <t>C Space</t>
        </is>
      </c>
      <c r="D102" t="inlineStr">
        <is>
          <t>indeed</t>
        </is>
      </c>
      <c r="E102">
        <f>HYPERLINK("https://www.indeed.com/viewjob?jk=3b2354756f185946", "https://www.indeed.com/viewjob?jk=3b2354756f185946")</f>
        <v/>
      </c>
      <c r="F102">
        <f>HYPERLINK("https://cspace.hrmdirect.com/employment/view.php?req=3616746&amp;jbsrc=1014&amp;location=d7f9c6fe-1a49-dc39-b32e-d88d85d30d10", "https://cspace.hrmdirect.com/employment/view.php?req=3616746&amp;jbsrc=1014&amp;location=d7f9c6fe-1a49-dc39-b32e-d88d85d30d10")</f>
        <v/>
      </c>
      <c r="G102" t="inlineStr">
        <is>
          <t>Remote, US</t>
        </is>
      </c>
      <c r="H102" s="3" t="n">
        <v>46041</v>
      </c>
      <c r="I102" t="inlineStr">
        <is>
          <t>**Who We Are:**
C Space is the leader of Online Communities \- having defined and redefined Online Communities for 25 years. We create vibrant hubs of customer insights and put our clients on a first\-name basis with their customers. Now part of Escalent, along with Hall \&amp; Partners, this is a great time to join C Space due to an expanded offering and broadened client base to expand our reach.
**Role Overview:**
We are seeking a **Senior Product Manager** to lead strategic product ownership for one of our core SaaS platforms. This role is designed for an experienced product leader who can operate effectively in a complex, fast\-paced environment, balancing competing priorities while driving clarity, alignment, and high\-quality delivery.
The Senior Product Manager will play a critical role in shaping product strategy, representing the product with confidence to internal and external stakeholders, and ensuring execution meets enterprise\-level standards for usability, accessibility, scalability, and client value.
This is a senior individual contributor role with broad influence across teams and business units.
**Responsibilities:**
Strategic Product Leadership
* Own the product vision and roadmap for key areas of the SaaS platform, ensuring alignment with company strategy and cross\-company initiatives.
* Proactively identify trade\-offs, risks, and dependencies, and make clear, well\-reasoned prioritization decisions.
* Think holistically about the product ecosystem, ensuring features and capabilities scale across clients, use cases, and platforms.
Execution \&amp; Delivery
* Adept in working in an agile development environment with regionally distributed teams.
* Help inform the product roadmap by assessing usage metrics and other relevant data to ensure proper iterations and new features are prioritized.
* Lead complex initiatives from discovery through launch, managing multiple workstreams and competing priorities simultaneously.
* Set clear scope, success metrics, and delivery expectations, and actively manage changes to avoid surprises.
* Ensure product releases meet high standards for usability, accessibility, and overall quality.
* Partner closely with engineering and design to drive disciplined execution and timely delivery.
Stakeholder \&amp; Client Engagement
* Serve as a confident product representative in client\-facing settings, including demos, roadmap discussions, and feedback sessions.
* Communicate clearly and effectively with a wide range of stakeholders, including executives, engineering leaders, designers, client services, and sales.
* Build trust through proactive communication, thoughtful collaboration, and consistent follow\-through.
Cross\-Functional Collaboration
* Act as a connective leader across product, engineering, UX, data, and business teams.
* Facilitate alignment across teams and business units to ensure shared understanding of priorities and outcomes.
* Mentor and model strong product management practices within the broader product organization.
Insight \&amp; Continuous Improvement
* Use qualitative and quantitative insights to evaluate product performance and inform decisions.
* Monitor market trends, competitive offerings, and emerging client needs to continuously evolve the product.
**Qualifications:**
* 6–8\+ years of product management experience in SaaS, digital platforms, or enterprise software.
* Demonstrated ability to operate at a senior level, managing complex products with multiple stakeholders and dependencies.
* Strong strategic thinking and prioritization skills, with the ability to balance short\-term delivery with long\-term product health.
* Proven success leading client\-facing product discussions and demos with confidence and credibility.
* Excellent communication skills, including the ability to influence, align, and challenge constructively.
* Deep experience working with engineering and UX teams in agile environments.
* Strong product judgment, including attention to scope completeness (e.g., accessibility, scalability, and usability considerations).
* Bonus: experience with insight, analytics, or research platforms. Experience with online communities and unstructured data. Experience executing AI features.
**Why Join Us?**
This is a high\-impact opportunity to shape a critical SaaS platform at a time of meaningful growth and transformation. You’ll work closely with senior leaders across the organization, influence product strategy at scale, and play a key role in delivering solutions that matter to clients and the business.
**Compensation, Benefits, and Culture:**
* Medical, Dental, and Vision Insurance \- Large carriers on a national level (domestic partner coverage included)
* 401k with Company Match
* Flexible PTO
* Paid Parental leave
* 12 Paid Company Holidays
* Hybrid/Virtual Work \- Virtual\-first workforce with employees in most states \- Occasional travel maybe required.
* Base salary range for this role is $100,000 \- $130,000 (commensurate with experience)
EEO/AA EMPLOYER M/F/V/D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\#LI\-Remote</t>
        </is>
      </c>
    </row>
    <row r="103">
      <c r="A103" t="inlineStr">
        <is>
          <t>in-a824ba7e8ccefc42</t>
        </is>
      </c>
      <c r="B103" t="inlineStr">
        <is>
          <t>IT Sr. Program Manager</t>
        </is>
      </c>
      <c r="C103" t="inlineStr">
        <is>
          <t>Georgia Department of Public Health</t>
        </is>
      </c>
      <c r="D103" t="inlineStr">
        <is>
          <t>indeed</t>
        </is>
      </c>
      <c r="E103">
        <f>HYPERLINK("https://www.indeed.com/viewjob?jk=a824ba7e8ccefc42", "https://www.indeed.com/viewjob?jk=a824ba7e8ccefc42")</f>
        <v/>
      </c>
      <c r="F103">
        <f>HYPERLINK("https://www.governmentjobs.com/careers/georgiadph/jobs/5205165/it-sr-program-manager", "https://www.governmentjobs.com/careers/georgiadph/jobs/5205165/it-sr-program-manager")</f>
        <v/>
      </c>
      <c r="G103" t="inlineStr">
        <is>
          <t>Atlanta, GA, US</t>
        </is>
      </c>
      <c r="H103" s="3" t="n">
        <v>46041</v>
      </c>
      <c r="I103" t="inlineStr">
        <is>
          <t>**Description**
---------------
Pay Grade: Q
 **Click HERE for Video** **Who We Are.**We protect lives. The Georgia Department of Public Health (DPH) is the lead agency entrusted by the people of Georgia to protect lives and promote healthy lifestyles in communities throughout the state. We are committed to preventing disease, injury, and disability; promoting health and well\-being; and preparing for and responding to disasters.  
**What We Offer.**As a member of the DPH team, you will join a group of passionate individuals dedicated to serving Georgians. Regardless of your role, you will contribute to protecting lives while enjoying a wide range of benefits.
* **Make a Professional Impact** – Build your career where it matters and protect lives in the community where you live, work, and play.
* **Enjoy Workplace Flexibility** – Experience flexibility in how you work so you can be your best self for you and the people of Georgia.
* **Work with a Dynamic and Diverse Team** – Collaborate with employees who share ideas and leverage collective strengths.
* **Achieve Career Longevity** – Take advantage of opportunities for learning and development that support a long\-term career.
* **Take Part in a Hands\-on Working Culture** – Work in a unique culture of active engagement and problem\-solving, no matter your role.
* **Feel Pride in Where you Work** – Be part of making an impact in public health alongside dedicated people just like yourself.
The Georgia Department of Public Health is the lead agency entrusted by the people of Georgia to proudly protect lives and promote healthy lifestyles in diverse communities statewide. We are committed to the health of the population of Georgia as our work impacts past, present and future generations.  
We're seeking a highly qualified candidate for the position of IT Sr. Program Manager within the Office of Information Technology (OIT). The ideal candidate will apply their knowledge of systems, infrastructure, networking and application support to help DPH move their applications to cloud platforms.  
The ideal candidate is experienced in leading teams, operating in a highly dynamic environment, and can balance the needs of multiple stakeholder groups. Candidates should have the ability to work with executives, create innovative solutions, and think strategically, while maintaining attention to detail.  
**Job Responsibilities**
------------------------
* Plans, organizes, and integrates cross\-functional information technology projects to deliver specific results to customers on time.
* Leads daily operations and reporting for the OIT Project Management Office Team made up of Sr. Project Managers, Project Coordinators, Business Analysts, and Quality Assurance Testers.
* Establishes benchmarks, milestones, and coordinate delivery of projects.
* Manages communication of status, issues, and project budget to teams, clients/vendors, and management to ensure key deliverables are met.
* Manages project tasks (gathering requirements, facilitating design discussions, managing application development, testing, training, and roll\-outs) as required to keep projects on track.
* Performs and manages quality assurance testing and business analysis for projects and operational changes.
* Build and maintain IT Governance documentation for projects.
* Build, direct, and coach high performing teams.
* Advise and partner with business units to provide IT services in the areas of process improvement, quality assurance, testing, and project management.
* Creates, evaluates, and updates standard operating procedures.
* Escalates key issues, risks and problems to leadership and helps build response plans to address.
* Streamline IT processes to drive value and cost efficiency.
* Work with Business Analysts to define requirements.
* Defines resources and schedule for project/program implementation using MS Project.
* Manages strategies for risk mitigation and contingency planning.
* Keeps project status and resource forecasts current in reporting tools.
* Manages reporting tools to keep customers informed of project status and to schedule upcoming work.
* Designs and maintains technical and project documentation.
* Provide customer service responsibilities, including managing expectations, communicating project status, and reporting on lessons learned and retrospective findings.
**Minimum Qualifications**
--------------------------
High school diploma/GED and seven (7\) years of related experience, which includes four (4\) years in a managerial or supervisory role; or one (1\) year of experience at the lower level IT Program Manager 2 (ITM051\) or position equivalent.  
**Note:** An equivalent combination of knowledge, education, job or intern experience, training, or certifications that provides the necessary knowledge and skills to successfully perform the job at the level listed may be substituted year\-over\-year.  
**Preferred Qualifications:**
* Bachelor’s Degree from an accredited University in computer science, engineering, or related field **OR** 10\+ years of related experience.
* 5\+ years leading, managing, and coaching large and high performing teams.
* 8\+ years’ experience performing quality assurance testing and reviews for technology systems and Local/Wide Area Networks.
* 5\+ years working in a State Government environment deploying or maintaining large scale applications.
* 5\+ years documenting systems, standard operating procedures, and/or governance documentation related to IT systems.
* 3\+ years’ experience business process improvements and performance business analysis.
* Prior experience leading a Project Management Office.
**Additional Information**
--------------------------
The DPH Commissioner and agency leaders encourage all employees to engage in regular wellness activities and to make lifestyle choices that promote health and well\-being.
The use of physical activity breaks during the workday is authorized to support this philosophy and help employees meet their wellness goals. A maximum of 30 minutes of physical activity may be allocated per workday, typically in the form of two 15\-minute breaks or one 30\-minute break.
**Employment Information**
State of Georgia employees are subject to the rules of the State Personnel Board regarding salary.
DPH accepts educational credentials recognized by the Council for Higher Education Accreditation (CHEA) and/or the US Department of Education (DOE) as valid. DPH will contact educational institutions to verify degrees, diplomas, licensures, and other relevant credentials.
The candidate selected for this position may be subject to pre\-employment drug screening and a criminal background check.
Relocation assistance is not provided.
In the event of an identified emergency, you may be required, as a term and condition of DPH employment, to assist in meeting the emergency responsibilities of the department.
**ADA Statement**
DPH is committed to providing access and reasonable accommodation in its services, programs, activities, and employment for individuals with disabilities. To request a reasonable accommodation for the application or interview process, email DPH\-HR@dph.ga.gov.
 **DPH is an Equal Opportunity Employer**
**\_\_\_\_\_\_\_\_\_\_\_\_\_\_\_\_\_\_\_\_\_\_\_\_\_\_\_\_\_\_\_\_\_\_\_\_\_\_\_\_\_\_\_\_\_\_\_\_\_\_\_\_\_\_\_\_\_\_\_\_\_\_\_\_\_\_\_\_\_\_\_\_\_\_\_\_\_\_\_\_\_**  
Due to the volume of applications received, we are unable to provide information on application status by phone or e\-mail. All qualified applicants will be considered, but may not receive an interview. DPH will contact selected applicants to proceed with the application process. Applicants who are not selected will not receive notification.
This position is subject to close at any time once a satisfactory applicant pool has been identified.
**BENEFITS**
**Standard Benefits for Full\-Time Salaried Employees**  
 In addition to a competitive salary, we offer a generous benefits package that includes a flexible schedule, training opportunities, health insurance, employee retirement plan (ERS GSEPS), deferred compensation, 13 paid holidays, vacation and sick leave, paid parental leave, dental, vision, long\-term care, and life insurance.  
**Standard Benefits for Part\-Time Employees**
Part\-time employees are eligible to participate in the Georgia Defined Contribution Plan and receive paid parental leave.</t>
        </is>
      </c>
    </row>
    <row r="104">
      <c r="A104" t="inlineStr">
        <is>
          <t>in-2fe111ac0970da83</t>
        </is>
      </c>
      <c r="B104" t="inlineStr">
        <is>
          <t>Technical Product Manager - Principal 2</t>
        </is>
      </c>
      <c r="C104" t="inlineStr">
        <is>
          <t>DIRECTV</t>
        </is>
      </c>
      <c r="D104" t="inlineStr">
        <is>
          <t>indeed</t>
        </is>
      </c>
      <c r="E104">
        <f>HYPERLINK("https://www.indeed.com/viewjob?jk=2fe111ac0970da83", "https://www.indeed.com/viewjob?jk=2fe111ac0970da83")</f>
        <v/>
      </c>
      <c r="F104">
        <f>HYPERLINK("https://jobs.directv.com/job/-/-/390/90797107648", "https://jobs.directv.com/job/-/-/390/90797107648")</f>
        <v/>
      </c>
      <c r="G104" t="inlineStr">
        <is>
          <t>El Segundo, CA, US</t>
        </is>
      </c>
      <c r="H104" s="3" t="n">
        <v>46041</v>
      </c>
      <c r="I104" t="inlineStr">
        <is>
          <t>DIRECTV is seeking a Technical Product Manager – Principal 2 to join our team!
The Technical Product Manager \- Principal 2 is a strategic product leader responsible for defining, delivering, and evolving Salesforce\-based products that support business objectives for Care and Field operations. This role bridges business stakeholders and technical teams, translating strategic goals into scalable, secure, and high\-performing Salesforce solutions. The ideal candidate combines strong product management skills with good technical understanding of the Salesforce platform, including configuration, integrations, data models, and release management. This role will be responsible for supporting the strategic direction of functional areas and defining capabilities that help set a multi\-year strategy and roadmap. They will closely partner with cross functional leaders, business stakeholders, and external partners to ensure the broader organization meets targets and IOP goals. This role will also be responsible for ensuring requirements’ rigor and traceability at the solution level while driving alignment between business strategy and technical execution. This role defines and owns features spanning multiple Agile Release Trains (ARTs), managing complex cross\-ART coordination and dependencies. Principal TPM conducts comprehensive impact and feasibility analyses, shapes strategic trade\-offs, and develops enterprise\-aligned roadmaps that deliver significant business outcomes.
**Here's what you'll do:**
**Requirements Management and Strategic Alignment**
* Partner with business stakeholders to gather requirements, define use cases, and prioritize features based on value, risk, and effort
* Ensure requirements’ rigor, traceability, and readiness at the solution level across multiple ARTs
* Validate that all requirements tie directly to business strategy and organizational objectives
* Translate business strategy into actionable product requirements and technical specifications
* Translate business needs into detailed user stories, acceptance criteria, and technical requirements
* Collaborate closely with Salesforce Administrators, Developers, Architects, and QA teams to deliver solutions end\-to\-end
* Maintain comprehensive traceability matrices and enforce requirements quality standards
**Impact and Feasibility Analysis**
* Conduct comprehensive impact and feasibility assessments for proposed features and capabilities
* Develop cost\-benefit analyses, ROI projections, and KPI forecasts for strategic initiatives
* Assess resource requirements, timelines, risks, and technical dependencies across systems
* Evaluate technical, operational, and business viability of complex solution implementations
**Business Outcome Evaluation**
* Evaluate potential outcomes using business KPIs, OKRs, and performance metrics
* Establish and monitor feedback loops to measure product success and business impact
* Define success criteria and track product performance against business objectives
* Adjust product strategy based on measured results and changing business needs
**Stakeholder Collaboration and Trade\-offs**
* Collaborate with business and IT stakeholders to resolve ambiguities and clarify requirements
* Facilitate strategic discussions to shape trade\-offs between competing priorities
* Build consensus across diverse stakeholder groups on product direction and decisions
* Communicate complex product concepts and recommendations to executive stakeholders
**Cross\-ART Feature Ownership**
* Define and own features or capabilities that span multiple Agile Release Trains
* Manage cross\-ART coordination ensuring alignment and synchronized delivery
* Resolve technical dependencies across complex systems and multiple teams
* Facilitate cross\-ART ceremonies including PI Planning and dependency management sessions
**Strategic Roadmap Development**
* Define and own the product vision, roadmap, and backlog for Salesforce applications and related integrations
* Develop strategic roadmaps that align with Center and Field goals and objectives
* Create multi\-quarter product plans with clear milestones and deliverables
* Communicate roadmaps effectively to stakeholders at all organizational levels
* Balance short\-term delivery with long\-term strategic vision
**Here's what you'll need to be successful:**
**Experience**
* 5 – 7 years of progressive experience in technical product management, business analysis, or related roles
* Proven track record leading complex initiatives with broad scope and significant business impact
* Extensive experience in Agile environments, particularly with Scaled Agile Framework (SAFe)
* Salesforce certifications (e.g., Salesforce Administrator, Advanced Administrator, Platform App Builder, or Product Owner–related certifications)
* Experience with enterprise\-scale Salesforce implementations
* Familiarity with CI/CD, DevOps tools, and release management for Salesforce
* Demonstrated success managing products or features spanning multiple teams or ARTs
**Product Management and Agile Expertise**
* Deep understanding of product lifecycle management and requirements traceability
* Expert knowledge of SAFe principles, ART coordination, and Program Increment planning
* Experience with feature definition, prioritization, and cross\-ART dependency management
* Strong knowledge of product roadmap development and strategic planning
**Analytical and Technical Skills**
* Strong analytical skills for conducting impact and feasibility analyses with cost\-benefit evaluations
* Ability to perform KPI forecasting and outcome prediction
* Technical background with understanding of software development and system architecture
* Capability to evaluate technical feasibility, dependencies, and integration patterns
**Business and Strategic Acumen**
* Deep understanding of how product decisions impact business outcomes
* Experience aligning product strategy with business strategy and company objectives
* Understanding of business KPIs, OKRs, and performance measurement frameworks
* Ability to develop comprehensive business cases with ROI analysis
**Communication and Leadership**
* Advanced stakeholder management skills with ability to influence across organizational boundaries
* Excellent communication skills with ability to present to executive audiences
* Proven ability to resolve ambiguities and build consensus among diverse stakeholders
* Demonstrated leadership ability to lead projects independently with broad scope
**Problem\-Solving**
* Exceptional ability to handle complex and ambiguous problems with innovative solutions
* Integrates knowledge across multiple disciplines to provide sound outcomes
* Strong judgment in making decisions with significant business impact
* Creative approach to resolving issues without well\-defined solutions
**Education and Certifications**
* Bachelor's degree in Computer Science, Engineering, Business, or related field required
* SAFe Product Owner/Product Manager (POPM) certification highly desirable
* Certified Scrum Product Owner (CSPO) or similar Agile certification preferred
**Work Style**
* Self\-directed professional capable of working independently on complex assignments
* Demonstrates ownership and accountability for product outcomes
* Adaptable and results\-oriented in fast\-paced, dynamic environments
* Strong business judgment and customer\-focused mindset
May require a background check due to job duties requiring routine access to DIRECTV and DIRECTV customer’s proprietary data. Qualified applicants with arrest and conviction will be considered for employment in accordance with local ordinances and state law.
**This is a remote position that can be located anywhere in the contiguous United States. \#LI\-Remote**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$122,194 \- $221,818**
Low (N1\): $122,194 \- $183,241
Mid (N2\): $128,625 \- $192,885
High (N3\): $141,488 \- $212,174
Top (N4\): $147,919 \- $221,818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 **Fair Chance Ordinance Notice for Los Angeles County applying for jobs at DIRECTV**
### **Compliance Notice Regarding Use of Automated Decision\-Making Tools in Hiring Process**</t>
        </is>
      </c>
    </row>
    <row r="105">
      <c r="A105" t="inlineStr">
        <is>
          <t>in-d49b9bdc63c4ec32</t>
        </is>
      </c>
      <c r="B105" t="inlineStr">
        <is>
          <t>Technical Program Manager II</t>
        </is>
      </c>
      <c r="C105" t="inlineStr">
        <is>
          <t>AGW</t>
        </is>
      </c>
      <c r="D105" t="inlineStr">
        <is>
          <t>indeed</t>
        </is>
      </c>
      <c r="E105">
        <f>HYPERLINK("https://www.indeed.com/viewjob?jk=d49b9bdc63c4ec32", "https://www.indeed.com/viewjob?jk=d49b9bdc63c4ec32")</f>
        <v/>
      </c>
      <c r="F105">
        <f>HYPERLINK("https://www2.jobdiva.com/candidates/myjobs/openjob_outside.jsp?a=48jdnwfh8vhzflv7zcdp76mde2du7o006c79o0fir46s6a2nlffdcojc2myqww0k&amp;SearchString=&amp;StatesString=&amp;source=indeed.com&amp;id=27135605&amp;compid=3", "https://www2.jobdiva.com/candidates/myjobs/openjob_outside.jsp?a=48jdnwfh8vhzflv7zcdp76mde2du7o006c79o0fir46s6a2nlffdcojc2myqww0k&amp;SearchString=&amp;StatesString=&amp;source=indeed.com&amp;id=27135605&amp;compid=3")</f>
        <v/>
      </c>
      <c r="G105" t="inlineStr">
        <is>
          <t>Bellevue, WA, US</t>
        </is>
      </c>
      <c r="H105" s="3" t="n">
        <v>46036</v>
      </c>
      <c r="I105" t="inlineStr">
        <is>
          <t>**ApTask Global Workforce (AGW) is currently seeking a Technical Program Manager II for a hybrid position (3 days in office) located in Bellevue, WA 98004\. This is a 10\+ month contract opportunity.**  
**Responsibilities:**
* Manage program execution within the defined constraints of scope, quality, time, and budget, particularly under conditions involving multiple moderate\-probability, moderate\-impact risk factors.
* Contribute to program\-level strategic planning, engage effectively with executive\-level management, facilitate complex issue resolution, and demonstrate exceptional communication and team\-building proficiencies.
* Oversee a group of internal exempt and matrixed employees and contractors dedicated to delivering systems and system enhancements that adhere to specified requirements.
* Provide comprehensive oversight of project scope definition and management, requirements gathering and documentation, time estimation, project schedule development and tracking, project budget management, status reporting, issue and risk management, contingency planning, customer engagement, and inter\-organizational communication across multiple organizational levels.
* Monitor and maintain progress reports across all projects, ensuring consistent and timely follow\-up with stakeholders to drive execution and accountability.
* Proactively escalate persistent, unresolved issues to the appropriate teams or leadership when delays or significant blockers occur, ensuring prompt resolution and maintaining project momentum.
* Develop and manage detailed launch plans, track extant defects and feedback items, and collaborate with cross\-functional teams to ensure their definitive closure.
**Requirements:**
* Demonstrated proficiency in project estimation, scheduling, and tracking, coupled with expertise in customer interaction and management, and implementation planning within large\-scale organizations.
* Proven competencies in people management and team development.
* A demonstrated capacity for flexibility and adaptability in exercising judgment within a dynamic environment and effectively managing competing priorities.
* Proven ability to rapidly assimilate business processes and collaborate effectively with business partners at various hierarchical levels within the organization.
* Strong aptitude for assessing risk and applying established management principles to technology applications/products and associated business functions.
* Substantial experience in delivering technology and business application solutions within a large\-scale, multi\-platform systems environment.
* Familiarity with the software development lifecycle.
* Only candidates available and ready to work directly as ApTask employees will be considered for this position
**Pay Rate:**$95\.00 \- $100\.00 an hour  
**If you have the described qualifications and are interested in this exciting opportunity, apply today!**  
**Aptask Global Workforce (AGW)**  
ApTask Global Workforce (AGW) is a certified Minority and Veteran workforce solutions company. AGW delivers operational, clinical, lab and professional talent with a strong focus on healthcare and life sciences. The company supports clients with reliable staffing, program expertise and a commitment to quality, speed and consistent delivery.  
**Benefits of working with ApTask Global Workforce include:**
* Medical
* Dental
* Vision
* Sick Pay (for applicable states/municipalities)
Our team stays close to the process and is here to guide you every step of the way. To learn more, please visit our website https://www.agwtalent.com/ .  
ApTask Global Workforce is an Equal Opportunity Employer. Candidates will receive consideration without regard to their race, color, religion, sex, sexual orientation, gender identity, national origin, disability or status as a protected veteran.</t>
        </is>
      </c>
    </row>
    <row r="106">
      <c r="A106" t="inlineStr">
        <is>
          <t>in-ac611cbf734d0a41</t>
        </is>
      </c>
      <c r="B106" t="inlineStr">
        <is>
          <t>Project/Program Manager</t>
        </is>
      </c>
      <c r="C106" t="inlineStr">
        <is>
          <t>AGW</t>
        </is>
      </c>
      <c r="D106" t="inlineStr">
        <is>
          <t>indeed</t>
        </is>
      </c>
      <c r="E106">
        <f>HYPERLINK("https://www.indeed.com/viewjob?jk=ac611cbf734d0a41", "https://www.indeed.com/viewjob?jk=ac611cbf734d0a41")</f>
        <v/>
      </c>
      <c r="F106">
        <f>HYPERLINK("https://www2.jobdiva.com/candidates/myjobs/openjob_outside.jsp?a=48jdnwfh8vhzflv7zcdp76mde2du7o006c79o0fir46s6a2nlffdcojc2myqww0k&amp;SearchString=&amp;StatesString=&amp;source=indeed.com&amp;id=27131079&amp;compid=3", "https://www2.jobdiva.com/candidates/myjobs/openjob_outside.jsp?a=48jdnwfh8vhzflv7zcdp76mde2du7o006c79o0fir46s6a2nlffdcojc2myqww0k&amp;SearchString=&amp;StatesString=&amp;source=indeed.com&amp;id=27131079&amp;compid=3")</f>
        <v/>
      </c>
      <c r="G106" t="inlineStr">
        <is>
          <t>Foster City, CA, US</t>
        </is>
      </c>
      <c r="H106" s="3" t="n">
        <v>46035</v>
      </c>
      <c r="I106" t="inlineStr">
        <is>
          <t>**Aptask Global Workforce (AGW)** **is seeking a Project/Program Manager for a 12 month contract position with our client located in Foster City, CA. This position is fully onsite and can pay up to $73\.48/hr depending on experience.**  
**Summary:**  
The Project/Program Manager will provide high\-level operational, financial, and project management support across the U.S. Customer Engagement Operations (CEOps) function. This role manages end\-to\-end workflow execution for speaker programs, advisory boards, vendor contracting, purchase orders, accruals, cross\-functional coordination, and compliance\-aligned operational processes. This contractor will act as a key liaison between CE Ops, Compliance, FP\&amp;A, Procurement, IT, and external partners. The ideal candidate is highly organized, process\-oriented, detail\-driven, and comfortable navigating complex enterprise systems.  
**Key Responsibilities:**  
**Financial \&amp; Contracting Operations**
* Manage CE Ops financial processes, including: monthly accruals, monthly finance reporting, and tracking vendor invoices and purchase order (PO) status.
* Partner with FP\&amp;A on financial submissions.
* Submit Work Orders (WO) and Change Orders (CO) via CPAF (Commercial Project Approval Form) system.
* Review and approve PO requests; ensure accuracy of GL codes, WBS codes, and cost centers.
* Work closely with Procurement to secure PENs for engagements.
* Track PO lifecycle, initiate manual PO closures via SPARC when required.
* Coordinate with IT for vendor data security assessments (PIAs, ITSAs).
**Speaker Program \&amp; Venue Review Operations**
* Manage the end\-to\-end Venue Review process for Speaker Programs, including: reviewing and triaging new venue submissions, applying compliance and business rule criteria, and updating the Approved and Do\-Not\-Use venue lists.
* Utilize pre\-defined communication templates to send venue approval/denial notifications to field teams.
* Partner with Compliance to maintain business rule alignment.
* Recommend improvements to streamline venue review workflows.
**Advisory Board \&amp; Consulting Operations Support**
* Support HCP contracting workflows (process management and contract execution steps).
* Manage advisory board financial reporting and accrual email submissions to FP\&amp;A.
* Maintain trackers for Advisory Board and Consulting engagement financials.
**Cross\-Functional Coordination**
* Serve as a liaison between CE Ops, Contracts, Procurement, IT Security, FP\&amp;A, and extended commercial operations teams.
* Collaborate with IT Security to obtain up\-to\-date ITSAs for vendors.
* Communicate with external partners for program updates (venue changes, data sharing requirements, etc.).
* Ensure compliance across all CE Ops operational workflows.
**System \&amp; Tool Management**
* Systems used include: CPAF, SAP ERP, Smartsheet, Centris, SPARC, and SharePoint.
**Qualifications:**  
**Required**
* 6\+ years of project or program management experience, preferably in commercial operations, medical operations, or compliance\-heavy environments.
* Strong experience with finance operations: POs, accruals, vendor management, contracting workflows.
* Ability to manage multiple concurrent workflows in a fast\-paced, highly cross\-functional environment.
* Exceptional attention to detail and documentation.
* Strong communication skills; ability to write clear, professional, compliance\-ready communications.
* Proficiency in Smartsheet, SAP or similar ERP systems, and enterprise workflow tools.
* Only candidates available and ready to work directly as Aptask Global Workforce (AGW) employees will be considered for this position.
**Preferred**
* Background working in pharmaceutical/biotech organizations.
* Familiarity with speaker programs, HCP contracting, and compliance\-driven processes.
* Experience with IQVIA\-driven reporting or field engagement data.
* Understanding of data privacy/security assessment processes (PIAs, ITSAs).
**If you have the described qualifications and are interested in this exciting opportunity, apply today!**  
**Aptask Global Workforce (AGW)**  
ApTask Global Workforce (AGW) is a certified Minority and Veteran workforce solutions company. AGW delivers operational, clinical, lab and professional talent with a strong focus on healthcare and life sciences. The company supports clients with reliable staffing, program expertise and a commitment to quality, speed and consistent delivery.  
**Benefits of working with ApTask Global Workforce include:*** Medical
* Dental
* Vision
* Sick Pay (for applicable states/municipalities)
Our team stays close to the process and is here to guide you every step of the way. To learn more, please visit our website https://www.agwtalent.com/.  
ApTask Global Workforce is an Equal Opportunity Employer. Candidates will receive consideration without regard to their race, color, religion, sex, sexual orientation, gender identity, national origin, disability or status as a protected veteran.  
\#INDAGW</t>
        </is>
      </c>
    </row>
    <row r="107">
      <c r="A107" t="inlineStr">
        <is>
          <t>in-586baaf72a8748a1</t>
        </is>
      </c>
      <c r="B107" t="inlineStr">
        <is>
          <t>Technical Program Manager</t>
        </is>
      </c>
      <c r="C107" t="inlineStr">
        <is>
          <t>AGW</t>
        </is>
      </c>
      <c r="D107" t="inlineStr">
        <is>
          <t>indeed</t>
        </is>
      </c>
      <c r="E107">
        <f>HYPERLINK("https://www.indeed.com/viewjob?jk=586baaf72a8748a1", "https://www.indeed.com/viewjob?jk=586baaf72a8748a1")</f>
        <v/>
      </c>
      <c r="F107">
        <f>HYPERLINK("https://www2.jobdiva.com/candidates/myjobs/openjob_outside.jsp?a=48jdnwfh8vhzflv7zcdp76mde2du7o006c79o0fir46s6a2nlffdcojc2myqww0k&amp;SearchString=&amp;StatesString=&amp;source=indeed.com&amp;id=27128711&amp;compid=3", "https://www2.jobdiva.com/candidates/myjobs/openjob_outside.jsp?a=48jdnwfh8vhzflv7zcdp76mde2du7o006c79o0fir46s6a2nlffdcojc2myqww0k&amp;SearchString=&amp;StatesString=&amp;source=indeed.com&amp;id=27128711&amp;compid=3")</f>
        <v/>
      </c>
      <c r="G107" t="inlineStr">
        <is>
          <t>Menlo Park, CA, US</t>
        </is>
      </c>
      <c r="H107" s="3" t="n">
        <v>46035</v>
      </c>
      <c r="I107" t="inlineStr">
        <is>
          <t>**ApTask Global Workforce (AGW) is seeking a Technical Program Manager for a 10\-month contract position with our client in Menlo Park, CA.**  
**Summary:**  
The Technical Program Manager is tasked with directing the development and execution of intricate, cross\-functional technology initiatives. This role necessitates close collaboration with engineering, product management, and other cross\-functional teams to deliver superior products and services that effectively address user and business requirements.  
**Responsibilities:**
* Lead and govern complex technical programs and projects across diverse organizational units.
* Develop comprehensive project plans, schedules, and resource allocations to ensure timely project delivery.
* Communicate program status, progress, and impediments to pertinent stakeholders and executive leadership.
**Qualifications:*** A Bachelor's degree in Computer Science, Engineering, or a related technical discipline, or equivalent practical experience.
* Demonstrated experience in technical program management, project management, or a closely related field.
* A robust comprehension of software development processes and methodologies.
* Exceptional communication, leadership, and organizational acumen.
* The capability to concurrently manage multiple priorities within a rapidly evolving, dynamic environment.
* Experience engaging with cross\-functional teams and managing stakeholder relationships.
* Only candidates available and ready to work directly as ApTask employees will be considered for this position.
**Preferred Qualifications:*** A Master's degree in a related field.
* Experience within the technology industry.
* Familiarity with a large\-scale portfolio of products and services.
Pay rate up to $107\.14 hourly depending on experience.  
**If you have the described qualifications and are interested in this exciting opportunity, apply today!**  
Aptask Global Workforce (AGW)  
ApTask Global Workforce (AGW) is a certified Minority and Veteran workforce solutions company. AGW delivers operational, clinical, lab and professional talent with a strong focus on healthcare and life sciences. The company supports clients with reliable staffing, program expertise and a commitment to quality, speed and consistent delivery.  
**Benefits of working with ApTask Global Workforce include:**
* Medical
* Dental
* Vision
* Sick Pay (for applicable states/municipalities)
Our team stays close to the process and is here to guide you every step of the way. To learn more, please visit our website https://www.agwtalent.com/.  
ApTask Global Workforce is an Equal Opportunity Employer. Candidates will receive consideration without regard to their race, color, religion, sex, sexual orientation, gender identity, national origin, disability or status as a protected veteran.</t>
        </is>
      </c>
    </row>
    <row r="108">
      <c r="A108" t="inlineStr">
        <is>
          <t>in-b93cf7524cd00a61</t>
        </is>
      </c>
      <c r="B108" t="inlineStr">
        <is>
          <t>Sr. Program Manager</t>
        </is>
      </c>
      <c r="C108" t="inlineStr">
        <is>
          <t>Ingram Micro</t>
        </is>
      </c>
      <c r="D108" t="inlineStr">
        <is>
          <t>indeed</t>
        </is>
      </c>
      <c r="E108">
        <f>HYPERLINK("https://www.indeed.com/viewjob?jk=b93cf7524cd00a61", "https://www.indeed.com/viewjob?jk=b93cf7524cd00a61")</f>
        <v/>
      </c>
      <c r="F108">
        <f>HYPERLINK("https://careers.ingrammicro.com/en/jobs/r-113077/sr-program-manager/", "https://careers.ingrammicro.com/en/jobs/r-113077/sr-program-manager/")</f>
        <v/>
      </c>
      <c r="G108" t="inlineStr">
        <is>
          <t>Buffalo, NY, US</t>
        </is>
      </c>
      <c r="H108" s="3" t="n">
        <v>46011</v>
      </c>
      <c r="I108" t="inlineStr">
        <is>
          <t>**Accelerate your career. Join the organization that's driving the world's technology and shape the future.**
Ingram Micro is a leading technology company for the global information technology ecosystem. With the ability to reach nearly 90% of the global population, we play a vital role in the worldwide IT sales channel, bringing products and services from technology manufacturers and cloud providers to business\-to\-business technology experts. Our market reach, diverse solutions and services portfolio, and digital platform Ingram Micro Xvantage™ set us apart. Learn more at www.ingrammicro.com.
Come join our team where you’ll make technology happen in surprising ways. Let’s shape tomorrow \- it’ll be a fun journey!
This role can be located at our Annapolis Junction, MD or Buffalo, Ny facility with 2 remote days per week.
**Role Overview**
The Public Sector Sr. Program Manager will support our go\-to\-market strategy for government, education, and nonprofit segments by aligning internal teams, reseller partners, and technology vendors. You will oversee key programs and projects from inception through delivery, ensure strict adherence to government compliance requirements, and support unique or specialized initiatives that accelerate growth in the public sector.  
**Key Responsibilities**
* Develop and execute the public sector go\-to\-market roadmap in collaboration with Sales, Marketing, Finance, and Operations teams.
* Serve as primary liaison for reseller partners and manufacturers on public sector opportunities, ensuring clear communication and alignment of objectives.
* Manage flagship programs (e.g., E\-Rate, SLED grants, Supplier Diversity) through budgeting, vendor onboarding, performance tracking, and renewal processes.
* Coordinate responses to government RFPs, RFIs, and contract amendments—ensuring accuracy, compliance, and timely submission.
* Support compliance oversight with federal and state procurement regulations (FAR, DFARS, GSA schedules) and maintain audit\-ready documentation.
* Lead cross\-functional projects, including pilot deployments, proof\-of\-concepts, and specialized technology rollouts.
* Partner with Business Intelligence to generate market insights, forecast program revenue, and measure KPIs.
* Develop training materials and conduct enablement sessions for internal sales teams, resellers, and vendor partners.
* Monitor program performance metrics and produce regular status reports for senior leadership.
**What You Bring To The Role:**
* Bachelor’s degree in Business, Information Technology, Public Administration, or related field.
* 5\+ years of program or project management experience in public sector IT distribution or a related environment.
* Proven ability to manage multiple, concurrent programs and deadlines.
* Exceptional written and verbal communication skills, with experience crafting proposals and executive\-level presentations.
* Strong analytical aptitude, including comfort with data visualization tools and reporting systems.
**Preferred Qualifications**
* Prior experience working directly with reseller networks and OEM/manufacturer alliances.
* Understanding of government procurement vehicles, compliance standards, and grant programs (e\-Rate, SLED, GSA).
**Core Competencies**
* Strategic Thinking: Translates business objectives into actionable program plans.
* Stakeholder Management: Builds trust across internal teams, partners, and customers.
* Attention to Detail: Maintains compliance and audit readiness.
* Collaboration: Works seamlessly with sales, marketing, finance, and technical stakeholders.
* Adaptability: Thrives in dynamic environments and handles specialized projects with agility.
\#LI\-AH1
\#LI\-hybrid
The typical base pay range for this role across the U.S. is USD $84,500\.00 \- $143,700\.00 per year.
The ranges above reflect the potential annual base pay across the U.S. for all roles; the applicable base pay range will depend on the candidate’s primary work location, pay grade, and variable compensation plan. Individual base pay within each range depends on various factors, in addition to primary work location, such as complexity and responsibility of role, job duties/requirements, and relevant experience and skills. Base pay ranges are reviewed and typically updated each year. Offers are made within the base pay range applicable at the time of hire. New hires starting base pay generally falls in the bottom half (between the minimum and midpoint) of a pay range.
At Ingram Micro certain roles are eligible for additional rewards, including merit increases, annual bonus or sales incentives and long\-term incentives. These awards are allocated based on position level and individual performance. U.S.\-based employees have access to healthcare benefits, paid time off, parental leave, a 401(k) plan and company match, short\-term and long\-term disability coverage, basic life insurance, and wellbeing benefits, among others.
This is not a complete listing of the job duties. It’s a representation of the things you will be doing, and you may not perform all these duties.
Please be prepared to pass a drug test and successfully pass a pre\-employment (post offer) background check.
Ingram Micro Inc. is proud to be an equal opportunity employer. All qualified applicants will receive consideration for employment without regard to race, color, religion, gender, gender identity or expression, sexual orientation, national origin, genetics, disability, age, veteran status, or any other protected category under applicable law.</t>
        </is>
      </c>
    </row>
    <row r="109">
      <c r="A109" t="inlineStr">
        <is>
          <t>in-7e09ebed4133817b</t>
        </is>
      </c>
      <c r="B109" t="inlineStr">
        <is>
          <t>Agile Product Owner - Error proofing and embedded software</t>
        </is>
      </c>
      <c r="C109" t="inlineStr">
        <is>
          <t>Atlas Copco Group</t>
        </is>
      </c>
      <c r="D109" t="inlineStr">
        <is>
          <t>indeed</t>
        </is>
      </c>
      <c r="E109">
        <f>HYPERLINK("https://www.indeed.com/viewjob?jk=7e09ebed4133817b", "https://www.indeed.com/viewjob?jk=7e09ebed4133817b")</f>
        <v/>
      </c>
      <c r="F109">
        <f>HYPERLINK("https://www.atlascopcogroup.com/en/careers/jobs/job-overview/job-detail/agile-product-owner---error-proofing-and-embedded-software/162762", "https://www.atlascopcogroup.com/en/careers/jobs/job-overview/job-detail/agile-product-owner---error-proofing-and-embedded-software/162762")</f>
        <v/>
      </c>
      <c r="G109" t="inlineStr">
        <is>
          <t>Auburn Hills, MI, US</t>
        </is>
      </c>
      <c r="H109" s="3" t="n">
        <v>46002</v>
      </c>
      <c r="I109" t="inlineStr">
        <is>
          <t>**Your role**
-------------
At Atlas Copco, we don’t just value the work you do; we value *who you are* . We’re a global technology leader with a 150\-year legacy, aiming to make a positive impact on industries and communities around the world. Our commitment to sustainability and innovation keeps us moving forward, and we’re looking for dynamic individuals who want to be part of that journey.
**Who Thrives Here?**
At Atlas Copco, success comes from those who are curious, innovative, and committed to excellence. If you enjoy working in a dynamic environment and thrive on problem\-solving, you’ll feel at home here. This role is ideal for someone who delivers accurate, timely results while managing multiple priorities, focuses on detail, uses data to drive decisions, and faces challenges with creativity and resilience.
**Are you our next Agile Product Owner for error proofing and embedded software?**
Join our agile software team in Auburn Hills, MI, as an Agile Product Owner focused on Error Proofing and Embedded Software Solutions. In this role, you will act as a vital link between software development teams, local and global marketing teams, and U.S. customers to ensure our products deliver maximum value. You will translate customer and market needs into actionable feature requests, define and prioritize the product backlog, and guide the development team toward impactful software solutions. Your work will help Atlas Copco maintain its position as a market leader, and you will report to the local Software Engineering Manager.
**Here’s how you’ll make an impact:**
* Being the key link between U.S customers, local and global marketing teams, and our Software teams in U.S., Germany and Sweden.
* Maintain and prioritize the product backlog for our Error proofing and Embedded software solutions with input from stakeholders, together with a team of other Agile Product Owners.
* Translate customer needs into clear product backlog items.
* Align development efforts with strategic goals to ensure transparency across stakeholders and software development teams.
* Collaborating with stakeholders to gather requirements for our Error proofing and Embedded software solutions, ensuring alignment with business objectives.
* Understanding our customers’ processes and needs so we deliver the right solutions at the right time by approving completed feature work from the Software development team.
* Be part of the Voice of the Customer process to help maintain a strong customer relationship that drives continuous improvement in our software offerings.
* Contribute to defining and communicating a clear vision and roadmap for our Error proofing and Embedded software solutions.
* Support the program management team in prioritizing the issue backlog for our Error proofing and Embedded software solutions.
* Participate in Agile ceremonies to maintain and prioritize the Software development teams sprint backlog.
* Stay informed on industry trends, standards, protocols, and application environments to support continuous improvement efforts.
* Travel domestically and internationally as needed to support customers and project activities.
**To succeed, you will need**
-----------------------------
* Bachelor’s degree in Computer Science, Software Engineering, Information Technology, or related technical field (or equivalent experience).
* 5\+ years of relevant experience in product ownership, business analysis, project management, or software development with focus on customer relations, like a Field Application Engineer role.
* Strong understanding in modern agile frameworks such as SCRUM and/or SAFe.
* Strong analytical and structured problem\-solving skills with the ability to prioritize backlog items and issues for decision\-making.
* Excellent communication skills, with the ability to manage critical stakeholder demands.
* Very good understanding of Atlas Copco Error proofing solutions and/or Embedded platform solutions.
* Experience with manufacturing environments, automation systems, or similar at Atlas Copco’s customers.
* Understanding modern software architecture and development practices is a plus.
* Familiarity with Atlas Copco’s other software and hardware portfolio is a plus.
**In return, we offer**
-----------------------
* At Atlas Copco, we know that work is more than just a job. Here’s what we offer to keep you happy, healthy, and inspired:
	+ **Professional Development** : Opportunities for growth, training, and career advancement.
	+ **Comprehensive Benefits:** Medical, Dental, Vision, Disability, Life, and more.
	+ **Financial Security:** 401(k) with a baseline company contribution and matching opportunities starting at 6%, increasing further with tenure.
	+ **Work\-Life Balance:** Generous paid time off, a comprehensive holiday package, and flexible scheduling options where available to support your well\-being.
	+ **Family Support:** Paid Maternity \&amp; Parental Leave.
	+ **Wellness Perks** : Gym, Education, and Health Reimbursements.
	+ **Rewarding Culture** : An inclusive environment that celebrates innovation, teamwork, and diversity.
**Job location**
----------------
This role offers a hybrid working arrangement, allowing you to split your time between working remotely and being on\-site at our headquarters in Auburn Hills, Michigan.
Company: Atlas Copco Group
Functional area: Research and Development
Location: US – United States
City: Auburn Hills, MI
On\-site/remote: Hybrid
Brand: Atlas Copco
Company Name: Atlas Copco Tools \&amp; Assembly Systems LLC
Date of Posting: December 12, 2025
Last day to apply: February 1, 2026
Apply for this position</t>
        </is>
      </c>
    </row>
    <row r="110">
      <c r="A110" t="inlineStr">
        <is>
          <t>in-2d3ea77287d3f6af</t>
        </is>
      </c>
      <c r="B110" t="inlineStr">
        <is>
          <t>Senior Program Manager III, Planning, Amazon Leo, Global Service Compliance</t>
        </is>
      </c>
      <c r="C110" t="inlineStr">
        <is>
          <t>Amazon.com</t>
        </is>
      </c>
      <c r="D110" t="inlineStr">
        <is>
          <t>indeed</t>
        </is>
      </c>
      <c r="E110">
        <f>HYPERLINK("https://www.indeed.com/viewjob?jk=2d3ea77287d3f6af", "https://www.indeed.com/viewjob?jk=2d3ea77287d3f6af")</f>
        <v/>
      </c>
      <c r="F110">
        <f>HYPERLINK("https://www.amazon.jobs/jobs/3106118/senior-program-manager-iii-planning-amazon-leo-global-service-compliance?cmpid=DA_INAD200785B", "https://www.amazon.jobs/jobs/3106118/senior-program-manager-iii-planning-amazon-leo-global-service-compliance?cmpid=DA_INAD200785B")</f>
        <v/>
      </c>
      <c r="G110" t="inlineStr">
        <is>
          <t>Bellevue, WA, US</t>
        </is>
      </c>
      <c r="H110" s="3" t="n">
        <v>45939</v>
      </c>
      <c r="I110"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in-9b50fb20e515e0e0</t>
        </is>
      </c>
      <c r="B111" t="inlineStr">
        <is>
          <t>Senior Program Manager III, Planning, Amazon Leo, Global Service Compliance</t>
        </is>
      </c>
      <c r="C111" t="inlineStr">
        <is>
          <t>Amazon.com</t>
        </is>
      </c>
      <c r="D111" t="inlineStr">
        <is>
          <t>indeed</t>
        </is>
      </c>
      <c r="E111">
        <f>HYPERLINK("https://www.indeed.com/viewjob?jk=9b50fb20e515e0e0", "https://www.indeed.com/viewjob?jk=9b50fb20e515e0e0")</f>
        <v/>
      </c>
      <c r="F111">
        <f>HYPERLINK("https://www.amazon.jobs/jobs/3106118/senior-program-manager-iii-planning-amazon-leo-global-service-compliance?cmpid=DA_INAD200785B", "https://www.amazon.jobs/jobs/3106118/senior-program-manager-iii-planning-amazon-leo-global-service-compliance?cmpid=DA_INAD200785B")</f>
        <v/>
      </c>
      <c r="G111" t="inlineStr">
        <is>
          <t>Arlington, VA, US</t>
        </is>
      </c>
      <c r="H111" s="3" t="n">
        <v>45939</v>
      </c>
      <c r="I111"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in-57bbca57ae1d81c0</t>
        </is>
      </c>
      <c r="B112" t="inlineStr">
        <is>
          <t>Sr. Supply Chain Product Manager, Amazon Custom Modules</t>
        </is>
      </c>
      <c r="C112" t="inlineStr">
        <is>
          <t>Amazon.com</t>
        </is>
      </c>
      <c r="D112" t="inlineStr">
        <is>
          <t>indeed</t>
        </is>
      </c>
      <c r="E112">
        <f>HYPERLINK("https://www.indeed.com/viewjob?jk=57bbca57ae1d81c0", "https://www.indeed.com/viewjob?jk=57bbca57ae1d81c0")</f>
        <v/>
      </c>
      <c r="F112">
        <f>HYPERLINK("https://www.amazon.jobs/jobs/3109372/sr-supply-chain-product-manager-amazon-custom-modules?cmpid=DA_INAD200785B", "https://www.amazon.jobs/jobs/3109372/sr-supply-chain-product-manager-amazon-custom-modules?cmpid=DA_INAD200785B")</f>
        <v/>
      </c>
      <c r="G112" t="inlineStr">
        <is>
          <t>Seattle, WA, US</t>
        </is>
      </c>
      <c r="H112" s="3" t="n">
        <v>45935</v>
      </c>
      <c r="I11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in-a3e50e4357b7e15d</t>
        </is>
      </c>
      <c r="B113" t="inlineStr">
        <is>
          <t>Sr. Supply Chain Product Manager, Amazon Custom Modules</t>
        </is>
      </c>
      <c r="C113" t="inlineStr">
        <is>
          <t>Amazon.com</t>
        </is>
      </c>
      <c r="D113" t="inlineStr">
        <is>
          <t>indeed</t>
        </is>
      </c>
      <c r="E113">
        <f>HYPERLINK("https://www.indeed.com/viewjob?jk=a3e50e4357b7e15d", "https://www.indeed.com/viewjob?jk=a3e50e4357b7e15d")</f>
        <v/>
      </c>
      <c r="F113">
        <f>HYPERLINK("https://www.amazon.jobs/jobs/3109372/sr-supply-chain-product-manager-amazon-custom-modules?cmpid=DA_INAD200785B", "https://www.amazon.jobs/jobs/3109372/sr-supply-chain-product-manager-amazon-custom-modules?cmpid=DA_INAD200785B")</f>
        <v/>
      </c>
      <c r="G113" t="inlineStr">
        <is>
          <t>Cupertino, CA, US</t>
        </is>
      </c>
      <c r="H113" s="3" t="n">
        <v>45935</v>
      </c>
      <c r="I11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in-58b5be12db5a5296</t>
        </is>
      </c>
      <c r="B114" t="inlineStr">
        <is>
          <t>Sr. Supply Chain Product Manager, Amazon Custom Modules</t>
        </is>
      </c>
      <c r="C114" t="inlineStr">
        <is>
          <t>Amazon.com</t>
        </is>
      </c>
      <c r="D114" t="inlineStr">
        <is>
          <t>indeed</t>
        </is>
      </c>
      <c r="E114">
        <f>HYPERLINK("https://www.indeed.com/viewjob?jk=58b5be12db5a5296", "https://www.indeed.com/viewjob?jk=58b5be12db5a5296")</f>
        <v/>
      </c>
      <c r="F114">
        <f>HYPERLINK("https://www.amazon.jobs/jobs/3109372/sr-supply-chain-product-manager-amazon-custom-modules?cmpid=DA_INAD200785B", "https://www.amazon.jobs/jobs/3109372/sr-supply-chain-product-manager-amazon-custom-modules?cmpid=DA_INAD200785B")</f>
        <v/>
      </c>
      <c r="G114" t="inlineStr">
        <is>
          <t>Austin, TX, US</t>
        </is>
      </c>
      <c r="H114" s="3" t="n">
        <v>45935</v>
      </c>
      <c r="I11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in-424d57f7aa21a014</t>
        </is>
      </c>
      <c r="B115" t="inlineStr">
        <is>
          <t>Sr. Program Manager, Same Day Programs</t>
        </is>
      </c>
      <c r="C115" t="inlineStr">
        <is>
          <t>Amazon.com</t>
        </is>
      </c>
      <c r="D115" t="inlineStr">
        <is>
          <t>indeed</t>
        </is>
      </c>
      <c r="E115">
        <f>HYPERLINK("https://www.indeed.com/viewjob?jk=424d57f7aa21a014", "https://www.indeed.com/viewjob?jk=424d57f7aa21a014")</f>
        <v/>
      </c>
      <c r="F115">
        <f>HYPERLINK("https://www.amazon.jobs/jobs/3106355/sr-program-manager-same-day-programs?cmpid=DA_INAD200785B", "https://www.amazon.jobs/jobs/3106355/sr-program-manager-same-day-programs?cmpid=DA_INAD200785B")</f>
        <v/>
      </c>
      <c r="G115" t="inlineStr">
        <is>
          <t>Nashville, TN, US</t>
        </is>
      </c>
      <c r="H115" s="3" t="n">
        <v>45931</v>
      </c>
      <c r="I11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in-9ae454e45e819618</t>
        </is>
      </c>
      <c r="B116" t="inlineStr">
        <is>
          <t>Sr. Program Manager, Same Day Programs,</t>
        </is>
      </c>
      <c r="C116" t="inlineStr">
        <is>
          <t>Amazon.com</t>
        </is>
      </c>
      <c r="D116" t="inlineStr">
        <is>
          <t>indeed</t>
        </is>
      </c>
      <c r="E116">
        <f>HYPERLINK("https://www.indeed.com/viewjob?jk=9ae454e45e819618", "https://www.indeed.com/viewjob?jk=9ae454e45e819618")</f>
        <v/>
      </c>
      <c r="F116">
        <f>HYPERLINK("https://www.amazon.jobs/jobs/3106368/sr-program-manager-same-day-programs--?cmpid=DA_INAD200785B", "https://www.amazon.jobs/jobs/3106368/sr-program-manager-same-day-programs--?cmpid=DA_INAD200785B")</f>
        <v/>
      </c>
      <c r="G116" t="inlineStr">
        <is>
          <t>Bellevue, WA, US</t>
        </is>
      </c>
      <c r="H116" s="3" t="n">
        <v>45931</v>
      </c>
      <c r="I11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in-288cdaa22b6eebcc</t>
        </is>
      </c>
      <c r="B117" t="inlineStr">
        <is>
          <t>Sr. Program Manager, Same Day Programs</t>
        </is>
      </c>
      <c r="C117" t="inlineStr">
        <is>
          <t>Amazon.com</t>
        </is>
      </c>
      <c r="D117" t="inlineStr">
        <is>
          <t>indeed</t>
        </is>
      </c>
      <c r="E117">
        <f>HYPERLINK("https://www.indeed.com/viewjob?jk=288cdaa22b6eebcc", "https://www.indeed.com/viewjob?jk=288cdaa22b6eebcc")</f>
        <v/>
      </c>
      <c r="F117">
        <f>HYPERLINK("https://www.amazon.jobs/jobs/3106355/sr-program-manager-same-day-programs?cmpid=DA_INAD200785B", "https://www.amazon.jobs/jobs/3106355/sr-program-manager-same-day-programs?cmpid=DA_INAD200785B")</f>
        <v/>
      </c>
      <c r="G117" t="inlineStr">
        <is>
          <t>Bellevue, WA, US</t>
        </is>
      </c>
      <c r="H117" s="3" t="n">
        <v>45931</v>
      </c>
      <c r="I11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in-dbca57070ed6a42f</t>
        </is>
      </c>
      <c r="B118" t="inlineStr">
        <is>
          <t>Sr. Program Manager, Same Day Programs,</t>
        </is>
      </c>
      <c r="C118" t="inlineStr">
        <is>
          <t>Amazon.com</t>
        </is>
      </c>
      <c r="D118" t="inlineStr">
        <is>
          <t>indeed</t>
        </is>
      </c>
      <c r="E118">
        <f>HYPERLINK("https://www.indeed.com/viewjob?jk=dbca57070ed6a42f", "https://www.indeed.com/viewjob?jk=dbca57070ed6a42f")</f>
        <v/>
      </c>
      <c r="F118">
        <f>HYPERLINK("https://www.amazon.jobs/jobs/3106368/sr-program-manager-same-day-programs--?cmpid=DA_INAD200785B", "https://www.amazon.jobs/jobs/3106368/sr-program-manager-same-day-programs--?cmpid=DA_INAD200785B")</f>
        <v/>
      </c>
      <c r="G118" t="inlineStr">
        <is>
          <t>Nashville, TN, US</t>
        </is>
      </c>
      <c r="H118" s="3" t="n">
        <v>45931</v>
      </c>
      <c r="I11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in-cc4936a8c881fe8a</t>
        </is>
      </c>
      <c r="B119" t="inlineStr">
        <is>
          <t>Amazon Last Mile Fleet Program Manager, In Life Services-Recalls, Retrofits, and Tires</t>
        </is>
      </c>
      <c r="C119" t="inlineStr">
        <is>
          <t>Amazon.com</t>
        </is>
      </c>
      <c r="D119" t="inlineStr">
        <is>
          <t>indeed</t>
        </is>
      </c>
      <c r="E119">
        <f>HYPERLINK("https://www.indeed.com/viewjob?jk=cc4936a8c881fe8a", "https://www.indeed.com/viewjob?jk=cc4936a8c881fe8a")</f>
        <v/>
      </c>
      <c r="F119">
        <f>HYPERLINK("https://www.amazon.jobs/jobs/3083275/amazon-last-mile-fleet-program-manager-in-life-servicesrecalls-retrofits-and-tires?cmpid=DA_INAD200785B", "https://www.amazon.jobs/jobs/3083275/amazon-last-mile-fleet-program-manager-in-life-servicesrecalls-retrofits-and-tires?cmpid=DA_INAD200785B")</f>
        <v/>
      </c>
      <c r="G119" t="inlineStr">
        <is>
          <t>Nashville, TN, US</t>
        </is>
      </c>
      <c r="H119" s="3" t="n">
        <v>45911</v>
      </c>
      <c r="I11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in-678385f4b96441b8</t>
        </is>
      </c>
      <c r="B120" t="inlineStr">
        <is>
          <t>Amazon Last Mile Fleet Program Manager, In Life Services-Recalls, Retrofits, and Tires</t>
        </is>
      </c>
      <c r="C120" t="inlineStr">
        <is>
          <t>Amazon.com</t>
        </is>
      </c>
      <c r="D120" t="inlineStr">
        <is>
          <t>indeed</t>
        </is>
      </c>
      <c r="E120">
        <f>HYPERLINK("https://www.indeed.com/viewjob?jk=678385f4b96441b8", "https://www.indeed.com/viewjob?jk=678385f4b96441b8")</f>
        <v/>
      </c>
      <c r="F120">
        <f>HYPERLINK("https://www.amazon.jobs/jobs/3083275/amazon-last-mile-fleet-program-manager-in-life-servicesrecalls-retrofits-and-tires?cmpid=DA_INAD200785B", "https://www.amazon.jobs/jobs/3083275/amazon-last-mile-fleet-program-manager-in-life-servicesrecalls-retrofits-and-tires?cmpid=DA_INAD200785B")</f>
        <v/>
      </c>
      <c r="G120" t="inlineStr">
        <is>
          <t>Bellevue, WA, US</t>
        </is>
      </c>
      <c r="H120" s="3" t="n">
        <v>45911</v>
      </c>
      <c r="I12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in-9df10f27a88dd592</t>
        </is>
      </c>
      <c r="B121" t="inlineStr">
        <is>
          <t>Amazon Last Mile Fleet Program Manager, In Life Services-Recalls, Retrofits, and Tires</t>
        </is>
      </c>
      <c r="C121" t="inlineStr">
        <is>
          <t>Amazon.com</t>
        </is>
      </c>
      <c r="D121" t="inlineStr">
        <is>
          <t>indeed</t>
        </is>
      </c>
      <c r="E121">
        <f>HYPERLINK("https://www.indeed.com/viewjob?jk=9df10f27a88dd592", "https://www.indeed.com/viewjob?jk=9df10f27a88dd592")</f>
        <v/>
      </c>
      <c r="F121">
        <f>HYPERLINK("https://www.amazon.jobs/jobs/3083275/amazon-last-mile-fleet-program-manager-in-life-servicesrecalls-retrofits-and-tires?cmpid=DA_INAD200785B", "https://www.amazon.jobs/jobs/3083275/amazon-last-mile-fleet-program-manager-in-life-servicesrecalls-retrofits-and-tires?cmpid=DA_INAD200785B")</f>
        <v/>
      </c>
      <c r="G121" t="inlineStr">
        <is>
          <t>Arlington, VA, US</t>
        </is>
      </c>
      <c r="H121" s="3" t="n">
        <v>45911</v>
      </c>
      <c r="I12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in-ab5ee578a615d24a</t>
        </is>
      </c>
      <c r="B122" t="inlineStr">
        <is>
          <t>Sr. Product Manager, Sub-Same Day (SSD) - DOT, SSD Delivery Ops Tech</t>
        </is>
      </c>
      <c r="C122" t="inlineStr">
        <is>
          <t>Amazon.com</t>
        </is>
      </c>
      <c r="D122" t="inlineStr">
        <is>
          <t>indeed</t>
        </is>
      </c>
      <c r="E122">
        <f>HYPERLINK("https://www.indeed.com/viewjob?jk=ab5ee578a615d24a", "https://www.indeed.com/viewjob?jk=ab5ee578a615d24a")</f>
        <v/>
      </c>
      <c r="F122">
        <f>HYPERLINK("https://www.amazon.jobs/jobs/3063966/sr-product-manager-subsame-day-ssd--dot-ssd-delivery-ops-tech?cmpid=DA_INAD200785B", "https://www.amazon.jobs/jobs/3063966/sr-product-manager-subsame-day-ssd--dot-ssd-delivery-ops-tech?cmpid=DA_INAD200785B")</f>
        <v/>
      </c>
      <c r="G122" t="inlineStr">
        <is>
          <t>Nashville, TN, US</t>
        </is>
      </c>
      <c r="H122" s="3" t="n">
        <v>45876</v>
      </c>
      <c r="I122"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in-4d04c8c5db4b5ca1</t>
        </is>
      </c>
      <c r="B123" t="inlineStr">
        <is>
          <t>Senior Product Manager - Tech, Fire TV</t>
        </is>
      </c>
      <c r="C123" t="inlineStr">
        <is>
          <t>Amazon.com</t>
        </is>
      </c>
      <c r="D123" t="inlineStr">
        <is>
          <t>indeed</t>
        </is>
      </c>
      <c r="E123">
        <f>HYPERLINK("https://www.indeed.com/viewjob?jk=4d04c8c5db4b5ca1", "https://www.indeed.com/viewjob?jk=4d04c8c5db4b5ca1")</f>
        <v/>
      </c>
      <c r="F123">
        <f>HYPERLINK("https://www.amazon.jobs/jobs/3058473/senior-product-manager--tech-fire-tv?cmpid=DA_INAD200785B", "https://www.amazon.jobs/jobs/3058473/senior-product-manager--tech-fire-tv?cmpid=DA_INAD200785B")</f>
        <v/>
      </c>
      <c r="G123" t="inlineStr">
        <is>
          <t>Seattle, WA, US</t>
        </is>
      </c>
      <c r="H123" s="3" t="n">
        <v>45855</v>
      </c>
      <c r="I123"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in-a51934a8495e5c4d</t>
        </is>
      </c>
      <c r="B124" t="inlineStr">
        <is>
          <t>Senior Product Manager - Tech, Fire TV</t>
        </is>
      </c>
      <c r="C124" t="inlineStr">
        <is>
          <t>Amazon.com</t>
        </is>
      </c>
      <c r="D124" t="inlineStr">
        <is>
          <t>indeed</t>
        </is>
      </c>
      <c r="E124">
        <f>HYPERLINK("https://www.indeed.com/viewjob?jk=a51934a8495e5c4d", "https://www.indeed.com/viewjob?jk=a51934a8495e5c4d")</f>
        <v/>
      </c>
      <c r="F124">
        <f>HYPERLINK("https://www.amazon.jobs/jobs/3058473/senior-product-manager--tech-fire-tv?cmpid=DA_INAD200785B", "https://www.amazon.jobs/jobs/3058473/senior-product-manager--tech-fire-tv?cmpid=DA_INAD200785B")</f>
        <v/>
      </c>
      <c r="G124" t="inlineStr">
        <is>
          <t>Sunnyvale, CA, US</t>
        </is>
      </c>
      <c r="H124" s="3" t="n">
        <v>45855</v>
      </c>
      <c r="I124"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in-a29e5db4ffc4d346</t>
        </is>
      </c>
      <c r="B125" t="inlineStr">
        <is>
          <t>Senior Product Manager - Technical, Alexa Communications</t>
        </is>
      </c>
      <c r="C125" t="inlineStr">
        <is>
          <t>Amazon.com</t>
        </is>
      </c>
      <c r="D125" t="inlineStr">
        <is>
          <t>indeed</t>
        </is>
      </c>
      <c r="E125">
        <f>HYPERLINK("https://www.indeed.com/viewjob?jk=a29e5db4ffc4d346", "https://www.indeed.com/viewjob?jk=a29e5db4ffc4d346")</f>
        <v/>
      </c>
      <c r="F125">
        <f>HYPERLINK("https://www.amazon.jobs/jobs/3034220/senior-product-manager--technical-alexa-communications?cmpid=DA_INAD200785B", "https://www.amazon.jobs/jobs/3034220/senior-product-manager--technical-alexa-communications?cmpid=DA_INAD200785B")</f>
        <v/>
      </c>
      <c r="G125" t="inlineStr">
        <is>
          <t>Sunnyvale, CA, US</t>
        </is>
      </c>
      <c r="H125" s="3" t="n">
        <v>45851</v>
      </c>
      <c r="I125"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in-b39b1836a9c87ef8</t>
        </is>
      </c>
      <c r="B126" t="inlineStr">
        <is>
          <t>Senior Product Manager - Technical, Alexa Communications</t>
        </is>
      </c>
      <c r="C126" t="inlineStr">
        <is>
          <t>Amazon.com</t>
        </is>
      </c>
      <c r="D126" t="inlineStr">
        <is>
          <t>indeed</t>
        </is>
      </c>
      <c r="E126">
        <f>HYPERLINK("https://www.indeed.com/viewjob?jk=b39b1836a9c87ef8", "https://www.indeed.com/viewjob?jk=b39b1836a9c87ef8")</f>
        <v/>
      </c>
      <c r="F126">
        <f>HYPERLINK("https://www.amazon.jobs/jobs/3034220/senior-product-manager--technical-alexa-communications?cmpid=DA_INAD200785B", "https://www.amazon.jobs/jobs/3034220/senior-product-manager--technical-alexa-communications?cmpid=DA_INAD200785B")</f>
        <v/>
      </c>
      <c r="G126" t="inlineStr">
        <is>
          <t>Seattle, WA, US</t>
        </is>
      </c>
      <c r="H126" s="3" t="n">
        <v>45851</v>
      </c>
      <c r="I12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in-7d6fd753d477e27f</t>
        </is>
      </c>
      <c r="B127" t="inlineStr">
        <is>
          <t>Principal Product Manager Tech - Devices, Fire TV Devices</t>
        </is>
      </c>
      <c r="C127" t="inlineStr">
        <is>
          <t>Amazon.com</t>
        </is>
      </c>
      <c r="D127" t="inlineStr">
        <is>
          <t>indeed</t>
        </is>
      </c>
      <c r="E127">
        <f>HYPERLINK("https://www.indeed.com/viewjob?jk=7d6fd753d477e27f", "https://www.indeed.com/viewjob?jk=7d6fd753d477e27f")</f>
        <v/>
      </c>
      <c r="F127">
        <f>HYPERLINK("https://www.amazon.jobs/jobs/3029783/principal-product-manager-tech--devices-fire-tv-devices?cmpid=DA_INAD200785B", "https://www.amazon.jobs/jobs/3029783/principal-product-manager-tech--devices-fire-tv-devices?cmpid=DA_INAD200785B")</f>
        <v/>
      </c>
      <c r="G127" t="inlineStr">
        <is>
          <t>Sunnyvale, CA, US</t>
        </is>
      </c>
      <c r="H127" s="3" t="n">
        <v>45844</v>
      </c>
      <c r="I127"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in-489fb7a77166396d</t>
        </is>
      </c>
      <c r="B128" t="inlineStr">
        <is>
          <t>Principal Product Manager Tech - Devices, Fire TV Devices</t>
        </is>
      </c>
      <c r="C128" t="inlineStr">
        <is>
          <t>Amazon.com</t>
        </is>
      </c>
      <c r="D128" t="inlineStr">
        <is>
          <t>indeed</t>
        </is>
      </c>
      <c r="E128">
        <f>HYPERLINK("https://www.indeed.com/viewjob?jk=489fb7a77166396d", "https://www.indeed.com/viewjob?jk=489fb7a77166396d")</f>
        <v/>
      </c>
      <c r="F128">
        <f>HYPERLINK("https://www.amazon.jobs/jobs/3029783/principal-product-manager-tech--devices-fire-tv-devices?cmpid=DA_INAD200785B", "https://www.amazon.jobs/jobs/3029783/principal-product-manager-tech--devices-fire-tv-devices?cmpid=DA_INAD200785B")</f>
        <v/>
      </c>
      <c r="G128" t="inlineStr">
        <is>
          <t>Seattle, WA, US</t>
        </is>
      </c>
      <c r="H128" s="3" t="n">
        <v>45844</v>
      </c>
      <c r="I128"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in-5f7bbe94d4e54009</t>
        </is>
      </c>
      <c r="B129" t="inlineStr">
        <is>
          <t>Principal Product Manager-Technical, AGI, Artificial General Intellgence</t>
        </is>
      </c>
      <c r="C129" t="inlineStr">
        <is>
          <t>Amazon.com</t>
        </is>
      </c>
      <c r="D129" t="inlineStr">
        <is>
          <t>indeed</t>
        </is>
      </c>
      <c r="E129">
        <f>HYPERLINK("https://www.indeed.com/viewjob?jk=5f7bbe94d4e54009", "https://www.indeed.com/viewjob?jk=5f7bbe94d4e54009")</f>
        <v/>
      </c>
      <c r="F129">
        <f>HYPERLINK("https://www.amazon.jobs/jobs/3017572/principal-product-managertechnical-agi-artificial-general-intellgence?cmpid=DA_INAD200785B", "https://www.amazon.jobs/jobs/3017572/principal-product-managertechnical-agi-artificial-general-intellgence?cmpid=DA_INAD200785B")</f>
        <v/>
      </c>
      <c r="G129" t="inlineStr">
        <is>
          <t>Boston, MA, US</t>
        </is>
      </c>
      <c r="H129" s="3" t="n">
        <v>45824</v>
      </c>
      <c r="I129"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in-6c0a58c26a04d0c5</t>
        </is>
      </c>
      <c r="B130" t="inlineStr">
        <is>
          <t>Principal Product Manager-Technical, AGI, Artificial General Intellgence</t>
        </is>
      </c>
      <c r="C130" t="inlineStr">
        <is>
          <t>Amazon.com</t>
        </is>
      </c>
      <c r="D130" t="inlineStr">
        <is>
          <t>indeed</t>
        </is>
      </c>
      <c r="E130">
        <f>HYPERLINK("https://www.indeed.com/viewjob?jk=6c0a58c26a04d0c5", "https://www.indeed.com/viewjob?jk=6c0a58c26a04d0c5")</f>
        <v/>
      </c>
      <c r="F130">
        <f>HYPERLINK("https://www.amazon.jobs/jobs/3017572/principal-product-managertechnical-agi-artificial-general-intellgence?cmpid=DA_INAD200785B", "https://www.amazon.jobs/jobs/3017572/principal-product-managertechnical-agi-artificial-general-intellgence?cmpid=DA_INAD200785B")</f>
        <v/>
      </c>
      <c r="G130" t="inlineStr">
        <is>
          <t>Bellevue, WA, US</t>
        </is>
      </c>
      <c r="H130" s="3" t="n">
        <v>45824</v>
      </c>
      <c r="I13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in-6fdfef895153dadf</t>
        </is>
      </c>
      <c r="B131" t="inlineStr">
        <is>
          <t>Principal Product Manager-Technical, AGI, Artificial General Intellgence</t>
        </is>
      </c>
      <c r="C131" t="inlineStr">
        <is>
          <t>Amazon.com</t>
        </is>
      </c>
      <c r="D131" t="inlineStr">
        <is>
          <t>indeed</t>
        </is>
      </c>
      <c r="E131">
        <f>HYPERLINK("https://www.indeed.com/viewjob?jk=6fdfef895153dadf", "https://www.indeed.com/viewjob?jk=6fdfef895153dadf")</f>
        <v/>
      </c>
      <c r="F131">
        <f>HYPERLINK("https://www.amazon.jobs/jobs/3017572/principal-product-managertechnical-agi-artificial-general-intellgence?cmpid=DA_INAD200785B", "https://www.amazon.jobs/jobs/3017572/principal-product-managertechnical-agi-artificial-general-intellgence?cmpid=DA_INAD200785B")</f>
        <v/>
      </c>
      <c r="G131" t="inlineStr">
        <is>
          <t>Sunnyvale, CA, US</t>
        </is>
      </c>
      <c r="H131" s="3" t="n">
        <v>45824</v>
      </c>
      <c r="I131"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in-3daefb63ce16c36b</t>
        </is>
      </c>
      <c r="B132" t="inlineStr">
        <is>
          <t>Product Manager</t>
        </is>
      </c>
      <c r="C132" t="inlineStr">
        <is>
          <t>Machinify</t>
        </is>
      </c>
      <c r="D132" t="inlineStr">
        <is>
          <t>indeed</t>
        </is>
      </c>
      <c r="E132">
        <f>HYPERLINK("https://www.indeed.com/viewjob?jk=3daefb63ce16c36b", "https://www.indeed.com/viewjob?jk=3daefb63ce16c36b")</f>
        <v/>
      </c>
      <c r="F132">
        <f>HYPERLINK("https://jobs.ashbyhq.com/machinify/7e81c934-476c-4e3d-b093-e58d0640ddde?utm_source=91kRzwqPAe", "https://jobs.ashbyhq.com/machinify/7e81c934-476c-4e3d-b093-e58d0640ddde?utm_source=91kRzwqPAe")</f>
        <v/>
      </c>
      <c r="G132" t="inlineStr">
        <is>
          <t>Palo Alto, CA, US</t>
        </is>
      </c>
      <c r="H132" s="3" t="n">
        <v>46042</v>
      </c>
      <c r="I132"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**Product Manager \| Technical Data**
=====================================
**About Machinify**
-------------------
Machinify is a leading healthcare intelligence company formed through the combination of five payment integrity industry leaders: The Rawlings Group, Apixio Payment Integrity, VARIS, Machinify's AI platform, and Performant Healthcare. Backed by New Mountain Capital and valued at approximately $5 billion, we serve over 60 health plans including many of the top 20, representing more than 160 million lives.
We are building a unified AI\-powered platform that transforms healthcare payments by combining revolutionary technology, clinical expertise, and rich data assets to deliver unmatched value, transparency, and efficiency across the payment continuum.
**Position Summary**
--------------------
We are hiring a **Senior Technical Data Product Manager** to drive the data product roadmap in close partnership with data engineering and architecture leadership. Reporting to the Sr. Director of Product Management for Platform \&amp; Data, you will work alongside the VP of Data Engineering, CTO, and technical leads to translate business needs into product requirements and coordinate execution across teams.
This role requires someone exceptional at three critical capabilities: **deeply understanding complex current state**, **envisioning and defining compelling future state**, and **executing at extraordinary velocity** to bridge the two. The right candidate will rapidly assess the landscape, build credibility across technical teams, and ship measurable value quickly—we expect clear thinking on product direction within the first 90 days and demonstrable impact on team velocity shortly after.
You will partner with data engineering, data science, and platform engineering leadership to define and deliver data products and capabilities that enable product teams across coordination of benefits, subrogation, audit, pharmacy payment integrity, and complex claims solutions. You will serve as the connective tissue between business requirements and technical execution, coordinating the consolidation of disparate legacy systems into modern, unified infrastructure while enabling new product capabilities.
This is a hands\-on technical role requiring prior experience as a **data engineer, data scientist, or analytics engineer**. You must be comfortable writing SQL, reviewing data architectures, and engaging substantively in technical discussions. You will work across multiple legacy platforms, each with different technologies, cultures, and tribal knowledge—requiring exceptional ability to influence without direct authority.
**Core Responsibilities**
-------------------------
### **Product Strategy and Planning**
* **Assess current state rapidly:** Work with data engineering and architecture teams to understand complex legacy landscapes—what exists, where critical information lives, and how systems actually work
* **Contribute to future state vision:** Partner with VP Data Engineering, CTO, and architecture leads to shape target data architectures, canonical models, and platform capabilities that will scale to support product teams
* **Develop product roadmap:** Translate business priorities into data product requirements, working with technical leadership to sequence initiatives and balance migration work, new capabilities, and product enablement
* **Support technical evaluations:** Contribute product perspective to build vs. buy decisions, technology evaluations (lakehouse formats, real\-time processing, AI\-powered automation), and architectural choices
* **Define and track success metrics:** Establish product\-level OKRs, track adoption across product teams, and communicate progress to stakeholders
### **Execution and Coordination**
* **Drive cross\-functional delivery:** Coordinate data initiatives from requirements through production, working across data engineering, data science, platform engineering, and product teams
* **Unblock relentlessly:** Identify and resolve dependencies, bottlenecks, and blockers before they slow down team velocity
* **Navigate complexity:** Find critical information scattered across legacy platforms, undocumented systems, and tribal knowledge; synthesize insights and create clarity
* **Facilitate decisions:** Build consensus across teams with competing priorities and different technical opinions
* **Leverage AI extensively:** Use LLMs and AI\-powered tools to accelerate analysis, documentation, SQL generation, information synthesis, and decision\-making
* **Establish lightweight visibility:** Create metrics, dashboards, and reporting that provide insight without creating overhead
### **Technical Collaboration and Product Enablement**
* **Partner with technical leadership:** Work closely with data engineering, data science, and architecture leads—contributing product perspective while respecting their technical expertise and domain ownership
* **Translate requirements:** Convert product team needs into clear technical requirements that engineering teams can execute against
* **Enable product teams:** Ensure downstream product teams can successfully consume data platform capabilities through clear interfaces, documentation, and support
* **Participate in technical discussions:** Engage substantively in reviews of ETL pipelines, data models, distributed architectures, and platform decisions
* **Bridge stakeholders:** Translate complex technical concepts into business value for executives and product teams; bring business context to technical discussions
**What You'll Work On**
-----------------------
You will partner with data engineering, data science, and platform teams on initiatives such as:
**Data consolidation and unification** across legacy platforms—working with engineering teams to coordinate migrations to unified infrastructure while maintaining production stability and enabling parallel product development
**Canonical data model development**—collaborating with data engineering and data science leadership to define product requirements for production\-ready models covering medical claims, pharmacy claims, eligibility, and other core healthcare entities
**Platform modernization**—contributing product perspective to technical evaluations and roadmaps for lakehouse adoption, OLAP/OLTP separation, real\-time processing capabilities, and distributed architecture patterns
**AI\-powered automation**—partnering with technical teams to evaluate and implement LLM\-based approaches that accelerate ETL development, data transformation, and migration workflows
**Data discovery and cataloging**—working with engineering to define requirements for capabilities that help teams understand what data exists, where it lives, how to access it, and what it means
**Product team enablement**—ensuring downstream product teams can successfully consume data platform capabilities through clear interfaces, comprehensive documentation, and responsive support
These represent current focus areas but the role will evolve based on business priorities, strategic direction, and technical roadmap.
**Required Qualifications**
---------------------------
### **Experience Requirements**
* **10\+ years total professional experience**
* **5\+ years in product management roles**
* **Prior hands\-on experience as data engineer, data scientist, or analytics engineer (required)**
* Proven track record shipping data products or platforms used by internal/external teams
* Experience driving execution in matrixed organizations without direct authority
* Demonstrated ability to assess complex technical landscapes and define future\-state architectures
### **Technical Skills (Must\-Have)**
* **Data architecture expertise:** Deep understanding of data modeling, normalization/denormalization, distributed systems, batch/streaming patterns, ETL/ELT design
* **Advanced SQL proficiency:** Write complex queries, optimize performance, understand CDC patterns, validate data quality
* **Cloud data infrastructure:** AWS preferred (S3, Spark, RDS, DMS, Glue) or equivalent GCP/Azure experience
* **Modern data stack fluency:** Knowledge of data warehouses, lakehouse formats, orchestration tools (Airflow), transformation frameworks (DBT), BI platforms
* **Analytical rigor:** Define metrics, analyze data, make data\-driven decisions, identify patterns across complex systems
### **Product Management Excellence (Must\-Have)**
* Strong stakeholder management across technical teams (data engineering, data science, platform) and business audiences
* Ability to translate complex technical architectures into business outcomes and vice versa
* Experience defining product vision, building roadmaps, and measuring success
* Proven influence without direct authority—building consensus through credibility and data\-driven arguments
* Excellent written and verbal communication across all organizational levels
* Agile/Scrum methodology experience
### **Critical Success Factors**
**Current State Mastery:** Exceptional ability to rapidly understand complex legacy systems—navigating five different platforms with different data models, ETL patterns, and team cultures to discover how things actually work
**Future State Vision:** Can envision target architectures that will scale 10\-100x beyond current state, articulate why they matter, and define pragmatic paths to get there
**Execution Velocity:** Move with extraordinary speed from analysis to decision to implementation. Bias toward shipping 80% solutions today over 95% solutions next quarter. Understand that speed is a competitive advantage.
**AI\-Augmented Productivity:** Active, sophisticated use of AI tools (ChatGPT, Claude, Copilot, etc.) to accelerate analysis, generate SQL, synthesize information, draft documentation, and make faster decisions than traditional approaches
**Technical Credibility:** Data engineering and data science teams respect you because you can engage substantively in architectural discussions, understand their constraints, and spot issues before they become problems
**Cross\-Boundary Navigation:** Excel at finding critical information across disparate systems and tribal knowledge; build trust across teams with different cultures and priorities; serve as connective tissue in high\-pressure environments
**Systems Thinking:** Understand second and third\-order effects of architectural decisions across platform, products, and operations
**Preferred Qualifications**
----------------------------
* Experience with LLM/AI applications for data transformation, code generation, or workflow automation
* Python proficiency for data analysis, prototyping, or understanding engineering implementations
* Prior data platform migrations or consolidations at significant scale
* Healthcare payment integrity, payer operations, or regulated industry experience
* Hands\-on experience with Snowflake, Databricks, Kafka, Fivetran, or similar modern data platforms
* Background in distributed systems, database internals, or data\-intensive applications
* Fast\-paced startup or high\-growth company experience
**Why This Role Matters**
-------------------------
**Transformational Impact:** Your work enables product teams serving 160M\+ lives to ship faster and unlocks significant business value across coordination of benefits, subrogation, audit, and payment integrity
**Technical Depth:** Engage substantively in cutting\-edge architecture decisions—lakehouse formats, distributed systems, real\-time processing, LLM\-powered automation—not just coordinate meetings
**Unique Challenge:** Navigate five legacy platforms with different data models, technologies, and cultures—partnering with technical leadership to shape unified future state in a once\-in\-career data consolidation opportunity
**Execution Autonomy:** We value speed over process. Fast decision\-making and shipping results matter more than perfect planning
**AI\-First Environment:** We use Claude, LLMs, and AI\-powered tools extensively throughout the organization. You're expected to leverage AI to move faster than traditional approaches
**Strategic Partnership:** Work alongside VP Data Engineering, CTO, and architecture leadership to shape data platform serving dozens of product teams and supporting a $5B healthcare intelligence platform
**Team and Culture**
--------------------
**Reporting Structure:** Sr. Director of Product Management, Platform \&amp; Data
**Key Partnerships:**
* VP of Data Engineering and CTO (primary technical partners for strategy and architecture)
* Data Engineering leadership (Eric, Andre, Sam)
* Data Science teams
* Platform Engineering teams
* Product teams across COB, Subrogation, Audit, Pharmacy PI, Complex Claims
* Architecture and Technical Strategy leadership
You will work in close partnership with the VP of Data Engineering and CTO, bringing the product lens to technical strategy discussions while they own engineering execution and technical architecture. Your role is to translate business needs into product requirements, coordinate across teams, and ensure data initiatives deliver value to product organizations.
**Culture:**
* Fast\-paced with bias toward action over analysis paralysis
* Technically deep—we respect engineering expertise and engage substantively
* Lightweight processes that accelerate rather than burden
* Remote\-first with occasional travel for strategic planning (\~quarterly)
* Sophisticated use of AI tools to augment productivity expected and encouraged
**Technical Environment:**
* Current: Postgres (Citus), Apache Spark, AWS (S3, DMS, RDS), Python, SQL
* Evolving: Lakehouse formats (Delta Lake/Iceberg), streaming capabilities, unified data architecture, LLM\-powered automation
* Scale: Hundreds of millions of records, petabyte\-range data, multi\-tenant architecture, dozens of data sources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133">
      <c r="A133" t="inlineStr">
        <is>
          <t>in-b1244838996ebbe5</t>
        </is>
      </c>
      <c r="B133" t="inlineStr">
        <is>
          <t>Sr. Product Manager Technical, Deal Tooling &amp; Insights, Strategic Customer Engagements</t>
        </is>
      </c>
      <c r="C133" t="inlineStr">
        <is>
          <t>Amazon Web Services</t>
        </is>
      </c>
      <c r="D133" t="inlineStr">
        <is>
          <t>indeed</t>
        </is>
      </c>
      <c r="E133">
        <f>HYPERLINK("https://www.indeed.com/viewjob?jk=b1244838996ebbe5", "https://www.indeed.com/viewjob?jk=b1244838996ebbe5")</f>
        <v/>
      </c>
      <c r="F133">
        <f>HYPERLINK("https://www.amazon.jobs/jobs/3138889/sr-product-manager-technical-deal-tooling--insights-strategic-customer-engagements?cmpid=DA_INAD200785B", "https://www.amazon.jobs/jobs/3138889/sr-product-manager-technical-deal-tooling--insights-strategic-customer-engagements?cmpid=DA_INAD200785B")</f>
        <v/>
      </c>
      <c r="G133" t="inlineStr">
        <is>
          <t>Herndon, VA, US</t>
        </is>
      </c>
      <c r="H133" s="3" t="n">
        <v>45994</v>
      </c>
      <c r="I13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4">
      <c r="A134" t="inlineStr">
        <is>
          <t>in-7095aed570d45a33</t>
        </is>
      </c>
      <c r="B134" t="inlineStr">
        <is>
          <t>Sr. Product Manager Technical, Deal Tooling &amp; Insights, Strategic Customer Engagements</t>
        </is>
      </c>
      <c r="C134" t="inlineStr">
        <is>
          <t>Amazon Web Services</t>
        </is>
      </c>
      <c r="D134" t="inlineStr">
        <is>
          <t>indeed</t>
        </is>
      </c>
      <c r="E134">
        <f>HYPERLINK("https://www.indeed.com/viewjob?jk=7095aed570d45a33", "https://www.indeed.com/viewjob?jk=7095aed570d45a33")</f>
        <v/>
      </c>
      <c r="F134">
        <f>HYPERLINK("https://www.amazon.jobs/jobs/3138889/sr-product-manager-technical-deal-tooling--insights-strategic-customer-engagements?cmpid=DA_INAD200785B", "https://www.amazon.jobs/jobs/3138889/sr-product-manager-technical-deal-tooling--insights-strategic-customer-engagements?cmpid=DA_INAD200785B")</f>
        <v/>
      </c>
      <c r="G134" t="inlineStr">
        <is>
          <t>Arlington, VA, US</t>
        </is>
      </c>
      <c r="H134" s="3" t="n">
        <v>45994</v>
      </c>
      <c r="I13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5">
      <c r="A135" t="inlineStr">
        <is>
          <t>in-46102dd07cb33f93</t>
        </is>
      </c>
      <c r="B135" t="inlineStr">
        <is>
          <t>Sr. Product Manager Technical, Deal Tooling &amp; Insights, Strategic Customer Engagements</t>
        </is>
      </c>
      <c r="C135" t="inlineStr">
        <is>
          <t>Amazon Web Services</t>
        </is>
      </c>
      <c r="D135" t="inlineStr">
        <is>
          <t>indeed</t>
        </is>
      </c>
      <c r="E135">
        <f>HYPERLINK("https://www.indeed.com/viewjob?jk=46102dd07cb33f93", "https://www.indeed.com/viewjob?jk=46102dd07cb33f93")</f>
        <v/>
      </c>
      <c r="F135">
        <f>HYPERLINK("https://www.amazon.jobs/jobs/3138889/sr-product-manager-technical-deal-tooling--insights-strategic-customer-engagements?cmpid=DA_INAD200785B", "https://www.amazon.jobs/jobs/3138889/sr-product-manager-technical-deal-tooling--insights-strategic-customer-engagements?cmpid=DA_INAD200785B")</f>
        <v/>
      </c>
      <c r="G135" t="inlineStr">
        <is>
          <t>New York, NY, US</t>
        </is>
      </c>
      <c r="H135" s="3" t="n">
        <v>45994</v>
      </c>
      <c r="I13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6">
      <c r="A136" t="inlineStr">
        <is>
          <t>in-52646dcfa311fe2f</t>
        </is>
      </c>
      <c r="B136" t="inlineStr">
        <is>
          <t>Sr. Product Manager Technical, Deal Tooling &amp; Insights, Strategic Customer Engagements</t>
        </is>
      </c>
      <c r="C136" t="inlineStr">
        <is>
          <t>Amazon Web Services</t>
        </is>
      </c>
      <c r="D136" t="inlineStr">
        <is>
          <t>indeed</t>
        </is>
      </c>
      <c r="E136">
        <f>HYPERLINK("https://www.indeed.com/viewjob?jk=52646dcfa311fe2f", "https://www.indeed.com/viewjob?jk=52646dcfa311fe2f")</f>
        <v/>
      </c>
      <c r="F136">
        <f>HYPERLINK("https://www.amazon.jobs/jobs/3138889/sr-product-manager-technical-deal-tooling--insights-strategic-customer-engagements?cmpid=DA_INAD200785B", "https://www.amazon.jobs/jobs/3138889/sr-product-manager-technical-deal-tooling--insights-strategic-customer-engagements?cmpid=DA_INAD200785B")</f>
        <v/>
      </c>
      <c r="G136" t="inlineStr">
        <is>
          <t>Dallas, TX, US</t>
        </is>
      </c>
      <c r="H136" s="3" t="n">
        <v>45994</v>
      </c>
      <c r="I13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7">
      <c r="A137" t="inlineStr">
        <is>
          <t>in-1fdd9240e40d2714</t>
        </is>
      </c>
      <c r="B137" t="inlineStr">
        <is>
          <t>Sr. Product Manager Technical, Deal Tooling &amp; Insights, Strategic Customer Engagements</t>
        </is>
      </c>
      <c r="C137" t="inlineStr">
        <is>
          <t>Amazon Web Services</t>
        </is>
      </c>
      <c r="D137" t="inlineStr">
        <is>
          <t>indeed</t>
        </is>
      </c>
      <c r="E137">
        <f>HYPERLINK("https://www.indeed.com/viewjob?jk=1fdd9240e40d2714", "https://www.indeed.com/viewjob?jk=1fdd9240e40d2714")</f>
        <v/>
      </c>
      <c r="F137">
        <f>HYPERLINK("https://www.amazon.jobs/jobs/3138889/sr-product-manager-technical-deal-tooling--insights-strategic-customer-engagements?cmpid=DA_INAD200785B", "https://www.amazon.jobs/jobs/3138889/sr-product-manager-technical-deal-tooling--insights-strategic-customer-engagements?cmpid=DA_INAD200785B")</f>
        <v/>
      </c>
      <c r="G137" t="inlineStr">
        <is>
          <t>Austin, TX, US</t>
        </is>
      </c>
      <c r="H137" s="3" t="n">
        <v>45994</v>
      </c>
      <c r="I13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8">
      <c r="A138" t="inlineStr">
        <is>
          <t>in-262145f5819fa2ff</t>
        </is>
      </c>
      <c r="B138" t="inlineStr">
        <is>
          <t>Sr. Product Manager Technical, Deal Tooling &amp; Insights, Strategic Customer Engagements</t>
        </is>
      </c>
      <c r="C138" t="inlineStr">
        <is>
          <t>Amazon Web Services</t>
        </is>
      </c>
      <c r="D138" t="inlineStr">
        <is>
          <t>indeed</t>
        </is>
      </c>
      <c r="E138">
        <f>HYPERLINK("https://www.indeed.com/viewjob?jk=262145f5819fa2ff", "https://www.indeed.com/viewjob?jk=262145f5819fa2ff")</f>
        <v/>
      </c>
      <c r="F138">
        <f>HYPERLINK("https://www.amazon.jobs/jobs/3138889/sr-product-manager-technical-deal-tooling--insights-strategic-customer-engagements?cmpid=DA_INAD200785B", "https://www.amazon.jobs/jobs/3138889/sr-product-manager-technical-deal-tooling--insights-strategic-customer-engagements?cmpid=DA_INAD200785B")</f>
        <v/>
      </c>
      <c r="G138" t="inlineStr">
        <is>
          <t>Seattle, WA, US</t>
        </is>
      </c>
      <c r="H138" s="3" t="n">
        <v>45994</v>
      </c>
      <c r="I13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9">
      <c r="A139" t="inlineStr">
        <is>
          <t>in-d0ef0fdb0b9c1d14</t>
        </is>
      </c>
      <c r="B139" t="inlineStr">
        <is>
          <t>Sr. Product Manager - Tech, WHS Data-Tech</t>
        </is>
      </c>
      <c r="C139" t="inlineStr">
        <is>
          <t>Amazon.com</t>
        </is>
      </c>
      <c r="D139" t="inlineStr">
        <is>
          <t>indeed</t>
        </is>
      </c>
      <c r="E139">
        <f>HYPERLINK("https://www.indeed.com/viewjob?jk=d0ef0fdb0b9c1d14", "https://www.indeed.com/viewjob?jk=d0ef0fdb0b9c1d14")</f>
        <v/>
      </c>
      <c r="F139">
        <f>HYPERLINK("https://www.amazon.jobs/jobs/3156736/sr-product-manager--tech-whs-datatech?cmpid=DA_INAD200785B", "https://www.amazon.jobs/jobs/3156736/sr-product-manager--tech-whs-datatech?cmpid=DA_INAD200785B")</f>
        <v/>
      </c>
      <c r="G139" t="inlineStr">
        <is>
          <t>Arlington, VA, US</t>
        </is>
      </c>
      <c r="H139" s="3" t="n">
        <v>45836</v>
      </c>
      <c r="I13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0">
      <c r="A140" t="inlineStr">
        <is>
          <t>in-97ced9a9464a6e34</t>
        </is>
      </c>
      <c r="B140" t="inlineStr">
        <is>
          <t>Sr. Product Manager - Tech, WHS Data-Tech</t>
        </is>
      </c>
      <c r="C140" t="inlineStr">
        <is>
          <t>Amazon.com</t>
        </is>
      </c>
      <c r="D140" t="inlineStr">
        <is>
          <t>indeed</t>
        </is>
      </c>
      <c r="E140">
        <f>HYPERLINK("https://www.indeed.com/viewjob?jk=97ced9a9464a6e34", "https://www.indeed.com/viewjob?jk=97ced9a9464a6e34")</f>
        <v/>
      </c>
      <c r="F140">
        <f>HYPERLINK("https://www.amazon.jobs/jobs/3156736/sr-product-manager--tech-whs-datatech?cmpid=DA_INAD200785B", "https://www.amazon.jobs/jobs/3156736/sr-product-manager--tech-whs-datatech?cmpid=DA_INAD200785B")</f>
        <v/>
      </c>
      <c r="G140" t="inlineStr">
        <is>
          <t>Bellevue, WA, US</t>
        </is>
      </c>
      <c r="H140" s="3" t="n">
        <v>45836</v>
      </c>
      <c r="I14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1">
      <c r="A141" t="inlineStr">
        <is>
          <t>in-0c1f62ac7c7e6756</t>
        </is>
      </c>
      <c r="B141" t="inlineStr">
        <is>
          <t>Sr. Product Manager - Tech, WHS Data-Tech</t>
        </is>
      </c>
      <c r="C141" t="inlineStr">
        <is>
          <t>Amazon.com</t>
        </is>
      </c>
      <c r="D141" t="inlineStr">
        <is>
          <t>indeed</t>
        </is>
      </c>
      <c r="E141">
        <f>HYPERLINK("https://www.indeed.com/viewjob?jk=0c1f62ac7c7e6756", "https://www.indeed.com/viewjob?jk=0c1f62ac7c7e6756")</f>
        <v/>
      </c>
      <c r="F141">
        <f>HYPERLINK("https://www.amazon.jobs/jobs/3156736/sr-product-manager--tech-whs-datatech?cmpid=DA_INAD200785B", "https://www.amazon.jobs/jobs/3156736/sr-product-manager--tech-whs-datatech?cmpid=DA_INAD200785B")</f>
        <v/>
      </c>
      <c r="G141" t="inlineStr">
        <is>
          <t>Nashville, TN, US</t>
        </is>
      </c>
      <c r="H141" s="3" t="n">
        <v>45836</v>
      </c>
      <c r="I141"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2">
      <c r="A142" t="inlineStr">
        <is>
          <t>in-ff6ddcff6d2fe1d2</t>
        </is>
      </c>
      <c r="B142" t="inlineStr">
        <is>
          <t>Principal Product Manager - Technical, Alexa Communications</t>
        </is>
      </c>
      <c r="C142" t="inlineStr">
        <is>
          <t>Amazon.com</t>
        </is>
      </c>
      <c r="D142" t="inlineStr">
        <is>
          <t>indeed</t>
        </is>
      </c>
      <c r="E142">
        <f>HYPERLINK("https://www.indeed.com/viewjob?jk=ff6ddcff6d2fe1d2", "https://www.indeed.com/viewjob?jk=ff6ddcff6d2fe1d2")</f>
        <v/>
      </c>
      <c r="F142">
        <f>HYPERLINK("https://www.amazon.jobs/jobs/3137022/principal-product-manager--technical-alexa-communications?cmpid=DA_INAD200785B", "https://www.amazon.jobs/jobs/3137022/principal-product-manager--technical-alexa-communications?cmpid=DA_INAD200785B")</f>
        <v/>
      </c>
      <c r="G142" t="inlineStr">
        <is>
          <t>Sunnyvale, CA, US</t>
        </is>
      </c>
      <c r="H142" s="3" t="n">
        <v>45993</v>
      </c>
      <c r="I14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in-9712a6a122f07a8d</t>
        </is>
      </c>
      <c r="B143" t="inlineStr">
        <is>
          <t>Principal Product Manager - Technical, Alexa Communications</t>
        </is>
      </c>
      <c r="C143" t="inlineStr">
        <is>
          <t>Amazon.com</t>
        </is>
      </c>
      <c r="D143" t="inlineStr">
        <is>
          <t>indeed</t>
        </is>
      </c>
      <c r="E143">
        <f>HYPERLINK("https://www.indeed.com/viewjob?jk=9712a6a122f07a8d", "https://www.indeed.com/viewjob?jk=9712a6a122f07a8d")</f>
        <v/>
      </c>
      <c r="F143">
        <f>HYPERLINK("https://www.amazon.jobs/jobs/3137022/principal-product-manager--technical-alexa-communications?cmpid=DA_INAD200785B", "https://www.amazon.jobs/jobs/3137022/principal-product-manager--technical-alexa-communications?cmpid=DA_INAD200785B")</f>
        <v/>
      </c>
      <c r="G143" t="inlineStr">
        <is>
          <t>Irvine, CA, US</t>
        </is>
      </c>
      <c r="H143" s="3" t="n">
        <v>45993</v>
      </c>
      <c r="I14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in-d2c8b62bfae18575</t>
        </is>
      </c>
      <c r="B144" t="inlineStr">
        <is>
          <t>Principal Product Manager - Technical, Alexa Communications</t>
        </is>
      </c>
      <c r="C144" t="inlineStr">
        <is>
          <t>Amazon.com</t>
        </is>
      </c>
      <c r="D144" t="inlineStr">
        <is>
          <t>indeed</t>
        </is>
      </c>
      <c r="E144">
        <f>HYPERLINK("https://www.indeed.com/viewjob?jk=d2c8b62bfae18575", "https://www.indeed.com/viewjob?jk=d2c8b62bfae18575")</f>
        <v/>
      </c>
      <c r="F144">
        <f>HYPERLINK("https://www.amazon.jobs/jobs/3137022/principal-product-manager--technical-alexa-communications?cmpid=DA_INAD200785B", "https://www.amazon.jobs/jobs/3137022/principal-product-manager--technical-alexa-communications?cmpid=DA_INAD200785B")</f>
        <v/>
      </c>
      <c r="G144" t="inlineStr">
        <is>
          <t>Seattle, WA, US</t>
        </is>
      </c>
      <c r="H144" s="3" t="n">
        <v>45993</v>
      </c>
      <c r="I14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in-23d77ca83e120e25</t>
        </is>
      </c>
      <c r="B145" t="inlineStr">
        <is>
          <t>AI Technical Product Owner</t>
        </is>
      </c>
      <c r="C145" t="inlineStr">
        <is>
          <t>Allied Benefit Systems</t>
        </is>
      </c>
      <c r="D145" t="inlineStr">
        <is>
          <t>indeed</t>
        </is>
      </c>
      <c r="E145">
        <f>HYPERLINK("https://www.indeed.com/viewjob?jk=23d77ca83e120e25", "https://www.indeed.com/viewjob?jk=23d77ca83e120e25")</f>
        <v/>
      </c>
      <c r="F145">
        <f>HYPERLINK("https://www.paycomonline.net/v4/ats/web.php/jobs/ViewJobDetails?job=105806&amp;clientkey=518A90CE68B712867516B5A3986512DA&amp;source=Indeed", "https://www.paycomonline.net/v4/ats/web.php/jobs/ViewJobDetails?job=105806&amp;clientkey=518A90CE68B712867516B5A3986512DA&amp;source=Indeed")</f>
        <v/>
      </c>
      <c r="G145" t="inlineStr">
        <is>
          <t>Chicago, IL, US</t>
        </is>
      </c>
      <c r="H145" s="3" t="n">
        <v>46042</v>
      </c>
      <c r="I145" t="inlineStr">
        <is>
          <t>**POSITION SUMMARY**
This position is for a seasoned product leader ready to drive Allied’s internal AI execution. The Product Owner will be at the forefront of deploying GenAI, predictive modeling, and intelligent automation in real business workflows. The position will work across engineering, data science, and business teams to deliver AI capabilities that solve real problems at scale.
ESSENTIAL FUNCTIONS:
* Deliver AI capabilities that drive measurable business value across decision support, semantic search, predictive modeling, and generative AI use cases.
* Define and own product requirements, AI roadmaps, and sprint plans, ensuring clear priorities and scope.
* Coordinate with full\-stack engineers, data scientists, and ML engineers to ensure successful, on\-time delivery of AI solutions.
* Translate feedback and test results from QA (Quality Assurance) into actionable product improvements and refined requirements.
* Brief senior leadership regularly, translating technical progress into business impact and backing your plans with solid data and analysis.
* Collaborate with business SMEs to capture functional and non\-functional requirements (e.g., latency, uptime expectations) and plan deployments around business cycles (busy vs. slow seasons).
* Identify opportunities to integrate AI into legacy processes for significantly improved outcomes, championing ideas to modernize workflows.
* Lead stakeholder engagement, including training SMEs and managing change as new AI\-driven processes are introduced.
* Ensure all AI solutions comply with Allied’s responsible AI governance policies and are ISO 42001 audit\-ready.
EDUCATION
* Bachelor’s degree in related field or equivalent work experience required.
EXPERIENCE AND SKILLS:
* At least 7 years in product leadership roles (Product Owner/Manager or similar), with program management experience in tech projects required.
* Prior AI or machine learning product management experience is a strong plus.
* Solid understanding of ML fundamentals and exposure to GenAI architectures (e.g., retrieval\-augmented generation, vector databases, orchestration frameworks).
* Strong cross\-functional background spanning product management, engineering processes, and business analytics/FP\\\&amp;A.
* Executive\-level communication skills with the ability to present to senior leadership and translate technical concepts into business terms.
* Comfortable diving into technical details (data flows, APIs, model outputs) to troubleshoot issues or inform decision\-making, even without hands\-on coding.
* Agile project management tools (Jira, Azure DevOps) for backlog and release management.
* Azure Machine Learning and related cloud services for model deployment and MLOps.
* Modern AI integration components like vector databases and orchestration frameworks for managing AI services.
* Standard documentation and analytics tools (Confluence, Power BI, Excel) for tracking metrics, requirements, and ROI.
**POSITION COMPETENCIES**
* Job Knowledge
* Time Management
* Accountability
* Communication
* Initiative
* Customer Focus
**PHYSICAL DEMANDS**
* Computer work, long periods of sitting.
**WORK ENVIRONMENT**
* Remote
Here at Allied, we believe that great talent can thrive from anywhere. Our remote friendly culture offers flexibility and the comfort of working from home, while also ensuring you are set up for success. To support a smooth and efficient remote work experience, the internet connection must be obtained through a cable broadband or fiber optic internet service provider with speeds of at least 100Mbps download/25Mbps upload. Reliable internet service is essential for staying connected and productive.
The company has reviewed this job description to ensure that essential functions and basic duties have been included. It is not intended to be construed as an exhaustive list of all functions, responsibilities, skills, and abilities. Additional functions and requirements may be assigned by supervisors as deemed appropriate.
Compensation is not limited to base salary. Allied values our Total Rewards, and offers a competitive Benefit Package including, but not limited to, Medical, Dental, Vision, Life \&amp; Disability Insurance, Generous Paid Time Off, Tuition Reimbursement, EAP, and a Technology Stipend.
Allied reserves the right to amend, change, alter, and revise, pay ranges and benefits offerings at any time. All applicants acknowledge that by applying to the position you understand that the specific pay range is contingent upon meeting the qualification and requirements of the role, and for the successful completion of the interview selection and process. It is at the Company's discretion to determine what pay is provided to a candidate within the range associated with the role.
**Protect Yourself from Hiring Scams**
**Important Notice About Our Hiring Process**
To keep your experience safe and transparent, please note:
* All interviews are conducted via **video**.
* **No job offer will ever be made without a video interview** with Human Resources and/or the Hiring Manager.
If someone contacts you claiming to represent us and offers a position without a video interview, it is **not legitimate**. We never ask for payment or personal financial information during the hiring process.
For your security, please verify all job opportunities through our **official careers page**: Current Career Opportunities at Allied Benefit Systems
Your security matters to us—thank you for helping us maintain a fair and trustworthy process!</t>
        </is>
      </c>
    </row>
    <row r="146">
      <c r="A146" t="inlineStr">
        <is>
          <t>in-02a1c46736992f33</t>
        </is>
      </c>
      <c r="B146" t="inlineStr">
        <is>
          <t>Principal Product Manager - Tech, Recommender Systems, Prime Video Personalization &amp; Discovery</t>
        </is>
      </c>
      <c r="C146" t="inlineStr">
        <is>
          <t>Amazon.com</t>
        </is>
      </c>
      <c r="D146" t="inlineStr">
        <is>
          <t>indeed</t>
        </is>
      </c>
      <c r="E146">
        <f>HYPERLINK("https://www.indeed.com/viewjob?jk=02a1c46736992f33", "https://www.indeed.com/viewjob?jk=02a1c46736992f33")</f>
        <v/>
      </c>
      <c r="F146">
        <f>HYPERLINK("https://www.amazon.jobs/jobs/2956622/principal-product-manager--tech-recommender-systems-prime-video-personalization--discovery-?cmpid=DA_INAD200785B", "https://www.amazon.jobs/jobs/2956622/principal-product-manager--tech-recommender-systems-prime-video-personalization--discovery-?cmpid=DA_INAD200785B")</f>
        <v/>
      </c>
      <c r="G146" t="inlineStr">
        <is>
          <t>Seattle, WA, US</t>
        </is>
      </c>
      <c r="H146" s="3" t="n">
        <v>45753</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in-916d287a118030ce</t>
        </is>
      </c>
      <c r="B147" t="inlineStr">
        <is>
          <t>Principal Product Manager - Tech, Recommender Systems, Prime Video Personalization &amp; Discovery</t>
        </is>
      </c>
      <c r="C147" t="inlineStr">
        <is>
          <t>Amazon.com</t>
        </is>
      </c>
      <c r="D147" t="inlineStr">
        <is>
          <t>indeed</t>
        </is>
      </c>
      <c r="E147">
        <f>HYPERLINK("https://www.indeed.com/viewjob?jk=916d287a118030ce", "https://www.indeed.com/viewjob?jk=916d287a118030ce")</f>
        <v/>
      </c>
      <c r="F147">
        <f>HYPERLINK("https://www.amazon.jobs/jobs/2956622/principal-product-manager--tech-recommender-systems-prime-video-personalization--discovery-?cmpid=DA_INAD200785B", "https://www.amazon.jobs/jobs/2956622/principal-product-manager--tech-recommender-systems-prime-video-personalization--discovery-?cmpid=DA_INAD200785B")</f>
        <v/>
      </c>
      <c r="G147" t="inlineStr">
        <is>
          <t>Washington, DC, US</t>
        </is>
      </c>
      <c r="H147" s="3" t="n">
        <v>45753</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in-2e48f9783f844353</t>
        </is>
      </c>
      <c r="B148" t="inlineStr">
        <is>
          <t>Technical Program Manager, Leo Security</t>
        </is>
      </c>
      <c r="C148" t="inlineStr">
        <is>
          <t>Amazon.com</t>
        </is>
      </c>
      <c r="D148" t="inlineStr">
        <is>
          <t>indeed</t>
        </is>
      </c>
      <c r="E148">
        <f>HYPERLINK("https://www.indeed.com/viewjob?jk=2e48f9783f844353", "https://www.indeed.com/viewjob?jk=2e48f9783f844353")</f>
        <v/>
      </c>
      <c r="F148">
        <f>HYPERLINK("https://www.amazon.jobs/jobs/3142213/technical-program-manager-leo-security?cmpid=DA_INAD200785B", "https://www.amazon.jobs/jobs/3142213/technical-program-manager-leo-security?cmpid=DA_INAD200785B")</f>
        <v/>
      </c>
      <c r="G148" t="inlineStr">
        <is>
          <t>Redmond, WA, US</t>
        </is>
      </c>
      <c r="H148" s="3" t="n">
        <v>45991</v>
      </c>
      <c r="I148"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in-2a6b56b46fb91e14</t>
        </is>
      </c>
      <c r="B149" t="inlineStr">
        <is>
          <t>Technical Program Manager, Leo Security</t>
        </is>
      </c>
      <c r="C149" t="inlineStr">
        <is>
          <t>Amazon.com</t>
        </is>
      </c>
      <c r="D149" t="inlineStr">
        <is>
          <t>indeed</t>
        </is>
      </c>
      <c r="E149">
        <f>HYPERLINK("https://www.indeed.com/viewjob?jk=2a6b56b46fb91e14", "https://www.indeed.com/viewjob?jk=2a6b56b46fb91e14")</f>
        <v/>
      </c>
      <c r="F149">
        <f>HYPERLINK("https://www.amazon.jobs/jobs/3142213/technical-program-manager-leo-security?cmpid=DA_INAD200785B", "https://www.amazon.jobs/jobs/3142213/technical-program-manager-leo-security?cmpid=DA_INAD200785B")</f>
        <v/>
      </c>
      <c r="G149" t="inlineStr">
        <is>
          <t>Arlington, VA, US</t>
        </is>
      </c>
      <c r="H149" s="3" t="n">
        <v>45991</v>
      </c>
      <c r="I149"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li-4365053740</t>
        </is>
      </c>
      <c r="B2" t="inlineStr">
        <is>
          <t>Senior Product Manager</t>
        </is>
      </c>
      <c r="C2" t="inlineStr">
        <is>
          <t>Hypersonix Inc.</t>
        </is>
      </c>
      <c r="D2" t="inlineStr">
        <is>
          <t>linkedin</t>
        </is>
      </c>
      <c r="E2" t="inlineStr"/>
      <c r="F2" t="inlineStr"/>
      <c r="G2" t="inlineStr">
        <is>
          <t>San Jose, CA</t>
        </is>
      </c>
      <c r="H2" t="inlineStr"/>
      <c r="I2" t="inlineStr">
        <is>
          <t>At Hypersonix, we are building the leading Generative AI Platform for Commerce. Our Flagship GenAI Product – Competitor \+ Pricing AI – scrapes the product catalogue for our Enterprise customers and their competitors, and uses RAG to identify the nearest competitive match for each of our customer's product, facilitating intelligent pricing strategies that were previously impossible to achieve.
 We are seeing strong growth in our Enterprise product, and are building out a mass\-market product on Shopify, specializing in Agentic workflows for Shopify Store owners that automate critical business processes (Pricing \+ Promotion Strategies, Inventory Management, and Competitive Intelligence).
**About The Role**
 Hypersonix is looking for a Product Manager to lead our Shopify product initiatives. You will own the product vision, roadmap, and execution for Shopify\-based solutions, working closely with design, engineering, and business teams.
 Key Responsibilities
* Own and drive the Shopify product roadmap from idea to launch
* Define product vision, goals, and success metrics
* Work closely with engineering and design teams to deliver high\-quality Shopify features
* Gather requirements from stakeholders, customers, and market research
* Prioritize features based on business impact and user value
* Write clear product requirements, user stories, and acceptance criteria
* Monitor product performance and improve based on data and feedback
* Ensure alignment between product, business, and customer needs
**Required Skills \&amp; Experience**
* 5\+ years of experience as a Product Manager
* Strong hands\-on experience with Shopify products or platforms
* Good understanding of e\-commerce workflows (catalog, checkout, payments, apps)
* Experience working with cross\-functional teams in agile environments
* Ability to make data\-driven product decisions
* Strong communication and stakeholder management skills
 Good to Have
* Experience with Shopify Plus or custom Shopify app development
* Exposure to SaaS or AI\-driven products
* Understanding of UX/UI and user\-centered design principles
 Powered by JazzHR
 4WQpDWNmm4</t>
        </is>
      </c>
    </row>
    <row r="3">
      <c r="A3" t="inlineStr">
        <is>
          <t>li-4365081758</t>
        </is>
      </c>
      <c r="B3" t="inlineStr">
        <is>
          <t>Product Manager</t>
        </is>
      </c>
      <c r="C3" t="inlineStr">
        <is>
          <t>Path Robotics</t>
        </is>
      </c>
      <c r="D3" t="inlineStr">
        <is>
          <t>linkedin</t>
        </is>
      </c>
      <c r="E3" t="inlineStr"/>
      <c r="F3" t="inlineStr"/>
      <c r="G3" t="inlineStr">
        <is>
          <t>Columbus, OH</t>
        </is>
      </c>
      <c r="H3" t="inlineStr"/>
      <c r="I3"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We're seeking a visionary Product Manager to drive innovation and collaboration across our engineering, sales, and operations teams. If you're passionate about creating solutions that delight customers and eager to be a part of shaping the future of manufacturing, we want to hear from you.
**What You’ll Do** 
* Communicate delivery targets \&amp; changes to affected stakeholders
* Represent the voice of our customers and users
* Generate actionable insights from customer research, informing product enhancements
* Bridge software, R\&amp;D and hardware teams to deliver strategic product functionality
* Define \&amp; document UX \&amp; functional behavior critical for a welding cycle
* Specify new features \&amp; feature enhancements
* Develop feature roadmaps with engineering that progress feature sets beyond MVP
* Work in a technical environment with a broad, cross functional team to drive product vision define product requirements, coordinate resources from other groups (design, legal, etc) and guide the team through key milestones
**Who You Are** 
* Industry experience related to manufacturing or robotics
* Experience with data analysis and data\-driven decision making, including familiarity with data analytics tools (e.g., SQL, Python, R).
* Experience with A/B testing and experimentation to validate product hypotheses.
* Strong experience facilitating software development through business analyst or product ownership
* At least one year of agile or agile scrum experience going through a full product lifecycle, integrating customer feedback into product requirements, driving prioritization and pre/post\-launch execution
* Experience with at least three feature launches requiring detailed launch planning to ensure successful/non\-disruptive adoption by users
* Ability to energize, communicate, and build rapport with all levels and teams within an organization
* Proficient in deploying diverse frameworks essential for measuring product performance, refining features based on user input, and fostering a culture of continuous enhancement.
* Effective communicator: on\-time, transparent, productive, constructive
* At least one year of responsibility for detailed functional analysis \&amp; documentation
* At least one year of experience facilitating cross\-functional and \-departmental dialogue to achieve common understanding of product improvements and surrounding tactics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4">
      <c r="A4" t="inlineStr">
        <is>
          <t>li-4345929542</t>
        </is>
      </c>
      <c r="B4" t="inlineStr">
        <is>
          <t>Senior Product Manager</t>
        </is>
      </c>
      <c r="C4" t="inlineStr">
        <is>
          <t>Everbridge</t>
        </is>
      </c>
      <c r="D4" t="inlineStr">
        <is>
          <t>linkedin</t>
        </is>
      </c>
      <c r="E4" t="inlineStr"/>
      <c r="F4" t="inlineStr"/>
      <c r="G4" t="inlineStr"/>
      <c r="H4" t="inlineStr"/>
      <c r="I4" t="inlineStr">
        <is>
          <t>As a Senior Product Manager, you will play a pivotal role in shaping the vision, strategy, and roadmap for the products that drive our Public Sector portfolio for State and Local. The existing and new products in this portfolio combine our industry\-leading Critical Event Management Platform and purpose\-built offering for the Public Sector. You will collaborate across teams to drive innovation, deliver value to our customers, and maintain our position as a market leader in CEM.
**What You'll Do**
* Define and communicate the product vision, strategy, and roadmap for CEM for Public Sector, particularly State and Local Government
* Lead cross\-functional teams, including engineering, design, and marketing, to deliver high\-quality features and enhancements.
* Gather and prioritize customer feedback and market insights to inform product decisions.
* Develop detailed requirements and user stories that translate customer needs into actionable development tasks.
* Ensure seamless integration of government regulations to enhance product compliance
* Collaborate with sales and customer success teams to enable effective go\-to\-market strategies and customer adoption.
**What You'll Bring**
* Bachelor’s degree in engineering, computer science, or a related field (MBA is a plus).
* 5\+ years of experience as a Product Manager, preferably in a SaaS environment and in Public Sector.
* Experience building and delivering both SaaS and mobile products, with a strong understanding of how the two interact to drive user value.
* Strong understanding of Agile and Scrum methodologies.
* Familiarity with Critical Event Management solutions, Public Notification solutions, Nixle is a plus.
* Excellent communication, collaboration, and leadership skills.
* Proficiency in using product management tools (e.g., JIRA, Trello, Aha!).
* Proven ability to manage multiple priorities and meet deadlines.
* Passion for technology and a keen interest in emerging trends in critical event management and business continuity.
 The reasonably estimated salary for this role at Everbridge ranges from $105,000 \- $141,000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li-4358570474</t>
        </is>
      </c>
      <c r="B5" t="inlineStr">
        <is>
          <t>Senior Product Manager</t>
        </is>
      </c>
      <c r="C5" t="inlineStr">
        <is>
          <t>MeeruAI</t>
        </is>
      </c>
      <c r="D5" t="inlineStr">
        <is>
          <t>linkedin</t>
        </is>
      </c>
      <c r="E5" t="inlineStr"/>
      <c r="F5" t="inlineStr"/>
      <c r="G5" t="inlineStr">
        <is>
          <t>Pleasanton, CA</t>
        </is>
      </c>
      <c r="H5" t="inlineStr"/>
      <c r="I5" t="inlineStr">
        <is>
          <t>**We are Hiring: Senior Product Manager – Finance \&amp; Accounting (Fulltime, Hybrid)** 
**MeeruAI \| Pleasanton, California** 
 At
 **MeeruAI,** 
 we are building the future of
 **AI\-powered Finance and Accounting** 
 , and we are looking for a
 **Senior Product Manager** 
 to own the roadmap and delivery of our core product capabilities. In this role, you will work closely with finance leaders, designers, engineers, and go\-to\-market teams to define high\-impact problems and ship AI\-driven solutions that deliver measurable customer value.
**What you will do:** 
* Lead discovery with Controllers, CFOs, and finance leaders to deeply understand workflows, pain points, and success metrics for Finance and Accounting AI.
* Own the roadmap for one or more product areas from problem definition through launch and iteration.
* Translate customer and business needs into clear problem statements, product requirements, and detailed user stories.
* Partner closely with Design and Engineering to scope, prioritize, and deliver high\-quality product increments.
* Define and track product KPIs such as adoption, cycle time, user satisfaction, and accuracy or quality metrics.
* Work with GTM and Customer Success to support rollouts, enablement, and ongoing customer success.
* Collaborate with other PMs to ensure a cohesive experience across products and modules.
* Mentor junior PMs and analysts and contribute to product culture and best practices.
**Qualifications:** 
* 5\+ years of experience in Product Management, with at least 3 years in B2B SaaS.
* Direct exposure to operational finance and accounting processes; hands\-on experience in a finance or accounting role is a plus.
* Proven track record of owning a product area end\-to\-end and delivering measurable business impact.
* Strong discovery, communication, and stakeholder management skills.
* Experience partnering with cross\-functional teams across Product, Design, Engineering, and GTM.
* Comfort working in an early\-stage, fast\-changing environment.
* Experience with AI or automation in finance or accounting is a plus.
**Work Location: Hybrid – Pleasanton, CA** 
 This role requires
 **on\-site presence at least three (3\) days per week** 
 in our Pleasanton office.
**Please apply only if you are currently local to the Pleasanton area. Relocation assistance is not available for this role.**</t>
        </is>
      </c>
    </row>
    <row r="6">
      <c r="A6" t="inlineStr">
        <is>
          <t>li-4336641807</t>
        </is>
      </c>
      <c r="B6" t="inlineStr">
        <is>
          <t>Product Owner</t>
        </is>
      </c>
      <c r="C6" t="inlineStr">
        <is>
          <t>Zywave</t>
        </is>
      </c>
      <c r="D6" t="inlineStr">
        <is>
          <t>linkedin</t>
        </is>
      </c>
      <c r="E6" t="inlineStr"/>
      <c r="F6" t="inlineStr"/>
      <c r="G6" t="inlineStr"/>
      <c r="H6" t="inlineStr"/>
      <c r="I6" t="inlineStr">
        <is>
          <t>**Brief Description**
 The Product Owner is a member of a cross\-functional agile development team, responsible for defining business requirements and prioritizing a project backlog. Their essential responsibility is to understand the business problem and ensure the solution being built meets the business needs
**What you will do:**
* Facilitate the definition of project scope for projects that are loosely defined
* Communicate and work with cross\-functional development and business teams in an Agile development environment
* Provide vision and direction to agile development team and stakeholders
* Create and own a prioritized project backlog
* Gather and document business requirements; ensure acceptance criteria is understood
* Collaborate with team leadership on release planning
* Collaborate with cross\-functional commercialization team to ensure internal readiness
* Oversee the review and prioritization aspects of production defect management
**What you should bring:**
* Bachelor’s degree in business administration, UX design, IT \&amp; Business Education, computer science or related area, or equivalent experience in a Product Owner or Business Analyst role
* 3\-5 years related experience
* Exceptionally strong written and verbal communication
* Experience with agile development process; certified Agile Product Owner preferred
* Strong analytical, questioning and facilitation skills
* Excellent organizational skills and attention to detail
* Proven ability to build rapport, establish credibility and trust
**Why Work at Zywave?**
 Zywave empowers insurers and brokers to drive profitable growth and thrive in today’s escalating risk landscape. Only Zywave delivers a powerful Performance Multiplier, bringing together transformative, ecosystem\-wide capabilities to amplify impact across data, processes, people, and customer experiences. More than 15,000 insurers, MGAs, agencies, and brokerages trust Zywave to sharpen risk assessment, strengthen client relationships, and enhance operations. Learn more at www.zywave.com.</t>
        </is>
      </c>
    </row>
    <row r="7">
      <c r="A7" t="inlineStr">
        <is>
          <t>li-4365078058</t>
        </is>
      </c>
      <c r="B7" t="inlineStr">
        <is>
          <t>Senior Product Manager</t>
        </is>
      </c>
      <c r="C7" t="inlineStr">
        <is>
          <t>0G Labs</t>
        </is>
      </c>
      <c r="D7" t="inlineStr">
        <is>
          <t>linkedin</t>
        </is>
      </c>
      <c r="E7" t="inlineStr"/>
      <c r="F7" t="inlineStr"/>
      <c r="G7" t="inlineStr">
        <is>
          <t>San Francisco, CA</t>
        </is>
      </c>
      <c r="H7" t="inlineStr"/>
      <c r="I7" t="inlineStr">
        <is>
          <t>****About The Role / About You****
 As a Senior Product Manager for AI Infrastructure at 0G Labs, you will own the product strategy and execution for the core components that make decentralized AI possible. You will define the developer experience for storing, publishing, and computing on massive AI datasets and models on\-chain. This role sits at the intersection of cutting\-edge AI, blockchain scalability, and ecosystem growth. You will work directly with our world\-class engineering and research teams to build the foundational platform that will host the next generation of decentralized AI applications, from verifiable inference engines to on\-chain autonomous agents.
**What You’ll Accomplish (Responsibilities):**
* Define the Vision: Establish and evangelize the product vision and roadmap for 0G’s AI Infrastructure layer, including data availability, storage, and compute primitives for AI.
* Own the Developer Journey: Deeply understand the needs of AI developers and researchers entering Web3\. Design and prioritize APIs, SDKs, and tools that abstract away blockchain complexity and provide a seamless experience for building AI applications.
* Drive Ecosystem Strategy: Identify and prioritize key use cases (e.g., AI training data markets, verifiable inference, decentralized GPU compute) that will drive adoption. Partner with business development to onboard and support strategic ecosystem partners.
* Execute with Precision: Work hand\-in\-hand with engineering to translate product requirements into actionable technical specs. Manage the product backlog, prioritize features, and own the delivery of high\-impact capabilities from conception to launch.
* Measure and Iterate: Define key success metrics for the AI Infra platform. Analyze usage data, gather developer feedback, and iterate rapidly to improve product\-market fit and developer satisfaction.
* Be the Market Expert: Serve as the internal expert on AI/ML infrastructure trends, competitor landscapes, and the evolving needs of the decentralized AI community.
**What You Bring (Requirements):**
* 5\+ years of product management experience, with a proven track record of shipping complex, technical B2B or developer\-focused infrastructure products.
* Strong technical background with a solid understanding of AI/ML concepts (models, training, inference, datasets) and/or distributed systems and cloud infrastructure.
* Experience with blockchain technology, Web3, and a strong point of view on the intersection of AI and decentralization.
* Exceptional ability to articulate a clear vision, strategy, and priorities to both technical and non\-technical audiences.
* Demonstrated skill in gathering and synthesizing user requirements from developers and translating them into a cohesive product plan.
* Data\-driven and user\-obsessed approach to decision\-making and product iteration.
* Excellent communication, storytelling, and stakeholder management skills.
**Nice to Haves (What you** 
***might***
**bring):**
* Direct experience as an ML engineer, data scientist, or in building AI/ML platforms.
* Deep knowledge of the modular blockchain landscape, data availability layers, or decentralized storage solutions.
* Experience bringing a developer platform from early\-stage to scale, managing technical community relationships.
* Knowledge of cryptography (e.g., zk\-proofs) as it relates to verifiable AI.
****What we offer****
* Purpose: The opportunity to contribute to making AI a public good.
* Growth: A self\-directed environment where you can take initiative to shape your role and career.
* Compensation: Market\-competitive compensation including, for most roles, exposure to pre\-launch tokens.
 In addition, 0G Labs is committed to the health and well being of all of our team members. To that end, we provide reimbursements towards a holistic set of experiences and courses:
* Core self: Transcendental Meditation
* Mind: Landmark Education
* Emotion: Art of Communication
* Presence: Speech Coach
* Body: Fitness, gym and exercise memberships/classes
****What we offer****
* Purpose: The opportunity to contribute to making AI a public good
* Growth: A self\-directed environment where you can take initiative to shape your role and career
* Compensation: Market\-competitive compensation including, for most roles, exposure to pre\-launch tokens
 In addition, 0G Labs is committed to the health and well being of all of our team members. To that end, we provide reimbursements towards a holistic set of experiences and courses:
* Core self: Transcendental Meditation
* Mind: Landmark Education
* Emotion: Art of Communication
* Presence: Speech Coach
* Body: Fitness, gym and exercise memberships/classes</t>
        </is>
      </c>
    </row>
    <row r="8">
      <c r="A8" t="inlineStr">
        <is>
          <t>li-4365058581</t>
        </is>
      </c>
      <c r="B8" t="inlineStr">
        <is>
          <t>Product Manager, Guest Merchandising</t>
        </is>
      </c>
      <c r="C8" t="inlineStr">
        <is>
          <t>Airbnb</t>
        </is>
      </c>
      <c r="D8" t="inlineStr">
        <is>
          <t>linkedin</t>
        </is>
      </c>
      <c r="E8" t="inlineStr"/>
      <c r="F8" t="inlineStr"/>
      <c r="G8" t="inlineStr">
        <is>
          <t>San Francisco, CA</t>
        </is>
      </c>
      <c r="H8" t="inlineStr"/>
      <c r="I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 product leader to transform how listings are represented on Airbnb. In this role, you’ll be responsible for designing, delivering and optimizing Airbnb’s core listings page for accommodations, with the aim of making it easier for guests to swiftly evaluate, compare and book on Airbnb.
**The Difference You Will Make**
 You’ll partner closely with design, engineering, and data teams to invent new features and capabilities in our app, and you’ll leverage the latest AI and personalization technologies to push the boundaries of how listings are merchandised. You’ll also collaborate with operations and global teams to build merchandising capabilities that support Airbnb’s editorial strategy, ensuring that our platform remains top\-of\-mind for travelers everywhere and for every travel moment.
**A Typical Day**
* Lead and execute the vision, strategy, and roadmap for how accommodations are represented on Airbnb.
* Incorporate the latest AI technologies to uplevel Airbnb’s merchandising and set a new standard for how homes are merchandised digitally.
* Develop product roadmaps and build alignment across product teams (Tech, Design), cross\-functional partners (FP\&amp;A, Marketing, Global Operations, Customer Experience, Trust, etc.) and Leadership/Executive team.
* Inspire teams, leadership, and the company to support the success of your products and business outcomes.
* Build deep expertise on the subject matter both through user research, marketplace data, and an understanding of the competitive landscape.
* Define goals and success with clearly measurable objectives and key results.
* Efficiently execute to ship products and deliver impact for our business and users.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8\+ years of product management experience.
* Demonstrated track record of building cross\-functional and executive leadership alignment.
* Experience working on platforms on a global scale.
* Entrepreneurial track record of taking an idea to reality.
* A strong ability to effectively use data and perform business analysis to support product strategy/decisions.
* Excited to drive execution across teams in a fast\-paced environment.
* Desire to do individual contributor product management work.
**Your Location:**
 Due to the nature of this position, the successful applicant will need to be based in San Francisco\-Bay Area, CA to be able to conduct their work. Currently, employees can not be located in: Alaska, Indiana, Nebraska, North Dakota, Ohio, South Dakota, Wisconsin, Alabama, Mississippi, Oklahoma, Delaware And Rhode Island. This list is continuously being updated,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$194,000—$239,000 USD</t>
        </is>
      </c>
    </row>
    <row r="9">
      <c r="A9" t="inlineStr">
        <is>
          <t>li-4365075729</t>
        </is>
      </c>
      <c r="B9" t="inlineStr">
        <is>
          <t>Product Manager</t>
        </is>
      </c>
      <c r="C9" t="inlineStr">
        <is>
          <t>James Search Group</t>
        </is>
      </c>
      <c r="D9" t="inlineStr">
        <is>
          <t>linkedin</t>
        </is>
      </c>
      <c r="E9" t="inlineStr"/>
      <c r="F9" t="inlineStr"/>
      <c r="G9" t="inlineStr"/>
      <c r="H9" t="inlineStr"/>
      <c r="I9" t="inlineStr">
        <is>
          <t>**Product Manager – Global Technology Company** 
**About Our Client:** 
 We are working with a
 **leading global technology company** 
 specializing in empowering organizations to leverage the cloud to drive business growth and innovation. With a focus on advanced technologies such as
 **multicloud solutions, Kubernetes, GenAI, and CloudOps** 
 , our client partners with top cloud providers like AWS, Google Cloud, and Microsoft Azure. They are known for their
 **award\-winning cloud intelligence platform** 
 that integrates data, technology, and human expertise to help customers solve complex challenges.
**About the Role:** 
 We are looking for a
 **Product Manager** 
 to join our client’s global team, responsible for shaping the direction of their product offerings and making strategic investments to address customer needs and market opportunities. This
 **remote position** 
 will collaborate closely with cross\-functional teams, using data to drive decisions and deliver impactful results. The ideal candidate is a
 **mid\-level Product Manager** 
 with experience in building B2B products, particularly in technical domains, and has the ability to contribute to the continued growth and success of the company’s innovative solutions.
**Key Responsibilities:** 
* Understand customer needs and identify key opportunities for product innovation and improvement.
* Define and maintain a clear strategy and product roadmap that aligns with company goals, with measurable objectives.
* Write clear product requirements that reflect customer insights, ensuring a superior experience.
* Collaborate with cross\-functional teams (engineering, design, sales, leadership) to align product development with strategic goals.
* Track and communicate progress against plans, adapting as needed to changing priorities based on market trends, customer feedback, or business needs.
* Conduct competitive analysis and stay informed about market trends to ensure sustained product differentiation.
* Ensure product features are ready for release, focusing on high quality and value for customers.
* Leverage data and analytics to evaluate product performance and identify areas for improvement.
**What We’re Looking For:** 
* **Experience:** 
 3\+ years in product management, delivering B2B products, ideally within a technical domain.
* **Skills:** 
 Familiarity with cloud technologies, DevOps tools, observability platforms, containerization, or similar technical areas.
* **Analytical Abilities:** 
 Ability to use data to inform decisions and measure product performance.
* **Collaboration:** 
 Success in working across teams and influencing stakeholders at all levels.
* **Communication:** 
 Exceptional ability to communicate product strategies, decisions, and trade\-offs clearly.
* **Problem\-Solving:** 
 A proactive mindset with the ability to identify opportunities and adapt to changing market conditions.
* **Technical Acumen:** 
 Strong enough to engage with technical stakeholders and understand product architecture.
* **Languages:** 
 Fluency in English (verbal and written).
**Why This Role?** 
* Be part of a forward\-thinking company shaping the future of cloud technologies and business innovation.
* Enjoy a flexible, remote work environment with a focus on work\-life balance.
* Collaborate with a talented team on innovative and impactful products.
* Continuous opportunities for professional growth and development.
**Compensation \&amp; Benefits:** 
* Competitive salary based on experience.
* Unlimited vacation.
* Flexible working options.
* Health insurance.
* Parental leave.
* Employee stock option plan.
* Home office allowance.
* Professional development stipend.
* Peer recognition program.
 If you are a proactive and results\-driven product manager passionate about technology and innovation, we want to hear from you!
**Our client is an equal\-opportunity employer committed to diversity and inclusion.** 
 To apply, follow the instructions below, and a member of our team will reach out to you.</t>
        </is>
      </c>
    </row>
    <row r="10">
      <c r="A10" t="inlineStr">
        <is>
          <t>li-4318727518</t>
        </is>
      </c>
      <c r="B10" t="inlineStr">
        <is>
          <t>Product Manager</t>
        </is>
      </c>
      <c r="C10" t="inlineStr">
        <is>
          <t>DataAnnotation</t>
        </is>
      </c>
      <c r="D10" t="inlineStr">
        <is>
          <t>linkedin</t>
        </is>
      </c>
      <c r="E10" t="inlineStr"/>
      <c r="F10" t="inlineStr"/>
      <c r="G10" t="inlineStr">
        <is>
          <t>New York, United States</t>
        </is>
      </c>
      <c r="H10" t="inlineStr"/>
      <c r="I10"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1">
      <c r="A11" t="inlineStr">
        <is>
          <t>li-4365064416</t>
        </is>
      </c>
      <c r="B11" t="inlineStr">
        <is>
          <t>Product Manager, Agentic AI- IFS The Loops</t>
        </is>
      </c>
      <c r="C11" t="inlineStr">
        <is>
          <t>IFS</t>
        </is>
      </c>
      <c r="D11" t="inlineStr">
        <is>
          <t>linkedin</t>
        </is>
      </c>
      <c r="E11" t="inlineStr"/>
      <c r="F11" t="inlineStr"/>
      <c r="G11" t="inlineStr">
        <is>
          <t>San Francisco, CA</t>
        </is>
      </c>
      <c r="H11" t="inlineStr"/>
      <c r="I11" t="inlineStr">
        <is>
          <t>TheLoops, an IFS company, is the first enterprise\-grade AI Agent platform built for mission\-critical applications and industries. Our AI Agents act as digital coworkers that are governed, secure, always learning, and working 24/7 to drive measurable business outcomes.
 As we grow, we’re looking for driven, collaborative and ambitious individuals to help us deliver the future of AI\-powered operations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With the power of our AI\-driven solutions, we empower our team to change the status quo and make a real difference.
 If you want to change the status quo, we’ll help you make your moment. Join Team Purple. Join IFS.
**Job Description**
 We’re building intelligent, autonomous AI agents that can reason, plan, and act across real\-world workflows. These agents go beyond chat — they take meaningful action, work across tools and systems, and operate in complex, high\-stakes environments.
 As our
 **Product Manager** 
 , you’ll lead the definition and delivery of early use cases for agentic AI. You’ll turn cutting\-edge agent capabilities — like long\-term memory, tool use, and planning — into
 **applied, valuable products** 
 .
 You’ll be use\-case–driven, but
 **platform\-aware** 
 — working closely with engineering and research to ensure what we build is feasible, scalable, and aligned with the underlying agent architecture.
**Qualifications**
**Use Case Discovery \&amp; Validation**
* Identify and prioritize agent use cases with high ROI: operational automation, coordination agents, internal task delegation, etc.
* Work with users and stakeholders to understand their workflows, challenges, and trust boundaries.
* Prototype and iterate agent behaviors in production\-like environments to validate fit and reliability.
**Product Design \&amp; Execution**
* Define the agent experience — from delegation to monitoring to escalation — for real\-world scenarios.
* Translate use cases into clear product specs: user flows, system interactions, prompts, safety requirements, and interfaces.
* Own the roadmap and ship iteratively: starting small, learning fast, scaling wisely.
**Cross\-Functional Collaboration**
* Collaborate with engineering to align product needs with agent platform capabilities (planning, memory, tool orchestration, retries, etc.).
* Partner with AI research to bring experimental features into real\-world settings.
* Ensure the platform supports the complexity of applied, multi\-step, tool\-using agents.
**Strategy \&amp; Metrics**
* Define success metrics around
 **outcomes** 
 — time saved, accuracy improved, failures recovered — not just clicks or sessions.
* Build product foundations that allow for vertical reuse, system generalization, and long\-term scalability.
****Minimum Qualifications****
* 5\+ years of product management or startup experience building technically complex, user\-facing systems
* Strong intuition for applied use cases — especially in
 **automation, operations, or real\-world workflows**
* Familiarity with agentic AI patterns and tooling (e.g., LLM agents, tool use, LangChain, OpenAI functions, memory systems)
* Experience working closely with engineers and researchers on system\-level product decisions
* Strong communication, prioritization, and execution skills
****Preferred** 
**Qualifications****
* Exposure to or interest in domains like logistics, field ops, manufacturing, or systems integration
* Background in AI/ML infrastructure, developer platforms, robotics, or IIoT
* Experience designing for human\-in\-the\-loop or semi\-autonomous systems
* Hands\-on experience with prototyping workflows or agents using modern frameworks (e.g. LangGraph, AutoGen)
**Additional Information**
**What We’re Offering**
* Salary Range: $175,000\-200,000 total comp
* Flexible paid time off, including sick and holiday
* Medical, dental, \&amp; vision insurance
* 401K with Company contribution
* Flexible spending accounts
* Life insurance and disability benefits
* Tuition assistance
* Community involvement and volunteering events
 M/F/Disabled/Vet VEVRAA Federal Contractor. We are a Drug\-Free Workplace. Interested candidates should apply at: www.ifs.com/about/careers\-at\-ifs
 All qualified applicants will receive consideration for employment without regard to race, color, religion, sex, sexual orientation, gender identity, national origin, disability, or status as a protected veteran. VEVRAA Federal Contractor, Equal Opportunity Employer</t>
        </is>
      </c>
    </row>
    <row r="12">
      <c r="A12" t="inlineStr">
        <is>
          <t>li-4311153293</t>
        </is>
      </c>
      <c r="B12" t="inlineStr">
        <is>
          <t>Senior Product Manager</t>
        </is>
      </c>
      <c r="C12" t="inlineStr">
        <is>
          <t>EarnIn</t>
        </is>
      </c>
      <c r="D12" t="inlineStr">
        <is>
          <t>linkedin</t>
        </is>
      </c>
      <c r="E12" t="inlineStr"/>
      <c r="F12" t="inlineStr"/>
      <c r="G12" t="inlineStr">
        <is>
          <t>Mountain View, CA</t>
        </is>
      </c>
      <c r="H12" t="inlineStr"/>
      <c r="I12"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product leader to lead efforts for a new product offering. The product leader will partner closely with senior leadership and a dedicated engineering team to define our vision, shape how the product works, and rapidly execute to get it to market. This is an exciting opportunity to define how we create value for our customers and our business.  
 This is a Mountain View\-based position requiring in\-office work 2\-3 days a week. The Mountain View base salary range for this full\-time position is $206,280 \- $252,120, plus equity and benefits. Our salary ranges are determined by role, level, and location.
**WHAT YOU'LL DO** 
* Shape the vision for a new product area. Communicate your product vision, roadmap, and results to your team, stakeholders, including the executive team, and our customers.
* Lead a diverse team of engineers, designers, and data analysts to create and scale impactful experiences for our customers.
* Own a business area end\-to\-end and drive financial and customer results.
* Create a fast\-paced environment facilitating product iterations and growth.
* Lead a cross\-functional team of engineers, designers, and data analysts to build and scale your products
**WHAT WE'RE LOOKING FOR** 
* 4\+ years of product management at a consumer technology product company
* Strong technical background, preferably with a background in payroll software and financial services
* Strong analytical skills in leveraging data to drive product decisions and improve metrics
* Strong product/design sense developed by shipping delightful and innovative products
* Exceptional communication skills to engage with executive leadership and key stakeholders.
* Deep user empathy and experience in building products based on user needs
* Ability to think outside the box to solve complex problems with creative and radical ideas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13">
      <c r="A13" t="inlineStr">
        <is>
          <t>li-4309215151</t>
        </is>
      </c>
      <c r="B13" t="inlineStr">
        <is>
          <t>Product Manager, Codex</t>
        </is>
      </c>
      <c r="C13" t="inlineStr">
        <is>
          <t>OpenAI</t>
        </is>
      </c>
      <c r="D13" t="inlineStr">
        <is>
          <t>linkedin</t>
        </is>
      </c>
      <c r="E13" t="inlineStr"/>
      <c r="F13" t="inlineStr"/>
      <c r="G13" t="inlineStr">
        <is>
          <t>San Francisco, CA</t>
        </is>
      </c>
      <c r="H13" t="inlineStr"/>
      <c r="I13" t="inlineStr">
        <is>
          <t>**About The Team**
 With Codex we’re building an AI software engineer. One that you can pair with, delegate to, or even ask to take on future tasks proactively. Our team is a fast\-moving group within OpenAI, bringing together research, engineering, design, and product. We iteratively build the Codex agent harness and product to get the most out of the model, and we iteratively train the model to be great in the Codex.
**About The Role**
 As the product manager on Codex, you will lead the development of a highly technical product designed for a technical audience. Much of the work is 0–1, requiring you to shape product direction amid ambiguity and shape what the future of agents will look like. You’ll partner closely with world\-class engineers and researchers to bring cutting\-edge capabilities into the hands of developers, and you’ll shape how our AI tools support software development workflows.
 This role is based in San Francisco, CA. We use a hybrid work model of 3 days in the office per week and offer relocation assistance to new employees.
**In This Role, You Will**
* Shape product strategy for Codex, from early concepts through launch and iteration.
* Collaborate with engineering and research to translate breakthroughs into usable, high\-value developer experiences.
* Deeply understand developer workflows and identify opportunities where AI can make them faster, more intuitive, and more powerful.
* Navigate ambiguity and make thoughtful trade\-offs in 0–1 product environments.
* Partner with cross\-functional teams to deliver quickly while maintaining a high bar for technical quality and user experience.
**You Might Thrive In This Role If You**
* Bring a strong technical background and have recently shipped code to production
* Have a deep intuition for developer workflows and a passion for building tools that make coding more productive and enjoyable.
* Can define product direction in ambiguous, 0–1 environments and rally teams around it.
* Demonstrate strong product intuition, making thoughtful prioritization and sequencing decisions.
* Have experience driving execution across engineering, design, and research.
* Bring an entrepreneurial mindset and adaptability, whether from startup or high\-growth company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$325K</t>
        </is>
      </c>
    </row>
    <row r="14">
      <c r="A14" t="inlineStr">
        <is>
          <t>li-4318724727</t>
        </is>
      </c>
      <c r="B14" t="inlineStr">
        <is>
          <t>Product Manager</t>
        </is>
      </c>
      <c r="C14" t="inlineStr">
        <is>
          <t>DataAnnotation</t>
        </is>
      </c>
      <c r="D14" t="inlineStr">
        <is>
          <t>linkedin</t>
        </is>
      </c>
      <c r="E14" t="inlineStr"/>
      <c r="F14" t="inlineStr"/>
      <c r="G14" t="inlineStr">
        <is>
          <t>Nevada, United States</t>
        </is>
      </c>
      <c r="H14" t="inlineStr"/>
      <c r="I14"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5">
      <c r="A15" t="inlineStr">
        <is>
          <t>li-4318718835</t>
        </is>
      </c>
      <c r="B15" t="inlineStr">
        <is>
          <t>Product Manager</t>
        </is>
      </c>
      <c r="C15" t="inlineStr">
        <is>
          <t>DataAnnotation</t>
        </is>
      </c>
      <c r="D15" t="inlineStr">
        <is>
          <t>linkedin</t>
        </is>
      </c>
      <c r="E15" t="inlineStr"/>
      <c r="F15" t="inlineStr"/>
      <c r="G15" t="inlineStr">
        <is>
          <t>Washington, United States</t>
        </is>
      </c>
      <c r="H15" t="inlineStr"/>
      <c r="I15"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6">
      <c r="A16" t="inlineStr">
        <is>
          <t>li-4318737239</t>
        </is>
      </c>
      <c r="B16" t="inlineStr">
        <is>
          <t>Product Manager</t>
        </is>
      </c>
      <c r="C16" t="inlineStr">
        <is>
          <t>DataAnnotation</t>
        </is>
      </c>
      <c r="D16" t="inlineStr">
        <is>
          <t>linkedin</t>
        </is>
      </c>
      <c r="E16" t="inlineStr"/>
      <c r="F16" t="inlineStr"/>
      <c r="G16" t="inlineStr">
        <is>
          <t>Massachusetts, United States</t>
        </is>
      </c>
      <c r="H16" t="inlineStr"/>
      <c r="I16"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7">
      <c r="A17" t="inlineStr">
        <is>
          <t>li-4361909526</t>
        </is>
      </c>
      <c r="B17" t="inlineStr">
        <is>
          <t>Product Manager II, YouTube Shorts Consumption</t>
        </is>
      </c>
      <c r="C17" t="inlineStr">
        <is>
          <t>Google</t>
        </is>
      </c>
      <c r="D17" t="inlineStr">
        <is>
          <t>linkedin</t>
        </is>
      </c>
      <c r="E17" t="inlineStr"/>
      <c r="F17" t="inlineStr"/>
      <c r="G17" t="inlineStr">
        <is>
          <t>San Bruno, CA</t>
        </is>
      </c>
      <c r="H17" t="inlineStr"/>
      <c r="I17" t="inlineStr">
        <is>
          <t>**Minimum qualifications:**
* Bachelor's degree or equivalent practical experience.
* 5 years of experience in consumer product management or related technical role.
* 2 years of experience taking technical products from conception to launch working with user experience (UX) and user experience researchers (UXR) to define user\-facing product requirements.
* Experience driving experiments to grow metrics.
**Preferred qualifications:**
* Master’s degree or PhD in a technology or business related field.
* 3 years of experience in a role preparing and delivering technical presentations to executive leadership.
* 3 years of experience in a business function or role (e.g., marketing, business operations, consulting).
* 2 years of experience in software development or engineering.
* 2 years of experience working cross\-functionally with engineering, UX/UI, business, finance, and other stakeholders.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Shorts Consumption team’s mission is to make YouTube the best place to watch short\-form video. Shorts is one of the priority products under development at YouTube.
 In this role, within Shorts consumption, you will lead the Watch team. You will be responsible for creating a watch system to help bring useful and relevant journeys to viewers and ensuring performant reliable viewing experience.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strategy, goals, roadmap, and success metrics for performance and reliability.
* Work collaboratively with partner teams to introduce valuable and relevant user journeys on Shorts.
* Collaborate with Engineering, Design, and Research teams to bring product goals to life.
* Utilize data\-driven decision making to measure performance, identify improvement areas, and iterate on the product experience.
* Understand user needs translating insights into compelling product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
      <c r="A18" t="inlineStr">
        <is>
          <t>li-4318730350</t>
        </is>
      </c>
      <c r="B18" t="inlineStr">
        <is>
          <t>Product Manager</t>
        </is>
      </c>
      <c r="C18" t="inlineStr">
        <is>
          <t>DataAnnotation</t>
        </is>
      </c>
      <c r="D18" t="inlineStr">
        <is>
          <t>linkedin</t>
        </is>
      </c>
      <c r="E18" t="inlineStr"/>
      <c r="F18" t="inlineStr"/>
      <c r="G18" t="inlineStr">
        <is>
          <t>Maryland, United States</t>
        </is>
      </c>
      <c r="H18" t="inlineStr"/>
      <c r="I18"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9">
      <c r="A19" t="inlineStr">
        <is>
          <t>li-4329567616</t>
        </is>
      </c>
      <c r="B19" t="inlineStr">
        <is>
          <t>Product Owner</t>
        </is>
      </c>
      <c r="C19" t="inlineStr">
        <is>
          <t>PrePass</t>
        </is>
      </c>
      <c r="D19" t="inlineStr">
        <is>
          <t>linkedin</t>
        </is>
      </c>
      <c r="E19" t="inlineStr"/>
      <c r="F19" t="inlineStr"/>
      <c r="G19" t="inlineStr">
        <is>
          <t>Phoenix, AZ</t>
        </is>
      </c>
      <c r="H19" t="inlineStr"/>
      <c r="I19"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 are seeking an experienced Product Owner to lead development for our e\-Clearance team in a fast\-paced, collaborative environment. This role requires strong decision\-making skills, adaptability, and the ability to deliver high\-quality products aligned with business goals and customer needs. You will partner closely with product managers, development teams, and cross\-functional stakeholders to translate product vision into impactful software solutions.
 The ideal candidate brings a deep understanding of how to manage complex systems, excels in Agile methodologies, approaches problem\-solving with reliability and initiative and has strong analytical skills. This is a hybrid position based out of our Downtown Phoenix corporate office.
**Essential Responsibilities**
**Product Ownership \&amp; Delivery**
* Create, prioritize, and maintain a product backlog aligned with product vision and business objectives
* Understand customer operations and how our products can deliver value and help maximize operational efficiency
* Prioritize features and stories within sprints to maximize customer value
* Ensure backlog items are clearly defined, understood, and properly estimated
* Facilitate sprint planning, discovery sessions, and translation of requirements into actionable user stories
* Review and analyze product performance and present well researched ideas on how to improve customer experience
**Collaboration \&amp; Stakeholder Engagement**
* Work closely with cross\-functional teams to ensure features meet customer needs and are delivered on schedule
* Serve as a subject matter expert for the product domain and a key point of contact for internal and external stakeholders
* Partner with development, design, and QA teams to maintain product quality and consistency
**Innovation \&amp; Continuous Improvement**
* Stay current with industry trends and Agile best practices to drive product innovation
* Identify opportunities for process improvement and enhanced customer experiences
**Requirements**
**Qualifications**
* Bachelor's degree or equivalent experience
* 5\+ years of proven experience as a Product Owner or in a similar role
* Hands\-on experience with business process and requirements analysis
* Strong understanding of complex systems
* Proficiency in Agile methodologies (Scrum) and backlog management tools (e.g., Jira, Azure DevOps)
* Excellent decision\-making, communication, and organizational skills
* Familiarity with user\-centered design principles
* Ability to influence cross\-functional teams and drive outcomes without formal authority
* Some travel may be required
**Desired Characteristics**
* Strategic thinker with a proactive, problem\-solving mindset
* Comfortable navigating ambiguity and adapting to evolving priorities
* Strong collaboration and influencing skills across diverse teams
* High degree of initiative, ownership, and accountability
* Commitment to continuous improvement and delivering customer value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20">
      <c r="A20" t="inlineStr">
        <is>
          <t>li-4237249583</t>
        </is>
      </c>
      <c r="B20" t="inlineStr">
        <is>
          <t>Product Manager</t>
        </is>
      </c>
      <c r="C20" t="inlineStr">
        <is>
          <t>Jam City</t>
        </is>
      </c>
      <c r="D20" t="inlineStr">
        <is>
          <t>linkedin</t>
        </is>
      </c>
      <c r="E20" t="inlineStr"/>
      <c r="F20" t="inlineStr"/>
      <c r="G20" t="inlineStr"/>
      <c r="H20" t="inlineStr"/>
      <c r="I20" t="inlineStr">
        <is>
          <t>Jam City is hiring a Product Manager to work on Cookie Jam, a top\-grossing mobile game. Reporting to the Product Lead, the Product Manager will work to deliver against the game’s long\-term strategic roadmap, leveraging a deep understanding of free\-to\-play (F2P) gaming to set KPI goals, conduct analysis, and guide development of new game systems and features.
 The ideal candidate is passionate about games, a strategic thinker, can approach her/his work like an analyst and a designer, and has a proven track record in product management and F2P design. The Product Manager will work closely with game designers and collaborate across multiple disciplines to create features that will grow the product for years to come.
**Responsibilities**
* Identify high\-potential opportunities and lead the delivery of MVPs that balance speed, simplicity, and learning.
* Work closely with a cross\-functional team of talented developers to deliver features that positively affect the game’s core KPIs.
* Use data and analysis to lead the optimization and iteration of live features.
* Support the experimentation roadmap and lead the design, implementation, and analysis of A/B tests and multivariate experiments.
* Collaborate with data analysts to define success metrics, build test plans, and ensure statistical rigor.
* Evangelize a test\-and\-learn culture across product and growth teams by educating others on best practices.
* Define, monitor, and report on product KPIs and user behavior through dashboards and internal reporting tools.
* Partner with the data team to improve instrumentation, metric definitions, and accessibility of self\-serve insights.
* Use quantitative and qualitative data to uncover opportunities, validate product ideas, and measure feature impact.
* Align stakeholders across product, engineering, design, art, and analytics to ensure smooth product delivery and test execution.
* Communicate findings and recommendations clearly to influence decisions and shape product direction.
**Qualifications**
* 2–4\+ years of product management experience with strong emphasis on analytics and experimentation.
* Hands\-on experience running A/B tests and working with experimentation tools.
* Proficiency in SQL and comfort with analytics platforms (e.g., Databricks, Tableau).
* Strong communicator and collaborator who thrives in a fast\-paced, data\-first environment.
* Passion for mobile games.
**NICE TO HAVE**
* Background in free\-to\-play (F2P) mobile games, especially with experience optimizing user retention, engagement, or monetization through data.
* Familiarity with game analytics frameworks, cohort analysis, and live ops optimization.
* Familiarity with Python for data modeling (e.g., user segmentation, LTV modeling, churn prediction).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
      <c r="A21" t="inlineStr">
        <is>
          <t>li-4318735285</t>
        </is>
      </c>
      <c r="B21" t="inlineStr">
        <is>
          <t>Product Manager</t>
        </is>
      </c>
      <c r="C21" t="inlineStr">
        <is>
          <t>DataAnnotation</t>
        </is>
      </c>
      <c r="D21" t="inlineStr">
        <is>
          <t>linkedin</t>
        </is>
      </c>
      <c r="E21" t="inlineStr"/>
      <c r="F21" t="inlineStr"/>
      <c r="G21" t="inlineStr">
        <is>
          <t>Texas, United States</t>
        </is>
      </c>
      <c r="H21" t="inlineStr"/>
      <c r="I21"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2">
      <c r="A22" t="inlineStr">
        <is>
          <t>li-4318725740</t>
        </is>
      </c>
      <c r="B22" t="inlineStr">
        <is>
          <t>Product Manager</t>
        </is>
      </c>
      <c r="C22" t="inlineStr">
        <is>
          <t>DataAnnotation</t>
        </is>
      </c>
      <c r="D22" t="inlineStr">
        <is>
          <t>linkedin</t>
        </is>
      </c>
      <c r="E22" t="inlineStr"/>
      <c r="F22" t="inlineStr"/>
      <c r="G22" t="inlineStr">
        <is>
          <t>Iowa, United States</t>
        </is>
      </c>
      <c r="H22" t="inlineStr"/>
      <c r="I22"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3">
      <c r="A23" t="inlineStr">
        <is>
          <t>li-4346616919</t>
        </is>
      </c>
      <c r="B23" t="inlineStr">
        <is>
          <t>Senior Product Manager - AI</t>
        </is>
      </c>
      <c r="C23" t="inlineStr">
        <is>
          <t>symplr</t>
        </is>
      </c>
      <c r="D23" t="inlineStr">
        <is>
          <t>linkedin</t>
        </is>
      </c>
      <c r="E23" t="inlineStr"/>
      <c r="F23" t="inlineStr"/>
      <c r="G23" t="inlineStr"/>
      <c r="H23" t="inlineStr"/>
      <c r="I23" t="inlineStr">
        <is>
          <t>**Overview**
 This role will own product strategy and outcomes for AI capabilities across symplr’s portfolio working with product leaders, AI Engineering/Data Science, Security and go\-to\-market stakeholders to define, prioritize and scale AI initiatives. This role focuses on portfolio\-level value creation and adoption: identifying the highest\-impact AI use cases, shaping roadmaps, ensuring governance and trust while standardizing repeatable patterns (intake, evaluation, monitoring, feedback loops) that enable teams to deliver AI safely in a multi\-tenant healthcare SaaS environment. This role will lead AI productization across predictive modeling, optimization, anomaly detection, natural language processing, document intelligence, information retrieval and question answering, recommendation systems and generative AI capabilities. This role will also focus on cross\-product enablement (reusable evaluation frameworks, telemetry, guardrails and platform service integration).
**Duties \&amp; Responsibilities**
**Product strategy, vision \&amp; roadmap (primary)**
* Define the ML/Applied AI product vision and roadmap aligned to enterprise strategy
* Identify and prioritize ML and AI opportunities across product lines; drive ROI framing, sequencing and ‘build vs. buy’ evaluations
* Establish portfolio success metrics (adoption, outcomes, quality, reliability, cost) and ensure roadmap decisions reflect them
**Discovery, customer value \&amp; use\-case validation**
* Lead discovery with customers and internal product teams to understand workflows, pain points and constraints of regulated healthcare environments
* Convert opportunities into clearly defined use cases: target users, jobs\-to\-be\-done, workflow touchpoints, expected benefits and measurable outcomes
* Define criteria for when ML/AI is appropriate vs. when deterministic rules provide better value
**Requirements, Data Readiness \&amp; Delivery Alignment**
* Produce clear product requirements (PRDs) for ML/AI capabilities: data needs, feature definitions, integration contracts, UX requirements and release criteria
* Drive data readiness gating: availability, quality, labeling needs, lineage and tenant isolation requirements; coordinate with data engineering and product teams to close gaps
* Partner with POs and engineering leads to translate strategy into executable delivery plans, milestones and dependency management
**Model quality, evaluation \&amp; lifecycle management**
* Define success metrics and evaluation strategy: offline evaluation, gold datasets, human\-in\-the\-loop review, thresholding/confidence behavior and regression testing
* Establish post\-launch lifecycle plans: monitoring, drift detection signals, retraining/refresh cadence (where applicable) and iterative improvement backlogs
* Ensure consistent release criteria and quality bars across ML/AI solutions (performance, latency, scalability, reliability, and cost)
**Trust, safety, governance \&amp; compliance (healthcare\-grade)**
* Partner with Security, Compliance, Legal and Architecture to define product requirements for PHI/PII handling, tenant isolation, retention policies and auditability
* Ensure safe and trustworthy AI practices are embedded in requirements including (as applicable):
* Content filtering and policy enforcement
* Grounding/citation patterns for retrieval\-based or generative outputs
* Safe failure modes, fallback behavior and user transparency
* Prompt/data handling constraints and vendor/model risk considerations
* Define audit and traceability expectations: logging, model/prompt/versioning, evaluation artifacts and incident response workflows
**Platform enablement \&amp; standardization**
* Standardize reusable ML/AI delivery patterns across symplr (intake templates, feasibility gates, evaluation harnesses, monitoring dashboards, feedback capture and launch checklists)
* Drive alignment with shared platform capabilities to ensure scalable adoption (tenant configuration, event status propagation, identity/access patterns, feature flagging, observability)
* Enable multi\-tenant configurability and consistent policy enforcement across products and environments
**Skills Required**
* 5\+ years of product management experience delivering enterprise SaaS products (platform, data, analytics or workflow products preferred)
* Demonstrated experience delivering ML/AI\-enabled product capabilities (predictive models, NLP/document intelligence, recommendations, optimization, anomaly detection and/or generative AI)
* Strong product discovery and requirements skills: customer research, PRDs, roadmap planning, prioritization and stakeholder alignment
* Working knowledge of ML/AI evaluation and lifecycle management: metrics, offline testing, human review loops, monitoring signals and iterative improvement
* Strong cross\-functional leadership across engineering, data science and data engineering
**Preferred Qualificiations:**
* Experience in healthcare or other regulated environments
* Familiarity with LLM product patterns (retrieval\-augmented generation, tool use, guardrails) and/or cloud\-native ML delivery (AWS preferred)
* Experience with multi\-tenant product design and shared service adoption
**Knowledge, Skills and Abilities:**
* Outcome\-driven product thinking and comfort operating in ambiguity
* Excellent written communication (PRDs, customer narratives, exec\-ready updates)
* Metrics\-first mindset connecting model performance to user outcomes and business impact.
* Pragmatic governance orientation—ships safely without stalling delivery
* Strong judgment on trade\-offs: quality vs. speed, cost vs. benefit, generalization vs. customization
**Min**
 USD $120,000\.00/Yr.
**Max**
 USD $140,000\.00/Yr.</t>
        </is>
      </c>
    </row>
    <row r="24">
      <c r="A24" t="inlineStr">
        <is>
          <t>li-4318046264</t>
        </is>
      </c>
      <c r="B24" t="inlineStr">
        <is>
          <t>Lead Product Manager, Promotions</t>
        </is>
      </c>
      <c r="C24" t="inlineStr">
        <is>
          <t>FanDuel</t>
        </is>
      </c>
      <c r="D24" t="inlineStr">
        <is>
          <t>linkedin</t>
        </is>
      </c>
      <c r="E24" t="inlineStr"/>
      <c r="F24" t="inlineStr"/>
      <c r="G24" t="inlineStr">
        <is>
          <t>New York, NY</t>
        </is>
      </c>
      <c r="H24" t="inlineStr"/>
      <c r="I24" t="inlineStr">
        <is>
          <t>**THE POSITION**
 Our roster has an opening with your name on it
 FanDuel is seeking a Lead Technical Product Manager to help define the product vision, strategy, and execution of our Promotions Engine. You will set the technical platform strategy for promotion capabilities in a fast paced, exciting and competitive product space. In this role, you will collaborate closely with Marketing Strategy, Operations, Data, Design, and Engineering to deliver innovative product solutions and services that meet customer needs and align with FanDuel's business objectives. If you’re a strong product leader with an interest in playing a key role in transforming the way our customers engage with live sports and innovative promotions, this may be the role for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Lead a high\-performing team with clear roles, objectives, and a focus on development and engagement.
* Define and communicate a compelling product vision, strategy, and roadmap, with key alignment from senior stakeholders.
* Deliver innovative, research\-driven products by incorporating user feedback, experimentation, and data into the product lifecycle.
* Partner with engineering, design, marketing, and operations teams to drive seamless product development, release, and optimization.
* Establish and monitor product success criteria, driving business growth through market trends, experimentation, and competitor analysis.
* Serve as a key representative for the product team, providing clear updates, insights, and strategic recommendations to executives and stakeholders.
* Develop a deep understanding of the industry landscape, customer needs, and competitive promotional dynamics to identify and prioritize opportunities.
**THE STATS**
 What we're looking for in our next teammate
* Minimum 7\+ years’ experience as a product manager in Marketing Technology, platform products, Software as a Service (SaaS) or similar role.
* Bachelor's degree in a related field; advanced degree preferred
* Proven track record of delivering successful and innovative platform products for large scale organizations.
* Knowledge and implementation experience of modern product practices including but not limited to product routines, agile process, stakeholder management, roadmapping, risk mitigation, and strong collaboration \&amp; partnership with engineering teams
* Experience managing, coaching \&amp; mentoring others
* Demonstrated success motivating and influencing teams
* Strong quantitative skills
* Excellent critical thinking skills
* Exceptional written and verbal communication skills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$138,000 \- $190,300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5">
      <c r="A25" t="inlineStr">
        <is>
          <t>li-4318727547</t>
        </is>
      </c>
      <c r="B25" t="inlineStr">
        <is>
          <t>Product Manager</t>
        </is>
      </c>
      <c r="C25" t="inlineStr">
        <is>
          <t>DataAnnotation</t>
        </is>
      </c>
      <c r="D25" t="inlineStr">
        <is>
          <t>linkedin</t>
        </is>
      </c>
      <c r="E25" t="inlineStr"/>
      <c r="F25" t="inlineStr"/>
      <c r="G25" t="inlineStr">
        <is>
          <t>Kentucky, United States</t>
        </is>
      </c>
      <c r="H25" t="inlineStr"/>
      <c r="I25"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6">
      <c r="A26" t="inlineStr">
        <is>
          <t>li-4318723683</t>
        </is>
      </c>
      <c r="B26" t="inlineStr">
        <is>
          <t>Product Manager</t>
        </is>
      </c>
      <c r="C26" t="inlineStr">
        <is>
          <t>DataAnnotation</t>
        </is>
      </c>
      <c r="D26" t="inlineStr">
        <is>
          <t>linkedin</t>
        </is>
      </c>
      <c r="E26" t="inlineStr"/>
      <c r="F26" t="inlineStr"/>
      <c r="G26" t="inlineStr">
        <is>
          <t>Missouri, United States</t>
        </is>
      </c>
      <c r="H26" t="inlineStr"/>
      <c r="I26"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7">
      <c r="A27" t="inlineStr">
        <is>
          <t>li-4336632830</t>
        </is>
      </c>
      <c r="B27" t="inlineStr">
        <is>
          <t>Product Manager | Money Platform</t>
        </is>
      </c>
      <c r="C27" t="inlineStr">
        <is>
          <t>Ramp</t>
        </is>
      </c>
      <c r="D27" t="inlineStr">
        <is>
          <t>linkedin</t>
        </is>
      </c>
      <c r="E27" t="inlineStr"/>
      <c r="F27" t="inlineStr"/>
      <c r="G27" t="inlineStr">
        <is>
          <t>San Francisco, CA</t>
        </is>
      </c>
      <c r="H27" t="inlineStr"/>
      <c r="I27"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a Product Manager at Ramp, you will be responsible for the vision, strategy, and roadmap for Ramp’s card issuing and billing platforms. You will be responsible for leading a core team of engineers and designers to build amazing products that serve thousands of businesses, owning a set of key and customer \&amp; business problems. You will drive the end\-to\-end product vision, strategy, and execution for your domain in order to meet ambitious company goals. Your scope will include:
* Card issuing – The card is Ramp’s flagship product. You’ll be responsible for shipping new card products, in new markets, on new payment rails, improving the core customer experience around daily spending, and scaling our platform for the next chapter of growth.
* Billing – Ramp’s paid software products are a large and growing part of our business. You’ll be responsible for working with our Finance and GTM teams to define and implement pricing packages that fuel growth.
* Statement collections – Ensuring that Ramp gets paid – on time – for a wide range of products is key to keeping the business running and growing. You’ll be responsible for making sure that happens across a rapidly growing customer base.
 We’re looking for someone who can partner and collaborate across various internal teams, has a deep understanding of our customers and technology, and can deliver financial products to streamline complex business flows via a fantastic user experience.
**What You'll Do**
* Own the vision, strategy, and roadmap for Ramp’s card and billing platforms
* Drive high\-velocity execution with a world\-class team of engineers and designers, balancing principled intuition with data\-driven decision making
* Marry customer insights with technical possibilities, crafting intuitive user experiences that abstract away complexity
* Help thousands of finance teams on Ramp more successfully manage their finances by expanding the capabilities of our product
* Prototype rapidly using tools like Cursor and Bolt to accelerate the product development lifecycle and fast\-forward to production\-ready products.
* Stay deeply plugged into AI research, industry trends, and emergent applications, filtering signal from noise and applying it creatively to Ramp’s product
**What You Need**
* BA/BS in a technical or analytical field
* Minimum 3 years product management experience
* Strong customer empathy and design thinking
* Fluency in data and how to make data\-driven product decisions
* Experience evaluating product decisions and prioritization trade\-offs
* Demonstrated ability to lead and influence small teams of engineers \&amp; designers toward a common goal
* Ability to collaborate with multiple stakeholders and large cross\-functional teams
* Excellent written and verbal communication skills
* Passion for AI, shown through hands\-on building, prototyping, or side projects, and staying current on research and tools.
* Fluency with modern prototyping tools (e.g. Cursor, Bolt, Claude Code) and comfort with design/collaboration environments like Figma and Git.
**Nice\-to\-Haves**
* Background in fast\-paced, high\-growth startup environments
* Experience building payments products or products in regulated markets
* Experience building products with a significant AI component, especially if leveraging LLMs.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28">
      <c r="A28" t="inlineStr">
        <is>
          <t>li-4318719796</t>
        </is>
      </c>
      <c r="B28" t="inlineStr">
        <is>
          <t>Product Manager</t>
        </is>
      </c>
      <c r="C28" t="inlineStr">
        <is>
          <t>DataAnnotation</t>
        </is>
      </c>
      <c r="D28" t="inlineStr">
        <is>
          <t>linkedin</t>
        </is>
      </c>
      <c r="E28" t="inlineStr"/>
      <c r="F28" t="inlineStr"/>
      <c r="G28" t="inlineStr">
        <is>
          <t>Oklahoma, United States</t>
        </is>
      </c>
      <c r="H28" t="inlineStr"/>
      <c r="I28"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9">
      <c r="A29" t="inlineStr">
        <is>
          <t>li-4346228756</t>
        </is>
      </c>
      <c r="B29" t="inlineStr">
        <is>
          <t>Sr. Product Manager</t>
        </is>
      </c>
      <c r="C29" t="inlineStr">
        <is>
          <t>James Hardie</t>
        </is>
      </c>
      <c r="D29" t="inlineStr">
        <is>
          <t>linkedin</t>
        </is>
      </c>
      <c r="E29" t="inlineStr"/>
      <c r="F29" t="inlineStr"/>
      <c r="G29" t="inlineStr">
        <is>
          <t>Chicago, IL</t>
        </is>
      </c>
      <c r="H29" t="inlineStr"/>
      <c r="I29" t="inlineStr">
        <is>
          <t>**Senior Product Manager** 
**James Hardie Building Products** 
**Location: Chicago, IL** 
 James Hardie is the industry leader in exterior home and outdoor living solutions, with a portfolio that includes fiber cement, fiber gypsum, composite and PVC decking and railing products. Our family of trusted brands includes Hardie®, TimberTech®, AZEK® Exteriors, Versatex®, fermacell®, and StruXure®.
**This position is based at our offices in Chicago, IL. Relocation support is available.** 
**The expectation is that this position would be primarily in\-office or at our other business locations at least 4 days per week with flexibility to work from home or remotely on occasion. Position will require moderate travel (25\-35%).** 
**An employee shuttle to and from Ogilvy Transportation and Union Station is provided.** 
 The Product Management Team for the Deck \&amp; Accessories category has responsibility for the overall lifecycle, sales and financial performance of these products. These include the full line of Deck, Porch, Accessories and Adjacencies (e.g. decking substructure).
**Position Summary:** 
 Reporting to the Sr. Director of Product Management for the Deck \&amp; Accessories, this role will have direct responsibility for all of our fastener products within the decking product category as well as certain fasteners for the Exteriors category (e.g. AZEK Trim). These products include primarily mechanical fasteners (screws, clamps/clips, etc.) made of metal or plastic composites, as well as the tools or systems used for installing these fasteners.
 The Senior Product Manager is responsible for the creation of a product roadmap, market/competitive research and analysis, new product development and testing, technical support, supplier management (co\-owned with our Sourcing Team), pricing/profitability analysis and product rationalization. The Product Manager is ultimately the subject matter expert for their category and responsible for the financial results of the product line and must ensure that the product line is meeting the goals of the company. The Product Management team members are also advocates for our customers and continually find ways to add value to all stakeholders responsible for the manufacturing, marketing, distribution, sales and installation of the product.
 AZEK does not directly manufacture any of the fasteners that we sell today. However, we do play a direct, leading role in the product development process from concept, product definition, design/engineering, development and testing. Therefore, this position works primarily with key supplier\-partners, outside engineering/design resources and AZEK’s Legal (IP), Sourcing and R\&amp;D/Applications organizations to drive the development and testing of these products. The Product Manager also works cross\-functionally to successfully launch new products to the market and manages the complete life\-cycle of existing products.
 The ideal candidate will be passionate about helping to drive sales growth and gross margin improvement of our products. This candidate should be highly organized, able to manage multiple projects and priorities simultaneously, focus on the technical and other details and drive cross\-functional execution for the category while also understanding and engaging at the strategic level as well. Finally, the candidate will also display a strong commitment to our Core Values.
**ESSENTIAL FUNCTIONS:** 
* Work with the Product Management, Sales, Sourcing and overall business leadership teams to develop a successful product and business strategy for the assigned products, including a multi\-generational product roadmap.
* Lead the execution of that strategy for the Fasteners product category. This includes engaging cross\-functionally across all aspects of product development and on\-going product management (product development, manufacturing, logistics, quality, code compliance, applications testing, marketing, sales, customer service, demand forecasting, reporting and analysis, margin improvement, pricing and promotions, including event support).
* Engage with and effectively lead/manage outside engineering, product design, development, testing and other technical service providers and suppliers as applicable. Conduct regular business and project reviews with suppliers.
* Conduct regular and ad\-hoc analysis of product line performance (sales trends, regional and geographic customer analysis, revenue, margin and other basic financial and performance metrics). Conduct monthly business reviews using that information and analysis combined with on\-going market and competitive analysis.
* Become the subject matter expert within the product category for the business and provide input and support to the Sourcing, Sales, Marketing, Customer Service and SIOP/Supply Chain teams.
* Conduct regular product data audits/maintenance, product costing and pricing support.
* Help to develop (and occasionally deliver) training programs to be used to educate the sales team, distributors, dealers and contractors on the features, benefits and applications of our products.
* Partner with the Product Marketing team to update all sales, marketing and technical collateral including product literature, sample materials, displays, sales presentations and collateral, product databases, installation guides and installation videos, technical data sheets and AIA presentations.
* Work with our Technical Services and Installation/Applications teams to develop and conduct product qualification testing, installation and other field tests and of new and existing products.
* Identify and evaluate new and emerging fastener technologies to determine potential product, strategic and business fit.
**Position Qualifications:** 
* **Team/Cultural Fit:** 
 Self\-motivated, hard\-working, intellectually curious, willing and happy to roll\-up your sleeves and get your hands dirty, driven to succeed individually but also as a team (e.g. help yourself and help others), ability to figure out how to get things done without “ownership” of resources or organizational power.Ability to make and hit commitments and deadlines. Responsive to changing business priorities or short\-term business needs without losing focus on what’s most important for the long term.
* **Education:** 
 Bachelor’s Degree in product design, mechanical engineering or a related field; MBA desired.Equivalent work experience, aptitude and a strong track record of success in technical and product development roles would also be considered in lieu of a technical degree.
* **Skills:** 
 Strong project management skills, cross\-functional coordination and communication, financial/analytical acumen, customer orientation, strategic and execution mindset. Strong computer skills to include: Word, Excel, PowerPoint and ad\-hoc reporting tools. Technical engineering and design software skills strongly preferred (e.g. Solidworks).
* **Experience:** 
 7\+ years in Product Design, Engineering, Product Management or demonstrated experience over a longer time frame and across other business functions that are directly related to the core responsibilities of the position (e.g. Project management, operations, marketing). Direct experience with management of tangible products such as building materials is a plus. Experience with ERP software tools is a plus.
 Compensation for roles at James Hardie varies depending on a wide range of factors including but not limited to the specific office location, role, skill set and level of experience. The annual salary for this role is $140,000 to $150,000\. In addition to base salary, we offer generous bonus and incentive opportunities that significantly increase earning potential.
**The AZEK Company was acquired by James Hardie.** 
 James Hardie is the industry leader in exterior home and outdoor living solutions, with brands including Hardie®, TimberTech®, AZEK® Exteriors, Versatex®, fermacell®, and StruXure®. With 8,000\+ employees worldwide, we’re united by our purpose of
 ***Building a Better Future for All* 
 ™** 
 through sustainable innovation, a Zero Harm culture, and a commitment to empowering our people and communities. For more information, visit www.jameshardie.com.
 Following The AZEK Company’s acquisition by James Hardie, we remain committed to providing fair and equitable employment experience for all candidates.
 Join us in shaping the future of our business!</t>
        </is>
      </c>
    </row>
    <row r="30">
      <c r="A30" t="inlineStr">
        <is>
          <t>li-4250788498</t>
        </is>
      </c>
      <c r="B30" t="inlineStr">
        <is>
          <t>Product Manager</t>
        </is>
      </c>
      <c r="C30" t="inlineStr">
        <is>
          <t>Standard Motor Products</t>
        </is>
      </c>
      <c r="D30" t="inlineStr">
        <is>
          <t>linkedin</t>
        </is>
      </c>
      <c r="E30" t="inlineStr"/>
      <c r="F30" t="inlineStr"/>
      <c r="G30" t="inlineStr">
        <is>
          <t>New York, NY</t>
        </is>
      </c>
      <c r="H30" t="inlineStr"/>
      <c r="I30" t="inlineStr">
        <is>
          <t>The Product Manager will be responsible for the development of automotive aftermarket product strategies for their assigned lines to include new product development, product marketing, new product introductions, market research, and Original Equipment (OE) research. In addition, you will partner with other internal departments in the engineering, design/development and the testing of new products.
**Responsibilities:**
* Act as a category expert in your product categories
* Define new product initiatives while optimizing the ongoing product line for maximum profitability.
* Define and develop 1\-3 year product portfolio roadmaps
* Deliver product introductions on\-time and within budget, for assigned product lines
* Develop and drive brand, product and line strategy
* Work Closely with the pricing department on new product introductions to achieve planned market position and gross margin targets
* Identify and develop new product opportunities
* Work within a cross\-functional team through all phases of the product design and development process, manufacturing and sourcing process through to product launch
* Represent the “voice of customer" on product development teams to assure objectives are met
* Collaborate with the marketing services team on marketing strategy for assigned products including literature, advertising, product sales training and support materials
* Contribute to new business development efforts, including new category and new channel assessment
* Prepare Market Requirements Document and product specifications along with the product development / engineering team
* Preparing accurate up\-to\-date reports and reviews on project schedules and cost analysis
* Evaluate ideas and suggestions for new products, investigate market opportunities and effect on market for present products.
* Recommend specific and measurable Marketing objectives for product lines in terms of $ Sales, Gross Profits, and Market Share
* Lead implementation of new product launches outlined in the product marketing plan
* Partner with operations (forecasting \&amp; supply chain) and sales planning to ensure fill rate targets are achieved
* Responsible for acquiring, updating, and comparison of company product performance vs. competitive performance, and competitive landscaping (pricing, features, applications, and innovation)
**Key Competencies:**
* Strategic Planning
* Market trends analysis
* Project Management
* Good communication skills and ability to communicate with sales team/channel partners
* Analysis of Market Demand, Market Share and Value Proposition of own products vs. main competitors
**Requirements:**
* BA / BS degree or equivalent experience
* 3 to 5 years product management experience preferred
**The estimated salary range for this position is $70,000\- $85,000\.**
*Please note that the salary range provided on the job posting does not include potential bonuses and other forms of compensation and, in some cases, may fall outside the range. The actual salary offered will be based on a wide range of factors, including relevant skills, training, experience, education, and where applicable, licensure or certification obtained.*</t>
        </is>
      </c>
    </row>
    <row r="31">
      <c r="A31" t="inlineStr">
        <is>
          <t>li-4361927800</t>
        </is>
      </c>
      <c r="B31" t="inlineStr">
        <is>
          <t>Product Owner - Encoder</t>
        </is>
      </c>
      <c r="C31" t="inlineStr">
        <is>
          <t>TruBridge</t>
        </is>
      </c>
      <c r="D31" t="inlineStr">
        <is>
          <t>linkedin</t>
        </is>
      </c>
      <c r="E31" t="inlineStr"/>
      <c r="F31" t="inlineStr"/>
      <c r="G31" t="inlineStr"/>
      <c r="H31" t="inlineStr"/>
      <c r="I31" t="inlineStr">
        <is>
          <t>Product Owner for TruBridge Encoder facility, auditing and grouping and pricing. The product owner will work with HIM professionals to define HIM user workflows, coding guidelines and rules, HIM reports, Auditing reports, user configuration options to facilitate accurate and efficient medical coding and auditing. The product owner will become the subject matter expert on the product, envision product features and functionality, championing a vision and strategy for the product, meet with customers, business partners and stakeholders to inform the product direction.
 The product owner will need to understand regulatory guidelines impacting coding to ensure the product meets regulatory coding requirements.
 The product owner will work closely with the business analysts, content, engineering and QA team to design and develop the product features. The product owner will work with customers to envision new product ideas, create product roadmaps, make decisions on product choices.
 Product owners are creative, collaborative decision makers that will work across functions to create value for our customers.
**Minimum Requirements:** 
 Define the overall vision in partnership with Product Strategy and General Manager. Take the vision of the Product Strategy and translate the work into user stories. Work to implement those work items, which include:
* Manage and prioritize the backlog to ensure it is stocked with clearly expressed items that
 help reach the product goal
* Regularly update and refine the backlog together with the team
* Be a liaison between product and development, where needed – they help to explain and
 translate the how and why
* Collect feedback from users, customers, and stakeholders on the product increments
* Manage interdependencies between squad/team
* Enable collaboration, removing impediments to empower the team to find solutions to
 move the work forward
* Take ownership of the work product and how it’s delivered. This includes being brave
 enough to have hard conversations, creating trust in the squad, calmly explaining
 impediments, and pivoting at a moment’s notice
**Education/Experience/Certification Requirements:** 
* Health Information Professional in Facility, Single Path Coding, and/or auditing minimum
 of 5 years experience
* User of Professional Encoding solutions and TruBridge Encoder
* Auditing experience is preferred
* Excellent communication (written and oral) and interpersonal skills.
* Strong organizational, multi\-tasking, and time\-management skills.
* Must be detail oriented and able to follow through on issues to resolution.
* Must be able to act both independently and as a team member.</t>
        </is>
      </c>
    </row>
    <row r="32">
      <c r="A32" t="inlineStr">
        <is>
          <t>li-4351714880</t>
        </is>
      </c>
      <c r="B32" t="inlineStr">
        <is>
          <t>Product Manager</t>
        </is>
      </c>
      <c r="C32" t="inlineStr">
        <is>
          <t>Underdog.io -Apply to top tech jobs in 60 seconds. A place where companies apply to you</t>
        </is>
      </c>
      <c r="D32" t="inlineStr">
        <is>
          <t>linkedin</t>
        </is>
      </c>
      <c r="E32" t="inlineStr"/>
      <c r="F32" t="inlineStr"/>
      <c r="G32" t="inlineStr"/>
      <c r="H32" t="inlineStr"/>
      <c r="I32"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33">
      <c r="A33" t="inlineStr">
        <is>
          <t>li-4362096650</t>
        </is>
      </c>
      <c r="B33" t="inlineStr">
        <is>
          <t>Product Manager, FXIP</t>
        </is>
      </c>
      <c r="C33" t="inlineStr">
        <is>
          <t>Derivative Path</t>
        </is>
      </c>
      <c r="D33" t="inlineStr">
        <is>
          <t>linkedin</t>
        </is>
      </c>
      <c r="E33" t="inlineStr"/>
      <c r="F33" t="inlineStr"/>
      <c r="G33" t="inlineStr">
        <is>
          <t>New York, NY</t>
        </is>
      </c>
      <c r="H33" t="inlineStr"/>
      <c r="I33" t="inlineStr">
        <is>
          <t>**Who We Are**
 Derivative Path empowers institutions across the capital markets with innovative, AI\-driven technology and expert advisory solutions. Our award\-winning cloud platform supports banks, credit unions, private equity firms, hedge funds, asset managers, and insurance companies in managing interest rate, FX, and commodity risks, optimizing hedging strategies, and streamlining cross\-border payments. With a client base spanning over 250 financial institutions and leading private equity firms, we deliver scalable solutions that enhance risk management and drive operational performance. Through strategic partnerships with Goldman Sachs, Wells Fargo, FNBO, Q2, and Jack Henry, we provide best\-in\-class capabilities to help clients achieve their financial objectives in an ever\-evolving market.
 With a team of seasoned professionals comprised of decades of industry experience, Derivative Path offers a flexible, hybrid work environment to its 125\+ employees with the ability to work remotely and from one of four offices in San Francisco, New York, Chicago, and Manila. The Company is dedicated to building a diverse environment and has an unwavering commitment to creating a sense of belonging for all employees.
**The Opportunity**
 As a Product Manager, you will own the execution of the product roadmap, lead large\-scale initiatives, and define features for our FX product suite serving regional and community bank clients. Reporting to the CPO, you will play a critical role in shaping product strategy and ensuring successful delivery across the full product lifecycle.
 This role requires strong leadership, a passion for market innovation, and a deep understanding of the needs of financial institution clients. You will collaborate closely with cross\-functional partners—including engineering, support, sales, and marketing, to deliver high\-impact solutions that align with our product vision and organizational objectives.
 The ideal candidate is a confident, client\-focused leader who can balance strategic thinking with hands\-on execution. You will guide the FX product team in delivering differentiated functionality, actively engage with clients and stakeholders, and use market insights to inform prioritization and drive continuous improvement.
**What You’ll Do**
* Evaluate and document the full functional scope and lifecycle of the FX product from client onboarding through payment processing, including reporting requirements.
* Identify functional and operational gaps in the product, classify impact of each, and prioritize for the development team.
* Work closely with the implementation team to create repeatable processes and innovative tools to expedite client onboarding.
* Own and execute the FX product roadmap, ensuring timely delivery of strategic initiatives.
* Lead complex, cross\-functional projects from concept through launch and ongoing optimization.
* Define product requirements and features grounded in client needs and market trends.
* Partner with engineering, sales, marketing, and support teams to drive product success.
* Engage directly with clients and stakeholders to gather feedback and validate solutions.
* Assist Sales by demonstrating the product to potential clients and identifying points of friction in the Sales cycle.
* Measure product performance and refine strategy to achieve business goals.
**Qualifications**
* 10\+ years relevant experience in product management
* Direct experience in payment processing or foreign exchange
* Excellent communications skills – written, verbal, and presentation
* Strong background in product development for the financial market
* Highly developed direct and indirect leadership skills
* Entrepreneurial spirit with a drive to innovate
* Knowledge of modern product management practices and Go\-To\-Market strategies
* Broad understanding of the commercial banking industry
**Location**
* Hybrid in NYC or California
**Benefits**
* Base salary, equity, and annual bonus as part of the compensation package
* 40 hours of sick leave
* 18 days of PTO
* Paid parental leave
* 401K contribution at 3%
* Competitive health benefits including HSA \&amp; FSA options, life insurance, and short\-term disability
 The expected salary for this position is $150,000 \- $170,000 and is eligible for a discretionary bonus and equity. We will consider your skills, experience, and location when determining your pay.
 Derivative Path is an equal opportunity employer and does not discriminate based on any of the following: race, religious creed, color, age, sex, sexual orientation, gender identity, gender expression or gender characteristic, national origin, religion, marital status, medical condition, physical or mental disability, military service or veteran status, pregnancy, childbirth and related medical conditions, or any other classification protected by federal, state, and local laws and ordinances. Derivative Path offers a comprehensive benefits package, including health, dental, vision, retirement plan contribution, and a generous paid time off policy.</t>
        </is>
      </c>
    </row>
    <row r="34">
      <c r="A34" t="inlineStr">
        <is>
          <t>li-4362105459</t>
        </is>
      </c>
      <c r="B34" t="inlineStr">
        <is>
          <t>Senior Product Manager – Identity Verification</t>
        </is>
      </c>
      <c r="C34" t="inlineStr">
        <is>
          <t>Entrust</t>
        </is>
      </c>
      <c r="D34" t="inlineStr">
        <is>
          <t>linkedin</t>
        </is>
      </c>
      <c r="E34" t="inlineStr"/>
      <c r="F34" t="inlineStr"/>
      <c r="G34" t="inlineStr"/>
      <c r="H34" t="inlineStr"/>
      <c r="I34" t="inlineStr">
        <is>
          <t>**Job Summary:** 
 We are seeking a dynamic
 **Senior Product Manager** 
 to lead the development and growth of our Identity Verification solutions. This role requires a strategic thinker and customer\-focused innovator who can drive product strategy, roadmap planning, and execution, ensuring our solutions meet the evolving needs of our customers in a digital\-first economy. Partnering with cross\-functional teams, the Senior Product Manager will help accelerate the adoption of Entrust’s identity verification products in North America, including Workforce / Know Your Employee (KYE) use cases.
**Key Responsibilities:** 
* **Product Strategy \&amp; Roadmap Development:**
* Define a market\-driven product vision aligned with organizational goals.
* Own and maintain the product roadmap, taking industry trends, customer feedback, and business objectives into account.
* Identify unique opportunities to innovate in the identity verification space while ensuring regulatory compliance and scalability across diverse industries.
* **Customer Research \&amp; Insights:**
* Analyze and deeply understand customer needs in identity verification workflows, including KYE processes, and risk reduction methods.
* Collaborate with sales and client engagement teams to synthesize client feedback, translating insights into impactful product decisions.
* **Cross\-Functional Collaboration:**
* Work closely with engineering, user experience design, marketing, and operations teams to ensure timely delivery of high\-quality solutions.
* Partner with business development and sales teams to identify go\-to\-market strategies and optimize product positioning.
* **Product Performance Monitoring:**
* Continuously monitor product adoption, competitive performance, and customer satisfaction metrics.
* Define KPIs and metrics for product success, offering regular updates to leadership.
* **Leadership \&amp; Stakeholder Management:**
* Drive engagement with internal stakeholders (executive teams, engineering, marketing teams) and external stakeholders (customers, partners, regulatory bodies) to ensure smooth development cycles and market readiness.
**Basic Qualifications:** 
* **Education:**
* Bachelor’s degree required; MBA or advanced degree preferred in business, technology, or related field.
* **Experience:**
* 8\+ years of product management experience, preferably in identity verification, IAM, CIAM or related industries.
* Demonstrated success in leading SaaS product launches and lifecycle management.
* Strong familiarity with Workforce IDV, IAM and Enterprise technology system and compliance frameworks, digital identities, biometrics.
* **Skills:**
* Strategic thinker with proven ability to dive into technical details while keeping long\-term goals in mind.
* Exceptional communication skills to convey vision and roadmap to internal and external teams.
* Proficiency in Agile product development methodologies.
* Strong analytical skills and experience with data\-driven decision\-making.
**Core Competencies:** 
* **Customer Focus:** 
 Passionate about understanding customer problems and innovating to deliver impactful solutions.
* **Technical Aptitude:** 
 Ability to grasp emerging identity verification technologies and translate them into product innovations.
* **Execution Excellence:** 
 Results\-driven mindset, able to ensure product deliverables meet deadlines and business goals.
* **Leadership:** 
 Empower cross\-functional teams by driving alignment and clarity on product goals.
**Preferred Qualifications:** 
* Previous experience within the identity management (IAM or CIAM), Digital Identity Verification, or adjacent industries.
* Previous experience with Workforce IDV / KYE, building product integrations with Enterprise ecosystem technologies and working with Tech partners.
**Where You Will Be:** 
 Where You Will Be: This role is fully remote for candidates based in the
 **United States** 
 , as outlined in the job description. Entrust operates with a distributed workforce, and this position will collaborate closely with our in‑office product development teams.
**About Entrust** 
 Entrust keeps the world moving safely by enabling trusted experiences for identities, payments, and digital infrastructure. We offer an unmatched breadth of solutions that are critical to enabling trust for multi\-cloud deployments, mobile identities, hybrid work, machine identity, electronic signatures, encryption, and more. With more than 2,800 colleagues, a network of global partners, and customers in over 150 countries, it’s no wonder the world’s most entrusted organizations trust us. For more information, visit www.entrust.com.
 For more information, visit www.entrust.com. Follow us on, LinkedIn, Facebook, Instagram, and YouTube
 Entrust Corporation is an EOE/AA/Veteran/People with Disabilities employer.
 Updated 12/22/2022
**\#LI\-GR1** 
**\#ENT123**</t>
        </is>
      </c>
    </row>
    <row r="35">
      <c r="A35" t="inlineStr">
        <is>
          <t>li-4349460405</t>
        </is>
      </c>
      <c r="B35" t="inlineStr">
        <is>
          <t>Senior Product Manager</t>
        </is>
      </c>
      <c r="C35" t="inlineStr">
        <is>
          <t>EnergyHub</t>
        </is>
      </c>
      <c r="D35" t="inlineStr">
        <is>
          <t>linkedin</t>
        </is>
      </c>
      <c r="E35" t="inlineStr"/>
      <c r="F35" t="inlineStr"/>
      <c r="G35" t="inlineStr"/>
      <c r="H35" t="inlineStr"/>
      <c r="I35" t="inlineStr">
        <is>
          <t>**About EnergyHub**
 EnergyHub empowers utilities and their customers to create a clean, distributed energy future. We help consumers turn their industrial loads, smart thermostats, EVs, batteries, and other products into virtual power plants that keep the grid stable and enable higher penetration of solar and wind power.
**About The Opportunity**
 We’re seeking a curious, experienced product manager to join the team, focusing on scaling our C\&amp;I product. Clients rely on EnergyHub to aggregate C\&amp;I resources together with other DERs in one platform for performant dispatch and settlement \- and there is plenty of room to innovate from there. This role will initially report to the Director of Product and will collaborate with stakeholders across the company, including other product managers, engineers, data scientists, sales, solutions engineering, client success, and strategy.
**Main Responsibilities: What you’ll do**
* Uncover insights from user research, analytics, market research, and input from cross\-functional partners, specifically focused on enhancing the C\&amp;I platform for utility program management and aggregator integration.
* Define, prioritize, build, document, and iterate on new product features through the lens of hypotheses and validation of those hypotheses.
* Lead the roadmap for C\&amp;I VPP functionality with a strategic and thoughtful prioritization of features for different partners and stages of the customer journey.
* Drive the product strategy for partner integration, ensuring the platform can manage a diverse DER ecosystem including Curtailment Service Providers (CSPs), Hardware OEMs and developers, Retail Electric Providers (REPs), and Installers.
* Improve scalability of the platform by evolving even more robust data pipelines, dashboards, and testing practices. Drive product features that enhance the explanation of results to aggregators and clients.
* Balance long\-term bets with short\-term improvements, optimizing for speed of learning and time to impact.
* Bring a fresh perspective to our team, offering suggestions we haven’t considered, pointing out problems that need to be solved, and helping us move forward in our mission.
**Required Skills and Experience: What you need**
* 5\+ years of software product management experience, including experience building Virtual Power Plant or energy management solutions, with a proven ability to break down complex problems into incremental product solutions and a track record of delivering demonstrable business impact.
* Deep data literacy: You might have prior experience as an Analyst or software engineer. You have an understanding of databases, and comfort engaging in design decisions. Your data analysis skills include the ability to write SQL queries, and familiarity with tools like Snowflake, dbt, Airflow and BI tools like Tableau and Sigma.
* Demonstrated experience aligning and influencing cross\-functional teams and diverse stakeholders.
* Strong organizational and project management skills, and a proactive communication style.
* Ability to think strategically and make tough prioritization decisions.
* Analytical abilities to frame the impact of your work and focus on commercial \&amp; client outcomes.
* Thoughtful use of AI to accelerate your own efforts, balanced with attention to detail and ownership of your own work. Please include a specific example from your work in your cover letter.
* A growth mindset and comfort with ambiguity.
* Passion for sustainability, clean energy, and driving positive environmental impact.
* (Preferred) Experience working in C\&amp;I energy management, demand response, virtual power plants, electric utilities, and/or energy markets.
* (Preferred) Significant experience with measurement and verification (M\&amp;V) methods and back\-end settlement in a demand response or utility billing environment.
**Why work for EnergyHub?**
* Collaborate with outstanding people: Our employees work hard, do great work, and enjoy collaborating and learning from each other.
* Make an immediate impact: New employees can expect to be given real responsibility for bringing new technologies to the marketplace. You are empowered to perform as soon as you join the team!
* Gain well rounded experience: EnergyHub offers a diverse and dynamic environment where you will get the chance to work directly with executives and develop expertise across multiple areas of the business.
* Work with the latest technologies: You’ll gain exposure to a broad spectrum of IoT, SaaS and machine learning obstacles, including distributed fault\-tolerance, device control optimization, and process modeling to support scalable interaction with disparate downstream APIs.
* Be part of something important: Help create the future of how energy is produced and consumed. Make a positive impact on our climate.
* Focus on fun: EnergyHub places high value on our team culture. Happy hours and holiday parties are important to us, but what’s also important is how our employees feel every single day.
**Company Information**
 EnergyHub is a growing enterprise software company that works with the most forward\-thinking companies in smart energy. Our platform lets consumers turn their smart thermostats, electric cars, water heaters, and other products into virtual power plants that keep the grid stable and enable higher penetration of solar and wind power. We work on technology that already provides energy and cost savings to millions of people through partnerships with the most innovative companies in the Internet of Things.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EnergyHub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Please note that sponsorship of new applicants for employment authorization, or any other immigration\-related support, is not available for this position at this time.
 The base salary range of this opportunity is listed below and is determined within a range based on factors including qualifications, location and experience. This allows opportunity for growth and development within the role. The base salary offered is part of a total compensation package.
 Base Salary Range
 $140,000—$160,000 USD</t>
        </is>
      </c>
    </row>
    <row r="36">
      <c r="A36" t="inlineStr">
        <is>
          <t>li-4348963456</t>
        </is>
      </c>
      <c r="B36" t="inlineStr">
        <is>
          <t>Principal Product Manager, Engagement</t>
        </is>
      </c>
      <c r="C36" t="inlineStr">
        <is>
          <t>Upstart</t>
        </is>
      </c>
      <c r="D36" t="inlineStr">
        <is>
          <t>linkedin</t>
        </is>
      </c>
      <c r="E36" t="inlineStr"/>
      <c r="F36" t="inlineStr"/>
      <c r="G36" t="inlineStr"/>
      <c r="H36" t="inlineStr"/>
      <c r="I36"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Growth team is dedicated to creating a seamless product experience that allows customers to effortlessly discover and access Upstart’s credit products, both for the first time and on an ongoing basis. By building exceptional, customer\-centric experiences, this team plays a crucial role in making Upstart the premier destination for consumer credit, driving growth and unifying Upstart’s product portfolio into a cohesive, multi\-product marketplace.
 As a Principal Product Manager focused on User Engagement, you’ll lead a core pillar of our Growth strategy – driving user activity, retention, and repeat usage through compelling, value\-driven product experiences. You will shape how customers interact with Upstart beyond the initial transaction, building our in\-product experience, and touchpoints that deepen trust, promote financial wellness, and ultimately unlock new monetization pathways.
 In this highly cross\-functional role, you'll operate at the intersection of product, design, engineering, data science, and marketing to reimagine how users stay engaged with our platform. You’ll balance bold bets with iterative testing, and combine behavioral insights with product mechanics to build delightful, habit\-forming experiences that serve both user needs and business outcomes.
**How You’ll Make An Impact**
* Define and deliver the vision for engagement across Upstart’s ecosystem, building experiences across web and mobile that keep users returning and pave the path to upsell and cross\-sell.
* Champion the user journey, crafting intuitive and rewarding experiences that build trust and increase lifetime value. You’ll partner with consumer research, product marketing, and data to ground your work in real\-world behaviors and motivations.
* Drive experimentation at scale, using rapid iteration and clear metrics to test what works. You’ll bring clarity to ambiguity by identifying levers for activation, retention, and repeat engagement, and aligning stakeholders around the most promising paths forward.
* Lead with influence, collaborating across product lines and teams to stitch together a cohesive experience across our suite of offerings, ensuring engagement efforts ladder up to shared company goals.
* Balance vision and execution, making strategic trade\-offs across short\-term optimization and long\-term differentiation. You'll help shape a roadmap that prioritizes measurable impact while investing in foundational capabilities for sustained growth.
**Minimum Qualifications**
* 10\+ years of product management experience, with a strong track record driving consumer engagement, growth, or retention for digital products.
* Deep fluency in product discovery and hypothesis\-driven development, including A/B testing, experimentation frameworks, and success metric definition.
* Exceptional collaboration skills, with a proven ability to align diverse stakeholders \- from executive leaders to cross\-functional partners \- around a shared strategy.
* A user\-first mindset, with the ability to distill complex customer insights into elegant, high\-utility product experiences.
* Strong judgment and prioritization skills, able to identify high\-leverage opportunities and navigate trade\-offs with confidence and clarity.
**Preferred Qualifications**
* Experience building consumer products for technology companies, preferably in highly regulated industries (financial services, healthcare, etc.)
* Proven track record of building and scaling multi\-product ecosystems or marketplaces in a B2C environment.
* Strong customer\-centric mindset with the ability to translate customer insights into actionable product features and enhancements.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$187,900—$260,000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37">
      <c r="A37" t="inlineStr">
        <is>
          <t>li-4342035032</t>
        </is>
      </c>
      <c r="B37" t="inlineStr">
        <is>
          <t>Senior Product Manager</t>
        </is>
      </c>
      <c r="C37" t="inlineStr">
        <is>
          <t>Campus</t>
        </is>
      </c>
      <c r="D37" t="inlineStr">
        <is>
          <t>linkedin</t>
        </is>
      </c>
      <c r="E37" t="inlineStr"/>
      <c r="F37" t="inlineStr"/>
      <c r="G37" t="inlineStr">
        <is>
          <t>New York, NY</t>
        </is>
      </c>
      <c r="H37" t="inlineStr"/>
      <c r="I37" t="inlineStr">
        <is>
          <t>**About Campus**
 Campus is on a mission to accelerate the talent of tomorrow and reimagine what college can (and should) be. The problem is clear: college costs have skyrocketed, but outcomes haven’t. Traditional college hasn’t kept up with the aspirations of today’s students—and they can’t afford to wait.
 At Campus, we’ve built a two\-year, accredited college where students learn from top professors at universities like Princeton, Stanford, and Howard, in live, online classes. Our students graduate with in\-demand business and AI skills—ready to launch their careers or transfer to top four\-year universities. Our unique approach is grounded in a pioneering technology platform and a heavily\-researched student success model that offers students dedicated advisors and on\-demand tutoring and coaching. We were also named one of Fast Company's Most Innovative Companies of 2024\.
 We’re backed by an exceptional investor team that believes deeply in our vision for the future of education, including General Catalyst, Founders Fund, Bloomberg Beta, 8VC, Rethink Education, Sam Altman, Jason Citron, Shaquille O’Neal, and others.
 The world has changed. Higher ed needs to catch up, and we’re leading the way \- come join us!
**About The Team**
 This role is a part of the Product, Engineering, and Design team: where our goal is to build great software that enhances and powers the student journey from first impression, all the way to graduation. This team is composed of builders , doers, and people with the genuine desire to change how higher education works.
**About The Role**
 Our Product team builds software that drives real impact for our students and internal teams. As a Senior Product Manager, you’ll own the entire product lifecycle—from idea to launch—and play a critical role in shaping what we build and why. You’ll dig deep to understand the challenges our students and teams face, define and prioritize what matters most, and deliver solutions that move us closer to our ambitious goals. If you thrive on ownership and love being in the weeds while still seeing the big picture, this role could be a great fit.
 We’re looking for a strategic builder who can connect the dots, sweat the details, and stay laser\-focused on outcomes. Campus is a product\-led company where great software and an exceptional student experience go hand in hand.
**You’re Excited About This Opportunity Because You Will…**
* Own the vision, strategy, and roadmap for a Campus product
* Deeply understand customers pain points and turn them into great products with a team of world\-class engineers and designers
* Consistently be able to break down and move from an ambiguous problem into a viable solution across a variety of projects and workstreams
* Drive the high\-velocity execution for the one of the core user groups we serve at Campus, backed by data\-driven decision making
* Help thousands of students successfully earn their degree at Campus by expanding the capabilities of our product
* Contribute to evolution of Campus product management practices as we scale
* Get comfortable with rapid prototyping, and leveraging AI tooling in our workflows
**We’re Excited About You Because…**
* 5\+ years of product management or software experience, with a track record of shipping great work.
* Strong customer empathy and design thinking
* Low ego, high EQ, and a strong collaborator.
* Fluency in data and making data\-driven product decisions, while also trusting your gut
* You know how to ruthlessly prioritize, think clearly about trade\-offs
* Demonstrated ability to lead and influence small teams of engineers \&amp; designers toward a common goal
* Excellent communication and storytelling skills
* Move fast, can tackle ambiguous problems, and sweat the details
**What You’ll Get**
* A compensation package that includes a base salary ($130K \- $170K) \+ equity grant
+ Actual compensation within the pay range will be decided based on factors including, but not limited to, skills, prior relevant experience, and specific work location. For roles that are available to be filled remotely, base salary is localized according to employee work location.
* Medical Insurance \+ free Dental and Vision Insurance
* 401(k) match
* “Take what you need” PTO \+ several paid holidays
* In\-office lunches for our NY Office (did we mention, we’re dog friendly? 🐶)
* Flexible working hours \&amp; a hybrid work schedule (Mon \&amp; Fri remote; Tues\-Thurs in\-office)
* Social events \- happy hours, birthday celebrations, holiday parties, \&amp; more
* Opportunity to make an impact – you’ll be an integral player in bringing our vision to life
**Where we’re located:** 
 Tribeca, NY
 Unfortunately, we are unable to offer new H\-1B visa sponsorship for this position. Candidates must already be authorized to work in the U.S. without requiring new H\-1B sponsorship. However, we can support H\-1B transfers and are able to sponsor TN visas for eligible Canadian and Mexican citizens.</t>
        </is>
      </c>
    </row>
    <row r="38">
      <c r="A38" t="inlineStr">
        <is>
          <t>li-4341145231</t>
        </is>
      </c>
      <c r="B38" t="inlineStr">
        <is>
          <t>Senior Product Manager, IT</t>
        </is>
      </c>
      <c r="C38" t="inlineStr">
        <is>
          <t>Upstart</t>
        </is>
      </c>
      <c r="D38" t="inlineStr">
        <is>
          <t>linkedin</t>
        </is>
      </c>
      <c r="E38" t="inlineStr"/>
      <c r="F38" t="inlineStr"/>
      <c r="G38" t="inlineStr"/>
      <c r="H38" t="inlineStr"/>
      <c r="I38"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As a Senior Product Manager within Upstart’s IT team, you’ll define and drive the next generation of enterprise\-level products and capabilities that power every Upstarter. The IT team delivers foundational tools such as Google Workspace, Slack, VPN connectivity, and video conferencing — as well as custom\-developed solutions that automate workflows, integrate systems, and enhance employee productivity.
 As part of Upstart’s GenAI transformation, we’re reimagining how employees access knowledge, collaborate, and leverage intelligent automation. You’ll lead this transformation by defining the vision, strategy, and roadmap for GenAI\-enabled enterprise solutions — turning complex technical capabilities into intuitive, high\-impact products that empower every employee.
***Position Location \-***
 This role is available in the following locations: Remote; San Mateo, CA; Columbus, OH
***Travel Requirements \-***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the IT team meets quarterly for 4\-5 consecutive days at a time.
**How you’ll make an impact:**
* Lead the product strategy and execution for Upstart’s GenAI\-enabled enterprise productivity solutions, shaping the future of internal tools and employee experiences.
* Translate strategy into action by writing clear, actionable product requirements and success criteria, collaborating closely with key business stakeholders.
* Establish clear success metrics to evaluate adoption, impact, and continuous improvement across GenAI and productivity solutions.
* Partner with cross\-functional teams (Engineering, InfoSec, People, and Operations) to ensure solutions meet business, compliance, and user experience goals.
* Continuously evaluate and optimize existing productivity tools, identifying opportunities for integration, automation, or reimagination.
* Champion employee experience by ensuring every product improves accessibility, discoverability, and productivity for all Upstarters.
**What we’re looking for:**
* Minimum requirements:
+ 6\+ years of Product Management experience, with at least 3 years focused on enterprise, SaaS, or internal platform products.
+ Proven ability to lead cross\-functional initiatives from concept through delivery.
+ Strong technical acumen with experience collaborating closely with engineers on APIs, integrations, and automation workflows.
+ Demonstrated success in defining product strategy and delivering measurable impact.
+ Excellent communication skills, with the ability to align technical and non\-technical stakeholders.
+ Passion for creating seamless, impactful internal user experiences.
* Preferred qualifications:
+ Experience delivering GenAI, LLM, or automation\-driven productivity products.
+ Familiarity with enterprise collaboration tools and ecosystems (Google Workspace, Slack, Okta, etc.).
+ Understanding of enterprise data security, access control, and knowledge management.
+ Prior experience in IT or internal platform product management.
+ Relevant certifications or background in AI, product strategy, or enterprise systems.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$162,100—$224,500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39">
      <c r="A39" t="inlineStr">
        <is>
          <t>li-4346614412</t>
        </is>
      </c>
      <c r="B39" t="inlineStr">
        <is>
          <t>Product Manager II</t>
        </is>
      </c>
      <c r="C39" t="inlineStr">
        <is>
          <t>Microsoft</t>
        </is>
      </c>
      <c r="D39" t="inlineStr">
        <is>
          <t>linkedin</t>
        </is>
      </c>
      <c r="E39" t="inlineStr"/>
      <c r="F39" t="inlineStr"/>
      <c r="G39" t="inlineStr">
        <is>
          <t>Redmond, WA</t>
        </is>
      </c>
      <c r="H39" t="inlineStr"/>
      <c r="I39" t="inlineStr">
        <is>
          <t>**Overview**
 Windows 365 is a cloud service that provides a new way for organizations of all sizes to experience Windows 10 or Windows 11\. By streaming the full Windows experience—including apps, data, and settings—from the Microsoft cloud to personal or corporate devices, Windows 365 helps organizations support secure, flexible, and productive work from anywhere. Built on Zero Trust principles, Windows 365 stores information in the cloud rather than on the device, helping protect company data while enabling a consistent and personalized experience for users.
 Windows 365 also defines a new hybrid computing category, the Cloud PC, which blends the power of the cloud with the capabilities of the device. This innovation supports organizations navigating hybrid work models with a distributed workforce.
 The Windows 365 engineering team is growing, and we are developing new capabilities that help customers take advantage of modern technologies for virtualized applications and desktops hosted on Azure.
 As a Product Manager on the Windows 365 team, you will contribute to defining and evolving customer‑focused product capabilities. In this role, you will deepen your knowledge of desktop virtualization and related technologies across Windows, Office, Azure, and Microsoft 365\. You will work alongside engineers, designers, and cross‑functional partners to design features that increase value for customers and partners. This role may include participating in customer and partner discussions to gather insights that inform product improvements.
 Microsoft’s mission is to empower every person and every organization on the planet to achieve more. We work with a growth mindset, innovate to empower others, and collaborate to achieve shared goals. Our culture is built on respect, integrity, and accountability, fostering an inclusive environment where everyone can thrive.
**Responsibilities**
 You will contribute to shaping the cloud experience by working with architects and partner teams across Microsoft and the industry.
**On Our Team, You Will**
* Maintain a strong focus on understanding customers’ current needs and future direction to inform product decisions.
* Work in close partnership with diverse peers across design, hardware, product management, software development, business development, and marketing to support long‑term product success.
* Partner with architects and technical leaders to support the delivery of reliable and sustainable technical designs.
* Collaborate closely with internal partner teams when engineering or business dependencies exist.
* Engage with external partners to understand their needs quickly and identify areas of alignment that benefit both organizations.
* Embody our Culture and Values
**Qualifications**
**Required Qualifications**
* Bachelor's Degree AND 2\+ years’ experience in product/service/program management or software development.
* OR equivalent experience.
**Other Requirements**
 Ability to meet Microsoft, customer, and/or government security screening requirements is required for this role. These requirements include but are not limited to the following specialized security screenings:
* Microsoft Cloud Background Check: This position requires passing the Microsoft Cloud Background Check upon hire/transfer and every two years thereafter.
**Preferred Qualifications**
* Experience with User Experience (UX).
* Experience solving enterprise customer problems.
* Experience writing clear business, technical, or product outcome documents.
* Experience using Azure\-based services or Microsoft Intune.
* Experience contributing to or building AI‑powered product features.
* Experience presenting technical topics in customer‑facing or public settings.
* Experience working directly with customers to gather requirements and inform product decisions.
* Experience working across teams to shape product plans and drive execution.
* Ability to analyze details and drive decisions to resolve issues.
* Experience using AI tools to support product or technical workflows.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0">
      <c r="A40" t="inlineStr">
        <is>
          <t>li-4365111069</t>
        </is>
      </c>
      <c r="B40" t="inlineStr">
        <is>
          <t>Product Manager</t>
        </is>
      </c>
      <c r="C40" t="inlineStr">
        <is>
          <t>Machinify</t>
        </is>
      </c>
      <c r="D40" t="inlineStr">
        <is>
          <t>linkedin</t>
        </is>
      </c>
      <c r="E40" t="inlineStr"/>
      <c r="F40" t="inlineStr"/>
      <c r="G40" t="inlineStr">
        <is>
          <t>Palo Alto, CA</t>
        </is>
      </c>
      <c r="H40" t="inlineStr"/>
      <c r="I40"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Product Manager \| Technical Data
**About Machinify**
 Machinify is a leading healthcare intelligence company formed through the combination of five payment integrity industry leaders: The Rawlings Group, Apixio Payment Integrity, VARIS, Machinify's AI platform, and Performant Healthcare. Backed by New Mountain Capital and valued at approximately $5 billion, we serve over 60 health plans including many of the top 20, representing more than 160 million lives.
 We are building a unified AI\-powered platform that transforms healthcare payments by combining revolutionary technology, clinical expertise, and rich data assets to deliver unmatched value, transparency, and efficiency across the payment continuum.
 Position Summary
 We are hiring a
 **Senior Technical Data Product Manager** 
 to drive the data product roadmap in close partnership with data engineering and architecture leadership. Reporting to the Sr. Director of Product Management for Platform \&amp; Data, you will work alongside the VP of Data Engineering, CTO, and technical leads to translate business needs into product requirements and coordinate execution across teams.
 This role requires someone exceptional at three critical capabilities:
 **deeply understanding complex current state** 
 ,
 **envisioning and defining compelling future state** 
 , and
 **executing at extraordinary velocity** 
 to bridge the two. The right candidate will rapidly assess the landscape, build credibility across technical teams, and ship measurable value quickly—we expect clear thinking on product direction within the first 90 days and demonstrable impact on team velocity shortly after.
 You will partner with data engineering, data science, and platform engineering leadership to define and deliver data products and capabilities that enable product teams across coordination of benefits, subrogation, audit, pharmacy payment integrity, and complex claims solutions. You will serve as the connective tissue between business requirements and technical execution, coordinating the consolidation of disparate legacy systems into modern, unified infrastructure while enabling new product capabilities.
 This is a hands\-on technical role requiring prior experience as a
 **data engineer, data scientist, or analytics engineer** 
 . You must be comfortable writing SQL, reviewing data architectures, and engaging substantively in technical discussions. You will work across multiple legacy platforms, each with different technologies, cultures, and tribal knowledge—requiring exceptional ability to influence without direct authority.
 Core Responsibilities
 Product Strategy and Planning
* Assess current state rapidly: Work with data engineering and architecture teams to understand complex legacy landscapes—what exists, where critical information lives, and how systems actually work
* Contribute to future state vision: Partner with VP Data Engineering, CTO, and architecture leads to shape target data architectures, canonical models, and platform capabilities that will scale to support product teams
* Develop product roadmap: Translate business priorities into data product requirements, working with technical leadership to sequence initiatives and balance migration work, new capabilities, and product enablement
* Support technical evaluations: Contribute product perspective to build vs. buy decisions, technology evaluations (lakehouse formats, real\-time processing, AI\-powered automation), and architectural choices
* Define and track success metrics: Establish product\-level OKRs, track adoption across product teams, and communicate progress to stakeholders
 Execution and Coordination
* Drive cross\-functional delivery: Coordinate data initiatives from requirements through production, working across data engineering, data science, platform engineering, and product teams
* Unblock relentlessly: Identify and resolve dependencies, bottlenecks, and blockers before they slow down team velocity
* Navigate complexity: Find critical information scattered across legacy platforms, undocumented systems, and tribal knowledge; synthesize insights and create clarity
* Facilitate decisions: Build consensus across teams with competing priorities and different technical opinions
* Leverage AI extensively: Use LLMs and AI\-powered tools to accelerate analysis, documentation, SQL generation, information synthesis, and decision\-making
* Establish lightweight visibility: Create metrics, dashboards, and reporting that provide insight without creating overhead
 Technical Collaboration and Product Enablement
* Partner with technical leadership: Work closely with data engineering, data science, and architecture leads—contributing product perspective while respecting their technical expertise and domain ownership
* Translate requirements: Convert product team needs into clear technical requirements that engineering teams can execute against
* Enable product teams: Ensure downstream product teams can successfully consume data platform capabilities through clear interfaces, documentation, and support
* Participate in technical discussions: Engage substantively in reviews of ETL pipelines, data models, distributed architectures, and platform decisions
* Bridge stakeholders: Translate complex technical concepts into business value for executives and product teams; bring business context to technical discussions
 What You'll Work On
 You will partner with data engineering, data science, and platform teams on initiatives such as:
**Data consolidation and unification** 
 across legacy platforms—working with engineering teams to coordinate migrations to unified infrastructure while maintaining production stability and enabling parallel product development
**Canonical data model development** 
 —collaborating with data engineering and data science leadership to define product requirements for production\-ready models covering medical claims, pharmacy claims, eligibility, and other core healthcare entities
**Platform modernization** 
 —contributing product perspective to technical evaluations and roadmaps for lakehouse adoption, OLAP/OLTP separation, real\-time processing capabilities, and distributed architecture patterns
**AI\-powered automation** 
 —partnering with technical teams to evaluate and implement LLM\-based approaches that accelerate ETL development, data transformation, and migration workflows
**Data discovery and cataloging** 
 —working with engineering to define requirements for capabilities that help teams understand what data exists, where it lives, how to access it, and what it means
**Product team enablement** 
 —ensuring downstream product teams can successfully consume data platform capabilities through clear interfaces, comprehensive documentation, and responsive support
 These represent current focus areas but the role will evolve based on business priorities, strategic direction, and technical roadmap.
**Required Qualifications**
 Experience Requirements
* 10\+ years total professional experience
* 5\+ years in product management roles
* Prior hands\-on experience as data engineer, data scientist, or analytics engineer (required)
* Proven track record shipping data products or platforms used by internal/external teams
* Experience driving execution in matrixed organizations without direct authority
* Demonstrated ability to assess complex technical landscapes and define future\-state architectures
 Technical Skills (Must\-Have)
* Data architecture expertise: Deep understanding of data modeling, normalization/denormalization, distributed systems, batch/streaming patterns, ETL/ELT design
* Advanced SQL proficiency: Write complex queries, optimize performance, understand CDC patterns, validate data quality
* Cloud data infrastructure: AWS preferred (S3, Spark, RDS, DMS, Glue) or equivalent GCP/Azure experience
* Modern data stack fluency: Knowledge of data warehouses, lakehouse formats, orchestration tools (Airflow), transformation frameworks (DBT), BI platforms
* Analytical rigor: Define metrics, analyze data, make data\-driven decisions, identify patterns across complex systems
 Product Management Excellence (Must\-Have)
* Strong stakeholder management across technical teams (data engineering, data science, platform) and business audiences
* Ability to translate complex technical architectures into business outcomes and vice versa
* Experience defining product vision, building roadmaps, and measuring success
* Proven influence without direct authority—building consensus through credibility and data\-driven arguments
* Excellent written and verbal communication across all organizational levels
* Agile/Scrum methodology experience
 Critical Success Factors
**Current State Mastery:** 
 Exceptional ability to rapidly understand complex legacy systems—navigating five different platforms with different data models, ETL patterns, and team cultures to discover how things actually work
**Future State Vision:** 
 Can envision target architectures that will scale 10\-100x beyond current state, articulate why they matter, and define pragmatic paths to get there
**Execution Velocity:** 
 Move with extraordinary speed from analysis to decision to implementation. Bias toward shipping 80% solutions today over 95% solutions next quarter. Understand that speed is a competitive advantage.
**AI\-Augmented Productivity:** 
 Active, sophisticated use of AI tools (ChatGPT, Claude, Copilot, etc.) to accelerate analysis, generate SQL, synthesize information, draft documentation, and make faster decisions than traditional approaches
**Technical Credibility:** 
 Data engineering and data science teams respect you because you can engage substantively in architectural discussions, understand their constraints, and spot issues before they become problems
**Cross\-Boundary Navigation:** 
 Excel at finding critical information across disparate systems and tribal knowledge; build trust across teams with different cultures and priorities; serve as connective tissue in high\-pressure environments
**Systems Thinking:** 
 Understand second and third\-order effects of architectural decisions across platform, products, and operations
**Preferred Qualifications**
* Experience with LLM/AI applications for data transformation, code generation, or workflow automation
* Python proficiency for data analysis, prototyping, or understanding engineering implementations
* Prior data platform migrations or consolidations at significant scale
* Healthcare payment integrity, payer operations, or regulated industry experience
* Hands\-on experience with Snowflake, Databricks, Kafka, Fivetran, or similar modern data platforms
* Background in distributed systems, database internals, or data\-intensive applications
* Fast\-paced startup or high\-growth company experience
 Why This Role Matters
**Transformational Impact:** 
 Your work enables product teams serving 160M\+ lives to ship faster and unlocks significant business value across coordination of benefits, subrogation, audit, and payment integrity
**Technical Depth:** 
 Engage substantively in cutting\-edge architecture decisions—lakehouse formats, distributed systems, real\-time processing, LLM\-powered automation—not just coordinate meetings
**Unique Challenge:** 
 Navigate five legacy platforms with different data models, technologies, and cultures—partnering with technical leadership to shape unified future state in a once\-in\-career data consolidation opportunity
**Execution Autonomy:** 
 We value speed over process. Fast decision\-making and shipping results matter more than perfect planning
**AI\-First Environment:** 
 We use Claude, LLMs, and AI\-powered tools extensively throughout the organization. You're expected to leverage AI to move faster than traditional approaches
**Strategic Partnership:** 
 Work alongside VP Data Engineering, CTO, and architecture leadership to shape data platform serving dozens of product teams and supporting a $5B healthcare intelligence platform
 Team and Culture
**Reporting Structure:** 
 Sr. Director of Product Management, Platform \&amp; Data
**Key Partnerships**
* VP of Data Engineering and CTO (primary technical partners for strategy and architecture)
* Data Engineering leadership (Eric, Andre, Sam)
* Data Science teams
* Platform Engineering teams
* Product teams across COB, Subrogation, Audit, Pharmacy PI, Complex Claims
* Architecture and Technical Strategy leadership
 You will work in close partnership with the VP of Data Engineering and CTO, bringing the product lens to technical strategy discussions while they own engineering execution and technical architecture. Your role is to translate business needs into product requirements, coordinate across teams, and ensure data initiatives deliver value to product organizations.
**Culture**
* Fast\-paced with bias toward action over analysis paralysis
* Technically deep—we respect engineering expertise and engage substantively
* Lightweight processes that accelerate rather than burden
* Remote\-first with occasional travel for strategic planning (\~quarterly)
* Sophisticated use of AI tools to augment productivity expected and encouraged
**Technical Environment**
* Current: Postgres (Citus), Apache Spark, AWS (S3, DMS, RDS), Python, SQL
* Evolving: Lakehouse formats (Delta Lake/Iceberg), streaming capabilities, unified data architecture, LLM\-powered automation
* Scale: Hundreds of millions of records, petabyte\-range data, multi\-tenant architecture, dozens of data sources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41">
      <c r="A41" t="inlineStr">
        <is>
          <t>li-4361967409</t>
        </is>
      </c>
      <c r="B41" t="inlineStr">
        <is>
          <t>Sr Product Manager</t>
        </is>
      </c>
      <c r="C41" t="inlineStr">
        <is>
          <t>RemoteHunter</t>
        </is>
      </c>
      <c r="D41" t="inlineStr">
        <is>
          <t>linkedin</t>
        </is>
      </c>
      <c r="E41" t="inlineStr"/>
      <c r="F41" t="inlineStr"/>
      <c r="G41" t="inlineStr"/>
      <c r="H41" t="inlineStr"/>
      <c r="I41" t="inlineStr">
        <is>
          <t>About the Opportunity:
 A rapidly growing SaaS company is transforming how Durable Medical Equipment (DME) and Home Medical Equipment (HME) providers operate through an all\-in\-one platform that streamlines business operations. The Sr Product Manager will lead and expand the product team, driving product vision, roadmap, and execution to support clients’ goals and maintain the platform’s market leadership.
 Responsibilities:
 • Develop and own the product vision and roadmap aligned with business goals and customer needs
 • Collaborate with internal teams to deliver products on time and within scope
 • Identify opportunities to improve and expand the platform using market research, customer feedback, and emerging technologies
 • Assess and prioritize product initiatives based on market demand, customer feedback, and ROI
 • Communicate the vision and roadmap to internal teams, customers, and executives
 • Define and track key performance indicators (KPIs) to evaluate product success
 • Partner with Customer Success and Sales teams to understand user pain points and refine the product
 • Develop processes and frameworks to support efficient product development and delivery in a fast\-paced environment
 Requirements:
 • 5\+ years of product development experience with at least 3 years in a leadership role in a SaaS environment
 • Solid understanding of AI/ML tools, frameworks, and practical applications
 • Ability to interpret complex data and translate it into actionable product insights
 • Proven ability to bring new products and features to market with measurable business outcomes
 • Experience engaging with stakeholders at all levels and clearly articulating product vision
 • Deep knowledge of Agile and iterative development processes
 • Proficiency with product tools such as Jira and Confluence
 • Strong focus on understanding customer needs and delivering exceptional user experiences
 Bonus Points:
 Experience working with SaaS solutions in the healthcare industry
 Benefits \&amp; Perks:
 • Fully remote role
 • Must be based in the U.S. or Canada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2">
      <c r="A42" t="inlineStr">
        <is>
          <t>li-4326542257</t>
        </is>
      </c>
      <c r="B42" t="inlineStr">
        <is>
          <t>Product Manager</t>
        </is>
      </c>
      <c r="C42" t="inlineStr">
        <is>
          <t>MiQ</t>
        </is>
      </c>
      <c r="D42" t="inlineStr">
        <is>
          <t>linkedin</t>
        </is>
      </c>
      <c r="E42" t="inlineStr"/>
      <c r="F42" t="inlineStr"/>
      <c r="G42" t="inlineStr">
        <is>
          <t>New York, United States</t>
        </is>
      </c>
      <c r="H42" t="inlineStr"/>
      <c r="I42" t="inlineStr">
        <is>
          <t>**Job Description**
****Role: Product Manager**
**Location: New York City, NY****
**The Opportunity**
**We’re MiQ, a global programmatic media partner for marketers and agencies. Our people are at the heart of everything we do, so you will be too. No matter the role or the location, we’re all united in the vision to lead the programmatic industry and make it better. The product team is pivotal in realizing company goals by building successful and innovative tech solutions in the US market across our core products and emerging channels. The Product Manager is responsible for building vertical\-specific products and partnerships with cross\-functional teams and deploying them to market to gain adoption. The Product Manager will own the Measurement and Attribution Products for the Healthcare vertical, which includes gathering requirements to build, test, and launch best\-in\-class Measurement products.**
**What You'll Be Doing**
****As a****
**Product Manager** 
****in our US Product department, you’ll have the chance to:****
* Align with key stakeholders, including clients, on business needs to gather product requirements
* Own the ideation, technical development, launch and adoption of the products you build
* Drive product development with cross\-functional teams including engineering, data science, analytics.
* Build and maintain short term and long\-term product roadmap
* Liaison with external partners to facilitate the data operations required for Measurement and Attribution products
* Ensure features meet demands via extensive testing and customer feedback
* Define product KPIs and metrics to track success of the product and inform continuous development
* Create documentation and collateral that describe feature sets for internal and external audiences
* Support sales via training, onboarding and ongoing support of customer initiatives using new products
****What you’ll bring****
* Ability to multi\-task in a fast\-paced, results\-oriented organization
* Prior product management experience of at least 2 years and demonstrate ability to manage at least 1 product or multiple feature\-sets in a year.
* Understanding and knowledge of the advertising technology ecosystem (CTV/Display/Audio, DMPs, DSPs, SSPs, Ad Servers), what they do, how they’re bought, and how they work together.
* Background in programmatic, digital, campaign management is desired
* Will be good to have familiarity with Identity Solutions partners (ie LiveRamp) and Healthcare Advertising partners (ie PurpleLab, Crossix, IQVIA, Swoop)
* Experience working with engineering, data science and other technical departments as key stakeholders
* Experience in presenting product ideas and gathering feedback from external stakeholders
* Excellent written and communication skills.
* A can\-do attitude, enthusiasm for the AdTech space, with a dream to grow alongside us.
**Who You Are**
**YOUR PERSONALITY**
**We love different personalities at MiQ and strive to build teams constructed with diverse backgrounds and inclusive points of view. That said, we firmly believe that our values bring us together and we look for people who align with our values below.**
* Passion – We love and live what we do.
* Determination – We always find a way to ‘figure it out’.
* Unity – We hold each other accountable. We win and lose as a team.
* Agility – We anticipate the unexpected, embrace and adapt to change.
* Courage – We dare to think unconventionally.
**Who We Are**
**We’re MiQ, a programmatic media partner for marketers and agencies. We connect data from multiple sources to do interesting, exciting, business\-problem\-solving things for our clients. We’re experts in data science, analytics and programmatic trading, and we’re always ready to react and solve challenges quickly, to make sure our clients are always spending their media investments on the right things in the right places.**
**Our business keeps growing and our company keeps getting better because we keep hiring smart new people.**
**People who can challenge conventions and shake things up. People who want to connect with people all over the world to make great things happen. People who are as excited by the opportunities of programmatic marketing as us.**
**If that sounds like you, we’d love to hear from you.**
**WORKING AT MIQ**
**Benefits \&amp; Perks \- Us Market**
* Health benefits \- covering medical, dental, vision with HSA and FSA options
* Company paid basic life and long\-term disability plans
* An Employee Assistance Program (EAP)
* Paid maternity and paternity leave
* A Nursing Mother’s Program
* Generous PTO policy in addition to paid holidays
* Tax Free Benefits (Commuter/Health/Dependent Care)
* Inter\-office travel opportunities and a company\-sponsored trip (ask us about this!)
* Continuous education and training
* An open office and casual work atmosphere
**Pay Transparency**
**For individuals assigned and/or hired to work in New York City, MiQ is required by law to include a reasonable estimate of the compensation range for this role. This compensation range is specific to New York City and takes into account the wide range of factors that are considered in making compensation decisions including but not limited to skill sets; experience and training; licensure and certifications; and other business and organizational needs. At MiQ, it is not typical for an individual to be hired at or near the top of the range for their role and compensation decisions are dependent on the facts and circumstances of each case. A reasonable estimate of the current compensation range for this position is** 
***$110,000\-120,000\.***
**This range may vary for positions outside of New York City as it has not been adjusted for the applicable geographic differential associated with the location where the position may be filled and does not take into account our bonus and commission structures.**
**Regardless of location, candidates can expect during the first few conversations with MiQ’s Talent team and Hiring Managers to share any approved budget and details on our competitive bonus and commission packages. Please take a moment to view the MiQ I.D.E.A. Report to learn more about our approach to creating equitable compensation for our people.**
***Apply Today***
***Equal Opportunity Employer***
***E\-Verify Employer***
**Pay Range**</t>
        </is>
      </c>
    </row>
    <row r="43">
      <c r="A43" t="inlineStr">
        <is>
          <t>li-4336585402</t>
        </is>
      </c>
      <c r="B43" t="inlineStr">
        <is>
          <t>Product Manager | Travel</t>
        </is>
      </c>
      <c r="C43" t="inlineStr">
        <is>
          <t>Ramp</t>
        </is>
      </c>
      <c r="D43" t="inlineStr">
        <is>
          <t>linkedin</t>
        </is>
      </c>
      <c r="E43" t="inlineStr"/>
      <c r="F43" t="inlineStr"/>
      <c r="G43" t="inlineStr">
        <is>
          <t>San Francisco, CA</t>
        </is>
      </c>
      <c r="H43" t="inlineStr"/>
      <c r="I43"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the Lead Product Manager for Ramp Travel, you will own the vision, strategy, and roadmap for Ramp’s next generation of travel products—spanning core booking, traveler experiences, and upmarket solutions. Your mission is to create a travel experience employees actually love, while ensuring finance teams gain the control and efficiency they need. Your scope will include:
* Ramp Travel booking – evolving our booking platform into a best\-in\-class product that blends consumer\-grade delight with business\-grade control.
* Traveler experiences – building products that go beyond booking and spend, covering everything from travel policy and per diem to emerging use cases like group travel, offsite planning, and AI\-powered concierge experiences.
* Upmarket solutions \&amp; partnerships – shaping how Ramp scales travel for larger, more complex organizations, whether through integrations, partnerships, or new platform models.
 In this 0→1 role, you’ll be responsible for finding product–market fit, making bold strategic bets, and building business lines with a GM\-like mindset. You’ll experiment, prototype, and ship AI\-powered workflows and agents that reimagine corporate travel—automating compliance, personalizing booking, and delivering experiences employees and finance teams can’t imagine going back from.
 We’re looking for someone passionate about redefining business travel: bringing the delight, simplicity, and personalization of the best consumer apps into the corporate setting. With the new possibilities AI unlocks, you’ll create innovative, intelligent experiences that make legacy approaches to business travel feel obsolete. You’ll partner closely with design, engineering, operations, and external partners to deliver a category\-defining travel platform.
**What You'll Do**
* Own the vision, strategy, and roadmap for Ramp’s travel products
* Drive high\-velocity execution with a world\-class team of engineers and designers, balancing principled intuition with data\-driven decision making
* Marry customer insights with technical possibilities, crafting intuitive user experiences that abstract away complexity
* Prototype rapidly using tools like Cursor and Bolt to accelerate the product development lifecycle and fast\-forward to production\-ready products
* Stay deeply plugged into AI research, industry trends, and emergent applications, filtering signal from noise and applying it creatively to Ramp’s product
* Collaborate with external partners and internal teams to extend Ramp’s reach and deliver differentiated solutions in the Travel space
**What You Need**
* BA/BS in a technical or analytical field (e.g. Computer Science, Engineering, Information Systems, Analytics, Mathematics, Physics, Applied Sciences, or related)
* Minimum 5 years of product management or adjacent product\-building experience.
* Strong customer empathy and design thinking
* Passion for AI, shown through hands\-on building, prototyping, or side projects, and staying current on research and tools.
* Fluency with core LLM concepts and systems, such as prompting, fine\-tuning, embeddings, retrieval, and evaluation, and the judgment to translate these into reliable, user\-facing products.
* Fluency with modern prototyping tools (e.g. Cursor, Bolt, Claude Code) and comfort with design/collaboration environments like Figma and Git.
* Fluency in data and experimentation, and understanding when the answer cannot be found in the data
* Proven ability to lead small, cross\-functional teams toward ambitious goals with urgency and agency.
* Ability to translate between technical and non\-technical audiences, synthesizing complex systems into compelling narratives.
* Excellent communication and storytelling skills
**Nice\-to\-Haves**
* Experience building AI\-powered products
* Experience in high\-growth startups, especially driving 0→1 products to scale
* Experience building consumer products with exceptional UX, with a strong eye for bringing consumer\-grade simplicity and delight into complex workflows
* Experience working with external partners, platforms, or integrations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44">
      <c r="A44" t="inlineStr">
        <is>
          <t>li-4311152460</t>
        </is>
      </c>
      <c r="B44" t="inlineStr">
        <is>
          <t>Senior Product Manager</t>
        </is>
      </c>
      <c r="C44" t="inlineStr">
        <is>
          <t>MongoDB</t>
        </is>
      </c>
      <c r="D44" t="inlineStr">
        <is>
          <t>linkedin</t>
        </is>
      </c>
      <c r="E44" t="inlineStr"/>
      <c r="F44" t="inlineStr"/>
      <c r="G44" t="inlineStr"/>
      <c r="H44" t="inlineStr"/>
      <c r="I44" t="inlineStr">
        <is>
          <t>We are seeking a strategic, hands\-on Senior Product Manager to own and drive the roadmap for our Talent Management and Employee Experience technology platforms, specifically SuccessFactors Talent Management modules (Performance \&amp; Goals, Succession Planning, Career Development Planning) and Qualtrics HXM (engagement, lifecycle surveys, 360 feedback).
 You will define the vision, shape the roadmap, and lead delivery for these products, ensuring they align with business priorities, user needs, and IT architectural direction. Acting as the voice of the user, you will partner with stakeholders across HR, business operations, and IT to deliver high\-quality, scalable solutions that improve employee performance, leadership pipelines, and engagement outcomes.
 This role can be based remotely in the United States region.
 Core Responsibilities
 Product Strategy \&amp; Vision
* Define and clearly communicate the vision and long\-term roadmap for Talent Management and Employee Experience systems
* Align product roadmaps with company strategy, People Team goals, and enterprise IT architecture
* Translate business strategies and operational needs into actionable product strategies and detailed delivery plans
* Continuously evaluate market trends, best practices, and innovations in talent management and engagement technologies
 Stakeholder Engagement
* Partner with HR and other business teams to understand pain points, uncover opportunities, and align on priorities
* Be the voice of the user—employees, managers, HRBPs, leaders—in discovery, design, and prioritization discussions
* Provide technology leadership and decision\-making, ensuring operational teams are empowered but not burdened with making technical choices
* Define detailed Product Requirement Documents (PRDs) for features and capabilities
* Lead agile pods with clear requirements, participate in backlog grooming, sprint planning, and reviews
* Balance new feature delivery with addressing technical debt in partnership with engineering leads.
* Build strong relationships with engineering, architecture, and vendor partners (SAP SuccessFactors, Qualtrics)
 Roadmap \&amp; Prioritization
* Own and maintain the product backlog; prioritize based on business impact, technical feasibility, and strategic alignment
* Balance quick wins with foundational, long\-term improvements
* Make informed trade\-off decisions between scope, resources, and timelines
* Provide transparency to stakeholders on backlog status, delivery timelines, and any issues or delays
 Delivery \&amp; Execution
* Lead agile ceremonies: backlog grooming, sprint planning, sprint reviews, and retrospectives
* Define clear, measurable product outcomes and success metrics (e.g., adoption rates, completion rates, engagement scores)
* Manage dependencies across technical and functional teams to ensure smooth, timely releases
* Drive iterative improvements to product processes and user experience
 Change Management \&amp; Adoption
* Partner with Change Management and Learning teams to ensure effective rollout and adoption of new capabilities
* Communicate product changes clearly and consistently to all impacted audiences
* Track KPIs and product health metrics to measure business impact and adoption
* Support incident and problem management when product issues arise, ensuring root cause resolution and prevention.
**Qualifications**
* Bachelor’s degree in Business, HR, Information Systems, or related field
* 8\+ years in HR technology product management, with deep expertise in SuccessFactors Talent Management modules (PMGM, Succession Planning, CDP) and Qualtrics HXM (engagement, surveys, 360 feedback)
* Proven experience leading enterprise\-scale, global HR tech projects
* Strong business process understanding of performance management, succession planning, career development, and engagement best practices
* Technical fluency with integrations, workflows, role\-based permissions, analytics, and system architecture for SuccessFactors and Qualtrics
* Skilled in Agile delivery methodologies and managing product backlogs
* Excellent communication and stakeholder management skills; able to influence at all levels
* Strong product mindset—focused on outcomes, user\-centric design, and continuous improvement
 Success Measures
* 3 Months – Fully onboarded, established relationships with HR, IT, and business partners, mapped current\-state capabilities, identified quick wins
* 6 Months – Own and execute roadmap for PMGM, Succession Planning, CDP, and Qualtrics. Deliver enhancements with measurable business impact
* 12 Months – Successfully launch major product features, achieve adoption targets, and demonstrate measurable improvements in engagement, performance processes, and succession readiness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3263260698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$136,000—$266,000 USD</t>
        </is>
      </c>
    </row>
    <row r="45">
      <c r="A45" t="inlineStr">
        <is>
          <t>li-4342984190</t>
        </is>
      </c>
      <c r="B45" t="inlineStr">
        <is>
          <t>Vice President, POM Product Owner</t>
        </is>
      </c>
      <c r="C45" t="inlineStr">
        <is>
          <t>BNY</t>
        </is>
      </c>
      <c r="D45" t="inlineStr">
        <is>
          <t>linkedin</t>
        </is>
      </c>
      <c r="E45" t="inlineStr"/>
      <c r="F45" t="inlineStr"/>
      <c r="G45" t="inlineStr">
        <is>
          <t>New York, NY</t>
        </is>
      </c>
      <c r="H45" t="inlineStr"/>
      <c r="I45" t="inlineStr">
        <is>
          <t>**Job Description**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Vice President, Product Owner to join our Wealth Services Platform team. In this role, as part of BNY Pershing’s Wealth Services Data Group, you’ll own, design, develop and manage the end\-to\-end lifecycle of data products and data platforms that enable scalable, secure, and insightful services for our clients. This role is located in New York, NY or in Jersey City, NJ.* 
***In this role, you’ll make an impact in the following ways:***
* Drive the vision, strategy, and execution of data\-centric products that empower financial advisors and institutional clients.
* Define product vision, strategy, and roadmap spanning across party and account reference data, reporting, securities data and a gamut of data products/services in alignment with business goals and stakeholder needs.
* Foster cross\-functional collaboration and ensure delivery of high\-impact solutions aligned with business objectives and client needs.
* Manage prioritize product backlog, collaborating with stakeholders to gather requirements, and working closely with development team to ensure the successful delivery of the product.
* Write specs for minor features and contribute meaningfully to major features.
* Negotiate the implementation of current work, make the right trade\-off decisions to launch products in a high\-quality manner. Escalating to management as necessary.
* Identify and triage issues with specific features, whilst understanding how multiple features are interrelated and catch more complex problems.
* Define proper measurement and instrumentation for a product to analyze results post\-release/launch.
* Partner with manager to make recommendations on the right next steps for the feature.
* Assess the quality of existing UX to make recommendations on how to improve user experience.
* Champion technical delivery for data products, e.g. managing integration with cloud platforms, data warehouses, and analytics solutions.
* Ensure data governance, privacy, and security standards are embedded into product design and delivery.
**To be successful in this role, we’re seeking the following:** 
* Bachelor’s degree in Computer Science, Information Systems, Business, or related field; advanced degree preferred.
* 5\+ years of experience in product ownership, with strongly preferred background in data\-related products in the financial services or financial technology domain.
* 3\+ years of experience in financial services industry.
* Relevant certifications (e.g., Scrum Product Owner (CSPO), Agile) are highly valued.
* Strategic mindset with the ability to translate business needs into technical solutions.
* Proficiency in data platforms (e.g., Snowflake, Azure, AWS), data pipelines, and cloud technologies.
* Familiarity with programming languages such as Python, SQL, or equivalent for data manipulation and analysis.
* Understanding of data governance, privacy, and industry best practices in financial services.
* Experience with agile methodologies, product management tools (e.g., Jira, Confluence), and data visualization platforms.
* Exceptional communication and stakeholder management skills.
* Curiosity and drive for continuous learning and improvement.
* Possesses a “get\-it\-done” attitude – ability to get around roadblocks and stay focused on the vision.
* Organized, resourceful, and able to prioritize tasks.
* Interested in constantly learning new tools and technologies and a passion to share your knowledge with the team.
***At BNY, our culture speaks for itself—check out the latest BNY news at:***
* BNY Newsroom
*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leaves—including paid volunteer time—that can support you and your family through moments that matter.* 
*BNY assesses market data to ensure a competitive compensation package for our employees. The base salary for this position is expected to be between $68,000 and $155,000 per year at the commencement of employment. However, base salary if hired will be determined on an individualized basis, including experience and market location, and is only part of the BNY total compensation package, which may also include commission earnings, discretionary bonuses, short\- and long\-term incentive packages, and Company\-sponsored benefit programs.* 
*BNY is an Equal Employment Opportunity/Affirmative Action Employer – Underrepresented racial and ethnic groups/Females/Individuals with Disabilities/Protected Veterans.*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t>
        </is>
      </c>
    </row>
    <row r="46">
      <c r="A46" t="inlineStr">
        <is>
          <t>li-4362132275</t>
        </is>
      </c>
      <c r="B46" t="inlineStr">
        <is>
          <t>Senior Product Manager II - Growth</t>
        </is>
      </c>
      <c r="C46" t="inlineStr">
        <is>
          <t>RemoteHunter</t>
        </is>
      </c>
      <c r="D46" t="inlineStr">
        <is>
          <t>linkedin</t>
        </is>
      </c>
      <c r="E46" t="inlineStr"/>
      <c r="F46" t="inlineStr"/>
      <c r="G46" t="inlineStr"/>
      <c r="H46" t="inlineStr"/>
      <c r="I46" t="inlineStr">
        <is>
          <t>About the Opportunity:
 A holistic financial health company helps everyday Americans build a brighter financial future by creating transparent, fair, and simple financial products. The flagship product provides fast access to funds with no interest, late fees, or credit checks, supporting over 9 million users with credit building, budgeting, and deals. The Growth pod focuses on converting free users into paying subscribers by optimizing the early user journey. The Senior Product Manager II will own key parts of the activation funnel and drive improvements through experimentation and collaboration.
 Responsibilities:
 • Own and improve onboarding and activation funnel to increase activation rate
 • Drive improvements in bank and payroll connection and approval\-to\-activation conversion
 • Design and run experiments focused on early lifecycle impact with consideration for long\-term outcomes
 • Own growth\-related features including bank connect, payroll connect, non\-activated user experiences, and referral UX
 • Support referral and promotional initiatives that increase low\-CAC activations
 • Collaborate with Design, Engineering, Analytics, Marketing, and adjacent product teams to deliver growth initiatives
 Requirements:
 • 6\+ years of consumer product management experience focused on growth and/or retention
 • Experience with funnels, conversion metrics, and experimentation
 • Strong analytical skills using qualitative and quantitative insights
 • Ability to execute independently within a defined problem space
 • Clear, effective communicator and collaborator across teams
 • Mobile app experience required; experience in a highly regulated industry is a plus
 Compensation:
 • The anticipated annual base salary for this position is $180,000 \- $210,000
 • Salary depends on factors such as qualifications, experience, skills, education, certifications, and location
 Benefits \&amp; Perks:
 • Medical, dental, and vision insurance
 • Flexible PTO policy
 • 401k plan
 • Paid parental leave
 • Physical and mental wellbeing benefits including virtual workouts, discounted gym memberships, virtual therapy sessions, and unlimited on\-demand health support
 • Monthly reimbursements for wifi and cell phone bills
 • Annual reimbursement for Learning \&amp; Development
 • Dynamic, flexible, and collaborative start\-up work environment with a talented team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7">
      <c r="A47" t="inlineStr">
        <is>
          <t>li-4336563767</t>
        </is>
      </c>
      <c r="B47" t="inlineStr">
        <is>
          <t>Senior Product Manager - Message Composition</t>
        </is>
      </c>
      <c r="C47" t="inlineStr">
        <is>
          <t>Braze</t>
        </is>
      </c>
      <c r="D47" t="inlineStr">
        <is>
          <t>linkedin</t>
        </is>
      </c>
      <c r="E47" t="inlineStr"/>
      <c r="F47" t="inlineStr"/>
      <c r="G47" t="inlineStr">
        <is>
          <t>Chicago, IL</t>
        </is>
      </c>
      <c r="H47" t="inlineStr"/>
      <c r="I47"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You will join a team responsible for the continued evolution of Braze’s messaging composition experience and infrastructure. This Senior PM owns the marketer and developer experience for content creation tools at Braze, ensuring the platform's core messaging frameworks are scalable, stable, and highly performant for all product teams. You will be responsible for leading discovery and delivery of best\-in\-class features designed around the needs of marketers, and play a major role in growing the composition experience product through its next growth phase. Braze operates at a massive scale, delivering trillions of messages per year across thousands of platforms and channels. Providing marketers with the best composition experience is a must. A successful candidate will be curious, strategic, organized, data\-driven, creative, and customer\-focused.
**Key Responsibilities**
* Lead Framework Strategy: define the multi\-quarter strategy and roadmap for core composition frameworks (Liquid, Beefree, Monaco), balancing new feature requests with long\-term architectural health
* Drive Internal Velocity: act as the internal PM champion for Engineering and Design, prioritizing investment in tools (Media Library, Content Blocks) that accelerate their ability to compose and deploy sophisticated messages across all channels
* Shape the AI integration framework that powers content generation and composition, positioning the suite for next\-generation agentic workflows
* Own Framework Governance: manage the lifecycle of our core frameworks—driving key upgrades while keeping the system stable and scalable
* Evolve Content Architecture: make Braze’s content building blocks more reusable and cohesive so teams can build advanced campaigns without extra engineering work
* Measure What Matters: track metrics like framework adoption, speed gains, and friction reduction to show COMPI’s impact across PDE
* Partner to Deliver: work closely with Product, Engineering, and Design leads to scope, prioritize, and execute on the composition infrastructure roadmap
**Who You Are** 
* An experienced builder with 5\+ years of Product Management experience
* You have a proactive, positive, can\-do attitude. You consistently drive projects to successful completion, measure success, and proactively seek opportunities to enhance both processes and products
* Deep understanding of web application architectures, content frameworks, and API ecosystems
* Familiarity with composition frameworks (e.g., Liquid, Beefree, Monaco, or similar modular UI/content builders)
* Working knowledge of Generative AI technologies \- including LLMs, embeddings, content generation APIs, and integration patterns
* Ability to partner effectively with engineering on system design and platform scalability decisions
* Comfort defining success metrics, adoption KPIs, and driving outcome\-based delivery
* Bonus Qualifications:
+ Experience owning developer\-facing tools, SDKs, or frameworks (e.g., APIs, internal component libraries, content management systems)
+ Ability to think abstractly and architecturally about content
+ Strong product sense for developer experience and internal tooling
 For candidates based in the United States, the pay range for this position at the start of employment is expected to be between $140,400 and $222,075/year with an expected On Target Earnings (OTE) between $156,000 and $246,750/year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48">
      <c r="A48" t="inlineStr">
        <is>
          <t>li-4365063649</t>
        </is>
      </c>
      <c r="B48" t="inlineStr">
        <is>
          <t>Technical Product Manager, Data Management</t>
        </is>
      </c>
      <c r="C48" t="inlineStr">
        <is>
          <t>JPMorganChase</t>
        </is>
      </c>
      <c r="D48" t="inlineStr">
        <is>
          <t>linkedin</t>
        </is>
      </c>
      <c r="E48" t="inlineStr"/>
      <c r="F48" t="inlineStr"/>
      <c r="G48" t="inlineStr">
        <is>
          <t>New York, NY</t>
        </is>
      </c>
      <c r="H48" t="inlineStr"/>
      <c r="I48"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Data Management, you are an integral part of the team that innovates new product offerings and leads the end\-to\-end product life cycle. You will play a crucial role in developing and implementing our enterprise data modeling tooling capabilities.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Leads end\-to\-end product delivery processes including intake, dependency management, release management, product operationalization, delivery feasibility decision\-making, and product performance reporting, while escalating opportunities to improve efficiencies and functional coordination
* Carries out in\-depth quantitative and qualitative analysis to support business cases for change and leadership decision making
* Leads the completion of change management activities across functional partners and ensures adherence to the firm’s risk, controls, compliance, and regulatory requirements
* Communicates proposed solutions and insights effectively to stakeholders
* Promotes adherence to industry standards for data ontology (e.g., RDF, OWL) and semantic modeling
* Stays informed on industry trends and emerging technologies in data modeling, knowledge graph technologies, metadata management, and data architecture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Demonstrated ability to execute operational management and change readiness activities
* Strong understanding of delivery and a proven track record of implementing continuous improvement processes
* Strong influencing and partnership/collaboration skills to drive cross\-functional teams to build better solutions and to execute product go\-live plans
* Experience in product or platform\-wide release management, in addition to deployment processes and strategies; Must be able to build solutions from the ground up
* Strong technical background, with experience working on AWS, Big Data, Snowflake and SQL; experience with JIRA, Agile methodologies
* Foundational understanding of data modeling concepts (conceptual, logical, and physical modeling)
**Preferred Qualifications, Capabilities, And Skills**
* Demonstrated prior experience working in a highly matrixed, complex organization
* Practical experience in modern data processing technologies, e.g., Kafka streaming, DBT, Spark, Airflow, etc.
* Experience in metadata management, data cataloging, and data governance frameworks
* Knowledge of data modeling patterns for analytical and operational use cases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9">
      <c r="A49" t="inlineStr">
        <is>
          <t>li-4321735325</t>
        </is>
      </c>
      <c r="B49" t="inlineStr">
        <is>
          <t>Product Manager, Depot Operations</t>
        </is>
      </c>
      <c r="C49" t="inlineStr">
        <is>
          <t>Moove</t>
        </is>
      </c>
      <c r="D49" t="inlineStr">
        <is>
          <t>linkedin</t>
        </is>
      </c>
      <c r="E49" t="inlineStr"/>
      <c r="F49" t="inlineStr"/>
      <c r="G49" t="inlineStr">
        <is>
          <t>Miami, FL</t>
        </is>
      </c>
      <c r="H49" t="inlineStr"/>
      <c r="I49" t="inlineStr">
        <is>
          <t>**About Moove**
 At Moove AV, we’re on a mission to make the world safer by enabling autonomy in transportation. Partnering with industry leaders like
 **Waymo,** 
 we’re redefining fleet management and driving the commercialization of autonomous vehicles.
 We’re expanding globally and seeking passionate, innovative professionals to join our journey. If you’re ready to be at the forefront of cutting\-edge technology and help make mobility safer, more efficient, and accessible, we want to hear from you!
**Job Overview:**
 Moove AV is seeking an experienced and strategic Product Manager, Depot Operations to lead the development and rollout of our operational efficiency investments and tooling. This role will be responsible for the definition, evaluation, and implementation of operational investments to make our depot operations more efficient and resilient.
**Scope Of Responsibilities**
* Lead Moove's companywide strategy for operational and vehicle utilization improvements across markets \- including process, automation, technology, and investment decisions
* Identify major sources of operational loss and develop strategies for improvement, including piloting and implementing changes
* Define data sources, schemas and propose commercially feasible methods of obtaining them for needed tools and dashboards
* Model ROI and uplift analyses to determine the impact of major changes or investments on our performance metrics and profitability
* Create strategy for technology investments and development to improve operational efficiency, including Product Requirement Documents that outline specific features to be built
**Required Qualifications**
* 7\+ years of experience in AV / robotics operations, AV / robotics infrastructure, and product development
* Understanding of product management process and tradeoffs, including Product Requirement Documents (PRD), aligning stakeholder needs and approvals, and managing interface with engineering teams (internal and external) to build solutions
* Proven ability to define and interpret complex operational requirements into coherent physical and digital product strategies
* Deep empathy for user needs and experience while understanding tradeoffs between operations, unit economics, and scalability
* Strategic mindset with real\-world experience for developing medium\-term product roadmaps that emphasize near term improvements while incrementally building to long term transformation
* Strong understanding of physical infrastructure development and operations processes, including EV charging, data offload, and operator amenities
* BS degree in engineering or technical field
* Must be authorized to work AND reside in Miami, FL or Phoenix, AZ
* Travel up to 30%
**About The Team**
 Our team is collaborative, positive, curious, and engaged. We think fast, work smart, laugh often, and are looking for like\-minded people to join us in our mission to disrupt vehicle ownership and make financial freedom within reach.
 Moove is strongly committed to diversity within its community. The Company’s approved Employment Equity Plan and Targets will be considered as part of the recruitment process. As an Equal Opportunities employer, we welcome people from all backgrounds who seek the opportunity to help build a future where everyone and everything can move independently.
**Pre\-hiring Notice:** 
 Moove relies on the accuracy of information contained in employment applications, as well as the accuracy of other data presented throughout the hiring process and during employment. Any misrepresentations, falsifications, or material omissions in any information or data provided by an applicant may result in the applicant being excluded from further consideration for employment or if an individual has already been hired, termination of employment.
**EEO Statement:** 
 Moove is an equal opportunity employer and does not discriminate on the basis of gender, race, sexual orientation, marital status, religion, political affiliation or any other protected characteristic.</t>
        </is>
      </c>
    </row>
    <row r="50">
      <c r="A50" t="inlineStr">
        <is>
          <t>li-4362085594</t>
        </is>
      </c>
      <c r="B50" t="inlineStr">
        <is>
          <t>Senior Product Manager, Creators on Search</t>
        </is>
      </c>
      <c r="C50" t="inlineStr">
        <is>
          <t>Google</t>
        </is>
      </c>
      <c r="D50" t="inlineStr">
        <is>
          <t>linkedin</t>
        </is>
      </c>
      <c r="E50" t="inlineStr"/>
      <c r="F50" t="inlineStr"/>
      <c r="G50" t="inlineStr">
        <is>
          <t>Mountain View, CA</t>
        </is>
      </c>
      <c r="H50" t="inlineStr"/>
      <c r="I50"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Los Angeles, CA, USA; New York, NY, USA** 
 .
 **Minimum qualifications:**
* Bachelor's degree or equivalent practical experience.
* 8 years of experience in product management or a related technical role.
* 3 years of experience taking technical products from conception to launch.
**Preferred qualifications:**
* Master’s degree or PhD in a technology or business related field.
* 5 years of experience working cross\-functionally with engineering, UX/UI, sales, finance, and other stakeholders.
* Experience with creator\-centric products, social interactions, or communities.
* Experience in a user\-facing product role, shipping design\-centric features that drive user engagement.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articulate a product outlook for the creator work stream area, aligning with search discovery's missions and strategy.
* Partner with search discovery teams, collaborating with engineering and research teams to integrate new creator features and tools.
* Develop an understanding of creator behavior and motivations through a combination of qualitative research, quantitative analysis, and direct feedback from creators.
* Communicate product strategy, progress, and results to executive leadership and other stakeholders across Google, advocating for the Creator team and its mission.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1">
      <c r="A51" t="inlineStr">
        <is>
          <t>li-4340758281</t>
        </is>
      </c>
      <c r="B51" t="inlineStr">
        <is>
          <t>Principal Product Manager, Expense Management</t>
        </is>
      </c>
      <c r="C51" t="inlineStr">
        <is>
          <t>Engine</t>
        </is>
      </c>
      <c r="D51" t="inlineStr">
        <is>
          <t>linkedin</t>
        </is>
      </c>
      <c r="E51" t="inlineStr"/>
      <c r="F51" t="inlineStr"/>
      <c r="G51" t="inlineStr">
        <is>
          <t>New York, NY</t>
        </is>
      </c>
      <c r="H51" t="inlineStr"/>
      <c r="I51" t="inlineStr">
        <is>
          <t>**About Engine**
 At Engine, we're transforming business travel into something personalized, rewarding, and simple. For too long, managing travel and spend has been overwhelming and fragmented — we're here to change that. We believe the future of travel should be seamless and powered by technology that delights customers at every step. That's why we're building a platform that brings together corporate travel, a powerful charge card, and modern spend management in one place.
 To make this vision real, we're looking for exceptional, mission\-driven people to help redefine how businesses manage and experience travel.
 More than 20,000 companies already rely on Engine to support over 1 million travelers and billions in annual bookings each year. Cash flow positive with rapid growth, we pair exclusive Engine\-only rates, industry\-leading rewards, and intelligent automation to help businesses save money while delivering world\-class personalization and convenience.
 Backed by Telescope Partners, Blackstone, and Permira, Engine has been recognized as one of the fastest\-growing travel and fintech platforms in North America, with honors including the Deloitte Fast 500 and Built In's Best Places to Work.
 Engine is looking for a
 **Principal Product Manager** 
 to be the founding member of our new, high priority play in the market \- our expense management platform. This role is focused on building a zero to one expense management platform that will accelerate our next phase of customer growth, complement our suite of products, and drive strategic revenue.
 You will be responsible for defining and executing high level strategic feature sets and platform plays in this 0\-1 space, experience and platform. Your toolbox includes data, design, and a full\-stack engineering team. Your mindset is deeply curious, execution\-driven, and outcome\-obsessed.
 You'll work autonomously to influence the overarching direction of both the product and the platform, and will act as an expert in residence for expense management at Engine.
 You'll work at the intersection of Product, Data, Engineering, and Go\-To\-Market teams, helping us shape the future of how businesses experience travel.
**What You'll Do**
**Lead the Expense Management Product Strategy**
* Define and drive the vision for an expense management vertical that excites customers with industry\-leading features that takes expense management from being a chore to being delightful and seamlessly integrated
* Own and maintain a unified growth roadmap with clear metrics and milestones.
**Lead Cross\-Functional Collaboration**
* Work closely with design, engineering, marketing, customer experience, and sales to bring initiatives to life.
* Mentor and guide other PMs within the growth or related product teams.
* Drive alignment across teams on vision, trade\-offs, and success metrics.
**What You'll Bring**
* **8\+ years** 
 of product management experience with a deep focus on expense management
* Comfort building cross\-functional systems from zero and scaling them with a long\-term lens.
* Experience leveraging AI tools and automation to optimize workflows and personalize experiences.
* A strategic thinker who's also execution\-obsessed—you can zoom out and zoom in with equal comfort.
* Natural leadership and mentoring instincts—you elevate the people and teams around you.
*We accept applications for this role on an ongoing basis. We review applications as they are received and encourage interested candidates to apply early.*
**Compensation**
 Our compensation packages are based on several factors, including your experience, expertise, and location. In addition to a competitive base salary, total compensation may include equity and/or variable pay (OTE). Your recruiter will share your complete compensation package as you move through the process.
 Base Pay Range
 $205,955—$285,100 USD
**The Engine Edge: Perks \&amp; Compensation**
 We believe in rewarding great work with great benefits:
* **Compensation:** 
 Competitive base pay tied to role and experience, with opportunities for bonuses, commissions, and equity.
* **Benefits:** 
 Check out our full list at engine.com/culture.
* **Environments for Success:** 
 Different roles have different needs in terms of the environments that drive success which is why we have a hybrid\-hub model. Whether you are in one of our amazing offices or fully remote, we'll make sure you have what you need to succeed.
*Perks and benefits may vary based on employment type, location, and more.*
**Ready to Build the Future of Work Travel?**
 Join us on our mission to transform how work travel works—for businesses, for travelers, and for the industry. Apply now and let's make travel simpler, smarter, and more enjoyable—together.</t>
        </is>
      </c>
    </row>
    <row r="52">
      <c r="A52" t="inlineStr">
        <is>
          <t>li-4342981777</t>
        </is>
      </c>
      <c r="B52" t="inlineStr">
        <is>
          <t>Senior Product Manager</t>
        </is>
      </c>
      <c r="C52" t="inlineStr">
        <is>
          <t>GSK</t>
        </is>
      </c>
      <c r="D52" t="inlineStr">
        <is>
          <t>linkedin</t>
        </is>
      </c>
      <c r="E52" t="inlineStr"/>
      <c r="F52" t="inlineStr"/>
      <c r="G52" t="inlineStr">
        <is>
          <t>Collegeville, PA</t>
        </is>
      </c>
      <c r="H52" t="inlineStr"/>
      <c r="I52" t="inlineStr">
        <is>
          <t>**Site Name:** 
 200 CambridgePark Drive, Upper Providence
**Posted Date:** 
 Dec 17 2025
 The Onyx Research Data Tech organization represents a major investment by GSK R\&amp;D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
* Building a next\-generation data experience for GSK’s scientists, engineers, and decision\-makers, increasing productivity and reducing time spent on “data mechanics”
* Providing best\-in\-class AI/ML and data analysis environments to accelerate our predictive capabilities and attract top\-tier talent
* Aggressively engineering our data at scale to unlock the value of our combined data assets and predictions in real\-time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applications.
 We are seeking an experienced Senior Product Manager who will be accountable for designing and delivering the road map for molecule design products to support GSK Research and Development. This role will be pivotal in ensuring a cohesive enterprise level strategy towards molecule design solutions and will ensure our scientists have access to best\-in\-in\-class technology products to improve research productivity and ultimately deliver new medicines for our patients.
**In this role you will:**
* Own and lead the product roadmap, product development, launch and adoption of novel molecule design solutions to benefit the scientific community at GSK across multiple departments
* Play a key role in defining the strategic direction for molecule design tools with GenAI capabilities at the core
* Partner closely with the wider Onyx tech team, as well as R\&amp;D scientists and leaders, to deliver industry\-leading cloud\-based products and solutions with GenAI and agentic capabilities.
**Key Responsibilities Include\-**
**Product Strategy and Roadmap** 
 : Develop and execute a comprehensive product strategy and roadmap for molecule design solutions and tools, aligned with the Onyx’s overall product vision and objectives.
**Customer Understanding** 
 : Conduct in\-depth customer research, gather customer insights, and engage with customers regularly to understand emerging requirements.
**Product Planning and Definition:** 
 Collaborate with stakeholders to define product requirements, features, and specifications based on customer feedback, product vision, and business goals.
**Agile Product Development** 
 : Work closely with portfolio and engineering teams in an agile environment to ensure successful and timely delivery of product releases, including prioritization, sprint planning, and backlog management.
**GenAI Product and Capability Upgrade:**
 Spearhead the development of a new class of AI Agents, powered by LLMs and Generative AI, designed to autonomously execute complex scientific research tasks like hypothesis generation, experimental design, and data interpretation.
 Design and productize the human\-agent interaction layer, moving beyond traditional UIs to create conversational and goal\-driven interfaces that allow scientists to delegate multi\-step tasks and interpret the outputs of autonomous GenAI systems.
 Own the product lifecycle for models and agents, leading the strategy for data acquisition, model fine\-tuning, and the development of APIs/agents that allow them to be leveraged as "tools" by other agents and systems.
 Model\-In\-The\-Loop Design: Structuring products so that R\&amp;D users can easily challenge, verify, and provide feedback to improve the agentic tools and underlying models (human\-guided iteration). Demonstrate Human \+ AI collaboration with minimum friction to drive user adoption.
 Lead highly
 **technical product discussions** 
 with engineering leaders, translating ambiguous scientific objectives into precise requirements for fine\-tuning foundational models, vector databases, and multi\-agent system architectures.
**Cross\-Functional Collaboration:** 
 Collaborate with both tech and RD teams, including DevOps\&amp; Infrastructure, data engineering, computing platform engineering, data \&amp; knowledge platform engineering, program management teams and RD data leadership teams, to align product strategies, gather input, and drive successful implementation plans.
**Product Launch and Adoption** 
 : Lead product launches, ensuring effective communication, training, and support materials to drive successful product adoption and customer satisfaction.
**Product Performance and Optimization:** 
 Continuously monitor product performance, collect and analyze data, and drive iterative improvements to enhance product usability, performance, and customer experience.
 Why You?
**Basic Qualifications**
*We are seeking professionals with the following required skills and qualifications to help us achieve our goals:*
* PhD \+ 2 years, Masters \+ 4 years, or Bachelors \+ 6 years
* Bachelor’s degree in Bioinformatics, computational Biology, cheminformatics, AI/ML, Computer Science, Software Engineering or related discipline.
* 4\+ years of experience in product management with a proven track record of shipping 0\-to\-1 software products powered by AI/GenAI, LLMs, or autonomous agents in a commercial or large\-scale enterprise setting.
* Experience defining product strategy for modern applications, including hands\-on experience with technologies core to AI systems such as vector databases, MLOps, retrieval\-augmented generation, and model fine\-tuning.
* Experience with cloud\-native architectures (e.g., AWS, GCP, Azure), API design, and the infrastructure required to serve and scale LLM\-based applications.
**Preferred Qualifications**
*If you have the following characteristics, it would be a plus*
* Direct product management experience designing and launching AI agents that can utilize tools (APIs, function calling) to perform complex, multi\-step actions and reason about their environment.
* Hands\-on software engineering or data science experience in a GenAI\-focused team prior to transitioning into product management.
* Familiarity with the architecture of modern transformer\-based models and the strategic product trade\-offs between using proprietary models (e.g., GPT\-4, Claude), open\-source models (e.g., Llama, Mistral), and fine\-tuning custom models.
* Experience building products that manage or interpret complex, unstructured biomedical data
* Extensive knowledge of bioinformatics, computational biology, or cheminformatics, and a strong vision for how agentic AI can revolutionize the drug discovery process.
* Extensive product experience designing, optimizing, and implementing Model Context Protocols (MCP) for LLM\-powered agents, including advanced strategies for prompt engineering, context window management, memory architectures (e.g., short\-term, long\-term memory), and ensuring model coherence over extended multi\-turn interactions.
* Hands\-on experience with product management tools such as Confluence, Jira, Miro, Monday, Notion, etc.
* Previous experience in life science industry or biopharma R\&amp;D is a plus.
 \#GSK\-LI \#R\&amp;DTechProject
 \#GSKOnyx
* If you are based in Cambridge, MA; Waltham, MA; Rockville, MD; or San Francisco, CA, the annual base salary for new hires in this position ranges $137,775 to $229,625\.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53">
      <c r="A53" t="inlineStr">
        <is>
          <t>li-4337227996</t>
        </is>
      </c>
      <c r="B53" t="inlineStr">
        <is>
          <t>Lead Product Manager - 12163</t>
        </is>
      </c>
      <c r="C53" t="inlineStr">
        <is>
          <t>Cox Automotive Inc.</t>
        </is>
      </c>
      <c r="D53" t="inlineStr">
        <is>
          <t>linkedin</t>
        </is>
      </c>
      <c r="E53" t="inlineStr"/>
      <c r="F53" t="inlineStr"/>
      <c r="G53" t="inlineStr">
        <is>
          <t>Austin, TX</t>
        </is>
      </c>
      <c r="H53" t="inlineStr"/>
      <c r="I53" t="inlineStr">
        <is>
          <t>Cox Automotive is seeking a
 **Lead Product Manager** 
 to join the
 **Inventory Management Enablement Services (IMES) release train** 
 , which is transforming the vAuto platform into a simplified, modular foundation.
 This role combines
 **strategic product leadership with technical expertise** 
 . You will drive platform\-level decisions, collaborate with engineering and architecture teams, and ensure that technical capabilities translate into measurable business outcomes.
**Primary Responsibilities**
 Product Strategy and Discovery
* Define and maintain a strategic roadmap that prioritizes initiatives based on business impact and technical feasibility.
* Lead discovery efforts to identify opportunities and validate solutions, ensuring alignment with platform transformation goals
* Translate complex technical concepts into clear business value for stakeholders.
* Serve as a thought leader within the organization, contributing to vision development and strategic initiatives.
 Product Roadmap
* Convert discovery insights into a transparent, outcome\-oriented roadmap that sequences near\-term wins and long\-term strategies.
* Communicate roadmap updates and technical trade\-offs to stakeholders and leadership.
 Planning and Execution
* Translate strategy into business outcomes, milestones, and epics; maintain a healthy backlog that continuously delivers measurable value.
* Collaborate with Product Owners, Engineering, Architecture, and Solution Delivery partners to define features, prioritize backlog, and ensure technical alignment.
* Establish and track success metrics for both business impact and technical performance
 Agile Development
* Apply agile methodologies effectively in a complex enterprise environment
* Build strong relationships with onshore and offshore teams, including contractors, across product, UX, engineering, and architecture
* Ensure teams understand the product vision and direction, delivering incremental value toward that vision
**Qualifications**
* Bachelor's degree in a related discipline and 6 years' experience in a related field. The right candidate could also have a different combination, such as a master's degree and 4 years' experience; a Ph.D. and 1 year of experience; or 18 years' experience in a related field
* 6\+ years of experience product management/development with a record of shipping complex, enterprise products.
* Technical knowledge in Platform\-oriented capabilities: API strategy, modular architecture, and integration frameworks.
* Ability to bridge business and technology, influencing decisions with technical insight.
* Familiarity with SAFe Agile Methodology
* Strong critical thinking and problem\-solving skills for complex enterprise challenges.
* Experience with product planning, road mapping, and project management tools.
* Purpose\-driven with the ability to motivate and excite others; strive for continuous improvement with bias towards action.
* Excellent people's skills and developing relationships with team members and customers.
* Applicants must currently be authorized to work in the United States for any employer without current or future sponsorship.
 USD 122,700\.00 \- 204,500\.00 per year
**Compensation**
 Compensation includes a base salary of $122,700\.00 \- $204,500\.00\.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54">
      <c r="A54" t="inlineStr">
        <is>
          <t>li-4365052200</t>
        </is>
      </c>
      <c r="B54" t="inlineStr">
        <is>
          <t>Principal Product Manager</t>
        </is>
      </c>
      <c r="C54" t="inlineStr">
        <is>
          <t>Microsoft</t>
        </is>
      </c>
      <c r="D54" t="inlineStr">
        <is>
          <t>linkedin</t>
        </is>
      </c>
      <c r="E54" t="inlineStr"/>
      <c r="F54" t="inlineStr"/>
      <c r="G54" t="inlineStr">
        <is>
          <t>Redmond, WA</t>
        </is>
      </c>
      <c r="H54" t="inlineStr"/>
      <c r="I54"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Copilot for Security empowers defenders to detect hidden patterns, harden defenses, and respond to incidents faster with generative AI.  The same platform also empowers IT Admins and Data Security admins to proactively protect the assets. While Generative AI has created a new set of possibilities, it’s also created a new set of challenges: hallucination, prompt injection, rapidly changing industry trends.  Our team is at the forefront of both the opportunities and the challenges for Microsoft Security.  We are looking for a Principal Product Manager for Security Copilot to execute strategic priorities, drive alignment across internal and external stakeholders, and design/define critical capabilities. Our culture is centered on embracing a growth mindset, a theme of inspiring excellence, and empowering teams to maximize productivity. In doing so, we create life\-changing innovations that impact billions of lives around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Principal Product Manager, you’ll define strategy and deliver secure, scalable AI experiences that protect customers globally. You’ll lead innovation in agentic systems and Responsible AI, shaping the next generation of security solutions. Other REsponsibilities include:
* Understand security customers and markets Develop strategy and build buy\-in from cross\-functional teams into your ideas
* Translate strategic plans into work involving cross\-team collaboration.
* Develop clear requirements and work closely with the software engineering team to meet product goals.
* Lead the execution of strategic initiatives you’ve championed.
* Define product vision and roadmap for agentic AI security workflows.
* Drive cross\-functional alignment and secure buy\-in for strategic initiatives. Author clear requirements and partner with engineering to deliver resilient AI capabilities.
* Champion Responsible AI principles and implement safety guardrails. Establish evaluation frameworks for reliability, performance, and ethical compliance.
**Qualifications**
**Required/minimum qualifications**
* Bachelor's Degree AND 8\+ years experience in product/service/program management or software development OR equivalent experience.
**Other Requirements**
* Candidates must be able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\#MSFT Security \#SCEM \#MSFTSecurity \#GenAI \#SecurityCopilot \#Security \#Agents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5">
      <c r="A55" t="inlineStr">
        <is>
          <t>li-4362106643</t>
        </is>
      </c>
      <c r="B55" t="inlineStr">
        <is>
          <t>IT Product Manager, Salesforce</t>
        </is>
      </c>
      <c r="C55" t="inlineStr">
        <is>
          <t>Sound Physicians</t>
        </is>
      </c>
      <c r="D55" t="inlineStr">
        <is>
          <t>linkedin</t>
        </is>
      </c>
      <c r="E55" t="inlineStr"/>
      <c r="F55" t="inlineStr"/>
      <c r="G55" t="inlineStr"/>
      <c r="H55" t="inlineStr"/>
      <c r="I55" t="inlineStr">
        <is>
          <t>**About Sound** 
 Headquartered in Tacoma, WA, Sound Physicians is a physician\-founded and led, national, multi\-specialty medical group made up of more than 1,000 business colleagues and 4,000 physicians, APPs, CRNAs, and nurses practicing in 400\-plus hospitals across 45 states. Founded in 2001, and with specialties in emergency and hospital medicine, critical care, anesthesia, and telemedicine, Sound has a reputation for innovating and leading through an ever\-changing healthcare landscape \&amp;mdash; with patients at the center of the universe. 
**Sound Physicians offers a competitive benefits package inclusive of the items below, and more:** 
* Medical insurance, Dental insurance, and Vision insurance
* Health care and dependent care flexible spending accounts
* 401(k) retirement savings plan with a company match
* Paid time off (PTO) begins accruing immediately upon start date at a rate of 15 days per year, in accordance with Sound's PTO policy
* Ten company\-paid holidays per year
**About the Role** 
 The IT Product Manager (Salesforce \&amp; Enterprise Applications) is responsible for managing and optimizing the organization’s Salesforce environment, including Experience Cloud (portals), Salesforce Einstein, and related integrations, while also overseeing one or more vendor\-supported or internally developed products. This role ensures product offerings meet company standards, align with business goals, and deliver strong user value across the full product lifecycle.
 Under the guidance of the IT Solution Management, this individual develops and maintains product documentation, communication and training materials, business requirements, and user stories. The Product Manager stays up to date on new Salesforce releases, emerging features, security/controls requirements, and industry best practices to drive optimal adoption and utilization of Sound Physicians' platforms and workflows.
**Essential Duties and Responsibilities** 
**Vendor Management:** 
* Establish and maintain strong relationships with Salesforce and relevant technology vendors.
* Monitor vendor performance to ensure adherence to SLAs and contractual commitments.
* Collaborate with vendors on platform enhancements, integrations, and solution designs.
**Product Lifecycle Management:** 
* Manage the entire lifecycle of vendor products from inception to retirement.
* Ensure products meet quality standards and regulatory requirements.
* Coordinate product rollouts and new implementations in partnership with development and business teams.
* Ensure iterative releases of technology are supported by user acceptance testing / validation.
**Stakeholder Collaboration:** 
* Work closely with internal stakeholders (e.g., HR, regional/site operations, enrollment, finance, accounting, marketing, sales) to understand business problems, business processes, requirements and feedback.
* Communicate product plans, progress, and results to internal stakeholders, including executives and team members.
* Accountable for the development of communication and education materials for new technology functionality within the development cycle as well as incorporating user feedback into the product roadmap.
* Ensure iterative releases of technology are supported by user acceptance testing / validation.
* Promote standardization and best practices across regions and service lines where appropriate; this includes leading user groups within Sound Physicians to facilitate best practices and share knowledge.
* Have a thorough understanding of the business processes and how the product features support.
* Communicate product plans, progress, and results to internal stakeholders, including executives and team members.
**Roadmap, Product Backlog and Strategy:** 
* Develop and maintain a product roadmap that aligns with company strategy and customer needs.
* Prioritize product features and improvements based on business value and customer impact.
* Write clear requirements/detailed user stories with acceptance criteria, ensuring they are actionable and can be estimated by the vendor and/or internal Sound Physicians development teams.
* Accountable for the development of communication and education materials for new technology functionality within the development cycle as well as incorporating user feedback into the product roadmap
**Platform Analysis** 
* Stay current on Salesforce releases, licensing changes, industry trends, and emerging capabilities.
* Conduct market and competitive analysis to identify new opportunities or risks.
* Use data\-driven insights to make informed platform decisions.
**Project Management:** 
* Use Agile methodologies to manage product development cycles.
* Provide estimates and partner with project managers on timelines and resource needs.
* Remove blockers and ensure the team delivers incremental value through continuous improvement.
**Risk Management:** 
* Identify and mitigate risks associated with vendor products.
* Develop contingency plans to address potential issues.
**Customer Focus:** 
* Act as the voice of the customer in product development.
* Ensure vendor products deliver exceptional user experiences.
**Production Support** 
* Conduct analysis to determine root cause of reported issues
* May provide Tier II Application Support to users
**Values** 
* **Intellectual Curiosity:** 
 Demonstrates a genuine interest in learning new things and wants to know the reason “why” behind the way things are done
* **Collaboration:** 
 Demonstrates the ability to work well with others to accomplish a goal and get the work done; takes opinions of others into consideration; includes others in the decision\-making process
* **“Can\-do” Attitude:** 
 Proactively seeks assignments, solutions and takes action where and as needed
* **Strategic Thinking:** 
 Demonstrates the ability to look at the big picture and proactively develop a plan of action
**Knowledge, Skills, and Abilities** 
* Process\- and data\-driven mindset; ability to work across multiple departments on complex solutions.
* Strong communication, facilitation, and leadership skills.
* Ability to translate business problems into technical requirements, workflows, wireframes, and/or data models.
* Strategic thinker with a track record of creative problem\-solving.
* Familiarity with the hospital medicine industry and Sound Physicians’ mission is a plus.
* Alignment with Sound’s mission, vision, and core values.
**Education and Experience** 
**Required:** 
* Bachelor’s Degree in a relevant field.
* Strong background with implementing Salesforce products (e.g., Sales/Service Cloud, Experience Cloud, Salesforce Einstein AI).
* Experience managing an Agile development team and leading iterative technology releases.
* Experience supporting product adoption through communication, training, and iterative improvements.
**Preferred:** 
* 4 years driving adoption of Salesforce or another enterprise technology platform.
* 4 years writing business requirements, user stories, process flows, and supporting documentation.
* Experience implementing Salesforce backed agentic AI functionality
* Salesforce certifications (e.g., Admin, Advanced Admin, Platform App Builder, Business Analyst) strongly preferred.
* Experience in leading small projects and iterative technology development
**Salary Range** 
* This position offers an annual salary range of $90,000\-$110,000\. Exact salary will depend on the candidate’s experience, education and geographic location.
*Sound Physicians is an Equal Employment Opportunity (EEO) employer and is committed to diversity, equity, and inclusion at the bedside and in our workforce. Qualified applicants will receive consideration for employment without regard to race, color, religion, sex, national origin, gender identity, sexual orientation, age, marital status, veteran status, disability status, or any other characteristic protected by federal, state, or local laws.* 
*This job description reflects the present requirements of the position.  As duties and responsibilities change and develop, the job description will be reviewed and subject to amendment.* 
 Equal Opportunity Employer
 This employer is required to notify all applicants of their rights pursuant to federal employment laws.
 For further information, please review the Know Your Rights notice from the Department of Labor.</t>
        </is>
      </c>
    </row>
    <row r="56">
      <c r="A56" t="inlineStr">
        <is>
          <t>li-4330588375</t>
        </is>
      </c>
      <c r="B56" t="inlineStr">
        <is>
          <t>Product Manager, Growth Products and Partnerships</t>
        </is>
      </c>
      <c r="C56" t="inlineStr">
        <is>
          <t>Visa</t>
        </is>
      </c>
      <c r="D56" t="inlineStr">
        <is>
          <t>linkedin</t>
        </is>
      </c>
      <c r="E56" t="inlineStr"/>
      <c r="F56" t="inlineStr"/>
      <c r="G56" t="inlineStr">
        <is>
          <t>Austin, TX</t>
        </is>
      </c>
      <c r="H56" t="inlineStr"/>
      <c r="I56"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is seeking a skilled and innovative Manager of Product Management to support the development and delivery of advanced products and solutions. This role requires a good understanding of the payment infrastructure, utilizing Payment Acceptance, Tokenization, Visa Direct, and 3DS rails to create secure, PCI\-compliant products. You will be responsible for optimizing the end\-to\-end experience for issuers, acquirers, and technology platforms, ensuring that these solutions meet the needs of both developed and emerging markets.
**Key Responsibilities:**
* Product and Solution Delivery: Assist in the development and delivery of innovative card acceptance services and capabilities that enhance the overall ecosystem.
* Product Development: Utilize product\-building skills, focusing on digital payment technologies to identify efficiencies and opportunities.
* Requirement Authoring and Deployment: Assist in authoring detailed business requirements and overseeing the deployment of Solution Services, including creating go\-to\-market (GTM) collateral and processes.
* Cross\-Functional Collaboration: Collaborate with various teams across Visa to launch, commercialize, and scale business services.
* Infrastructure Establishment: Contribute to designing and establishing the infrastructure for card acceptance services to meet current and future needs.
* Sprint Management: Support sprint management, ensuring status updates and delivery align with agreed time, cost, and quality parameters.
* Issue Management: Identify potential issues early, determine resolutions, communicate status, and track and resolve issues promptly.
* Global and Regional Balance: Assist in balancing regional and global opportunities to achieve overall solution and platform objectives through collaboration across a complex, matrixed organization.
**Essential Functions:**
* Pragmatic Product Building: Synthesize requirements into a common set of platform and service capabilities, writing clear and detailed user stories and requirements for complex features and product sets.
* Cross\-Functional Liaison: Liaise with other business units, product managers, engineering, and other groups to ensure flawless execution and output enablement guides and collaterals.
* Business Problem Management: Manage business problems through hands\-on troubleshooting and analysis, essential for key global projects/programs related to the new solution.
* Technical Discussions: Participate in technical discussions with knowledge of Payments, EMV, PCI, tokenization, application requirements, customer experience, and software and payments security.
* Team Collaboration: Act as a bridge between business and technology, collaborating effectively with various teams across Visa globally.
* Core Platform Development: Support the development of the core platform along with feature sets spanning the end\-to\-end payments lifecycle.
* Product Documentation: Manage updates to product documentation and collaborate with global stakeholders on communication impacts, including developing FAQs, internal memos, and Visa Business News (VBN) articles.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Demonstrated expertise in designing and implementing payment products and services tailored for treasury banking.
* Proven track record of contributing to successful initiatives.
* Subject matter expertise in debit, credit, and digital products, with an understanding of RTP, card schemes, and Instant Payments.
* At least 5 years of industry experience in product management, product development, and payments processing, focusing on launching new products and features.
* Knowledge of Digital Payments, NFC/HCE, and QR Codes.
* Understanding of Credit/Debit/Pre\-Paid cards and the financial/payment industry.
* Ability to manage projects with multiple workstreams and demonstrate leadership across various product business challenges.
* Experience in structuring, managing, and coordinating complex workstreams and processes involving multiple stakeholders.
* Ability to collaborate and influence within a highly matrixed organization.
* Proficiency in PowerPoint, Excel, and JIRA.
* Team\-oriented, collaborative, and flexible, with excellent presentation skills and strong oral and written communication capabilities.
* Detail\-oriented and highly execution\-focused, with the ability to work effectively with counterparts across multiple functional groups.
* Organized, with a natural aptitude for both strategic and tactical planning, and the ability to translate strategy into actionable deliverables.
* Strong business acumen and an understanding of organizational issues and challenges.
* Ability to think creatively, innovate, and differentiate products, with tangible evidence of business results.
* Ability to work independently within a complex environment, driving rigorous, fact\-based recommendations and solutions.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146,200\.00 to 211,850\.00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57">
      <c r="A57" t="inlineStr">
        <is>
          <t>li-4354069635</t>
        </is>
      </c>
      <c r="B57" t="inlineStr">
        <is>
          <t>Senior Manager Product Owner</t>
        </is>
      </c>
      <c r="C57" t="inlineStr">
        <is>
          <t>Eaton</t>
        </is>
      </c>
      <c r="D57" t="inlineStr">
        <is>
          <t>linkedin</t>
        </is>
      </c>
      <c r="E57" t="inlineStr"/>
      <c r="F57" t="inlineStr"/>
      <c r="G57" t="inlineStr">
        <is>
          <t>Raleigh, NC</t>
        </is>
      </c>
      <c r="H57" t="inlineStr"/>
      <c r="I57" t="inlineStr">
        <is>
          <t>Eaton’s Corporate Sector division is currently seeking a Senior Manager Product Owner. The expected annual salary range for this role is $165000 \- $242000 a year. This position is also eligible for a variable incentive program.
 Please note the salary information shown above is a general guideline only. Salaries are based upon candidate skills, experience, and qualifications, as well as market and business considerations.
**Job Summary**
 The Product Line Owner plays a crucial role in overseeing multiple products, either directly or through the management of other product owners. This individual is responsible for setting and championing the product vision, collaborating with key senior leaders to influence strategic business objectives, developing and maintaining the product roadmap, and defining essential operational processes, including the product release schedule.
**Key Responsibilities Include**
* Working closely with business partners and customers to define epics that align with key business objectives for the Scrum or Kanban team.
* Communicating strategy and status effectively at the C level.
* Tracking and managing product funding while defining work priorities for the product team.
* Balancing new features with continuous improvement, system health, and support.
 The Product Line Owner collaborates with multiple product teams, including analysts, engineers, and other members, to execute the product roadmap, guide the product development lifecycle, define user stories, and represent the voice of the customer across relevant portfolios and business units.
**What You’ll Do**
**Job Responsibilities**
* Define and champion the product vision, roadmap, and epics, working with senior leaders to craft strategic business objectives and enterprise\-spanning plans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including across Eaton's portfolio and with other business units
* Drive definition and continuous improvement of product processes (e.g., Lean, Agile, Scrum, DevSecOps, etc.)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Manage vendor strategy and relationship."
**Qualifications**
**Basic Qualificaitons:**
* Bachelor’s degree from an accredited institution
* Minimum of ten (10\) years of experience as an analyst, BRM, project manager, engineer or program lead on highly complex technology projects and programs.
* Minimum of seven (7\) years of experience as a Product Owner or equivalent position.
* Legally authorized to work in the U.S. without company sponsorship now or in the future.
* No relocation benefit is being offered for this position. Only candidates within a 50\-mile radius of Beachwood, OH: Galesburg MI,, Houston TX, Menomonee Falls WI, Moon Township PA, or Raleigh NC will be considered. Active\-Duty Military Service member candidates are exempt from the geographical area limitation.
* This position requires access to export\-controlled information. To conform to U.S. Government export regulations applicable to that information, applicant must be a U.S. person, defined as a (i) U.S. citizen or national, (ii) U.S. lawful, permanent resident (green card holder), (iii) refugee under 8 U.S.C.
* 1157, or (iv) asylee under 8 U.S.C.
* 1158
**Preferred Qualifications**
* Expertise with product management and modern product delivery processes
* Strong understanding of and experience working with Agile, Scrum, and/or Kanban software delivery teams
* Strong understanding of DevSecOps principles
* Strong understanding of modern software development principles including code management, test automation, APIs, microservices, and cloud services.
**Soft Skills**
* Executive communication skills
* Strong knowledge of and experience working with design thinking methodologies
* Expertise with creation and management of product roadmaps
* Strong understanding of lean principles with respect to product and portfolio management
* Data orientation and ability to make data\-driven decisions
* Passion for great customer experiences
* Financial and budget management
* Comfortable working directly with business leaders, external customers, and engineering teams
* Proven ability to drive change across organizational boundaries
* Experience working with diverse, global cultures, organizations and teams"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58">
      <c r="A58" t="inlineStr">
        <is>
          <t>li-4343011208</t>
        </is>
      </c>
      <c r="B58" t="inlineStr">
        <is>
          <t>Product Manager, Defined Contribution Lifetime Income</t>
        </is>
      </c>
      <c r="C58" t="inlineStr">
        <is>
          <t>Pacific Life</t>
        </is>
      </c>
      <c r="D58" t="inlineStr">
        <is>
          <t>linkedin</t>
        </is>
      </c>
      <c r="E58" t="inlineStr"/>
      <c r="F58" t="inlineStr"/>
      <c r="G58" t="inlineStr"/>
      <c r="H58" t="inlineStr"/>
      <c r="I58" t="inlineStr">
        <is>
          <t>**Job Description**
 Providing for loved ones, planning rewarding retirements, saving enough for whatever lies ahead – our policyholders count on us to be there when it matters most. It’s a big ask, but it’s one that we have the power to deliver when we work together. We collaborate and innovate – pushing one another to transform not just Pacific Life, but the entire industry for the better. Why? Because it’s the right thing to do. Pacific Life is more than a job, it’s a career with purpose. It’s a career where you have the support, balance, and resources to make a positive impact on the future – including your own.
 We’re actively seeking a talented Product Manager to join our Defined Contribution Lifetime Income team in
 **Newport Beach, CA or Omaha, NE. Remote will be considered as well.**
 As a Product Manager for Defined Contribution Lifetime Income, you’ll move Pacific Life, and your career, forward by developing and managing our Institutional retirement solutions that meet plan sponsor and participant needs and align with the company's strategic goals. Your job involves a combination of market research, product development, and project management through cross\-functional collaboration. This role is a product manager
 **focused on insurance offerings,** 
 not solely focused on software or other technology solutions.
**How You’ll Help Move Us Forward**
* Product Development: contribute to product development ideation, support product design feature development, and produce necessary documentation to facilitate knowledge transfer and development of requirements across project teams. Work closely with internal and external stakeholders to communicate the product vision, goals, and roadmap. Products can include solutions proprietary to Pacific Life, or in collaboration with strategic partnerships.
* Stakeholder Management: Collaborate with various stakeholders, including risk, pricing, legal, finance, sales teams, and operations, to ensure effective communication and alignment on product initiatives and goals in preparation for any internal approval processes.
* Product Implementation: In partnership with Delivery Acceleration, support the end\-to\-end product implementation process, including gathering business requirements and implementation across various internal and external stakeholders.
* Product Launch: Coordinate with marketing and sales teams to ensure effective product positioning and successful market entry. In partnership with these teams, develop and execute against product launch plans, including marketing strategies, training materials, and sales support.
* Market Analysis: In collaboration with DC strategist, support market research to identify customer needs, market trends, and competitive landscape. Gather insights to guide product development strategies and positioning against competitors. This may include collaboration with relationship management / strategic partnership efforts as well.
* Industry Knowledge: Stay up\-to\-date with DCLI industry trends, emerging technologies, and regulatory changes that impact the insurance landscape. Use this knowledge to inform product development strategies and identify market opportunities.
**The Experience You Bring**
* Knowledge of DC plans, lifetime income product types and competitor landscape, broader DC ecosystem required
* Strong insurance product knowledge and experience (e.g. defined contribution, annuities, and/or investments)
* Ability to partner with divisional stakeholders
* Strong interpersonal, communication, and presentation skills (with both internal and with external partners)
* Strong organizational skills and adept at creating and maintaining well\-structured documentation to support cohesive messaging
* Ability to operate in ambiguity
**You Can Be Who You Are.**
 We are committed to a culture of diversity and inclusion that embraces the authenticity of all employees, partners and communities. We support all employees to thrive and achieve their fullest potential. What’s life like at Pacific Life? Visit Instagram.com/lifeatpacificlife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$121,770\.00 \- $148,830\.00
**Your Benefits Start Day 1**
 Your wellbeing is important to Pacific Life, and we’re committed to providing you with flexible benefits that you can tailor to meet your needs. Whether you are focusing on your physical, financial, emotional, or social wellbeing, we’ve got you covered.
* Prioritization of your health and well\-being including Medical, Dental, Vision, and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row>
    <row r="59">
      <c r="A59" t="inlineStr">
        <is>
          <t>li-4353999511</t>
        </is>
      </c>
      <c r="B59" t="inlineStr">
        <is>
          <t>Senior Manager Product Owner</t>
        </is>
      </c>
      <c r="C59" t="inlineStr">
        <is>
          <t>Eaton</t>
        </is>
      </c>
      <c r="D59" t="inlineStr">
        <is>
          <t>linkedin</t>
        </is>
      </c>
      <c r="E59" t="inlineStr"/>
      <c r="F59" t="inlineStr"/>
      <c r="G59" t="inlineStr">
        <is>
          <t>Beachwood, OH</t>
        </is>
      </c>
      <c r="H59" t="inlineStr"/>
      <c r="I59" t="inlineStr">
        <is>
          <t>Eaton’s Corporate Sector division is currently seeking a Senior Manager Product Owner. The expected annual salary range for this role is $165000 \- $242000 a year. This position is also eligible for a variable incentive program.
 Please note the salary information shown above is a general guideline only. Salaries are based upon candidate skills, experience, and qualifications, as well as market and business considerations.
**Job Summary**
 The Product Line Owner plays a crucial role in overseeing multiple products, either directly or through the management of other product owners. This individual is responsible for setting and championing the product vision, collaborating with key senior leaders to influence strategic business objectives, developing and maintaining the product roadmap, and defining essential operational processes, including the product release schedule.
**Key Responsibilities Include**
* Working closely with business partners and customers to define epics that align with key business objectives for the Scrum or Kanban team.
* Communicating strategy and status effectively at the C level.
* Tracking and managing product funding while defining work priorities for the product team.
* Balancing new features with continuous improvement, system health, and support.
 The Product Line Owner collaborates with multiple product teams, including analysts, engineers, and other members, to execute the product roadmap, guide the product development lifecycle, define user stories, and represent the voice of the customer across relevant portfolios and business units.
**What You’ll Do**
**Job Responsibilities**
* Define and champion the product vision, roadmap, and epics, working with senior leaders to craft strategic business objectives and enterprise\-spanning plans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including across Eaton's portfolio and with other business units
* Drive definition and continuous improvement of product processes (e.g., Lean, Agile, Scrum, DevSecOps, etc.)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Manage vendor strategy and relationship."
**Qualifications**
**Basic Qualificaitons:**
* Bachelor’s degree from an accredited institution
* Minimum of ten (10\) years of experience as an analyst, BRM, project manager, engineer or program lead on highly complex technology projects and programs.
* Minimum of seven (7\) years of experience as a Product Owner or equivalent position.
* Legally authorized to work in the U.S. without company sponsorship now or in the future.
* No relocation benefit is being offered for this position. Only candidates within a 50\-mile radius of Beachwood, OH: Galesburg MI,, Houston TX, Menomonee Falls WI, Moon Township PA, or Raleigh NC will be considered. Active\-Duty Military Service member candidates are exempt from the geographical area limitation.
* This position requires access to export\-controlled information. To conform to U.S. Government export regulations applicable to that information, applicant must be a U.S. person, defined as a (i) U.S. citizen or national, (ii) U.S. lawful, permanent resident (green card holder), (iii) refugee under 8 U.S.C.
* 1157, or (iv) asylee under 8 U.S.C.
* 1158
**Preferred Qualifications**
* Expertise with product management and modern product delivery processes
* Strong understanding of and experience working with Agile, Scrum, and/or Kanban software delivery teams
* Strong understanding of DevSecOps principles
* Strong understanding of modern software development principles including code management, test automation, APIs, microservices, and cloud services.
**Soft Skills**
* Executive communication skills
* Strong knowledge of and experience working with design thinking methodologies
* Expertise with creation and management of product roadmaps
* Strong understanding of lean principles with respect to product and portfolio management
* Data orientation and ability to make data\-driven decisions
* Passion for great customer experiences
* Financial and budget management
* Comfortable working directly with business leaders, external customers, and engineering teams
* Proven ability to drive change across organizational boundaries
* Experience working with diverse, global cultures, organizations and teams"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60">
      <c r="A60" t="inlineStr">
        <is>
          <t>li-4319303359</t>
        </is>
      </c>
      <c r="B60" t="inlineStr">
        <is>
          <t>Senior Product Manager, Vendor Quality Platform</t>
        </is>
      </c>
      <c r="C60" t="inlineStr">
        <is>
          <t>Quince</t>
        </is>
      </c>
      <c r="D60" t="inlineStr">
        <is>
          <t>linkedin</t>
        </is>
      </c>
      <c r="E60" t="inlineStr"/>
      <c r="F60" t="inlineStr"/>
      <c r="G60" t="inlineStr">
        <is>
          <t>Palo Alto, CA</t>
        </is>
      </c>
      <c r="H60" t="inlineStr"/>
      <c r="I60" t="inlineStr">
        <is>
          <t>**ABOUT QUINCE**
 Founded in 2018, Quince was built to challenge the idea that nice things have to cost a lot. Our mission is simple: to make really high quality essentials for really low prices, produced fairly and sustainably. We believe everyone deserves exceptional craftsmanship and timeless design without the traditional markups. Quince is a direct\-to\-consumer (DTC) model that cuts out middlemen and leverages just\-in\-time manufacturing to minimize waste and maximize value.
 Quince is a tech company disrupting the retail industry by putting AI, analytics and automation at the center of everything we do. Our unwavering commitment to excellence and company values guide our teams and actions:
* Customer First: We prioritize customer satisfaction in every decision.
* High Quality: True quality means premium materials and rigorous production standards you can feel good about.
* Essential Design: We focus on timeless, functional essentials instead of chasing trends.
* Always a Better Deal: Innovation and transparency ensure value for both customers and partners.
* Social \&amp; Environmental Responsibility: We commit to sustainable materials, ethical production, and fair wages.
 Quince partners with world\-class manufacturers across the globe and serves millions of customers. With strong investor backing and a focus on sustainable growth, we are a company that is rapidly scaling while maintaining a commitment to quality, simplicity, and radical price transparency.
**OUR TEAM AND SUCCESS**
 At Quince, you will be part of a high\-performing team that is redefining what quality, value, and sustainability mean in modern retail. We are a destination for builders, innovators, and operators to come together and challenge the status quo. Our collective ambition is bold. We are creating an entirely new category and customer experience – one that democratizes luxury and provides high quality products at radically low prices. That mission demands a world\-class team committed to excellence.
 If you are motivated by impact, growth, and purpose, you will find a strong sense of belonging at Quince.
**THE ROLE**
**Senior Product Manager, Vendor Quality Platform**
 The Senior Product Manager, Vendor Quality Platform will build the technology that orchestrates every quality touchpoint across our vendor and supply chain lifecycle:
* Multi\-sided quality platform for vendors, 3P inspectors, and labs
* Risk matrix driving auto\-gated audits, inline/DUPRO, final inspections, and lab tests
* QC deployment logic at vendor/factory level with smart booking \&amp; dispatch
* Quality data lake \&amp; scorecards that tie to chargebacks, returns, and CSAT
* AI/computer vision to detect defects and production issues early
* Tight integrations with PLM/ERP/WMS/TMS, Sourcing, Logistics, and Merchandising
**Responsibilities**
* Strategy \&amp; Vision: Define a 12–24 month roadmap for the Quality Platform (inspections, labs, scorecards, AI)
+ Establish risk tiers, AQL/sampling standards, and compliance gates baked into workflows
+ Make “build vs. buy” decisions across inspection/lab providers and platform components
* Execution \&amp; Operational Excellence:
+ Ship v1 of automated QC booking \&amp; dispatch and risk\-based inspection gating in first 6 months
+ Launch vendor/factory quality scorecards with workflows and SLA tracking.
+ Deliver stable integrations to at least one 3P inspection/lab network and our PLM/ERP
+ Drive platform SLOs (availability, latency) and auditability across all decisions
* Cross\-Functional Collaboration:
+ Partner with Sourcing/Production/Logistics/Merch to align pre\-PO checks and pre\-ship holds with quality gates
+ Work with QA/QC Ops to codify procedures into productized playbooks
+ Coordinate with Legal/Compliance for regulatory testing, documentation, and record retention
+ Enable Data/ML to operationalize computer\-vision and anomaly detection
* Metrics Ownership:
+ Final\-inspection Right\-First\-Time (RFT); defect rates (critical/major/minor) at AQL
+ Inspection \&amp; lab lead time, retest rate, and on\-time ship adherence.
+ Compliance pass rate; % shipments auto\-approved by rules
+ Return/defect\-related CSAT lift; Cost of Quality (prevention/appraisal/failure) reduction
+ Vendor Quality Score improvement
**Qualifications**
**Required:**
* 5–7\+ years total experience; 3\+ in product management building internal platforms or supply\-chain/operations products
* Proven launches of workflow/API products used by external partners (vendors, 3Ps) and internal operators
* Technical fluency (APIs, data pipelines, event models); ability to translate standards into system rules
* Data\-driven; comfortable with SQL and experimentation to validate gating logic and thresholds
* Excellent communicator across executive, business, factory, and engineering audiences
**Preferred:**
* Supplier\-quality or private\-brand apparel/consumer goods experience
* Familiarity with inspection/lab networks (e.g., Intertek, SGS, BV, QIMA) and PLM/ERP (e.g., TradeBeyond/CBX)
* Experience with computer vision for defect detection or production monitoring
* Background designing workflows, vendor incentives, and scorecards
* Time in both high\-growth startups and scaled, global supply chains
 All posted ranges are reflective of base salary and may vary depending upon experience level and location. Bonus and equity may also be provided for eligible roles.
 Pay Range: $204,000 USD \- $226,000 USD
**WHY QUINCE?**
 Joining Quince means being part of a mission\-driven team reshaping retail. You will work alongside talented colleagues, tackle meaningful challenges, and contribute to building a more sustainable, accessible future for customers and partners alike.
**EQUAL OPPORTUNITY \&amp; HIRING INTEGRITY**
 Quince provides equal employment opportunities to all employees and applications for employment and prohibits discrimination and harassment of any type without regard to race, color, religion, age, sex, national origin, disability status, genetics, protected veteran or military status, sexual orientation, gender identity or expression, or any other characteristic protected by federal, state, or local laws.
 Quince is committed to providing reasonable accommodations to qualified individuals with disabilities. If you need a reasonable accommodation to complete your application or to perform the essential functions of a role at Quince, please let us know by completing this accommodation form. We review all requests individually and will work with you to determine appropriate accommodations on a case\-by\-case basis.
 Employment is contingent upon successful completion of a background check. Quince will conduct background checks in compliance with applicable federal, state, and local laws.
*Security Advisory: Beware of Frauds*
 At Quince, we're dedicated to recruiting top talent who share our drive for innovation. To safeguard candidates, Quince emphasizes legitimate recruitment practices. Initial communication is primarily via official Quince email addresses and LinkedIn; beware of deviations. Personal data and sensitive information will not be solicited during the application phase. Interviews are conducted via phone, in person, or through the approved platforms Google Meets or Zoom—never via messaging apps or other calling services. Offers are merit\-based, communicated verbally, and followed up in writing. If personal information is requested to initiate the hiring process, rest assured it will be through secure and protected means.</t>
        </is>
      </c>
    </row>
    <row r="61">
      <c r="A61" t="inlineStr">
        <is>
          <t>li-4365080978</t>
        </is>
      </c>
      <c r="B61" t="inlineStr">
        <is>
          <t>Senior Technical Product Manager - Search</t>
        </is>
      </c>
      <c r="C61" t="inlineStr">
        <is>
          <t>Bloomberg Industry Group</t>
        </is>
      </c>
      <c r="D61" t="inlineStr">
        <is>
          <t>linkedin</t>
        </is>
      </c>
      <c r="E61" t="inlineStr"/>
      <c r="F61" t="inlineStr"/>
      <c r="G61" t="inlineStr">
        <is>
          <t>Arlington, VA</t>
        </is>
      </c>
      <c r="H61" t="inlineStr"/>
      <c r="I61" t="inlineStr">
        <is>
          <t>At Bloomberg Industry Group, our Core AI \&amp; Search team is building the next generation of AI\-powered search and information retrieval capabilities that help professionals find trusted answers quickly and confidently. Our work powers Bloomberg Law, Bloomberg Tax, and Bloomberg Government, products used daily by legal, tax, and policy professionals.
 We are seeking a Senior Technical Product Manager to own the technical product strategy and long\-term roadmap for search and related services across the organization. In this role, you will steward critical search infrastructure and partner closely with Engineering leadership to shape architectural direction and deliver scalable, high\-impact search platform capabilities that measurably improve search quality and user outcomes.
 This is a high\-leverage role in a deeply cross\-functional, matrixed environment. You will collaborate closely with partners across product, data, engineering, and our businesses, balancing technical depth with strategic judgment. You’ll also join a strong community of product managers working across AI, search, our core platform, and our business units.
 What You Will Do:
* Own and evolve the technical product strategy and long\-term roadmap for Bloomberg Industry Group’s search platform and related services
* Define priorities for improving information retrieval quality, performance, and relevance, grounded in user needs and measurable usage and outcome metrics, alongside emerging technical capabilities
* Translate business and product goals into clear, testable technical requirements, including user stories, acceptance criteria, and user\-facing success metrics where appropriate
* Partner closely with Engineering on search architecture, system design, and technical trade\-offs, ensuring solutions scale reliably across products
* Collaborate with stakeholders across the organization to understand capabilities, constraints, and opportunities, and align technical vision with business needs
* Partner with Product Managers and other stakeholders to understand end\-user needs and incorporate those insights into search platform decisions
* Operate effectively in an Agile environment—continuously refining priorities, milestones, and delivery plans while identifying risks and dependencies
* Use data and experimentation to evaluate search performance and guide optimization decisions
* Prioritize investments in scalability, reliability, and technical debt to support long\-term platform health and sustained improvements in user experience at scale
* Evaluate build vs. buy vs. modernize options for key technical capabilities
* Ensure search services meet security, compliance, and operational standards
* Communicate complex technical concepts clearly to non\-technical audiences and senior stakeholders
* Mentor and support the growth of other Product Managers and Technical Product Managers
 What You Need to Have:
* 7–10 years of experience building and shipping technology\-powered products, with at least 3 years owning technical or platform product execution (e.g., Technical PM, Platform PM, IR/ML PM, Solution Architect, or Engineering Lead)
* Bachelor’s degree in Computer Science, Engineering, Data/Information Systems, or a related technical field—or equivalent practical experience
* Strong understanding of modern software and platform architectures, including APIs, data models, cloud\-based and distributed systems, and data infrastructure
* Proven ability to partner with senior engineers and technical leaders to influence architecture\-level decisions and navigate complex technical trade\-offs
* Demonstrated data\-driven decision making, using performance metrics, experimentation, telemetry, and logs to guide product strategy and prioritization
* Experience producing clear, high\-quality technical requirements, user stories, and system\-level documentation
* Solid grasp of modern delivery and operational practices, including Agile methodologies, CI/CD, observability, reliability engineering, and technical debt management
* Familiarity with DevOps, SRE, security, and compliance considerations in production systems
* Excellent communication skills, with the ability to translate complex technical concepts into clear guidance for cross\-functional and non\-technical stakeholders
* Willingness to travel as needed
 Equal Opportunity
 Bloomberg Industry Group maintains a continuing policy of non\-discrimination in employment. It is Bloomberg Industry Group’s policy to provide equal opportunity and access for all persons, and the Company is committed to attracting, retaining, developing, and promoting the most qualified individuals without regard to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(“Protected Characteristic”). Bloomberg prohibits treating applicants or employees less favorably in connection with the terms and conditions of employment, in all phases of the employment process, because of one or more Protected Characteristics (“Discrimination”).</t>
        </is>
      </c>
    </row>
    <row r="62">
      <c r="A62" t="inlineStr">
        <is>
          <t>li-4341185659</t>
        </is>
      </c>
      <c r="B62" t="inlineStr">
        <is>
          <t>Enterprise Product Owner Senior Associate</t>
        </is>
      </c>
      <c r="C62" t="inlineStr">
        <is>
          <t>The Depository Trust &amp; Clearing Corporation (DTCC)</t>
        </is>
      </c>
      <c r="D62" t="inlineStr">
        <is>
          <t>linkedin</t>
        </is>
      </c>
      <c r="E62" t="inlineStr"/>
      <c r="F62" t="inlineStr"/>
      <c r="G62" t="inlineStr">
        <is>
          <t>Jersey City, NJ</t>
        </is>
      </c>
      <c r="H62" t="inlineStr"/>
      <c r="I62" t="inlineStr">
        <is>
          <t>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 like the world that we serve.
 Pay and Benefits:\-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The Product Owner is responsible for translating the product vision into squad results to achieve the product strategy, aligned with increasing value to the client. This is done through managing scope and product backlog in collaboration with the squad, Product Manager, clients (internal/external) and key customers.
 Your Primary Responsibilities: \- Leads the delivery team (Scrum Master, Business Analysts, Development and QA Analysts) to create solutions that meet business needs in an Agile setting (i.e., scrum ceremonies, collocated team, etc.)
* Guides the team to decompose requirements into stories, uncover associated workflows, data and business rules as well as define acceptance criteria based on real world scenarios.
* Reviews improvement requests and bugs to determine solutions that do not negatively impact on other product features.
* Analyzes regulations and leads design walkthroughs, demos and functionality feedback sessions with internal and external stakeholders.
* Determines and produces just enough documentation for the functionality being delivered in iterations but also compiles a running specification that serves as a functional specification for the final deliverable.
* Partners with internal customers such as Integration and Documentation on operational readiness activities by sharing subject matter expertise on features and functions and uncovering operational requirements.
* Aligns risk and control processes into day\-to\-day responsibilities to supervise and mitigate risk; escalates appropriately
 \*\*NOTE: The Primary Responsibilities of this role are not limited to the details above. \*\*
 Qualifications:\- Minimum of 6 years of related experience
* Bachelor's degree preferred or equivalent experience
 Talents Needed for Success:\- Experience with business/system analysis and requirements documentation
* Experience/knowledge of business process re\-engineering
* Strong verbal and written communication skills with the ability to present non\-technical details to a technical audience
* Proficiency with Microsoft Suite (Word, Excel, PowerPoint, Visio, Project)
* Awareness of automation design and development considerations including Agile methodologies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63">
      <c r="A63" t="inlineStr">
        <is>
          <t>li-4346683971</t>
        </is>
      </c>
      <c r="B63" t="inlineStr">
        <is>
          <t>Senior Product Owner - Control Tech</t>
        </is>
      </c>
      <c r="C63" t="inlineStr">
        <is>
          <t>Marathon Petroleum Corporation</t>
        </is>
      </c>
      <c r="D63" t="inlineStr">
        <is>
          <t>linkedin</t>
        </is>
      </c>
      <c r="E63" t="inlineStr"/>
      <c r="F63" t="inlineStr"/>
      <c r="G63" t="inlineStr">
        <is>
          <t>St Paul Park, MN</t>
        </is>
      </c>
      <c r="H63" t="inlineStr"/>
      <c r="I63"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64">
      <c r="A64" t="inlineStr">
        <is>
          <t>li-4346599335</t>
        </is>
      </c>
      <c r="B64" t="inlineStr">
        <is>
          <t>Senior Product Owner - Control Tech</t>
        </is>
      </c>
      <c r="C64" t="inlineStr">
        <is>
          <t>Marathon Petroleum Corporation</t>
        </is>
      </c>
      <c r="D64" t="inlineStr">
        <is>
          <t>linkedin</t>
        </is>
      </c>
      <c r="E64" t="inlineStr"/>
      <c r="F64" t="inlineStr"/>
      <c r="G64" t="inlineStr">
        <is>
          <t>Mandan, ND</t>
        </is>
      </c>
      <c r="H64" t="inlineStr"/>
      <c r="I64"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65">
      <c r="A65" t="inlineStr">
        <is>
          <t>li-4342965140</t>
        </is>
      </c>
      <c r="B65" t="inlineStr">
        <is>
          <t>Staff Product Manager, Database</t>
        </is>
      </c>
      <c r="C65" t="inlineStr">
        <is>
          <t>Pinecone</t>
        </is>
      </c>
      <c r="D65" t="inlineStr">
        <is>
          <t>linkedin</t>
        </is>
      </c>
      <c r="E65" t="inlineStr"/>
      <c r="F65" t="inlineStr"/>
      <c r="G65" t="inlineStr">
        <is>
          <t>New York, NY</t>
        </is>
      </c>
      <c r="H65" t="inlineStr"/>
      <c r="I65" t="inlineStr">
        <is>
          <t>**About Pinecone**
 Pinecone is the leading vector database for building accurate and performant AI applications at scale in production. Pinecone's mission is to make AI knowledgeable. More than 9000 customers across various industries have shipped AI applications faster and more confidently with Pinecone's developer\-friendly technology. Pinecone is based in New York and raised $138M in funding from Andreessen Horowitz, ICONIQ, Menlo Ventures, and Wing Venture Capital.
**About The Role**
 As a Product Manager on the database team, you will work closely with the Product and Engineering teams at Pinecone to define the next generation of vector database capabilities. You will drive the strategy and roadmap for core database capabilities to make transformative improvements to performance, scalability, efficiency, and search quality.
 The ideal candidate is passionate about understanding developer needs of building AI applications in a highly dynamic and evolving AI landscape. Your role is to deeply empathize with AI developers and to define database requirements that meet their needs, and to work with engineering to build and ship these capabilities. You will bring a sense of ownership, accountability, and entrepreneurship to your objective of driving database adoption.
**Responsibilities**
* Spearhead the development of core database capabilities from concept through launch, ensuring high quality execution and alignment with the company’s strategic vision.
* Collaborate cross\-functionally with engineering, marketing, sales, and customer success teams to ensure high quality execution, cohesive product messaging, and effective go\-to\-market strategies.
* Collect user feedback to inform product strategy and identify new opportunities for innovation.
* Define and prioritize product requirements based on target user personas and market research
* Forecast timelines and communicate product strategy and deliverables to company leadership
**Requirements**
* 7\+ years experience in product management of technical products with at least 3 years working on highly technical SaaS or cloud infrastructure products.
* BS/MS/PhD in Computer Science or related technical field
* Strong empirical, data\-driven approach to deployment and decision\-making.
**Bonus Points**
* Demonstrated success in an unstructured environment
* A passion for databases and/or search
* Experience in a customer\-facing role
* Experience building cloud software infrastructure
**Perks \&amp; Benefits**
* Comprehensive health coverage including Medical, Dental, Vision
* Free mental health therapy sessions; free One Medical, Tela\-doc, and Health Advocate subscriptions
* Cost\-savings on gynecology, fertility, and family\-building care
* Equity award
* 401(k)
* Flexible time off
* Paid parental leave
* Annual Department Retreat
* WFH Equipment Stipend
 All qualified applicants will receive considerations for employment without regard to race, color, religion, sex, age, disability, marital status, familial status, sexual orientation, pregnancy, gender identity, gender expression, national origin, ancestry, citizenship status, veteran status, and any other legally protected status under federal, state, or local anti\-discrimination laws.
 Compensation Range: $225K \- $275K</t>
        </is>
      </c>
    </row>
    <row r="66">
      <c r="A66" t="inlineStr">
        <is>
          <t>li-4346694097</t>
        </is>
      </c>
      <c r="B66" t="inlineStr">
        <is>
          <t>Senior Product Owner - Control Tech</t>
        </is>
      </c>
      <c r="C66" t="inlineStr">
        <is>
          <t>Marathon Petroleum Corporation</t>
        </is>
      </c>
      <c r="D66" t="inlineStr">
        <is>
          <t>linkedin</t>
        </is>
      </c>
      <c r="E66" t="inlineStr"/>
      <c r="F66" t="inlineStr"/>
      <c r="G66" t="inlineStr">
        <is>
          <t>Robinson, IL</t>
        </is>
      </c>
      <c r="H66" t="inlineStr"/>
      <c r="I66"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67">
      <c r="A67" t="inlineStr">
        <is>
          <t>li-4300784867</t>
        </is>
      </c>
      <c r="B67" t="inlineStr">
        <is>
          <t>Product Manager - ArcGIS Notebooks &amp; Python Libraries</t>
        </is>
      </c>
      <c r="C67" t="inlineStr">
        <is>
          <t>Esri</t>
        </is>
      </c>
      <c r="D67" t="inlineStr">
        <is>
          <t>linkedin</t>
        </is>
      </c>
      <c r="E67" t="inlineStr"/>
      <c r="F67" t="inlineStr"/>
      <c r="G67" t="inlineStr">
        <is>
          <t>Redlands, CA</t>
        </is>
      </c>
      <c r="H67" t="inlineStr"/>
      <c r="I67" t="inlineStr">
        <is>
          <t>**Overview**
 From addressing climate change to taking on issues of equality and social justice, to building the workflows that power modern business, ArcGIS users are working to make the world a better place for generations to come.
 As a product manager for ArcGIS Notebooks and the ArcGIS Python libraries, you will empower these users with technology that enables the spatial data science workflow and helps them to script and automate analysis and management tasks. You will define the vision and product strategy for these capabilities across implementation patterns, from desktop to server to SaaS, and help Esri stay ahead of the competition by driving innovation.
 This role requires a proactive, self\-motivated individual who will work across Esri teams, partners, international distributors, and a broad range of customers to champion the needs of the multiple user personas. Your role will have high visibility to Esri leadership and the broader ArcGIS community.
**Responsibilities**
* Maintain a strong understanding of spatial data science \&amp; related technologies, serving as a subject matter expert for the product team and across the company
* Inform ArcGIS Notebooks \&amp; ArcGIS Python Libraries product strategy for Esri and ensure cohesion and continuity by working closely with development, engineering, and other product teams
* Plan and manage the product lifecycle of each aspect of the ArcGIS Notebooks \&amp; ArcGIS Python Libraries product lines
* Participate in competitive analysis and perform market research
* Gather requirements from several different sources including from customer interactions
* Present and evangelize the product in the user community and at internal and external trade shows, conferences, hackathons, as well as through webinars, publications, and social media
**Requirements**
* 2\+ years of experience in technical product management or related field
* Experience with spatial analysis tools and technologies
* Experience with Python, Jupyter Notebooks, and/or other open science technologies
* Experience creating products for analysts and data scientists
* Experience managing products that have multiple implementation options and/or architectural patterns (SaaS, server software, desktop software, APIs, and more)
* Strong storytelling, listening, and collaboration skills
* Effective time management and organizational skills
* Excellent verbal and written communication skills at the technical level
* Excellent analytical, problem\-solving, and creative thinking skills
* Requirement for travel 10\-20% of the time for strategic meetings, events, and/or tradeshows
* Bachelor's degree in geography, computer science, engineering, remote sensing, photogrammetry, or related field
**Recommended Qualifications**
* Experience with GIS software
* Proven success working on products in one or more of the following disciplines: data engineering / data science, visualization and exploration, spatial analysis, machine learning / deep learning / AI, modeling and scripting, big data, or analytics operationalization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$91,520\-$151,424 USD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
 Requisition ID: 2025\-2453</t>
        </is>
      </c>
    </row>
    <row r="68">
      <c r="A68" t="inlineStr">
        <is>
          <t>li-4354019066</t>
        </is>
      </c>
      <c r="B68" t="inlineStr">
        <is>
          <t>Principal Product Manager - Performance Solutions Delivery Architecture</t>
        </is>
      </c>
      <c r="C68" t="inlineStr">
        <is>
          <t>FactSet</t>
        </is>
      </c>
      <c r="D68" t="inlineStr">
        <is>
          <t>linkedin</t>
        </is>
      </c>
      <c r="E68" t="inlineStr"/>
      <c r="F68" t="inlineStr"/>
      <c r="G68" t="inlineStr"/>
      <c r="H68" t="inlineStr"/>
      <c r="I68"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69">
      <c r="A69" t="inlineStr">
        <is>
          <t>li-4346722999</t>
        </is>
      </c>
      <c r="B69" t="inlineStr">
        <is>
          <t>Senior Product Owner - Control Tech</t>
        </is>
      </c>
      <c r="C69" t="inlineStr">
        <is>
          <t>Marathon Petroleum Corporation</t>
        </is>
      </c>
      <c r="D69" t="inlineStr">
        <is>
          <t>linkedin</t>
        </is>
      </c>
      <c r="E69" t="inlineStr"/>
      <c r="F69" t="inlineStr"/>
      <c r="G69" t="inlineStr">
        <is>
          <t>Canton, OH</t>
        </is>
      </c>
      <c r="H69" t="inlineStr"/>
      <c r="I69"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70">
      <c r="A70" t="inlineStr">
        <is>
          <t>li-4346801838</t>
        </is>
      </c>
      <c r="B70" t="inlineStr">
        <is>
          <t>Senior Product Owner - Control Tech</t>
        </is>
      </c>
      <c r="C70" t="inlineStr">
        <is>
          <t>Marathon Petroleum Corporation</t>
        </is>
      </c>
      <c r="D70" t="inlineStr">
        <is>
          <t>linkedin</t>
        </is>
      </c>
      <c r="E70" t="inlineStr"/>
      <c r="F70" t="inlineStr"/>
      <c r="G70" t="inlineStr">
        <is>
          <t>Catlettsburg, KY</t>
        </is>
      </c>
      <c r="H70" t="inlineStr"/>
      <c r="I70"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71">
      <c r="A71" t="inlineStr">
        <is>
          <t>li-4360998836</t>
        </is>
      </c>
      <c r="B71" t="inlineStr">
        <is>
          <t>Reagent Product Manager (Fremont or San Diego, CA)</t>
        </is>
      </c>
      <c r="C71" t="inlineStr">
        <is>
          <t>Cytek Biosciences</t>
        </is>
      </c>
      <c r="D71" t="inlineStr">
        <is>
          <t>linkedin</t>
        </is>
      </c>
      <c r="E71" t="inlineStr"/>
      <c r="F71" t="inlineStr"/>
      <c r="G71" t="inlineStr">
        <is>
          <t>Fremont, CA</t>
        </is>
      </c>
      <c r="H71" t="inlineStr"/>
      <c r="I71" t="inlineStr">
        <is>
          <t>Cytek Biosciences, Inc. (Nasdaq: CTKB) is a leading cell analysis solutions company advancing the next generation of cell analysis tools through its patented Full Spectrum Profiling™ (FSP™) technology. Cytek’s innovative platform enables high\-resolution, high\-content, and high\-sensitivity cellular analysis by harnessing the full fluorescence spectrum, delivering enhanced multiplexing capabilities with precision and sensitivity. The company’s comprehensive suite of solutions includes its core full spectrum instruments such as the Cytek Aurora™, Northern Lights™, Cytek Aurora™ CS and Evo systems; reagent development and preparation systems; enhanced small particle detection technologies; and flow cytometer and imaging products under the Amnis® and Guava® brands, complemented by software, reagents, and services that support scientific discovery and research workflows worldwide. Cytek is headquartered in Fremont, California, with global distribution channels and a commitment to empowering researchers across diverse life science disciplines.
 The Reagent Product Manager will manage and accelerate Cytek Biosciences’ complete reagent portfolio revenue and market share growth. This includes supporting all go\-to\-market channels: Direct, OEM, distribution, and B2B. The 4P’s framework will be central to driving the Go\-To\-Market strategy. The PM will deploy a core\-team approach to driving NPI, marketing programs and campaigns, and strategic collaborations. They will work closely with all functions at Cytek including R\&amp;D, marketing, eCommerce, operations, quality, regulatory, regional marketing and sales.
 This is an onsite opportunity for those who are interested in joining our team in Fremont or San Diego, CA location.
**Essential Duties And Responsibilities** 
 To perform this job successfully, an individual must be able to perform essential duties and responsibilities satisfactorily. Reasonable accommodations may be made to enable individuals with disabilities to perform essential functions.
* Lead annual strategic planning and product road\-mapping efforts for the entire reagent portfolio \-
* Incorporate Voice of Customer (VOC), Voice of Sales (VOS), Key Opinion Leaders (KOLs), internal Cytek experts, symposiums, tradeshows and competitor intelligence into strategic planning.
* Track emerging technologies and trends to identify disruptive opportunities and inform portfolio strategies.
* Define Serviceable Addressable Markets (SAM) across key flow cytometry segments using market research, surveys, analyst reports, and competitive intelligence.
* Drive above\- market growth through execution of marketing strategies, NPI, pricing strategies, large design\-in opportunities and core portfolio expansion.
* Champion product management responsibilities including sales training content creation, quarterly global sales training, trade show support, sales forecasting, pricing strategy, and product rationalization.
* Analyze sales data to develop actionable sales and promotional plans that support sustained revenue growth.
* Partner with regional marketing team and execute on regional sales plans for Cytek® cFluor®, Guava® and Tonbo® reagent brands
* Partner and support integrated omni\-channel marketing plans including digital, 3 rd party, seminars, customer meetings, and tradeshows.
* Compile and present monthly and quarterly business reviews.
* Lead key reagent core team meetings, including NPI, continuous improvement initiatives, large design\-in and development services opportunity management.
**Requirements \&amp; Qualifications** 
 The requirements listed below are representative of the knowledge, skill, and/or ability required.
* Bachelor’s degree in Biology, Chemistry, Biochemistry or related discipline, or equivalent education and experience are required.
* M.B.A. preferred.
* 5\+ years’ experience in a similar product management and/ or marketing role.
**Additional Skills And Competencies** 
* Possesses collaborative team\-based approach to drive key initiatives
* Ability to work across cross\-functional teams and contribute to a positive work environment
* Demonstrates ability to influence stakeholders in other functions
* Analytical skills, especially the ability to generate alternative solutions and manage risk by identifying criteria for trade\-off decisions and helping to facilitate difficult conversations
* Demonstrates understanding of company’s external customer needs and how they affect business unit products and services.
* Possess strong presentation skills.
* Mastery of Excel and pivot tables.
* Self\-motivated and a driving force of execution in their current or past organizations able to complete tasks by leveraging relationships and establishing goals.
* Willingness to be flexible and adaptable in a complex, fast moving startup environment.
* Able to adapt to changing needs and parameters caused by time, budget, or other constraints typical of a newly formed business and markets.
**Physical Demands And Work Environment** 
 The physical demands described here are representative of those that must be met by an employee to successfully perform the essential functions of this job. Reasonable accommodation may be made to enable individuals with disabilities to perform the essential functions.
* Prolonged periods of sitting and standing.
* Travel up to 30% of the time trade shows, meetings, customer sites.
**Salary Range** 
 We’re committed to competitive pay that reflects cost of living and market data in each location:
* Fremont, CA: $115,000 – $148,100 per year
* San Diego, CA: $100,000 – $125,000 per year
 Final offers are based on relevant experience, skills, and internal equity.
 Cytek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t>
        </is>
      </c>
    </row>
    <row r="72">
      <c r="A72" t="inlineStr">
        <is>
          <t>li-4342123385</t>
        </is>
      </c>
      <c r="B72" t="inlineStr">
        <is>
          <t>Program Manager (Junior Chief of Staff)</t>
        </is>
      </c>
      <c r="C72" t="inlineStr">
        <is>
          <t>Progress Software</t>
        </is>
      </c>
      <c r="D72" t="inlineStr">
        <is>
          <t>linkedin</t>
        </is>
      </c>
      <c r="E72" t="inlineStr"/>
      <c r="F72" t="inlineStr"/>
      <c r="G72" t="inlineStr">
        <is>
          <t>Burlington, MA</t>
        </is>
      </c>
      <c r="H72" t="inlineStr"/>
      <c r="I72" t="inlineStr">
        <is>
          <t>We are Progress (Nasdaq: PRGS) \- the trusted provider of software that enables our customers to develop, deploy and manage responsible, AI\-powered applications and experiences with agility and ease.
 We’re proud to have a diverse, global team where we value the individual and enrich our culture by considering varied perspectives because we believe people power progress.
 We’re looking for a highly organized and business\-savvy operator to join the Office of the EVP as our Program Manager / Junior Chief of Staff for the Digital Experience Business Unit within Progress.
 You’ll partner with the Chief of Staff and senior leadership to run the business rhythm of a 1,000\+ \- person global organization, driving clarity, accountability, and execution across Product, Sales, Marketing, and Customer Success teams.
 This is a unique opportunity to sit at the intersection of strategy, operations, and leadership, with exposure to executive decision\-making. This will be a hybrid role working between your home office and our Burlington MA headquarters. Candidates must be local to this location to be considered, as we can not offer any relocation packages at this time.
**In This Role You Will**
* Run the operating system for the Digital Experience (DX) business – own the day\-to\-day cadence (staff meetings, Quarterly Business Reviews, goal setting, planning cycles, offsites). Have a view of the entire business and how it is run.
* Drive execution and accountability – track decisions, follow up on action items, and ensure priorities move forward.
* Build executive communications – based on predefined requirements, develop decks and materials for Quarterly Business Reviews, Sales Kickoffs, and All\-Hands meetings; summarize key business updates.
* Coordinate cross\-functional initiatives – connect Product, Sales, Marketing, and Customer Support to deliver high\-impact outcomes.
* Streamline operations – improve processes, meeting quality, and decision\-making efficiency.
* Manage data and insights – work with Finance and Business Intelligence to maintain dashboards, KPIs, and reporting packs.
* Partner with the Chief of Staff and Executive Assistant – align leadership time and communication with top business priorities.
**Your Background**
* 2\-4 years of experience as a top performer in Business Operations, Program Management, or Consulting, ideally in a SaaS or technology company.
* Proven ability to run cross\-functional projects and manage multiple stakeholders.
* Strong analytical skills and comfort with data — able to interpret metrics and build insights that inform decisions.
* Excellent written and visual communication skills (PowerPoint, Miro, Google Slides, or similar).
* High emotional intelligence, discretion, and ability to influence without authority.
* Strong systems thinking and process design capabilities.
* Exceptional capacity for learning rapidly across a variety of different disciplines.
* Highly ambitious and self\-motivated with a desire to learn and grow your career.
**Additionally, It Would Be Beneficial If You Have**
* Experience supporting or working closely with executive leadership.
* Experience with business tools (Asana, Tableau, PowerBI, or similar).
* Interest in AI\-enabled productivity and experimentation with emerging tech.
 Base Salary Range: $103,000 \-$128,100
 This position is also eligible to participate in our performance\-based annual corporate bonus plan. Final base compensation is determined by a number of factors, including but not limited to job\-related skills, education, demonstrable experience, and allowance for future and continued salary growth. We also offer a robust benefits package, with details below.
**If this sounds like you and fits your experience and career goals, we’d be happy to chat.**
**What we offer in return is the opportunity to experience a great company culture with wonderful colleagues to learn from and collaborate with and also to enjoy:**
* Medical, dental, vision, life \&amp; disability, and financial benefits (including 401(k) retirement savings plan. Tuition Reimbursement program. Additional voluntary benefits including crucial illness/hospital indemnity, identity theft protection, auto \&amp; home insurance, legal, and pet insurance.
* Competitive salary, bonus, and best\-in\-class Employee Stock Purchase Program (ESPP) with a 27\-month lookback
* Flexible paid vacation time, paid day off for your birthday, and company holidays. A variety of leave plans, including Parental Leave.
* Employee Assistance Program (EAP) and an employee well\-being program focusing on physical, mental, and financial health.
**Apply Now!**</t>
        </is>
      </c>
    </row>
    <row r="73">
      <c r="A73" t="inlineStr">
        <is>
          <t>li-4361987339</t>
        </is>
      </c>
      <c r="B73" t="inlineStr">
        <is>
          <t>Expert Program Manager</t>
        </is>
      </c>
      <c r="C73" t="inlineStr">
        <is>
          <t>Pacific Gas and Electric Company</t>
        </is>
      </c>
      <c r="D73" t="inlineStr">
        <is>
          <t>linkedin</t>
        </is>
      </c>
      <c r="E73" t="inlineStr"/>
      <c r="F73" t="inlineStr"/>
      <c r="G73" t="inlineStr">
        <is>
          <t>Oakland, CA</t>
        </is>
      </c>
      <c r="H73" t="inlineStr"/>
      <c r="I73" t="inlineStr">
        <is>
          <t>Requisition ID \# 167483
 Job Category: Project / Program Management
 Job Level: Individual Contributor
 Business Unit: Gas Operations
 Work Type: Hybrid
 Job Location: Oakland; Alameda; Alta; American Canyon; Angels Camp; Antioch; Auberry; Auburn; Avenal; Avila Beach; Bakersfield; Balch Camp; Bay Point; Bear Valley; Belden; Bellota; Belmont; Benicia; Berkeley; Brentwood; Brisbane; Buellton; Burney; Buttonwillow; Calistoga; Campbell; Canyon Dam; Canyondam; Capitola; Caruthers; Chico; Clearlake; Clovis; Coalinga; Colusa; Concord; Concord; Corcoran; Cottonwood; Cupertino; Daly City; Danville; Davis; Dinuba; Downieville; Dublin; Emeryville; Eureka; Fairfield; Folsom; Fort Bragg; Fortuna; Fremont; French Camp; Fresno; Fresno; Fulton; Garberville; Geyserville; Gilroy; Goodyear; Grass Valley; Guerneville; Half Moon Bay; Hayward; Hinkley; Hollister; Holt; Houston; Huron; Jackson; Kerman; King City; Lakeport; Lemoore; Lincoln; Linden; Livermore; Lodi; Loomis; Los Banos; Lower Lake; Madera; Magalia; Manteca; Manton; Mariposa; Martell; Marysville; Maxwell; Menlo Park; Merced; Meridian; Millbrae; Milpitas; Modesto; Monterey; Montgomery Creek; Morgan Hill; Morro Bay; Moss Landing; Mountain View; Napa; Needles; Newark; Newman; Novato; Oakdale; Oakhurst; Oakley; Olema; Orinda; Orland; Oroville; Palo Alto; Palo Cedro; Paradise; Parkwood; Paso Robles; Petaluma; Pioneer; Pismo Beach; Pittsburg; Placerville; Pleasant Hill; Point Arena; Potter Valley; Quincy; Rancho Cordova; Red Bluff; Redding; Richmond; Ridgecrest; Rio Vista; Rocklin; Roseville; Round Mountain; Sacramento; Salida; Salinas; San Bruno; San Carlos; San Francisco; San Francisco; San Jose; San Luis Obispo; San Mateo; San Rafael; San Ramon; San Ramon; Sanger; Santa Cruz; Santa Maria; Santa Nella; Santa Rosa; Selma; Shaver Lake; Sonoma; Sonora; South San Francisco; Springville; Stockton; Storrie; Taft; Tracy; Turlock; Twain; Ukiah; Vacaville; Vallejo; Walnut Creek; Wasco; Watsonville; West Sacramento; Wheatland; Whitmore; Willits; Willow Creek; Willows; Windsor; Winters; Woodland; Yuba City
**Department Overview**
 The Lean Operations team at PG\&amp;E establishes the strategy and approach to ensure the continued adoption and sustainment of PG\&amp;E’s lean methodology. Specifically, this position will support the team tasked with implementing the Lean Operating System across Electric and Gas Operations. The goals for the team are:
* Develop and support leadership engagement at all levels of Operations, including union leadership on the Lean Operating System (Lean).
* Expand implementation of the 5 Lean plays to other organizations, based on pull and capacity.
* Establish standards and controls to ensure quality and consistency.
* Organize and support the cross\-functional problem solving in 19 Divisions.
* Engage and support front line workers, and unlock the power of coworker engagement with Lean, PSEMS and Breakthrough Thinking.
* Align Lean implementation approach with Enterprise Lean Office.
**Position Summary**
 Manages aspects of program implementation and operations. Ensures program is operating effectively. Responsibilities typically include some or most of the following in support of Program Management to ensure attainment of program metrics/objectives.
* Conducting side\-by\-side quality assurance reviews with Lean Specialists to assess consistency and effectiveness in program delivery.
* Managing relationship with and providing direction to vendor(s)
* Developing and monitoring budgets and forecasts
* Developing, measuring and reporting on success of the program
* Partnering with the Marketing organization, vendors and external partners to develop and implement strategies to reach appropriate customer audience at the appropriate time
* Identifying and maintaining strong working relationships with all strategic programs and partners
* Partnering with Regulatory and Compliance staff to ensure compliance with all regulatory requirements and support regulatory activities by supplying information for filings, data requests, and meeting with regulators.
* Identifying stakeholders and communicate within and outside of PG\&amp;E
* Developing and/or implementing policies and procedures
* Identifying new partners, technologies, and delivery channels
 This position will require routine travel of up to 75% within the PG\&amp;E Service Territory. Assigned coverage will support Region 1, 2, 3 or Region 3, 4, 5\.
 This position is hybrid, working from your remote office and your assigned work location based on business need. The assigned work location will be within the PG\&amp;E Service Territory.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Bay Area Minimum: $ 122,000
 Bay Area Maximum: $ 194,000
 \&amp;/OR
 California Minimum: $ 116,000
 California Maximum: $184,000
**Job Responsibilities**
* Applies broad expertise and advanced knowledge to wide\-ranging issues.
* May act as a team lead and provide direction to less experienced employees.
* Works with Directors and Managers across functions to influence decisions.
* Communicate complex ideas to diverse audiences using a variety of media.
* Integrates industry knowledge related to data into everyday business practices and decision making.
* Provides others with guidance around complex industry regulatory and compliance environment and considerations.
* Creates new and complex data models to facilitate business decisions.
* Provides direction on overall program.
* Performs in\-depth quality assurance final reviews and contract drafts.
* Develops new or revises existing scopes of work to ensure compliance standards and deliverables are established.
**Qualifications**
*Minimum:*
* Bachelor degree or equivalent experience
* 8 years of related experience or equivalent
*Desired:*
* Masters Degree in job\-related discipline or equivalent experience
* PMI\-Project Management Institute PMP\-Project Management Professional certification
* Quality Assurance \&amp; Control: Experience conducting audits and ensuring compliance with established standards and procedures.
* Process Mapping Expertise: Ability to visualize, analyze, and optimize workflows across diverse functions.
* Technical Writing: Skilled in developing clear, concise guidance documents and standard operating procedures.
* Lean Methodologies: Certified in Lean, Lean Six Sigma, or recognized as a Certified Problem Solver, with a proven track record of driving process improvements.
* Effective Communication: Strong verbal and written communication skills, with the ability to convey complex concepts to varied audiences.
* Cross\-Functional Collaboration: Demonstrated ability to work effectively across departments, fostering alignment and shared ownership of outcomes.</t>
        </is>
      </c>
    </row>
    <row r="74">
      <c r="A74" t="inlineStr">
        <is>
          <t>li-4362180533</t>
        </is>
      </c>
      <c r="B74" t="inlineStr">
        <is>
          <t>Technical Program Manager II, Manufacturing Operations, Pixel</t>
        </is>
      </c>
      <c r="C74" t="inlineStr">
        <is>
          <t>Google</t>
        </is>
      </c>
      <c r="D74" t="inlineStr">
        <is>
          <t>linkedin</t>
        </is>
      </c>
      <c r="E74" t="inlineStr"/>
      <c r="F74" t="inlineStr"/>
      <c r="G74" t="inlineStr">
        <is>
          <t>Chicago, IL</t>
        </is>
      </c>
      <c r="H74" t="inlineStr"/>
      <c r="I74" t="inlineStr">
        <is>
          <t>Note: By applying to this position you will have an opportunity to share your preferred working location from the following:
 **Mountain View, CA, USA; Chicago, IL, USA** 
 .
 **Minimum qualifications:**
* Bachelor's degree in a technical field, or equivalent practical experience.
* 2 years of experience in program management.
* Experience in consumer product manufacturing.
**Preferred qualifications:**
* 2 years of experience managing cross\-functional or cross\-team projects.
* Experience with 3D CAD and Statistical Analysis.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Identify design and process issues and drive design and manufacturing practices with cross\-functional teams, and develop automation processes that align to teams long\-term strategies.
* Manage the mechanical/assembly side of projects from initial builds through ramp and serve as mechanical technical lead in resolving issues during bring\-up and life of product.
* Work with the Product Design team to develop manufacturing processes to meet product design, as well as partners, other cross\-functional Engineering teams and Supplier Quality Engineering (SQE) team during all phases of development and product introduction.
* Identify, prioritize, and manage key technical changes and risks of a product, ensure all technical risks associated with a product are identified and mitigated to enable the quality ramp of a product.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5">
      <c r="A75" t="inlineStr">
        <is>
          <t>li-4365073482</t>
        </is>
      </c>
      <c r="B75" t="inlineStr">
        <is>
          <t>Senior Lead Product Manager, Card Loyalty Programs, Benefits and Partnerships</t>
        </is>
      </c>
      <c r="C75" t="inlineStr">
        <is>
          <t>Wells Fargo</t>
        </is>
      </c>
      <c r="D75" t="inlineStr">
        <is>
          <t>linkedin</t>
        </is>
      </c>
      <c r="E75" t="inlineStr"/>
      <c r="F75" t="inlineStr"/>
      <c r="G75" t="inlineStr">
        <is>
          <t>Chandler, AZ</t>
        </is>
      </c>
      <c r="H75" t="inlineStr"/>
      <c r="I75" t="inlineStr">
        <is>
          <t>**About This Role**
 Wells Fargo is seeking a seasoned product management professional to help shape and execute a compelling suite of credit card benefits through the development of new capabilities and strategic partnerships that drive customer engagement and loyalty across segments. This Senior Lead Product Manager role requires a strong strategic mindset, analytical rigor, and the ability to influence and collaborate across a wide range of internal and external stakeholders. Learn more about the career areas and business divisions at wellsfargojobs.com.
**In This Role, You Will**
**Shape and support strategic roadmap development**
* Contribute to the definition of the card benefits strategy, success metrics, and strategic partnership roadmap
* Analyze customer and market data to identify and prioritize benefit expansion opportunities
* Support rationalization of current benefits to identify simplification opportunities
* Develop recommendations for optimizing benefit pricing, servicing strategies, technical integration, and customer experience
* Engage with research teams to gather insights for data\-driven decision\-making
* Socialize the card benefits vision, roadmap, and investment requirements across internal stakeholders and executive leadership, using strong storytelling and presentation development skills to distill complex information into clear, persuasive recommendations that drive alignment and decision\-making.
**Drive execution and strategic alignment**
* Partner with cross\-functional delivery teams to facilitate timely decisions on architecture design and delivery sequencing
* Identify and escalate delivery impediments, proposing solutions where appropriate
* Maintain routines and communications that ensure work is sponsored and updates are proactively shared
* Represent the product team in stakeholder meetings and strategic discussions
**Support strategic relationships and contract management**
* Prepare materials and lead content development for internal stakeholder engagements, driving the creation of recommendations that inform strategic decisions and align cross\-functional teams
* Collaborate with internal teams to support contract negotiations and RFP processes
* Track and summarize contract milestones, keeping stakeholders informed and engaged
**Contribute to team culture and collaboration**
* Serve as a senior member of the team, contributing to strategic planning, team routines, and continuous improvement
* Mentor junior team members and foster a collaborative, inclusive, and high\-performing team environment
**Required Qualifications:**
* 7\+ years of Product Management, product development, strategic planning, process management, change delivery, or agile product owner experience, or equivalent demonstrated through one or a combination of the following: work experience, training, military experience, education
**Desired Qualifications:**
* 7\+ years of experience in the credit card ecosystem, including experience shaping and optimizing card benefits to drive customer engagement, retention, and competitive differentiation
* Experience in banking or financial services, prior employment experience with a credit card issuer is preferred
* Experience with credit card loyalty programs, including understanding the P\&amp;L impacts of rewards, benefits, and engagement strategies
* Demonstrated ability to craft compelling business cases and strategic recommendations through strong storytelling, synthesis, and presentation development
* Extensive experience in partnership development and contract negotiation processes, with a demonstrated ability to lead cross\-functional collaboration and influence strategic outcomes
* Experience supporting strategic planning and execution efforts that drive product growth, customer engagement, and operational efficiency
* Business development mindset with a focus on identifying opportunities, shaping initiatives, and driving stakeholder alignment
* Structured decision\-making capabilities with a track record of setting and achieving results\-driven goals
* Exceptional communication skills, with the ability to translate complex concepts into clear, actionable insights for diverse audiences
* Proven ability to build and manage relationships across a wide range of stakeholders, driving alignment and momentum in matrixed environments
**Job Expectations:**
* This role offers a hybrid work schedule
* Ability to travel up to 10% of the time
* This position is not eligible for visa sponsorship
**Locations** 
 :
* 2200 Concord Pike, Wilmington, DE 19803
* 550 S Tryon Charlotte, NC 28202
* 2800 S Price Rd, Chandler, AZ 85286
 Required location(s) listed above. Relocation assistance is not available for this position
**Pay Range**
 Reflected is the base pay range offered for this position. Pay may vary depending on factors including but not limited to achievements, skills, experience, or work location. The range listed is just one component of the compensation package offered to candidates.
 $139,000\.00 \- $239,000\.00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23 Jan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R\-514409\-2</t>
        </is>
      </c>
    </row>
    <row r="76">
      <c r="A76" t="inlineStr">
        <is>
          <t>li-4362068377</t>
        </is>
      </c>
      <c r="B76" t="inlineStr">
        <is>
          <t>Staff Product Manager - Digital Strategy (Remote)</t>
        </is>
      </c>
      <c r="C76" t="inlineStr">
        <is>
          <t>Ad Hoc LLC</t>
        </is>
      </c>
      <c r="D76" t="inlineStr">
        <is>
          <t>linkedin</t>
        </is>
      </c>
      <c r="E76" t="inlineStr"/>
      <c r="F76" t="inlineStr"/>
      <c r="G76" t="inlineStr">
        <is>
          <t>Atlanta, GA</t>
        </is>
      </c>
      <c r="H76" t="inlineStr"/>
      <c r="I76"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77">
      <c r="A77" t="inlineStr">
        <is>
          <t>li-4362132418</t>
        </is>
      </c>
      <c r="B77" t="inlineStr">
        <is>
          <t>Program Manager, Claims</t>
        </is>
      </c>
      <c r="C77" t="inlineStr">
        <is>
          <t>UHS Physician Careers</t>
        </is>
      </c>
      <c r="D77" t="inlineStr">
        <is>
          <t>linkedin</t>
        </is>
      </c>
      <c r="E77" t="inlineStr"/>
      <c r="F77" t="inlineStr"/>
      <c r="G77" t="inlineStr">
        <is>
          <t>King of Prussia, PA</t>
        </is>
      </c>
      <c r="H77" t="inlineStr"/>
      <c r="I77" t="inlineStr">
        <is>
          <t>Back
 Program Manager, Claims
 JOB\_DESCRIPTION.SHARE.HTML
 CAROUSEL\_PARAGRAPH
 JOB\_DESCRIPTION.SHARE.HTML
* KING OF PRUSSIA, Pennsylvania
* Insurance \- Claims, Insurance \- Risk
* Day
* 337845
* UHS of Delaware, Inc. \- Corporate Office
 mail\_outline
 Get future jobs matching this search
 or
**Job Description**
**Responsibilities**
*(This role has a hybrid schedule with 3 days in office and 2 days flex\-remote)*
 Join a dynamic organization driven by our passion for healthcare. UHS is seeking talented individuals who are eager to contribute their expertise and pursue rewarding careers. As a leader in acute care and behavioral health, UHS provides high\-quality care to over 3 million patients annually, across our national network of facilities.
 The Corporate Insurance team at UHS is looking for motivated
 **Medical Malpractice/Professional Liability Claims Program Manager** 
 to join our innovative team and contribute to the maintaining of a rolling diary of claims based at UHS' Headquarters in King of Prussia, PA or Brentwood, TN Regional office.
**Essential Job Duties**
* Maintain a rolling diary of 150\-175 claims at any given time.
* Work with Risk and Defense counsel will be available to assist with ongoing investigation and litigation needs.
* Must develop a successful rapport with facility Risk Managers and work to resolve all claims in a timely manner with them.
* The daily diary maintains a record of claims, reserves coverage, insurance, medical and legal issues related to any pending claims.
* Investigation and the management of these claims in the incident, patient complaint, litigation (which will require attorney retention and direction), negotiation and settlement stages.
* Evaluation of the financial exposure for each high exposure professional and general liability claim ensuring cost control of the attorney expenses is an integral component as well.
* Defense counsel preparation and direction for the handling of claims is required.
**Qualifications**
 Bachelor's degree required with a minimum of 5\-8 years of experience in professional and general liability claims handling within the insurance industry.
* 8\- 10 years of experience preferred.
* Critical thinking skills and independent analysis of potential and actual exposures.
* Comprehensive knowledge of insurance and legal issues.
* Basic knowledge of medical issues and healthcare operations.
* Ability to investigate potential liabilities.
* Ability to effectively analyze exposure and reserves on an ongoing basis.
* Ability to effectively manage an individual case load of claims and supervise and monitor one claims adjuster.
* Skills in development of negotiation strategies.
* Ability to direct and control defense counsel in the most cost\-effective manner.
* Minimal travel is required for attendance at mediations and trials.
***This opportunity provides a rewarding career, challenging and rewarding work environment as well as growth and development opportunities within UHS and its subsidiaries, including competitive compensation, excellent Medical, Dental, Vision and Prescription Drug Plan, and 401k with company match.***
 One of the nation’s largest and most respected providers of hospital and healthcare services, Universal Health Services, Inc. (UHS) has built an impressive record of achievement and performance. During the year, UHS was again recognized as one of the World’s Most Admired Companies by Fortune; and listed in Forbes ranking of America’s Largest Public Companies. Operating acute care hospitals, behavioral health facilities, outpatient facilities and ambulatory care access points, an insurance offering, a physician network and various related services located all over the U.S. States, Washington, D.C., Puerto Rico and the United Kingdom. www.uhs.com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
**Notice**
 At UHS and all subsidiaries, our Human Resources departments and recruiters are here to help prospective candidates with matching skillset and experience with the best possible career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feel suspicious of a job posting or job\-related email, let us know by contacting us at: https://uhs.alertline.com or 1\-800\-852\-3449
**Pay Transparency**
 To encourage pay transparency, promote pay equity, and proactively address regulations, UHS and all our subsidiaries will comply with all applicable state or local laws or regulations which require employers to provide wage or salary range information to job applicants and employees. Salary offers may be based on key factors such as education and related experience.
 Apply
 JOB\_DESCRIPTION.SHARE.HTML
 CAROUSEL\_PARAGRAPH
 JOB\_DESCRIPTION.SHARE.HTML</t>
        </is>
      </c>
    </row>
    <row r="78">
      <c r="A78" t="inlineStr">
        <is>
          <t>li-4350686970</t>
        </is>
      </c>
      <c r="B78" t="inlineStr">
        <is>
          <t>Principal Program Manager, Business</t>
        </is>
      </c>
      <c r="C78" t="inlineStr">
        <is>
          <t>Circle</t>
        </is>
      </c>
      <c r="D78" t="inlineStr">
        <is>
          <t>linkedin</t>
        </is>
      </c>
      <c r="E78" t="inlineStr"/>
      <c r="F78" t="inlineStr"/>
      <c r="G78" t="inlineStr"/>
      <c r="H78" t="inlineStr"/>
      <c r="I78"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79">
      <c r="A79" t="inlineStr">
        <is>
          <t>li-4341325486</t>
        </is>
      </c>
      <c r="B79" t="inlineStr">
        <is>
          <t>Senior Product Manager, Pega Cloud Networking</t>
        </is>
      </c>
      <c r="C79" t="inlineStr">
        <is>
          <t>Pegasystems</t>
        </is>
      </c>
      <c r="D79" t="inlineStr">
        <is>
          <t>linkedin</t>
        </is>
      </c>
      <c r="E79" t="inlineStr"/>
      <c r="F79" t="inlineStr"/>
      <c r="G79" t="inlineStr">
        <is>
          <t>Dulles, VA</t>
        </is>
      </c>
      <c r="H79" t="inlineStr"/>
      <c r="I79" t="inlineStr">
        <is>
          <t>**Meet Our Team**
 Pega Cloud Engineering builds cloud\-based products, services, architecture, and tools to deliver Pega “as a service” globally. We create scalable, secure solutions that help businesses streamline operations and drive growth, empowering users to make better decisions and stay ahead in a fast\-changing world.
**Picture Yourself At Pega**
 As part of the Cloud Product Management Organization, you will develop and manage the product roadmap for Pega Cloud services. You’ll focus on creating multi\-phased roadmaps, starting from concepts to scalable solutions that align with client needs. You’ll ensure security, compliance, and operational excellence across Pega Cloud offerings.
**What You'll Do At Pega**
* Lead the technical roadmap for Pega Cloud Networking Connectivity Products on AWS and GCP.
* Build cross\-functional support for your product vision, securing funding and demonstrating ROI to stakeholders.
* Collaborate with engineering, sales, and marketing to deliver rapid client value and drive product adoption.
* Partner with customer support teams to establish operational models, ensuring seamless service delivery and transparency.
**Who You Are**
* You excel at solving complex business problems with technology and can break down your vision into achievable, iterative steps.
* You balance short\-term goals with long\-term strategy, making smart trade\-offs to achieve optimal results.
* You thrive in a global, distributed team, navigating between technical and business perspectives, and driving inclusive decisions.
* You are adaptable, able to shift between various tasks, from product demos to technical reviews and executive discussions.
* 8\+ years of experience in technical roles, consulting, pre\-sales, or product management in cloud\-based B2B or B2C environments (experience with Low\-code, RPA, or DPA a plus).
* Strong knowledge of networking principles (TCP/IP, VPN, DNS, firewalls).
* Experience with AWS Direct Connect, Google Peering, Private Service Connect, and technologies like Kubernetes, F5, and cloud networking.
* Proven track record as a trusted advisor and ability to identify cross\-organizational opportunities.
* Bachelor’s degree in computer science (MBA preferred), or equivalent experience.
**Pega Offers You**
* Gartner Analyst acclaimed technology leadership across our categories of products
* Continuous learning and development opportunities
* An innovative, inclusive, agile, flexible, and fun work environment
* Competitive global benefits program inclusive of pay \+ bonus incentive, employee equity in the company
**Additional Information**
 Base salary range for this role is 138,600 \- 211,100 USD annually. This role may also be eligible for annual bonus OR commission, as well as benefits and other incentives.
 The final compensation will be determined during the offer process based on the candidate's education, experience, skills, and qualifications, as well as market conditions and may vary from the posted range. We will share an information on benefits, bonus/commission, and other pay components for this role at the relevant recruitment stage.
 Job ID: 22811</t>
        </is>
      </c>
    </row>
    <row r="80">
      <c r="A80" t="inlineStr">
        <is>
          <t>li-4350667171</t>
        </is>
      </c>
      <c r="B80" t="inlineStr">
        <is>
          <t>Legal Operations, Contracts Manager, and Privacy Program Manager</t>
        </is>
      </c>
      <c r="C80" t="inlineStr">
        <is>
          <t>Suno</t>
        </is>
      </c>
      <c r="D80" t="inlineStr">
        <is>
          <t>linkedin</t>
        </is>
      </c>
      <c r="E80" t="inlineStr"/>
      <c r="F80" t="inlineStr"/>
      <c r="G80" t="inlineStr">
        <is>
          <t>Los Angeles, CA</t>
        </is>
      </c>
      <c r="H80" t="inlineStr"/>
      <c r="I80"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This is a rare opportunity to join as the first dedicated legal operations hire at Suno. You'll work directly with our General Counsel to build the systems, processes, and programs that will scale with us as we grow across legal, but with a particular emphasis on contracts and privacy programs. Unlike most legal ops roles where you're retrofitting processes onto an established team, you'll be architecting our approach from day one—shaping how legal operates for years to come.
 This role sits at the intersection of contracts management, legal operations, and privacy compliance. You'll touch everything from vendor agreements to data subject requests, and you'll have real ownership over how we build these functions.
 Check out our Suno version of the job here!
**What You'll Do**
**Commercial Contracts**
* Design and implement our commercial contracts workflow—from intake to signature to filing
* Route contracts for review and signature, managing stakeholder communications and timelines
* Maintain our contract repository and ensure proper organization and accessibility
* Negotiate routine commercial agreements (NDAs, vendor contracts, SaaS agreements) with attorney oversight
* Create and maintain contract templates, playbooks, and self\-service resources for the business
**Legal Operations**
* Build legal operations infrastructure from scratch—you'll define our processes, not inherit them
* Implement and manage legal technology tools (CLM, matter management, e\-billing)
* Develop metrics and reporting to track legal team performance and workload
* Manage outside counsel relationships, including engagement letters and invoice review
* Create intake processes that make it easy for the business to work with legal
**Privacy Program**
* Implement and manage our privacy program under attorney supervision
* Handle data subject requests and other privacy laws
* Maintain privacy documentation including our privacy policy, cookie consent, and data processing records
* Support vendor privacy assessments and data processing agreement negotiations
* Coordinate cross\-functional privacy compliance initiatives
**What We're Looking For**
* 4–7 years of experience as a paralegal, legal operations professional, or privacy program manager
* Experience building or significantly improving legal processes and workflows
* Strong understanding of commercial contracts (SaaS, vendor, licensing agreements)
* Working knowledge of privacy regulations (CCPA/CPRA, GDPR) and DSR management
* Experience with contract lifecycle management tools (Ironclad, DocuSign CLM, or similar)
* Exceptional organizational skills and attention to detail
* Ability to work independently and prioritize in a fast\-paced environment
* Bachelor's degree required; paralegal certificate or privacy certification (CIPP/US, CIPM) a plus
* A genuine interest in AI and/or music—bonus points if you've made a song on Suno!
**Nice to Have**
* Experience at a high\-growth tech startup or in\-house at a technology company
* Familiarity with OneTrust, TrustArc, or similar privacy management platforms
* Experience with entertainment, media, or music industry contracts
* Background in IP\-heavy environments
* CLOC or other legal operations community involvement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**Why This Role is Special**
 Most legal ops roles ask you to optimize existing systems. This one asks you to build them. You'll join a legal team at the ground floor and have the rare opportunity to implement processes that will scale with us as we grow. Your fingerprints will be on everything we build.
**Additional Notes**
* Applicants must be eligible to work in the US
* This role requires working on site in our Los Angeles office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81">
      <c r="A81" t="inlineStr">
        <is>
          <t>li-4365059123</t>
        </is>
      </c>
      <c r="B81" t="inlineStr">
        <is>
          <t>Energy Analytics Program Manager</t>
        </is>
      </c>
      <c r="C81" t="inlineStr">
        <is>
          <t>Microsoft</t>
        </is>
      </c>
      <c r="D81" t="inlineStr">
        <is>
          <t>linkedin</t>
        </is>
      </c>
      <c r="E81" t="inlineStr"/>
      <c r="F81" t="inlineStr"/>
      <c r="G81" t="inlineStr">
        <is>
          <t>Redmond, WA</t>
        </is>
      </c>
      <c r="H81" t="inlineStr"/>
      <c r="I81" t="inlineStr">
        <is>
          <t>**Overview**
**Microsoft’s Cloud Operations \&amp; Innovation (CO\+I)** 
 team is responsible for the full lifecycle of Microsoft’s cloud infrastructure, spanning site selection, development, and operations. Our global footprint includes more than 400 datacenters in 34 countries, supported by over 165,000 miles of fiber optic cable. These facilities form the backbone of Microsoft Azure and are central to our commitment to reliable, secure, and sustainable digital infrastructure.
**The CO\+I Energy Analytics team builds data platforms and insights that support Microsoft’s global datacenter growth and sustainability goals.**
 We work across the CO\+I Energy Team to translate complex energy data into trusted, actionable insights that inform decisions at scale. Our work helps the Energy Team plan, operate, and optimize responsibly as Microsoft continues to grow its cloud footprint worldwide and solidify its leadership in providing infrastructure for the global AI economy.
 We value diverse perspectives, a growth mindset, and data‑driven problem solving. Our team takes a collaborative, end‑to‑end approach to challenges—combining technical rigor with curiosity and continuous learning—to deliver meaningful impact.
**As an Energy Analytics Program Manager,** 
 you will be focused on developing the business analytics and actionable insights required to operate and scale one of the world’s largest corporate energy portfolios. A successful candidate will have a strong understanding of the utility industry, large load energy management, and electricity market structures. They will have the ability to identify and solve problems, collaborate with cross\-functional teams to identify business needs, and independently drive initiatives to completion. They will bring an innovative, collaborative presence to the role to enable energy analytics to scale with confidence as our portfolio grows, helping the business realize growth goals, manage costs, and meet sustainability targets. This role will provide the candidate with a unique opportunity to join a high impact team and gain exposure to business\-critical topics of energy markets and data center infrastructure.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Market Intelligence \&amp; Rates: Develop and manage analyses and content related to the global data center portfolio including studies, methodologies, and performance metrics. Research markets, competitors, and industry trends. Performs analysis of supplier pricing, cost, capabilities, and capacity for data centers.
* Sourcing Strategy: Support the development of forecasting tools and processes, collaborates across large cross\-functional organization, sets targets, makes and delivers to budget commitments.
* Program Management: Collaborate with partner teams to develop strategies to align and manage infrastructure delivery and customer load\-side analytics and goals. Collaborates with others to track, coordinate, and communicate end\-to\-end project schedules for multiple features or functional areas (e.g., product, service, systems), leveraging automation, artificial intelligence, and/or workflows where applicable. Helps monitor processes and hold stakeholders accountable for following the established schedule and processes. Help track and manage dependencies to enable cohesive, connected user scenarios, and to identify potential risk areas and escalate appropriately. Begins to adjust or course correction when projects are not aligned to schedules or goals.
* Orchestration and Collaboration: Works within and across teams to enable data sources, methodologies, analytical tools and processes, and business needs, to facilitate relevant insight generation, reporting, and interpretation. Engages stakeholders to identify and act on opportunities to leverage resources and solutions that were instrumental to success in similar contexts, and consults across teams on decisions related to analyses, insights reporting, and/or their interpretations.
* Other
* 
+ Embody our Culture and Values
**Qualifications**
* Required/minimum qualifications
 Master's degree in Business, Supply Chain Management, Engineering, Materials Science, or related field AND 1\+ year(s) experience in procurement, supply chain, sourcing, engineering, operations, or relevant sales\-related roles OR Bachelor's degree in Business, Supply Chain Management, Engineering, Materials Science, or related field AND 2\+ years experience in procurement, supply chain, sourcing, engineering, operations, or relevant sales\-related roles OR equivalent experience.
* Additional or preferred qualifications Master's degree in Business, Supply Chain Management, Engineering, Materials Science, or related field AND 3\+ years experience in procurement, supply chain, sourcing, engineering, operations, or relevant sales\-related roles OR Bachelor's degree in Business, Supply Chain Management, Engineering, Materials Science, or related field AND 5\+ years experience in procurement, supply chain, sourcing, engineering, operations, or relevant sales\-related roles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Sourcing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2">
      <c r="A82" t="inlineStr">
        <is>
          <t>li-4341135328</t>
        </is>
      </c>
      <c r="B82" t="inlineStr">
        <is>
          <t>Senior Product Manager, Pega Cloud Networking</t>
        </is>
      </c>
      <c r="C82" t="inlineStr">
        <is>
          <t>Pegasystems</t>
        </is>
      </c>
      <c r="D82" t="inlineStr">
        <is>
          <t>linkedin</t>
        </is>
      </c>
      <c r="E82" t="inlineStr"/>
      <c r="F82" t="inlineStr"/>
      <c r="G82" t="inlineStr">
        <is>
          <t>Waltham, MA</t>
        </is>
      </c>
      <c r="H82" t="inlineStr"/>
      <c r="I82" t="inlineStr">
        <is>
          <t>**Meet Our Team**
 Pega Cloud Engineering builds cloud\-based products, services, architecture, and tools to deliver Pega “as a service” globally. We create scalable, secure solutions that help businesses streamline operations and drive growth, empowering users to make better decisions and stay ahead in a fast\-changing world.
**Picture Yourself At Pega**
 As part of the Cloud Product Management Organization, you will develop and manage the product roadmap for Pega Cloud services. You’ll focus on creating multi\-phased roadmaps, starting from concepts to scalable solutions that align with client needs. You’ll ensure security, compliance, and operational excellence across Pega Cloud offerings.
**What You'll Do At Pega**
* Lead the technical roadmap for Pega Cloud Networking Connectivity Products on AWS and GCP.
* Build cross\-functional support for your product vision, securing funding and demonstrating ROI to stakeholders.
* Collaborate with engineering, sales, and marketing to deliver rapid client value and drive product adoption.
* Partner with customer support teams to establish operational models, ensuring seamless service delivery and transparency.
**Who You Are**
* You excel at solving complex business problems with technology and can break down your vision into achievable, iterative steps.
* You balance short\-term goals with long\-term strategy, making smart trade\-offs to achieve optimal results.
* You thrive in a global, distributed team, navigating between technical and business perspectives, and driving inclusive decisions.
* You are adaptable, able to shift between various tasks, from product demos to technical reviews and executive discussions.
* 8\+ years of experience in technical roles, consulting, pre\-sales, or product management in cloud\-based B2B or B2C environments (experience with Low\-code, RPA, or DPA a plus).
* Strong knowledge of networking principles (TCP/IP, VPN, DNS, firewalls).
* Experience with AWS Direct Connect, Google Peering, Private Service Connect, and technologies like Kubernetes, F5, and cloud networking.
* Proven track record as a trusted advisor and ability to identify cross\-organizational opportunities.
* Bachelor’s degree in computer science (MBA preferred), or equivalent experience.
**Pega Offers You**
* Gartner Analyst acclaimed technology leadership across our categories of products
* Continuous learning and development opportunities
* An innovative, inclusive, agile, flexible, and fun work environment
* Competitive global benefits program inclusive of pay \+ bonus incentive, employee equity in the company
**Additional Information**
 Base salary range for this role is 138,600 \- 211,100 USD annually. This role may also be eligible for annual bonus OR commission, as well as benefits and other incentives.
 The final compensation will be determined during the offer process based on the candidate's education, experience, skills, and qualifications, as well as market conditions and may vary from the posted range. We will share an information on benefits, bonus/commission, and other pay components for this role at the relevant recruitment stage.
 Job ID: 22811</t>
        </is>
      </c>
    </row>
    <row r="83">
      <c r="A83" t="inlineStr">
        <is>
          <t>li-4349250594</t>
        </is>
      </c>
      <c r="B83" t="inlineStr">
        <is>
          <t>Senior Technical Program Manager</t>
        </is>
      </c>
      <c r="C83" t="inlineStr">
        <is>
          <t>Okta</t>
        </is>
      </c>
      <c r="D83" t="inlineStr">
        <is>
          <t>linkedin</t>
        </is>
      </c>
      <c r="E83" t="inlineStr"/>
      <c r="F83" t="inlineStr"/>
      <c r="G83" t="inlineStr">
        <is>
          <t>Bellevue, WA</t>
        </is>
      </c>
      <c r="H83" t="inlineStr"/>
      <c r="I83"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The Auth0 Delivery Enablement \&amp; Operations team is seeking a Senior Technical Program Manager to drive the cross\-functional delivery of our most strategic portfolio of work in Security. We are seeking an individual with a passion for technology, security, and operational excellence.
 The Senior Technical Program Manager will partner with Security, Product and Engineering teams to implement, maintain, and optimize complex operational processes, inclusive of clarifying needs and value, securing commitment from teams across the organization, setting timelines, and facilitating ongoing delivery and execution. This role will report to the Manager, Technical Program Management.
 You will:
* Drive large\-scale, complex, cross\-functional programs from design through delivery.
* Partner with Product, Engineering, and Security to define scope, value, and technical requirements, securing commitments across organizations.
* Orchestrate planning, prioritization, and execution, managing the integrated program plan and timelines across disparate functions.
* Proactively identify and resolve risks, dependencies, and impediments, clearly communicating trade\-offs and solutions to stakeholders.
* Build and maintain strong relationships, serving as the central point of contact and providing consistent transparency into program goals, progress, and quality.
* Energize cross\-functional teams to achieve ambitious objectives and uphold world\-class operational excellence and security standards.
* Develop broad technical and domain knowledge to effectively influence strategy and decision\-making.
 Might be a good fit if you have:
* 5\+ years of Technical Program Management experience in a software, SaaS, or systems development environment, with a focus on cyber security.
* Track record of collaboration in order to manage and successfully deliver large\-scale technology programs.
* Excellence in identifying and managing risks across multiple technical projects
* Experience collaborating with globally distributed teams
* Ability to clearly communicate and establish credibility with technical and non\-technical stakeholders, including executive audiences.
* Ability to influence and work through others within a matrix organization.
* Excellent interpersonal, communication, and collaboration skills, especially in a remote environment.
* Passion for understanding ambiguous, complex problems and driving high\-quality, innovative, and robust solutions.
* Experience with agile and other program management methodologies.
* Strong attention to detail and focus on execution in a data\-informed environment.
* A passion for enabling teams to adopt, manage, and optimize processes and tooling.
 Education and Training:
* Bachelor's or Master's degree in Computer Science, Cybersecurity, or related technical field
* PMP, PRINCE2 or equivalent
* CSM, PSM or equivalent
 LI\#Remote
 P20312
 Below is the annual On Target Compensation (OTE) range for candidates located in California (excluding San Francisco Bay Area), Colorado, Illinois, New York and Washington. Your actual OTE, which is inclusive of base salary and incentive compensation, will depend on factors such as your skills, qualifications, experience, and work location. In addition, Okta offers equity (where applicable)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OTE range for this position for candidates located in California (excluding San Francisco Bay Area), Colorado, Illinois, New York, and Washington is between:
 $129,000—$193,000 USD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Okta is committed to complying with applicable data privacy and security laws and regulations. For more information, please see our Personnel and Job Candidate Privacy Notice at https://www.okta.com/legal/personnel\-policy/.</t>
        </is>
      </c>
    </row>
    <row r="84">
      <c r="A84" t="inlineStr">
        <is>
          <t>li-4350846594</t>
        </is>
      </c>
      <c r="B84" t="inlineStr">
        <is>
          <t>Principal Program Manager, Business</t>
        </is>
      </c>
      <c r="C84" t="inlineStr">
        <is>
          <t>Circle</t>
        </is>
      </c>
      <c r="D84" t="inlineStr">
        <is>
          <t>linkedin</t>
        </is>
      </c>
      <c r="E84" t="inlineStr"/>
      <c r="F84" t="inlineStr"/>
      <c r="G84" t="inlineStr"/>
      <c r="H84" t="inlineStr"/>
      <c r="I84"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85">
      <c r="A85" t="inlineStr">
        <is>
          <t>li-4322879607</t>
        </is>
      </c>
      <c r="B85" t="inlineStr">
        <is>
          <t>Technical Program Manager</t>
        </is>
      </c>
      <c r="C85" t="inlineStr">
        <is>
          <t>Veeva Systems</t>
        </is>
      </c>
      <c r="D85" t="inlineStr">
        <is>
          <t>linkedin</t>
        </is>
      </c>
      <c r="E85" t="inlineStr"/>
      <c r="F85" t="inlineStr"/>
      <c r="G85" t="inlineStr">
        <is>
          <t>Columbus, OH</t>
        </is>
      </c>
      <c r="H85" t="inlineStr"/>
      <c r="I85"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Veeva’s Security team is looking for an experienced Technical Project Manager to oversee multiple projects deploying cyber security systems, tracking scheduled work, and reporting project status and metrics to both security and product teams. This position requires someone with a technical background that can assist with technical system reviews and validation efforts to ensure systems are functioning per the project requirements. The technical program manager will provide coordination between various security, IT, operations, and engineering teams to ensure success.
**What You'll Do**
* Responsible for the coordination and reporting of multiple security projects (SAST, SCA, DAST, Vulnerability Management)
* Builds and maintains working relationships within security and with internal IT/product teams, and vendors
* Present vulnerability metrics and health to development teams
* Create dashboards and metrics to track SLAs and remediation timelines
* Scope new projects, create and execute plans for proof of value evaluations with potential new or existing vendors
* Enable your project team to focus on solution design, prototyping, configuration, training, and documentation
**Requirements**
* Bachelor’s degree in business, Information Technology, Computer Science or Management Information Systems
* 6\+ years of experience with college coursework or certification such as PMP or Scrum in lieu of a formal degree
* Scrum or Agile certification or training
* 4\+ years in systems and program management
* 4\+ years in building workflow maps, project timelines, and tracking
* Advanced proficiency in Microsoft Excel (formulas, charts, etc.)
* Microsoft Project, Smartsheet’s, JIRA or similar project management software
* Understanding of IT systems, security, databases, and enterprise architecture
* Complex problem\-solving and ability to work well under minimal supervision
* Must be legally eligible to work in the United States
****Nice to Have****
* Experience with AWS, Azure, or GCP
* Basic understanding of cyber security principles
* Project Management Certification and/or Licensed Project Management Professional (PMP)
* 2\+ years of experience with Microsoft Project, Visio, or similar tools
* 5\+ years of experience working in the Technology Industry
**Perks \&amp; Benefits**
* Medical, dental, vision, and basic life insurance
* Flexible PTO and company paid holidays
* Retirement programs
* 1% charitable giving program
**Compensation**
* Base pay: $100,000 \- $145,000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86">
      <c r="A86" t="inlineStr">
        <is>
          <t>li-4365076929</t>
        </is>
      </c>
      <c r="B86" t="inlineStr">
        <is>
          <t>Enterprise Program Manager</t>
        </is>
      </c>
      <c r="C86" t="inlineStr">
        <is>
          <t>BD</t>
        </is>
      </c>
      <c r="D86" t="inlineStr">
        <is>
          <t>linkedin</t>
        </is>
      </c>
      <c r="E86" t="inlineStr"/>
      <c r="F86" t="inlineStr"/>
      <c r="G86" t="inlineStr">
        <is>
          <t>Maitland, FL</t>
        </is>
      </c>
      <c r="H86" t="inlineStr"/>
      <c r="I86" t="inlineStr">
        <is>
          <t>**Job Description Summary**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**Business Description**
 In the Solution Deployment department at BD, matrixed teams plan and implement BD Pyxis Technologies, Alaris Infusion products, Parata, MedBank, PharmacyKeeper, and the entire MMS portfolio nationally. Implementation teams include resources from the Project Management Office, Regional Consulting \&amp; Installation teams as well as Technology \&amp; Engineering teams.
**Accountabilities**
 The Enterprise Program Manager partners with the BD and customer leadership teams to execute strategy, standards, and deliver a high\-quality implementation experience for our customers. The Enterprise Program Manager is responsible for overseeing multiple concurrent BD implementation \&amp; services project teams (program) at strategic and complex customers. This position is also the BD leader that provides oversight of critical issue resolution for each installed MMS solutions. Their intimate knowledge of product life cycle as well as customer relationship is essential to providing the customer a leader for planning, implementation, service \&amp; support across all BD MMS Solutions.
 Home\-based position with daily and up to 25 \- 50% overnight regional travel. Candidates must live near a major airport anywhere in the U.S.
**Major Job Responsibilities**
* Supports strategic direction of BD and provides support to the solution deployment \&amp; service teams
* Acts as the central point of contact for strategic \&amp; critical challenges, applying experience in problem\-solving and decision\-making approaches
* Demonstrates expertise of project management methodologies and relevant clinical and technical operational workflows
* Owns internal and customer program leadership and operational meetings; leads Customer Value Reviews and conducts program progress report outs
* Analyzes work effort and resources required across multiple projects to drive operational and implementation efficiencies
* Owns customer issue resolution, partnering with BD SMEs and key stakeholders to deliver timely resolution.
* Owns Field Action organization of BD and customer communication and execution
* Appropriately scales communication and escalation procedures with key BD and customer stakeholders
* Proactively facilitate internal communication, development \&amp; execution of mitigation plans to address program risks \&amp; issues
* Develops and reports regular program performance metrics to leadership \&amp; key stakeholders
* Cultivates strong relationships within BD and customer key stakeholders, is a trusted advisor
* Partners with the sales team to support opportunity curation
* Responsible for customer satisfaction (OSAT \&amp; NPS)
* Maintains strong industry and product knowledge
* Partners with BD Product Platform and Implementation Readiness teams to prioritize customer enhancement requests for future product releases
* Delivers deployment \&amp; upgrade roadmaps in partnership with BD Product Platform and Implementation Readiness teams to help prioritize customer enhancement requests for future product releases
* Partner with key BD stakeholders to support customer ease of doing business
**Qualifications**
* Bachelor's degree required or equivalent work experience; MBA preferred, PMP certification preferred
* At least 5 years of experience with health care, software and/or device implementation/deployment
* Possesses excellent organizational skills with the flexibility to readily lead and adapt to change
* Excellent communication (written and verbal), negotiation, and interpersonal skills
* Analytical and problem\-solving skills to understand client challenges and propose effective solutions
* Ability to manage multiple customers, be detail oriented, and prioritize tasks effectively.
* Proficiency in CRM/Business System software and other relevant tools.
* Must possess and maintain a valid driver's license and meet BD's auto safety standards.
* Upon hire, must provide proof of, and maintain current immunizations and obtain additional immunizations appropriate for the facility which enables access to customer sites to perform essential job functions. Proofs must include Hepatitis B, Influenza (current year), MMR (mumps, measles, rubella), Varicella (chicken pox) Annual TB/PPD (skin test), Tetanus/Diphtheria/Pertussis
* Employment at BD is contingent upon the Company’s receipt of sufficient proof that you are or will be fully vaccinated against COVID\-19\.  Consistent with BD’s Workplace Accommodations Policy, requests for accommodation will be considered pursuant to applicable law.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**Benefits**
 At BD, we are committed to supporting our associates’ well\-being, development, and success through a performance\-based culture. For this position, BD offers a competitive compensation package along with the following benefits specific to this role:
* Annual Bonus
* Potential Discretionary LTI Bonus
* Potential reimbursement of vehicle use/mileage
* Potential reimbursement of phone use
 Health and Well\-being Benefits
* Medical coverage
* Health Savings Accounts
* Flexible Spending Accounts
* Dental coverage
* Vision coverage
* Hospital Care Insurance
* Critical Illness Insurance
* Accidental Injury Insurance
* Life and AD\&amp;D insurance
* Short\-term disability coverage
* Long\-term disability insurance
* Long\-term care with life insurance
 Other Well\-being Resources
* Anxiety management program
* Wellness incentives
* Sleep improvement program
* Diabetes management program
* Virtual physical therapy
* Emotional/mental health support programs
* Weight management programs
* Gastrointestinal health program
* Substance use management program
* Musculoskeletal surgery, cancer treatment, and bariatric surgery benefit
 Retirement and Financial Well\-being
* BD 401(k) Plan
* BD Deferred Compensation and Restoration Plan
* 529 College Savings Plan
* Financial counseling
* Baxter Credit Union (BCU)
* Daily Pay
* College financial aid and application guidance
 Life Balance Programs
* Paid time off (PTO), including all required State leaves
* Educational assistance/tuition reimbursement
* MetLife Legal Plan
* Group auto and home insurance
* Pet insurance
* Commuter benefits
* Discounts on products and services
* Academic Achievement Scholarship
* Service Recognition Awards
* Employer matching donation
* Workplace accommodations
 Other Life Balance Programs
* Adoption assistance
* Backup day care and eldercare
* Support for neurodivergent adults, children, and caregivers
* Caregiving assistance for elderly and special needs individuals
* Employee Assistance Program (EAP)
* Paid Parental Leave
* Support for fertility, birthing, postpartum, and age\-related hormonal changes
 Leave Programs
* Bereavement leaves
* Military leave
* Personal leave
* Family and Medical Leave (FML)
* Jury and Witness Duty Leave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Primary Work Location
 USA CA \- San Diego Bldg A\&amp;B
 Additional Locations
 USA CA \- Irvine Laguna Canyon, USA FL \- Maitland, USA IL \- Vernon Hills, USA IN \- Plainfield, USA MA \- Andover, USA MN \- Minneapolis Medina Rd, USA NJ \- Franklin Lakes, USA OH \- Dublin \- Metro Plc S, USA PA \- Warrendale, USA TX \- Austin
 Work Shift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$109,700\.00 \- $180,800\.00 USD Annual</t>
        </is>
      </c>
    </row>
    <row r="87">
      <c r="A87" t="inlineStr">
        <is>
          <t>li-4349056349</t>
        </is>
      </c>
      <c r="B87" t="inlineStr">
        <is>
          <t>Principal Program Manager - Production Operations</t>
        </is>
      </c>
      <c r="C87" t="inlineStr">
        <is>
          <t>Leonardo DRS</t>
        </is>
      </c>
      <c r="D87" t="inlineStr">
        <is>
          <t>linkedin</t>
        </is>
      </c>
      <c r="E87" t="inlineStr"/>
      <c r="F87" t="inlineStr"/>
      <c r="G87" t="inlineStr">
        <is>
          <t>Germantown, MD</t>
        </is>
      </c>
      <c r="H87" t="inlineStr"/>
      <c r="I87" t="inlineStr">
        <is>
          <t>**Job ID:** 
 113359
 DRS RADA Technologies, a subsidiary of Leonardo DRS, is focused on proprietary radar solutions and legacy avionics systems supporting the defense industry globally. The company is a global pioneer of AESA tactical radars for active military protection, counter\-drone applications, critical infrastructure protection, and border surveillance.
**Job Summary**
 Responsible for leading all Production program management contracts and deliverables. This includes full life cycle management from New Product Introduction, to Production, and Sustainment) of the US business. Ensures proper methods are followed to track program cost, schedules and performance across the portfolio. Lead and or support bid and proposal activities for routine production of commercial defense items. Responsibilities are conducted under the guidance of senior level management (Sr. Director of Programs).
 Manages and ensures the timely completion of contract requirements for production programs from start to completion to ensure that costs, schedule, lead times, capacity and goals are met, and works closely with Operations and Supply Chain. Assists in providing contractual interface, communication, and coordination with internal and external customer on matters pertaining to existing production operations contracts. Uses specific knowledge in production operations and planning to research, plan, communicate and achieve objectives through program / project team. Facilitate the input from Operations to assure production readiness for new programs and awards. Engage in production engineering decisions during new product integration.
**Job Responsibilities**
* Manage and direct the daily execution of multiple programs within contract requirements to assure that cost, schedules and performance goals are met
* Responsible for leading the production program management function.
* Ensures proper methods are followed to track program cost, schedules and performance, and on\-time delivery.
* Track all program cost, schedules and performance against established program milestones; reporting the status to management stakeholders on a regular basis
* Develop and implement recovery plans for yellow and red programs (i.e. schedule, technical performance)
* May be required to ensure the overall execution of material on schedule and on budget for a business area
* May be required to collaborate on various tasks with various cross\-functional project teams
* Ensures program methodologies for the business and the program management directives are followed
* Work closely with existing customers, and obtain feedback on the company’s performance
* Work closely with business development, marketing and sales to enhance the business portfolio
* Must be able to lead cross\-functional teams in a matrix\-based organization and effectively lead across organizations in a flexible and rapid\-moving environment
**Secondary Accountabilities**
* Develop and understand principles of process improvement (i.e. Lean Six Sigma)
* May require 10\+ year in the in DoD program and/or materials management and in production manufacturing operation utilizing MRP/ERP depending upon the job discipline
* May require knowledge of DoD FAR procurement regulations
* May require knowledge of MRP/ERP with a solid understanding of electro\-mechanical assembly operations, bills of material, demand material planning, and the supply chain purchasing process
**Qualifications**
* 10\+ years relevent experience.
* Bachelor's degree or equivalent combination of education and experience. Engineering, Finance, Supply Chain or Business degree may be preferred or equivalent combination of education and experience depending upon the job discipline
* Knowledge of program management tools and procedures
* Solid leadership and management skills
* Experience throughout the program lifecycle from development through sustainment to include: proposal development, requirements decomposition, generation of system and subsystem statements of work and subcontracts, risk management, and continuous improvement efforts including implementation cost reduction and performance improvement efforts
* Experience with earned value cost accounting and reporting; experience with metrics for assessing and reporting program progress, productivity and variance analysis
* Experience in finance, contracting, export regulations, engineering, logistics, manufacturing and supply chain management
* Solid problem solving skills
* Strong presentation skills
* Experience with managing manpower planning, project reviews, scheduling and budget control
* Ability to manage aerospace/defense programs as a prime or subcontractor to a domestic or foreign military organization
* Strong oral and written communication skills
* Program Management certification preferred (i.e. PMP or DAU)
 U.S. Citizenship required.
*The salary range for this position is $130,801/year \- $203,068/year. This range reflects the good faith estimate of pay the employer is willing to offer at the time of posting. Several factors can influence the pay scale, including but not limited to: Federal contract labor categories and contract wage rates, collective bargaining agreements, geographic location, business considerations, scope, and responsibilities of the position, local or other applicable market conditions, and internal equity. Other factors include the candidate’s qualifications such as prior work experience, specific skills and competencies, education/training, and certifications. In addition to base pay, employees may be eligible for: annual performance\-based bonuses, equity awards, and overtime pay (for non\-exempt employees as applicable. Our benefits package includes comprehensive health insurance (medical, dental, vision), employer matching 401(k) retirement plan, paid time off including vacation, holidays, and sick leave (including ant state\-mandated paid sick leave), parental leave benefits, tuition reimbursement, professional development support, and life and disability insurance coverage.*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t>
        </is>
      </c>
    </row>
    <row r="88">
      <c r="A88" t="inlineStr">
        <is>
          <t>li-4360989043</t>
        </is>
      </c>
      <c r="B88" t="inlineStr">
        <is>
          <t>Technical Program Manager, Network Costing</t>
        </is>
      </c>
      <c r="C88" t="inlineStr">
        <is>
          <t>Google</t>
        </is>
      </c>
      <c r="D88" t="inlineStr">
        <is>
          <t>linkedin</t>
        </is>
      </c>
      <c r="E88" t="inlineStr"/>
      <c r="F88" t="inlineStr"/>
      <c r="G88" t="inlineStr">
        <is>
          <t>Atlanta, GA</t>
        </is>
      </c>
      <c r="H88" t="inlineStr"/>
      <c r="I88" t="inlineStr">
        <is>
          <t>The application window will be open until at least January 27, 2026\. This opportunity will remain online based on business needs which may be before or after the specified date.
 Note: By applying to this position you will have an opportunity to share your preferred working location from the following:
 **Atlanta, GA, USA; Thornton, CO, USA; Addison, TX, USA** 
 .
 **Minimum qualifications:**
* Bachelor's degree in a technical field, or equivalent practical experience.
* 8 years of experience in program management.
* Experience with financial modeling.
* Experience building cost models and performing engaged analysis.
**Preferred qualifications:**
* 8 years of experience managing cross\-functional or cross\-team projects.
* Experience in network optimization, capacity planning.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Google Global Infrastructure (GGI) Cost and Pricing team defines methodology and tooling for costing and pricing for all networking products.
 In this role, you will be dedicated to cost ownership for Alphabet network infrastructure. Your role owns methodology and tooling for networking cost and executes programs to implement new products, cost methodology changes and any other changes required to maintain a reliable source of truth for costing. Your role spans multiple organizations and provides subject matter expertise to GGI and product areas in terms of network costing. You will focus on business and financial aspects of the infrastructure, while operating in technical knowledge of networking architectures and technologies. You will have a technical background in physical network infrastructure and routing, switching and transport technology and passion for cost and financial analytics.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maintain the roadmap for network cost modeling tools, processes, and methodologies.
* Be the subject matter expert and owner of network cost modeling methodology for all GGI network domains.
* Make or facilitate key technical decisions in network costs and pricing methodologies to ensure consistency, accuracy, and alignment with architectural and financial principles.
* Collaborate with Cost and Pricing, Finance, Planning, Supply Chain, Global Network Technologies (GNT) to ensure data quality and accuracy for network cost modeling.
* Own and maintain cost source of truth (SOT) for GGI networking, including insights for quarterly business review (QBR), unit cost analytics enabling critical insights for GGI teams to drive efficiency and manage escalations requiring cost modeling and cost reductions expertise.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9">
      <c r="A89" t="inlineStr">
        <is>
          <t>li-4361978830</t>
        </is>
      </c>
      <c r="B89" t="inlineStr">
        <is>
          <t>Technical Program Manager, Third Party Data-Centers, Front End Planning</t>
        </is>
      </c>
      <c r="C89" t="inlineStr">
        <is>
          <t>Google</t>
        </is>
      </c>
      <c r="D89" t="inlineStr">
        <is>
          <t>linkedin</t>
        </is>
      </c>
      <c r="E89" t="inlineStr"/>
      <c r="F89" t="inlineStr"/>
      <c r="G89" t="inlineStr">
        <is>
          <t>Atlanta, GA</t>
        </is>
      </c>
      <c r="H89" t="inlineStr"/>
      <c r="I89" t="inlineStr">
        <is>
          <t>Note: By applying to this position you will have an opportunity to share your preferred working location from the following:
 **Sunnyvale, CA, USA; Atlanta, GA, USA; Addison, TX, USA; New York, NY, USA; Reston, VA, USA; London, UK** 
 .
 **Minimum qualifications:**
* Bachelor's degree or equivalent practical experience.
* 8 years of experience in program or project management.
* Experience working with data center equipment/environments (e.g., switchgear, generators, chillers, cooling towers, air handling units, controls, security monitoring systems, fire safety systems).
* Experience managing vendor relationships.
**Preferred qualifications:**
* 8 years of experience managing cross\-functional or cross\-team projects.
* Experience in facility operations for facilities comprising electrical and mechanical systems.
* Understanding of startup/commissioning processes and standard practices in the design and construction industry.
* Excellent requirement gathering, resource organization, task prioritization, scheduling, and goal attainment skills.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a Technical Program Manager, you will provide leadership and management to ensure the successful delivery of our growing global fleet of Data Centers.
 In this role, you will work cross\-functionally to manage multiple projects through the various stages of evaluation, design, agreements, construction, and handover to operations. The portfolio will include projects at greenfield sites and within operational facilities for both our smaller scale data center infrastructure deployments as well as hyper\-scale data centers.
 You will be involved in every aspect of tactical implementation and will partner with negotiators, project managers and engineers, as well as our construction and operations teams, to develop creative and scalable solutions for the delivery of data centers that meet our operational requirements.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processes, standards, and procedures that ensure an effective transition of third\-party delivered data center facilities from construction to operations.
* Manage delivery validation process across a portfolio to ensure that construction quality standards are met and that critical closeout, commissioning, and operational documentation is collated in a timely manner.
* Establish process and controls to reduce operational risk of phased construction.
* Collaborate with cross\-functional teams to ensure alignment around expectations ahead of major milestones: Early Facility Access (EFA), Substantial Completion, and Final Release (FR), ensuring a clear understanding of contractual requirements and operational provisions is in place.
* Establish processes for clear, accurate, and timely communication with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0">
      <c r="A90" t="inlineStr">
        <is>
          <t>li-4340964584</t>
        </is>
      </c>
      <c r="B90" t="inlineStr">
        <is>
          <t>Program Manager (Semiconductor)</t>
        </is>
      </c>
      <c r="C90" t="inlineStr">
        <is>
          <t>Coherent Corp.</t>
        </is>
      </c>
      <c r="D90" t="inlineStr">
        <is>
          <t>linkedin</t>
        </is>
      </c>
      <c r="E90" t="inlineStr"/>
      <c r="F90" t="inlineStr"/>
      <c r="G90" t="inlineStr">
        <is>
          <t>Sherman, TX</t>
        </is>
      </c>
      <c r="H90" t="inlineStr"/>
      <c r="I90" t="inlineStr">
        <is>
          <t>**Job Description**
**Primary Duties \&amp; Responsibilities**
* Manage and drive internal resources to document and complete customer checkpoints such as OK2EPI, OK2FAB, OK2TEST and OK2SENDMP, and others as required.
* Execute programs to deliver on time, within performance, on budget, with quality products
* Coordinate customer meetings and communications and coordinate gathering answers to customer requests with prior internal agreement from the broader team.
* Serve as primary operations interface working with customer Operations Manager to successfully deliver on time to 3 rd party OEMs specified by customer.
* Coordinate internal resources to address any production issues such as tool failures, tools down for extended periods, IQC issues with material inputs. Work with customer and factory to ensure issues don’t re\-occur.
* Prepare weekly reports and host cross functional customer meetings reporting status and addressing open issues
* Coordinate quality and other resources to address customer issues with our devices.
* Coordinate supply chain to ensure on time shipments with end customers.
* Handle one off requests associated with Green Initiatives, Cost initiatives, audits and infrequent facility issues
 Some travel for development activities may be required to enable global team coordination, product transfer, and problem resolution.
**Education \&amp; Experience**
 Minimum 4 Year College Degree (Bachelor or Equivalent)
 Minimum 10\+ years’ experience
**Skills \&amp; Other Requirements Required Experience**
* Experience successfully managing cross\-functional teams, interacting with a broad range of functions, skills, cultures, and personalities.
* Experience with semiconductor device (e.g. ICs, lasers, detectors) development is desired.
* Experience with Fab Operations and/or Product Lifecycle Management processes
* Previous experience as an Engineer in R\&amp;D or Operations a strong advantage
* Experience with Oracle, Agile PLM, and MS Office is desired.
* Strong problem solving, critical thinking, and risk management skills.
* Strong communication, planning, and organizational skills.
* Highly self\-motivated with a strong multi\-disciplinary background is essential.
* Experience with Oracle, Agile PLM, and MS Project
* Strong interpersonal skills to be able to effectively collaborate with other cross\-functional teams to achieve business unit and organizational objectives.
* PMP certification is preferred.
**Working Conditions**
* Working conditions are normal for an open concept office environment and climate\-controlled manufacturing facility.
* Must be able to travel domestically 10% of time and internationally 10% of time.
**Physical Requirements**
* While performing the duties of this job, the employee is regularly required to talk or hear. The employee frequently is required to stand; walk; use hands to finger, handle or feel; and reach with hands and arms.
**Safety Requirements**
* Responsible for following the site EHS procedures and the Coherent Corp EHS standards which includes completion of mandatory safety training as assigned.
 All employees are required to follow the site EHS procedures and Coherent Corp. Corporate EHS standards.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need assistance or an accommodation due to a disability, you may contact us at* 
*talentacquisition@coherent.com* 
*.*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
 LinkedIn</t>
        </is>
      </c>
    </row>
    <row r="91">
      <c r="A91" t="inlineStr">
        <is>
          <t>li-4360999245</t>
        </is>
      </c>
      <c r="B91" t="inlineStr">
        <is>
          <t>Program Manager, Recruiting Operations</t>
        </is>
      </c>
      <c r="C91" t="inlineStr">
        <is>
          <t>Rivian</t>
        </is>
      </c>
      <c r="D91" t="inlineStr">
        <is>
          <t>linkedin</t>
        </is>
      </c>
      <c r="E91" t="inlineStr"/>
      <c r="F91" t="inlineStr"/>
      <c r="G91" t="inlineStr">
        <is>
          <t>Plymouth, MI</t>
        </is>
      </c>
      <c r="H91" t="inlineStr"/>
      <c r="I91"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In this position, you will play a crucial role in supporting the efficiency and effectiveness of our Talent Acquisition organization. This position requires an individual with a keen appetite for learning, problem solving, and process improvement. The successful candidate will collaborate closely with the rest of the Recruiting Operations team and the broader Talent Acquisition organization to maintain and optimize large\-scale recruiting programs and systems.
**Responsibilities**
* System Maintenance and Optimization
+ Ensure seamless use of recruiting systems, troubleshoot issues, and provide ongoing support for system users
+ Provision access and licensing for tools such as the Applicant Tracking System (iCIMS), LinkedIn Recruiter, HackerRank, and Indeed
+ Collaborate with the rest of the Recruiting Operations team and the People Systems team to implement and optimize recruiting systems, including the ATS and other recruiting tools
+ Provide basic reporting and auditing of data cleanliness to ensure data integrity of system
* Program Management and Administration
+ Maintain constant project and program support including but not limited to quarterly job description audits, pay transparency compliance, team newsletters, and managing the team inbox and calendar
+ Perform regular experience audits to ensure all recruiting programs, processes and workflows are running as designed
+ Handle administrative tasks efficiently and accurately to support the Recruiting Operations team
* Enablement and Training
+ Onboard new members of Talent Acquisition and provide training on systems and process
+ Support skills development training for TA on new ATS features, AI tools, and recruiting systems to optimize usage and team efficiency
+ Lead training with Recruiting Operations and other stakeholders on current processes and change management for future system/process improvements
+ Build presentation decks and training materials for Talent Acquisition or the business as needed
* Collaboration and Communication
+ Work closely with the Talent Acquisition organization and cross\-functional partners to understand their needs and requirements
+ Serve as a point of contact for internal stakeholders and external candidates regarding system\-related inquiries
+ Communicate effectively with team members to ensure alignment on system or process changes
**Qualifications**
* Minimum of 3 years of experience in a high\-paced corporate environment
* Minimum of 2 years of experience in a customer service or administrative role
* Bachelor’s degree or equivalent experience preferred
* Strong aptitude for problem solving, learning, and adapting to the latest technologies and systems
* Experience with recruiting processes and systems, iCIMS experience is a plus
* Excellent verbal and written communication skills
* Comfortable working in an environment with constant change and evolving priorities
* Ability to collaborate cross\-functionally with Talent Acquisition, People Systems, People Operations, Global Mobility, Enterprise Technology, and Legal
**Pay Disclosure**
 The salary range for this role is USD 71,000\-88,800 for Illinois, Georgia \&amp; Michigan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January 26, 2026\.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92">
      <c r="A92" t="inlineStr">
        <is>
          <t>li-4362142021</t>
        </is>
      </c>
      <c r="B92" t="inlineStr">
        <is>
          <t>Program Manager 3</t>
        </is>
      </c>
      <c r="C92" t="inlineStr">
        <is>
          <t>Comcast</t>
        </is>
      </c>
      <c r="D92" t="inlineStr">
        <is>
          <t>linkedin</t>
        </is>
      </c>
      <c r="E92" t="inlineStr"/>
      <c r="F92" t="inlineStr"/>
      <c r="G92" t="inlineStr">
        <is>
          <t>Philadelphia, PA</t>
        </is>
      </c>
      <c r="H92" t="inlineStr"/>
      <c r="I92" t="inlineStr">
        <is>
          <t>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 Responsible for the coordination, execution, and oversight of program\-oriented work efforts within the Comcast Business Mobile Product Team.
* Partners with Product Management, Technology, Operations, and Go\-to\-Market teams to ensure programs are planned and delivered on schedule, within scope, and to the highest quality standards.
* Implements program management processes and tools to manage timelines, dependencies, and risk mitigation while maintaining clear and proactive communication across stakeholders.
* Works with teams to document program plans, define milestones, monitor progress, and identify and escalate risks or blockers as needed.
* Facilitates recurring cross\-functional meetings and forums to align on delivery priorities, manage scope changes, and drive decision\-making.
* Tracks key program metrics, status, and deliverables, providing regular updates and executive\-level reporting to leadership.
* Ensures readiness for launches and operational transitions by coordinating across all involved functions.
* Integrates knowledge of business goals and technology priorities to guide program execution and support organizational strategy.
* Manages multiple programs of moderate to high complexity, acting as an essential contributor within the broader Portfolio \&amp; Program Management organization.
**Job Description**
**Core Responsibilities**
* Understands the scope of programs as defined by the business requirements and budget process. Participates in key planning milestones and acts as a guide for the core program team from initiation through execution and completion.
* Works to identify and obtain participation from required cross\-functional core team members, including matrixed project managers, with guidance from Strategic Business Initiative or senior staff.
* Creates program plans and maintains program record. Works with the core team to identify and schedule all the work required to fulfill program scope, including identification and management of critical path.
* Assists in the development and implementation of key goals, objectives and success criteria for the program. Ensures proper documentation.
* Supports the budget and resource forecasting exercise.
* Identifies and analyzes risks and issues.
* Tracks and manages the program schedule and task details included in the program plan. Analyzes the actual performance against the plan and makes adjustments consistent with plan objectives. Works with Strategic Business Initiative to assist in action item resolution and track completion. Ensures program milestones are accomplished and ensures overall timelines are met. Documents all major plan changes in scope, approach and date delivery.
* Communicates updates on major milestones and keeps all stakeholders informed of progress and issues. Manages proposed changes to program parameters and works with Enterprise Program Management and Program Managers to ensure appropriate processes and communications are followed.
* Monitors and ensures quality of program deliverables. Works with core team and key field resources to develop and monitor deployment schedule, strategies and tools to support the implementation of programs in the field through trials and controlled customer deployments.
* Consistent exercise of independent judgment and discretion in matters of significance.
* Regular, consistent and punctual attendance. Must be able to work nights and weekends, variable schedule(s) and overtime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Confluence Administration; JIRA Tool; Waterfall Model; Agile Methodology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93">
      <c r="A93" t="inlineStr">
        <is>
          <t>li-4346711551</t>
        </is>
      </c>
      <c r="B93" t="inlineStr">
        <is>
          <t>Senior Program Manager (4922) (Broomfield, CO) (Secret)</t>
        </is>
      </c>
      <c r="C93" t="inlineStr">
        <is>
          <t>SMX</t>
        </is>
      </c>
      <c r="D93" t="inlineStr">
        <is>
          <t>linkedin</t>
        </is>
      </c>
      <c r="E93" t="inlineStr"/>
      <c r="F93" t="inlineStr"/>
      <c r="G93" t="inlineStr">
        <is>
          <t>Broomfield, CO</t>
        </is>
      </c>
      <c r="H93" t="inlineStr"/>
      <c r="I93" t="inlineStr">
        <is>
          <t>Outside Analytics has recently become a proud subsidiary of SMX, marking an exciting collaboration that enhances our collective capabilities to deliver cutting\-edge digital transformation solutions. Are you interested in the next generation of Space Force Remote Sensing capabilities? At Outside Analytics we're on the ground floor of helping across the future remote sensing ecosystem across all orbital regimes (LEO, MEO, HEO, and GEO)! We build, integrate, and operationally support our customer's emerging space\-ground systems to include real\-time data processing frameworks, sensor data processing, and data visualization. We are teamed with the most passionate companies in industry, dedicated to bringing best\-of\-breed capabilities to address our customers most pressing needs. We have an opportunity for a
 **Senior Program Manager** 
 who is excited to apply their talents to our customer's challenging project and one who will thrive in a collaborative environment. The ideal candidate is a recognized professional with hands\-on expertise and an excellent understanding of project management and associated concepts. You will manage a team working within a fast\-paced environment delivering infrastructure and end\-to\-end software processing of Overhead Persistent InfraRed (OPIR) sensor data for Missile Warning, Missile Defense, Battlespace Awareness, and Technical Intelligence.
**Essential Duties \&amp; Responsibilities** 
* Program Management Support
* Cost Report Development and Analysis
* Contract Management including setup in financial management software, Mod reviews, Funding Runout tracking, EAC/VAC analysis
* Schedule Development
* CDRL generation
* Supporting Status and Customer Meetings
* ROM and Proposal Support
* Dependencies and Risk Support
* Monthly Status Reports
* EVM
* Program Startup Support
* Support early phases of starting a program to establish appropriate infrastructure for the team and ensure contract compliance
* WBS Definition, Charge Number Setup
* Process Definition
* Business Rhythm definition
* Schedule \&amp; Milestones preparation and support
* CDRL planning
* Program Leadership
* Serve as primary POC to customer and Outside Analytics team for small projects, both internal and external.
* People Leadership
* Serve as primary people manager to SMX Space \&amp; Intelligence BU employees on the program(s) supported
**Required Skills \&amp; Experience**
* Clearance Required: Secret. Due to the clearance requirement, U.S. Citizenship is required. Candidate must also participate in a background screen
* BS or advanced degree in Business Administration or another relevant field 7\+ years of experience in a project engineering, program management, or finance role (an advanced degree (eg: Masters, PhD) provides two years of experience)
* Experience managing programs in the defense and aerospace fields, especially as a subcontractor
* Experience with general Program Management tools such as Excel, MS Project, and Powerpoint
* Excellent organization skills with exceptional attention to detail
* Strong verbal and written communication skills
**Desired Skills \&amp; Experience**
* Domain experience with remote sensor systems or ground architectures, especially experience with OPIR sensor processing
* Experience with CostPoint, Salesforce
* PMI Certification
* Active DoD SECRET security clearance or higher
**Application Deadline:**
 March 30, 2026
 \#CJPost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$171,100 USD \- $273,600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94">
      <c r="A94" t="inlineStr">
        <is>
          <t>li-4361947901</t>
        </is>
      </c>
      <c r="B94" t="inlineStr">
        <is>
          <t>Program Manager</t>
        </is>
      </c>
      <c r="C94" t="inlineStr">
        <is>
          <t>Hatalom Corporation</t>
        </is>
      </c>
      <c r="D94" t="inlineStr">
        <is>
          <t>linkedin</t>
        </is>
      </c>
      <c r="E94" t="inlineStr"/>
      <c r="F94" t="inlineStr"/>
      <c r="G94" t="inlineStr">
        <is>
          <t>Orlando, FL</t>
        </is>
      </c>
      <c r="H94" t="inlineStr"/>
      <c r="I94" t="inlineStr">
        <is>
          <t>Hatalom Corporation is seeking a highly skilled and motivated Program Manager with experience in IT Hardware (HW) Integration programs to join our dynamic team. In this role, you will be responsible for the successful execution and oversight of programs within the Department of Defense (DoD) Acquisition Framework, with a strong emphasis on integrating, deploying, and sustaining complex IT hardware systems. You will ensure effective management of cost, schedule, and performance while coordinating across engineering, logistics, cybersecurity, and operations stakeholders.
 You will develop and implement comprehensive program plans that include work breakdown structures, integrated master schedules, resource allocation, baseline budgets, and risk mitigation strategies, specifically supporting IT hardware integration, system interoperability, and lifecycle management. This position requires leadership of cross\-functional teams, strong customer engagement skills, and the ability to manage complex, multi\-disciplinary technical challenges.
 As a key point of contact, you will foster strong relationships with clients, ensuring all program objectives are achieved within time and budget constraints while exceeding customer expectations. If you thrive in fast\-paced environments and are driven to deliver results in hardware\-centric IT programs, we encourage you to apply.
**Key Responsibilities** 
* Lead and manage programs within the DoD Acquisition Framework, with a focus on IT hardware integration, system deployment, and sustainment efforts.
* Develop, monitor, and adjust program plans, including work breakdown structures, integrated master schedules, manpower plans, and budget forecasts supporting hardware integration and modernization initiatives.
* Coordinate IT hardware integration activities, including system installation, configuration, testing, verification, and transition to operations.
* Implement and maintain Key Performance Indicators (KPIs), including Earned Value Management (EVM) metrics, to track program health and technical performance.
* Oversee risk and opportunity management, proactively identifying integration, interoperability, supply chain, or technical risks and providing mitigation strategies.
* Coordinate and lead multi\-disciplinary teams across engineering, logistics, cybersecurity, and operations to ensure successful hardware integration outcomes.
* Maintain exceptional relationships with clients, managing expectations and resolving technical and programmatic issues promptly.
* Ensure compliance with all regulatory, cybersecurity, and contractual requirements related to IT hardware systems.
* Provide leadership and guidance to program teams, fostering a culture of collaboration, accountability, and technical excellence.
**Required Qualifications** 
* Proven Experience: Demonstrated expertise managing programs within the DoD Acquisition Framework, including IT hardware integration or system deployment programs.
* IT HW Integration Familiarity: Working knowledge of IT hardware integration environments, including system interoperability, configuration management, installation, testing, and sustainment.
* Leadership Skills: Ability to lead cross\-functional and geographically dispersed teams, including technical and engineering personnel.
* Communication: Excellent interpersonal and communication skills to engage with technical teams, senior leadership, and government customers.
* Security Clearance: Ability to obtain and maintain a security clearance in accordance with government regulations.
* Problem\-Solving: Experience addressing complex, multi\-disciplinary technical challenges and delivering practical, scalable solutions.
* Confidentiality: Ability to handle sensitive and classified information in accordance with government standards.
**Preferred Qualifications** 
* Experience supporting IT hardware modernization, refresh, or integration programs within a DoD or federal environment.
* Familiarity with systems engineering processes, configuration management, and lifecycle sustainment.
* PMP certification is highly desirable.
**Education** 
* Bachelor’s degree (BA/BS) in a related field is required.
**Supervisory Responsibilities** 
* Direct management of program teams, providing leadership, mentorship, and oversight to ensure successful execution of IT hardware integration and acquisition programs.
*This document is not intended to cover or contain a comprehensive listing of all job\-related activities, duties or responsibilities that are required of the employee. Due to the nature of the industry, job tasks may be changed as necessary to meet the needs of the customer.* 
*Hatalom Corporation is an equal opportunity employer providing equal employment opportunities (EEO) to all applicants without regard to race, color, religion, sex, sexual orientation, gender identity, national origin, age, disability, genetic information, marital status, amnesty, or status as a covered veteran in accordance with applicable federal, state and local laws.*</t>
        </is>
      </c>
    </row>
    <row r="95">
      <c r="A95" t="inlineStr">
        <is>
          <t>li-4365091714</t>
        </is>
      </c>
      <c r="B95" t="inlineStr">
        <is>
          <t>Energy Program Manager</t>
        </is>
      </c>
      <c r="C95" t="inlineStr">
        <is>
          <t>Avista</t>
        </is>
      </c>
      <c r="D95" t="inlineStr">
        <is>
          <t>linkedin</t>
        </is>
      </c>
      <c r="E95" t="inlineStr"/>
      <c r="F95" t="inlineStr"/>
      <c r="G95" t="inlineStr">
        <is>
          <t>Spokane, WA</t>
        </is>
      </c>
      <c r="H95" t="inlineStr"/>
      <c r="I95" t="inlineStr">
        <is>
          <t>**Closes:** 
 February 4, 2026
**Job Description**
 Responsible for developing, designing, implementing, and managing residential, commercial, and/or industrial programs that advance energy efficiency, demand response, clean energy policy goals, and/or energy assistance for Avista customers. This role supports corporate objectives by delivering accessible, customer‑centered programs; strengthening customer and community outreach and engagement; and ensuring alignment with regulatory and legislative requirements. Entry‑level positions emphasize program implementation and customer support, while senior‑level roles lead strategy and design. All levels are accountable for program performance, regulatory adherence, equitable delivery of benefits, and continuous improvement to meet evolving customer and community needs.
**Requirements**
 Energy Efficiency Program Manager I:
* Bachelor’s degree from a regionally or nationally accredited college or university in marketing, communication, business, community planning, or related field.
* 3\+ years of related or relevant experience with Energy Efficiency, customer programs or applications including customer interaction.
* Demonstrated dispute/disagreement resolution skills.
* Solid collaboration and facilitation skills.
* Demonstrates aptitude for developing project/program management competencies.
* Ability to cultivate and maintain positive business relationships both internally and externally.
* Some knowledge of customer data systems and tools is required.
* General knowledge of business/office processes and supporting software systems required.
* Intermediate level computer skills (i.e. MS Office Suite).
* Solid verbal and written communication skills
* Proven customer service and interpersonal skills. Serve as liaison between both internal and external customers.
* Basic math and analytical skills required.
* Ability to prioritize and manage multiple projects with attention to detail.
* Must have a valid driver’s license and physical ability to drive a company vehicle for extended distances throughout the company’s service area.
* Intermediate understanding of natural gas and electric construction and/or energy efficiency practices preferred.
* Basic understanding of guidelines and Public Utility Commission funding and regulatory environments preferred
 Hiring Range: $74,611 to $96,62
 Energy Efficiency Program Manager II includes the requirements for I plus
* 5\+ years of related or relevant experience with Energy Efficiency, energy assistance or customer programs or applications including customer interaction.
* 2\+ years of demonstrated project/program management required.
* Demonstrates intermediate to advanced project/program management competencies.
* Intermediate knowledge of customer data systems and tools.
* Proven ability to cultivate and maintain positive business relationships both internally and externally.
* Thorough understanding of guidelines and Public Utility Commission funding and regulatory environments.
 Hiring Range: $84,939 to $110,421
 Senior Energy Efficiency Program Manager includes the requirements for I and II plus
* 7\+ years of relevant experience with energy efficiency, energy assistance, or customer programs or applications including customer interaction required.
* 3\+ years of demonstrated project/program management required.
* Advanced understanding of efficiency practices and measures including building envelope, lighting, HVAC, behavioral and demand response technologies; Awareness of additional distributed energy resources as needed.
* Excellent collaboration and facilitation skills.
* Demonstrates advanced project/program management competencies.
* Advanced understanding of regulation and Public Utility Commission funding and regulatory environments.
* Advanced computer skills (i.e. MS Office Suite).
* Excellent verbal and written communication skills.
 Hiring Range: $96,517 to $126,439
**Other Combinations Of Education And Experience May Be Considered.**
***Hybrid work options are available for this role. The successful candidate will be required to work at our Spokane, Washington Headquarters at least 3 days per week including Mondays and Tuesdays with additional day(s) determined by the manager.***
**To Apply**
 We encourage you to apply as many of our positions have multiple levels to account for an incoming employee’s various knowledge, skills, and experience.
 Complete an online application and attach your resume and cover letter to your profile
 **. All documents must be attached to your application at the time of submitting your application for review.** 
 No documents can be attached after you click "Submit".
**Total Rewards**
 At Avista, our employees are the foundation of our success. Their dedication drives the value we deliver to our customers and communities. That’s why we prioritize the physical, mental, and financial well\-being of our team members and their families.
 We offer a comprehensive Total Rewards program designed to support every stage of life and career. Our offerings include:
* Affordable healthcare options including medical, dental, and vision coverage
* Retirement benefits with an enhanced 401(k) match
* Incentive programs rewarding performance and contributions
* Competitive paid time off including holidays, personal days, and vacation
* Life and disability insurance for added peace of mind
* Wellness resources supporting mental and physical health
* Education and development support including tuition assistance
* Community giving programs encouraging employee engagement and impact
* Other optional benefits from Legal insurance, Pet insurance, and more (Eligibility subject to Bargaining Unit affiliation)
 To learn more, please visit our benefits website at https://avistabenefits.com/.
 We are committed to maintaining a competitive and equitable total rewards package that attracts and retains a diverse, skilled, and engaged workforce.
 In compliance with state laws, we provide the full salary range for each position, along with the typical hiring range based on qualifications, experience, and internal equity. The full salary range for this position is $74,611 to $156,359\. Questions regarding compliance with this requirement can be directed to humanresources@avistacorp.com
 **.**
**Avista’s Commitment to Equal Opportunity**
 Avista is a safe, inclusive workplace for people of all backgrounds, and we are committed to Equal Opportunity Employment. All qualified applicants will be considered regardless of race, color, religion, national origin, sex, gender identity, sexual orientation, marital status, age, sensory, mental or physical disability (unless based upon a bona fide occupational qualification), Veteran status or any other classification protected by nondiscrimination laws.
 Please view Equal Employment Opportunity Posters provided by OFCCP here. Prior to the next step in the recruiting process, we welcome you to inform us confidentially if you require any special accommodations to participate fully in our recruitment process. Avista will make reasonable accommodation to assist a qualified person with a disability in the job application, interview process, and to perform the essential functions of the job whenever possible, where undue hardship would not be created for Avista. Please contact us at humanresources@avistacorp.com if you would like assistance.</t>
        </is>
      </c>
    </row>
    <row r="96">
      <c r="A96" t="inlineStr">
        <is>
          <t>li-4336686522</t>
        </is>
      </c>
      <c r="B96" t="inlineStr">
        <is>
          <t>Sr. Program Manager, Planning &amp; Automation, Global Fleet and Products Electrification and Infrastructure</t>
        </is>
      </c>
      <c r="C96" t="inlineStr">
        <is>
          <t>Amazon</t>
        </is>
      </c>
      <c r="D96" t="inlineStr">
        <is>
          <t>linkedin</t>
        </is>
      </c>
      <c r="E96" t="inlineStr"/>
      <c r="F96" t="inlineStr"/>
      <c r="G96" t="inlineStr">
        <is>
          <t>Nashville, TN</t>
        </is>
      </c>
      <c r="H96" t="inlineStr"/>
      <c r="I96" t="inlineStr">
        <is>
          <t>**Description**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A3126463</t>
        </is>
      </c>
    </row>
    <row r="97">
      <c r="A97" t="inlineStr">
        <is>
          <t>li-4354230226</t>
        </is>
      </c>
      <c r="B97" t="inlineStr">
        <is>
          <t>EHS Program Manager</t>
        </is>
      </c>
      <c r="C97" t="inlineStr">
        <is>
          <t>VEIR</t>
        </is>
      </c>
      <c r="D97" t="inlineStr">
        <is>
          <t>linkedin</t>
        </is>
      </c>
      <c r="E97" t="inlineStr"/>
      <c r="F97" t="inlineStr"/>
      <c r="G97" t="inlineStr">
        <is>
          <t>Woburn, MA</t>
        </is>
      </c>
      <c r="H97" t="inlineStr"/>
      <c r="I97" t="inlineStr">
        <is>
          <t>**WHY VEIR?**
 VEIR is enabling a new generation of compact, efficient, high\-power, and long\-distance power delivery solutions, solving bottlenecks that exist across the entire electricity value chain, from generation through to data center server racks. VEIR's low voltage superconducting solutions are enabling new power delivery architectures in the world’s largest data centers and our higher voltage solutions are poised to revolutionize the development of electricity transmission and distribution lines. VEIR is preparing for rapid growth as we seek to solve critical challenges facing data center developers, electricity generation developers, and utilities around the world.
**The Role**
 VEIR is committed to ensuring the safety of everyone who encounters both our facilities and our products, including our employees, contractors, partners, customers, and the public. As VEIR prepares for rapid growth, we will scale our Environmental Health and Safety (EHS) Program to keep pace. You will develop, update, implement, and enforce Environmental Health and Safety (EHS) policies.
 You join VEIR’s Operations Team where you will report to VEIR’s Head of Business Operations. You will work closely with VEIR’s Project Management team, Lab Manager, Lab EHS Manager, and Operations Specialist to keep our operations safe.
 You will primarily work at our office located in Woburn, MA, with occasional travel required to VEIR’s project locations. The nature of this position is reactionary. When certain emergencies occur, the functions of this position may be deemed essential, and the EHS Manager may be required to work outside of normal working hours and/or remain on duty during a necessary response.
**In the first 3 months you'll**
* Gain a deep understanding of VEIR’s current EHS policies
* Respond to safety events
* Build strong working relationships across with VEIR’s cross functional Project, Engineering, Product teams and learn about VEIR’s technology and novel safety considerations pertaining to its product, its superconducting technology, and data center environments.
* Develop guidance on how to scale VEIR’s EHS program.
**In the first 6 months you'll**
* Become VEIR’s leader on all safety matters, inspiring, aligning, and leading the team to achieve shared goals.
* Execute scaling VEIR’s EHS plan through development of policies and standard procedures
* Lead continuous improvements of VEIR’s safety plan by establishing clear objectives and deliverables
**By the end of the first year you will have**
* Fully develop a suite of safety policies and operations that can be quickly implemented at VEIR facilities and across all activities
**To be successful in this role**
* You have 5\+ Years Experience in a Same or Similar Role
* You have a Bachelor's Degree in Occupational Safety, Health and Safety or similar
* You are proficient in Microsoft Office
* OSHA 10 or OSHA 30 Certification preferred
* You have experience in an ISO9001 environment
* You'll bring experience applying safety concepts to achieve company objectives
* You have experience with key occupational safety regulations and standards, including state and federal OSHA, ANSI, UL, EPA, DHS and construction safety standards, with the ability to apply them in occupational/industrial settings.
* You have working knowledge of NFPA 70 – National Electric Code, NFPA 70E – Electrical Safety in the Workplace, NFPA 75 \- Standard for the Fire Protection of Information Technology Equipment is required.
* You'll bring demonstrated experience developing best practice, as well as novel, worker safety policies, plans, and programs.
* You have demonstrated expertise in conducting planned and ad hoc safety reviews, including real\-time observations of employee work practices, to proactively identify hazards and implement corrective actions.
* You'll bring demonstrated experience developing, reviewing site\-specific safety plans, Job Hazard Analysis plans, ensuring activities are performed in alignment with alignment with regulatory requirements, resources, and risk mitigation best practices.
* You may have experience leveraging AI to improve organizational safety
* You have experience with cryogenics, high voltage, pressure\-based safety requirements
* You may have experience with data center safety requirements
**BENEFITS \&amp; PERKS**
 Healthcare coverage with 100% employer paid premiums for medical, dental, and vision
 401(k) Retirement Savings Program
 12 Company Holidays \+ unmetered PTO
 12 Weeks 100% Paid Parental Leave for all new parents
 Stock Options
 Employee Assistant Program (EAP)
 Regular teambuilding, off\-sites, and lunch \&amp; learns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We strive to respect the dignity and ‎‎independence of people with disabilities and are committed to giving them the same ‎‎opportunity to succeed as all other employees.
 To all recruitment agencies: VEIR does not accept agency resumes. Please do not forward resumes to our jobs alias, VEIR employees, or any other organization location. VEIR is not responsible for any fees related to unsolicited resumes.</t>
        </is>
      </c>
    </row>
    <row r="98">
      <c r="A98" t="inlineStr">
        <is>
          <t>li-4336723258</t>
        </is>
      </c>
      <c r="B98" t="inlineStr">
        <is>
          <t>EMPLOYER OUTREACH &amp; RECRUITMENT PROGRAM MANAGER, School of Law, Career Development</t>
        </is>
      </c>
      <c r="C98" t="inlineStr">
        <is>
          <t>Boston University</t>
        </is>
      </c>
      <c r="D98" t="inlineStr">
        <is>
          <t>linkedin</t>
        </is>
      </c>
      <c r="E98" t="inlineStr"/>
      <c r="F98" t="inlineStr"/>
      <c r="G98" t="inlineStr">
        <is>
          <t>Boston, MA</t>
        </is>
      </c>
      <c r="H98" t="inlineStr"/>
      <c r="I98" t="inlineStr">
        <is>
          <t>Category
 Charles River Campus \-\-\&gt; Professional
 Job Location
 BOSTON, MA, United States
 Tracking Code
 25500562171113
 Posted Date
 1/14/2026
 Salary Grade
 Grade 46
 Expected Hiring Range Minimum
 $55,300\.00
 Expected Hiring Range Maximum
 $69,700\.00
 The salary of the finalist selected for this role will be set based on a variety of factors, including but not limited to departmental budgets, qualifications, experience, education, licenses, specialty, training and internal pay comparison. The above hiring range represents the University's good faith and reasonable estimate of the range of possible compensation at the time of posting.
 Position Type
 Full\-Time/Regular
 Are you looking to join a dynamic and engaging educational and professional community with motivated students and innovative colleagues? Boston University School of Law is a leading law school, with an international reputation, dedicated to providing one of the finest legal educations in the world. Since our doors opened in 1872, we have enrolled accomplished students regardless of their race, gender, or religion. Under the leadership of current Dean Angela Onwuachi\-Willig, BU Law is recognized for academic excellence, due to a faculty highly regarded for both scholarship and teaching, as well as a deep commitment to equity, justice, and engagement dating back to our founding. As a highly\-ranked professional school embedded within one of the largest research universities in the country, BU Law enjoys access to a wide array of institutional resources. The Office of Career Development and Public Service at BU Law seeks an Employer Outreach and Recruitment Programs Manager to join our team. This position presents a unique opportunity to expand the variety of connections with legal employers on behalf of the law school and serves as a key ambassador for the law school with employers in all sectors. The Employer Outreach and Recruitment Programs Manager will: \- Lead employer outreach efforts for the Career Development and Public Service Office. \- Be responsible for cultivating relationships with employers on behalf of the law school in both local and target job markets to generate new job opportunities for law students and graduates. \- Work collaboratively with the career advisors to promote the job opportunities to current students and graduates, and provide follow\-up as needed with the employers. \- Provide regular reports of their outreach, tracking the results of each connection made and measuring outcomes. \- Manage all on and off campus recruitment programs, the mock interview program and coordinate all employer visits. \- Liaise with law school faculty, senior administrators and law school consortium members. \- Manage the First Year Student Career Conference, oversee the planning for CDO recruitment related programming, generate resources and communications for students to apply and participate in recruitment programs, and build relationships with job fair coordinators. We are seeking dedicated and creative team players who are committed to professional growth and skill development. Our staff community gathers regularly for all\-hands meetings, book clubs, board game lunches, walking challenges, an annual cookie swap, staff luncheon, and end of year BBQ. Boston University is one of the largest private employers in Boston and offers an excellent benefits package, including tuition remission, employee perks like discounted theatre tickets and museum passes, generous vacation and sick leave policies, and competitive salaries. Boston is a global leader in higher education and research, the largest biotechnology hub in the world, and is home to multiple art museums, historical sites, performing arts centers, and championship major league sports teams.
**Required Skills**
 B.S./B.A. required, JD degree preferred. 3\-5 years of experience required in legal recruiting or a related field. Some experience in employer outreach or employer relations. Experience working with legal employers to recruit law students and law graduates. Excellent oral and written communication skills, organizational skills and interpersonal skills required. Strong attention to detail also required. Familiarity/proficiency with Excel and 12Twenty preferred.
**A Cover Letter Is Required For Consideration.**
*We are an equal opportunity employer, and all qualified applicants will receive consideration for employment without regard to race, color, natural or protective hairstyle, religion, sex, age, national origin, physical or mental disability, sexual orientation, gender identity, genetic information, military service, pregnancy or pregnancy\-related condition, or because of marital, parental, or veteran status. We are a VEVRAA Federal Contractor.*</t>
        </is>
      </c>
    </row>
    <row r="99">
      <c r="A99" t="inlineStr">
        <is>
          <t>li-4365080394</t>
        </is>
      </c>
      <c r="B99" t="inlineStr">
        <is>
          <t>Senior Product Manager, Bookings</t>
        </is>
      </c>
      <c r="C99" t="inlineStr">
        <is>
          <t>Super.com</t>
        </is>
      </c>
      <c r="D99" t="inlineStr">
        <is>
          <t>linkedin</t>
        </is>
      </c>
      <c r="E99" t="inlineStr"/>
      <c r="F99" t="inlineStr"/>
      <c r="G99" t="inlineStr"/>
      <c r="H99" t="inlineStr"/>
      <c r="I99" t="inlineStr">
        <is>
          <t>**About Super.com**
 We started Super.com to help maximize lives–both the lives of our customers and the lives of our team – so that everyone can experience all that life has to offer. For our employees, our promise is that Super.com is more than just a job; it’s an opportunity to unlock one’s potential, where learning is celebrated and impact is realized.
 We are more than a fast\-paced, high\-growth tech company; we care about our people and take career progression seriously. This is your career and our aim is to supercharge it through the people, the work, and the programs that fuel who we are.
**About The Role**
 You will join our Travel Product team focused on driving the vision and strategy for how customers book travel on Super.com. This role owns the most critical moment in the customer journey, where intent becomes revenue. From checkout through payment, confirmation, and post booking integrity, you are accountable for conversion, reliability, and trust. You will lead a Mission Aligned Team made up of engineers, designers, growth, data, and other cross functional partners, with a mandate to evolve Super.com’s booking experience as the business scales. You will be responsible for:
* Checkout flow: Own and optimize the end to end checkout experience, ensuring customers can seamlessly book and pay for travel. This includes improving conversion, expanding payment methods, reducing errors, and designing strong error handling and recovery flows for edge cases and partial failures.
* Reducing Fraud: Own the product strategy for minimizing fraudulent bookings while protecting customer experience and conversion. Balance risk, friction, and growth by evolving fraud prevention systems, reducing false positives, and partnering closely with Risk, Payments, Operations, and external vendors as the business scales.
* Platform: Invest in and evolve the booking platform to ensure systems are reliable, scalable, and resilient under increasing traffic and complexity. Work deeply with engineering to reduce booking related errors, ensure booking accuracy, improve observability, and own relationships with critical partners such as payment processors and fraud vendors.
 This is a high\-visibility role reporting to the Sr. Group PM, with regular exposure to executives, with a skilled product manager to help with executional work. You’ll have the mandate, resources, and autonomy to deliver meaningful business impact — and the opportunity to define how our booking systems evolve.
**About The Team**
 The Product management team at Super.com is a high\-performing and fast\-paced team of product managers who are passionate about creating meaningful, impactful products that help our millions of customers experience more of what life has to offer. We champion the three key pillars of successful products: data driven business outcomes, true understanding of who our customer is, and integration of quality. We are guided by “truth\-seeking”, where our thirst for data driven decision making drives us to be correct rather than look good. We debate, dig deep, collaborate, and work together to uncover what our customers and the business need, how to build it, when and why to build it, and then help guide the execution to see it come to reality. We experiment routinely, and look for insights from quantitative and qualitative data wherever we can get it. We create the roadmap for where the product is going, assess the impact it has on our customers and business, and ensure Super.com is a world class product loved by millions of people. If you’re looking for a place to be challenged, be data driven, experiment, and push product strategy forward, this is it!
**What You’ll Be Working On**
* Lead the Team \&amp; Drive Outcomes \- Own the mission, outcomes, and performance of your Mission Aligned Team. Set and deliver on OKRs, lead weekly, monthly, and quarterly reviews, and be accountable for results. Partner closely with Engineering, Design, Growth, QA, and Operations to unblock execution, run agile ceremonies, and plan both near term delivery and longer term direction with the GM and GPM. Own the roadmap end to end in terms of both output and impact.
* Technical Acumen \- Demonstrate strong technical judgment by diving into backend systems when needed to inform product decisions. Partner effectively with engineering to understand tradeoffs, diagnose issues, and communicate complex technical concepts clearly to both technical and non technical stakeholders.
* Spearhead Product Requirements \- Own product requirements for your team, including defining features, writing clear PRDs, and designing experiments. Clearly communicate complex ideas to technical and non technical stakeholders, justify initiatives against company objectives and metrics, and support the GM and GPMs in identifying future opportunities.
* Lead Experimentation \&amp; Data Analysis \- Use experimentation and data to validate hypotheses and guide product strategy. Analyze data directly in tools like Amplitude and partner with data teams on deeper analysis. Translate complex insights into clear recommendations and raise the quality of experimentation across the organization.
* Manage Stakeholders \- Influence key executives (GM, CEO, CTO etc), leaders (GPM, Directors, Managers etc) and adjacent MAT lead teammates. Keep your vertical and product colleagues in step with you, be in step with them, and operate as an effective leader of leaders and teammates.
* Own the Experience \- Take accountability for the customer experience from end to end in your domain, ensuring the customers needs are met with high quality products. Know when to compromise and put your foot down, and truly solve your customer’s problems.
* Build Customer Empathy \- Research, listen to, and understand our customers and their needs along with the unique financial situations they face. Actively use and engage with the product to QA what we’re building and build empathy for the people who use our products on a daily basis.
**What We’re Looking For**
* 3\+ years in B2C or B2B product management, with prior experience optimizing checkout and payment funnels. You’ve collaborated with growth, design, engineering, data, cross\-functional product and UXR teams
* Experience executing on a product roadmap \- defining product scope, shipping features, launching and concluding experiments.
* Can show successful products and features in the market that you’ve shipped 0 to 1 and that you’ve scaled on from 1 to 100
* Strong project management \&amp; excellent communication skills with immediate teams, engineers, designers, executives (written, oral, and presentation)
* Data driven analytical thinking, and back statements up with facts and examples
* Ability to thrive in ambiguity with a strong bias for action.
* Humble, flexible with a growth mindset attitude. You’re able to have debates on strategy backed up by data when you feel you are correct but also willing to disagree and commit to move the product forward.
* Willing to jump into weeds and able to jump back up to the right altitude. Gets hands dirty in execution mode routinely and then shifts to think about what is ahead in 3\-6 months.
* You don’t need to meet every bullet above — if you’re excited by the role and believe you can crush it, we’d love to hear from you
**Bonus Points For**
* We rely on tools such as Amplitude, Jira, Figma Confluence, DataDog, Looker, Google sheets, Notion, SQL and many more. The more you know, the better it would be
* Experience owning a critical revenue funnel or high traffic consumer surface
* Experience working closely with payment, risk, or highly technical systems
* A degree in Engineering, Computer Science or other related fields.
* Understanding of the Hotel \&amp; Travel Industry
 At Super.com, we believe in supporting our team so they can thrive—both at work and in life.
* Remote\-First Flexibility: Work from anywhere in the world and choose the hours that suit you best. We trust you to get great work done on your terms.
* Time to Recharge: Enjoy unlimited PTO, company\-wide recharge days, and annual team offsites.
* Everyday Perks: Weekly UberEats credits and travel discounts on SuperTravel help you enjoy the little things.
* Family\-Friendly Benefits: We support growing families with generous parental leave and a flexible return\-to\-work plan.
* Comprehensive Compensation: Competitive salary, equity options, and top\-tier benefits starting on day one.
* Investing in You: Access to wellness budgets, personal development funds, and team\-level learning resources.
 At Super.com, we are proud to leverage cutting\-edge artificial intelligence (AI) technology to make our hiring process smarter, faster, and more inclusive. By integrating AI tools into our recruitment, we enhance our ability to identify top talent efficiently while promoting fairness and consistency for every applicant.
 Super.com is an equal opportunity employer. We do not discriminate on the basis of race, religion, color, national origin, gender, sexual orientation, age, marital status, veteran status, or disability status.
 Accommodations are available on request for candidates taking part in all aspects of the selection process. If needed, please notify your Talent Acquisition Partner.</t>
        </is>
      </c>
    </row>
    <row r="100">
      <c r="A100" t="inlineStr">
        <is>
          <t>li-4361988186</t>
        </is>
      </c>
      <c r="B100" t="inlineStr">
        <is>
          <t>Lead Product Manager, Promoted Listings</t>
        </is>
      </c>
      <c r="C100" t="inlineStr">
        <is>
          <t>Realtor.com</t>
        </is>
      </c>
      <c r="D100" t="inlineStr">
        <is>
          <t>linkedin</t>
        </is>
      </c>
      <c r="E100" t="inlineStr"/>
      <c r="F100" t="inlineStr"/>
      <c r="G100" t="inlineStr">
        <is>
          <t>Austin, TX</t>
        </is>
      </c>
      <c r="H100" t="inlineStr"/>
      <c r="I100"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As the Lead Product Manager for Enterprise Promoted Listings, you will bridge the gap between our marketplace and the complex ecosystems of our largest institutional partners. You are responsible for building the 
 **SaaS\-level connectivity** 
 and
 **scalable API infrastructure** 
 that allows enterprise clients to integrate, manage, and optimize their presence on http://Realtor.com at scale.
**What You’ll Do:** 
* ****Enterprise Platform Strategy:****
 Define the vision for how enterprise clients interact with our marketplace. You’ll move beyond manual workflows to build
 **robust API\-first solutions** 
 and automated data flows that integrate seamlessly with client CRMs and proprietary MaaS platforms.
* ****B2B Connectivity \&amp; Integration:****
 Act as the architect for "Enterprise Enablement." You will ensure our platform can handle sophisticated data exchange, ensuring high\-fidelity connectivity and performance tracking between http://Realtor.com and institutional partner tech stacks.
* ****Scalable Monetization:****
 Own the roadmap for enterprise\-grade promoted products. You will balance the custom needs of individual large\-scale clients with the necessity of building
 **standardized, scalable SaaS products** 
 that maintain marketplace health.
* ****Data\-Driven Matching \&amp; Performance:****
 Partner with Data Science and Engineering to optimize lead routing and matching logic. You will leverage ML\-driven insights to ensure enterprise advertisers achieve high ROI while maintaining a premium user experience.
* ****Cross\-Functional Leadership:****
 Serve as the primary product bridge between Sales, Engineering, and our largest clients. You’ll translate complex business requirements into technical specs for API development and platform scalability.
**How We Work:** 
 We balance creativity and innovation on a foundation of in\-person collaboration. For most roles, our employees work three or more days in our office in Austin, TX,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Immediate eligibility into Company 401(k) plan with 3\.5% company match
* Tuition Reimbursement program for degreed and non\-degreed program]
* 1:1 personalized Financial Planning Session
* Student Debt Retirement Savings Match program
* Free snacks and refreshments in each office location
**What You’ll Bring:** 
* ****B2B/SaaS Expertise:****
 Deep experience building and scaling B2B products, specifically focusing on
 **SaaS connectivity, API development, and enterprise data flows.**
* ****Institutional Client Experience:****
 A proven track record of working directly with large\-scale enterprise partners to deliver technical solutions that solve complex business problems.
* ****Technical Acumen:****
 Strong familiarity with
 **API architecture** 
 , system integrations, and how data moves between disparate platforms. You should be comfortable discussing technical constraints with engineers and data scientists.
* ****Product Maturity:****
 10\+ years of product experience (8\+ with a Master’s), ideally within marketplace or high\-growth SaaS environments.
* ****Complexity Management:****
 Experience owning products with sophisticated logic (e.g., dynamic routing, real\-time bidding, or complex matching algorithms).
* ****Influence \&amp; Communication:****
 The ability to simplify complex technical strategies for executive stakeholders while maintaining high credibility with technical teams.
* ****Bachelor’s degree preferred in Computer Science or Engineering, Technology, Finance, Marketing or Business****
 or equivalent experience and 10\+ years of related experience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01">
      <c r="A101" t="inlineStr">
        <is>
          <t>li-4362105403</t>
        </is>
      </c>
      <c r="B101" t="inlineStr">
        <is>
          <t>Product Owner - Courts</t>
        </is>
      </c>
      <c r="C101" t="inlineStr">
        <is>
          <t>RemoteHunter</t>
        </is>
      </c>
      <c r="D101" t="inlineStr">
        <is>
          <t>linkedin</t>
        </is>
      </c>
      <c r="E101" t="inlineStr"/>
      <c r="F101" t="inlineStr"/>
      <c r="G101" t="inlineStr"/>
      <c r="H101" t="inlineStr"/>
      <c r="I101" t="inlineStr">
        <is>
          <t>About the Opportunity:
 This organization is a technology\-driven software application company providing enterprise management software solutions across private and semi\-private club, foodservices, construction, metal service centers, moving \&amp; storage, and attractions \&amp; leisure, fitness \&amp; sports industries. With multiple respected brands, it serves over 8000 customers in 15 countries and operates offices in Canada, the United States, the United Kingdom, and the Caribbean. The Product Owner \- Courts role involves managing internal projects within the Product team, overseeing product planning, quality assurance, and documentation around product releases. The position requires close collaboration with engineering, sales, marketing, and support to meet customer satisfaction and align product outcomes with the organization’s strategy. This role also acts as an industry consultant for private club staff on racquet and athletic software, reporting to the Head of Product and managing 1\-2 QA Analysts.
 Responsibilities:
 • Oversee product development from ideation to deployment
 • Ensure on\-time, on\-budget product launches that meet customer expectations
 • Conduct market research to understand customer needs and industry trends
 • Prioritize features aligned with strategic goals to focus the product roadmap
 • Collaborate with engineering, marketing, sales, and other teams for product launch and management
 • Participate actively in sprint planning meetings
 • Create Product Requirements Documents with prioritized features and justifications
 • Design wireframe mockups for enhancements and new product interfaces
 • Manage QA resources to meet user expectations and address bugs and product enhancements
 • Run beta and pilot programs, including client enlistment, training, and collaboration
 • Write internal and external product release notes and agreement language for new products
 • Continuously monitor and optimize products to maintain competitiveness and meet evolving needs
 • Represent the product at tradeshows, webinars, demos, and occasional client site visits
 Requirements:
 • 2\-5 years of experience as Product Owner, Manager, or Analyst
 • Familiarity with the private club industry
 • Strong communication skills to convey product vision, strategy, and progress; comfortable leading webinars
 • Ability to balance client and business needs effectively
 • Skilled at translating user and business requirements into detailed specifications
 • Proficient in conflict resolution and problem\-solving
 • Evidence\-based decision\-making and rigorous prioritization abilities
 • Ability to say “no” with clear explanations understood by stakeholders
 • Transparency in prioritization and roadmap processes
 • Proven success in defining and launching products
 • Technical background with software product management experience
 • Understanding of UI and UX best practices
 • Strong teamwork and cross\-functional influence skills without formal authority
 • Experience working with external third parties on partnerships and integrations
 • Entrepreneurial, self\-starting work style
 • Excellent organizational, interpersonal, and communication skills
 • Ability to work well with designers and engineers
 • Skilled at tactfully communicating progress to senior management
 • User advocacy and understanding of user motivation
 • Comfortable managing change and ambiguity with composure under pressure
 • Commitment to meeting expectations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2">
      <c r="A102" t="inlineStr">
        <is>
          <t>li-4309211620</t>
        </is>
      </c>
      <c r="B102" t="inlineStr">
        <is>
          <t>Digital Product Owner</t>
        </is>
      </c>
      <c r="C102" t="inlineStr">
        <is>
          <t>Deckers Brands</t>
        </is>
      </c>
      <c r="D102" t="inlineStr">
        <is>
          <t>linkedin</t>
        </is>
      </c>
      <c r="E102" t="inlineStr"/>
      <c r="F102" t="inlineStr"/>
      <c r="G102" t="inlineStr">
        <is>
          <t>New Jersey, United States</t>
        </is>
      </c>
      <c r="H102" t="inlineStr"/>
      <c r="I102" t="inlineStr">
        <is>
          <t>At Deckers Brands, Together, Every Step is a promise kept that every employee can bring their authentic self, is valued and supported, as a whole person, at work and beyond. Together, Every Step is how we continue to deliver exceptional business results, experience an amazing place to work, and have a positive impact on the communities and world around us.
**Job Title:** 
 Digital Product Owner
**Reports to:** 
 Director, DTC Digital Product Management
**Location:** 
 United States (Remote)
 Interested applicants must reside in one of the following approved states: Arizona, California, Colorado, Minnesota, New Jersey, Texas.
**The Role**
 Are you ready to lead and innovate in the fast\-paced world of digital commerce? As the Digital Product Owner, you will be responsible for delivering value, managing the roadmap, and overseeing digital\-related projects within the Direct\-to\-Consumer Channel. You will provide vision and direction to development teams and stakeholders, ensuring that our technology platforms and third\-party integrations are built to specification. This role is pivotal in creating alignment on priority, understanding value, and delivery timing. You will collaborate heavily with key partners across the business, advocating for the product vision and driving the completion and adoption of product deliverables. Join us in shaping the future of digital commerce at Deckers Brands.
**We celebrate diversity\-\-of your background, your experiences and your unique identity. We are committed to ensuring an inclusive and equitable workplace where all of our employees can Come as They Are. We believe that when we bring our different perspectives to work, we are truly Better Together.**
**Your Impact**
* Lead Product Delivery Team: Drive maximum value through project/product best practices.
* Facilitate strategic planning: Align with key stakeholders to create and maintain product roadmap.
* Collaborate with core teams: Work with DevOps, UX, Brand, and Regional teams to ensure alignment and delivery.
* Practice continuous improvement: Adapt processes to changing environments and plan future product iterations.
* Manage product risk: Utilize internal team solutions and proper escalation paths.
* Build strong relationships: Foster collaboration with core business partners throughout DTC and the wider organization.
* Maintain and improve reporting: Evaluate success and identify opportunities within the product.
**Who You Are**
* Education/Certifications:
+ Bachelor’s degree in related field, or equivalent related work experience
+ Product Owner certification from PMP, Scrum, or similar industry
* Work Experience:
+ 5\+ years of project management and/or product owner experience
+ Previous BSA/BA or requirements writing experience
+ Experience in digital/eCommerce tech fields, familiar with top ecomm platforms
+ Experience in eCommerce retail industry, familiarity with marketplace trends
+ Knowledge in loyalty and rewards programs
* Skills/Competencies:
+ Leadership and management skills to build strong teams and foster a positive working environment
+ Ability to effectively prepare and present information and respond to questions from management, clients, and other employees
+ Thorough understanding of eCommerce business systems and web platforms
+ Estimating, budgeting, and reporting abilities
+ Creative and tactical approaches to projects in a growth company
+ Knowledge and experience with e\-commerce, retail, and omnichannel technologies
+ Proactive communicator and excellent listener
+ Strong organizational skills; can bring together resources to get the job done
+ Proactive resolution of project issues and conflict
+ Proven relationship\-management skills and ability to communicate effectively with all levels
+ Knowledge of Scrum and Waterfall best practices
**What We'll Give You –**
* Competitive Pay and Bonuses \- We’ve created a variety of competitive compensation programs to foster career development, reward success and to show our employees just how much they’re valued.
* Financial Planning and wellbeing \- No matter what financial goals our employees have set, we want to help them get there. Our plans provide powerful ways to protect income, pay for expenses and invest in the future.
* Time away from work \- Sometimes we need time away to be with family, focus on our health or just simply recharge. Our plans support our employees’ needs to get out, get healthy and come back stronger than ever.
* Extras, discounts and perks \- Being a valued member of the Deckers Brands team means more than just a paycheck. From generous discounts to community\-based programs, we offer a variety of cool extras
* Growth and Development \- Deckers Brands was built on the idea of pursuing passion. That’s why we offer extensive opportunities and support for personal and professional development.
* Health and Wellness \- There’s nothing basic about our comprehensive health and wellness programs and offerings. While at work and at play, we aim to support a healthy lifestyle.
 $120,000 \- $130,000
 The salary range posted reflects the minimum and maximum target for new hire salaries for this role in
 *our Goleta, CA location.* 
 Individual pay will be determined by location and additional factors, including job related skills, experience, and relevant education or training. Your recruiter can share more about the specific salary for your preferred location during the hiring process.
**Equal Employment Opportunity**
**Diversity and inclusion are key to our success. We are proud to be an equal opportunity employer, and our employees are people with different strengths, experiences and backgrounds who share a passion for our brands. We welcome qualified applicants regardless of their race, color, religion, sex, sexual orientation, gender identity, gender expression, national origin, age, military or veteran status, mental or physical disability, medical condition and all the other beautiful parts of your identity.**</t>
        </is>
      </c>
    </row>
    <row r="103">
      <c r="A103" t="inlineStr">
        <is>
          <t>li-4349522858</t>
        </is>
      </c>
      <c r="B103" t="inlineStr">
        <is>
          <t>Senior Principal Product Manager</t>
        </is>
      </c>
      <c r="C103" t="inlineStr">
        <is>
          <t>Circle</t>
        </is>
      </c>
      <c r="D103" t="inlineStr">
        <is>
          <t>linkedin</t>
        </is>
      </c>
      <c r="E103" t="inlineStr"/>
      <c r="F103" t="inlineStr"/>
      <c r="G103" t="inlineStr"/>
      <c r="H103" t="inlineStr"/>
      <c r="I103"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As a Sr. Principal Product Manager on the Circle product team, you will be responsible for the growth of Developers \&amp; users on Arc Network \&amp; Circle’s platform products. You will embed deeply into the crypto ecosystem, interface with customers, and work closely with product design and engineering, as well as a broad set of internal teams, to conceive product features that lead to measurable growth in the utility of Circle’s products. You’ll collaborate with Data scientists, designers, product engineers, Dev Rel, marketing, and PMs to structure numerous growth initiatives.
**What You'll Work On**
* Drive Growth of the Arc Network Ecosystem: Lead strategy and execution to scale developer and protocol adoption on Arc Network. You’ll define growth loops that increase the number and depth of integrations across DeFi protocols, wallets, and fintechs building on Arc.
* Expand Developer Adoption of Circle’s Platform Products: Accelerate usage of Arc Hub, CCTP, Gateway, Wallets, and numerous developer products by driving end\-to\-end developer engagement \- from onboarding to activation to retention. You’ll identify friction points in developer journeys and design experiments, product surfaces, and incentives that drive meaningful adoption and usage growth.
* Enable user adoption of newly incubated consumer products: As Circle enables Arc Hub, Wallets with partners, and Bridge UI, you’ll drive awareness and adoption of specific first party and partners’ consumer products by developing awareness and constructing viral loops for adoption.
* Build for Network Effects Across Chains and Protocols: Collaborate with blockchain integration teams to expand Arc Network’s reach across L1s and L2s, enabling seamless cross\-chain interoperability. Develop the product mechanisms, APIs, and growth strategies that create compounding value for every new developer and protocol joining the network.
* Create Scalable Growth Systems for Developers: Partner with Data Science, Growth Engineering, and Dev Rel to instrument funnel analytics, and usage telemetry across the Circle platform. Use insights to iterate on developer\-facing features, SDKs, and dashboards that convert sign\-ups into active, transacting users.
* Shape the Developer Experience and Ecosystem Narrative: Collaborate with Developer Relations, Product Marketing, and BD to accelerate Arc Network and Circle’s developer stack as the trusted infrastructure for building in onchain finance. You’ll help define how developers discover, understand, and integrate Circle’s platform, through docs, sandboxes, reference apps, and events.
* Coordinate Growth Initiatives Across Product Verticals: Work closely with PMs leading infrastructure products (USDC issuance, CCTP, and wallets) to ensure cohesive developer experiences and compounding platform effects. Align roadmap priorities to maximize platform stickiness and onchain liquidity growth.
* Lead Cross\-Functional Execution at Scale: Partner across Engineering, Design, Compliance, and Operations to deliver growth\-focused product releases and ecosystem partnerships that meet the highest bar for technical excellence, regulatory compliance, and user trust.
* Conceiving and building user experiences that deliver on our customers’ needs by leveraging an innovative infrastructure for money.
* Collaborating with senior product leadership and other product managers to align roadmaps and conceive projects that support product iterations.
* Interacting with customers’ business, finance and product teams to deeply understand their needs, and translate those into business cases, feature themes, product requirements and roadmaps.
* Collaborating with various teams across Circle, sharing customer pain points and discussing new product ideas, communicating product vision, strategy and roadmaps, and gaining alignment as well as unblocking progress.
* Partnering with product design leaders to imagine and define new experiences that are better, cheaper, faster and more interoperable than the current generation of financial services.
* Categorizing customers’ needs into segments, prioritizing initiatives according to business strategy, and maintaining an up\-to\-date product roadmap that delivers on the Circle product vision.
* Working closely with legal and regulatory compliance teams at Circle to ensure appropriate alignment with regulatory requirements.
* Managing multiple parallel projects and iterations alongside engineering, and ensuring timely delivery of feature releases.
****What you’ll be responsible for****
* Growth Strategy: Define and evolve growth strategies for key infrastructure products (e.g. Arc, USDC issuance, CCTP, Programmable Wallets, blockchain integrations).
* Roadmap Inputs: Influence roadmap development, balancing market opportunity, technical feasibility, regulatory constraints, and developer needs.
* Team Leadership: Influence \&amp; lead a cross\-functional team of product managers, engineers, Dev Rel, Marketing, \&amp; PMM \- foster a culture of growth, accountability, innovation, and user empathy.
* Market Insight: Stay ahead of industry trends, competitor offerings, and regulatory developments in crypto and blockchain infrastructure.
* Developer Focus: Work closely with developer relations and partner teams to ensure the product suite meets the evolving needs of Web3 and fintech developers.
* Launch Excellence: Drive go\-to\-market planning and execution for feature launches in close partnership with Marketing and Operations.
**What You’ll Bring To Circle**
* Creative product mind, an avid problem solver and a highly collaborative team member.
* 10\+ years of product / product marketing management, preferably in product growth initiatives.
* Proven track record of shipping complex infrastructure products in fintech, crypto, cloud, or developer platform environments.
* Deep knowledge of the crypto ecosystem, including L1/L2 chains, stablecoins, bridges, wallets, custody solutions, and on/off\-ramps.
* Exceptional communication, collaboration, and stakeholder management skills.
* Bachelor’s or Master’s in Computer Science, Engineering, Economics, or a related technical or analytical field.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$212,500 \- $272,500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04">
      <c r="A104" t="inlineStr">
        <is>
          <t>li-4362068454</t>
        </is>
      </c>
      <c r="B104" t="inlineStr">
        <is>
          <t>Business Program Manager – Communications &amp; Enablement</t>
        </is>
      </c>
      <c r="C104" t="inlineStr">
        <is>
          <t>Blueprint</t>
        </is>
      </c>
      <c r="D104" t="inlineStr">
        <is>
          <t>linkedin</t>
        </is>
      </c>
      <c r="E104" t="inlineStr"/>
      <c r="F104" t="inlineStr"/>
      <c r="G104" t="inlineStr"/>
      <c r="H104" t="inlineStr"/>
      <c r="I104"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act as a Business Program Manager with a strong communications focus, responsible for shaping and executing field\-facing communications that support customer success and leader\-level KPI attainment. You will partner closely with program owners and cross\-functional stakeholders to translate business insights into clear, actionable messaging, scalable communication processes, and measurable campaigns. This role sits at the intersection of strategy, execution, and storytelling, ensuring leaders, managers, and individual contributors stay aligned, informed, and enabled to execute effectively.
**Key Responsibilities** 
* Lead the definition and execution of communication strategies for major business programs in partnership with program owners
* Develop and manage field\-facing communications, including newsletters, emails, leader talking points, meeting materials, and internal announcements
* Own end\-to\-end communications planning, including project plans, timelines, workbacks, and dependencies for large initiatives
* Facilitate rhythm\-of\-business (RoB) communications and support structured, repeatable messaging processes
* Drive stakeholder mapping and engagement to ensure the right audiences receive the right messages at the right time
* Identify and implement new communication techniques, channels, and formats to improve engagement and effectiveness
* Track, analyze, and report on campaign performance, providing insights on trends, outcomes, and opportunities for improvement
* Support message development, writing, editing, and quality assurance to ensure accuracy, consistency, and alignment with business priorities
* Collaborate with sales, product, and program stakeholders to finalize recurring communications such as monthly or annual updates
**Required Qualifications** 
* Proven experience in communications, program management, marketing communications, or a related role
* Strong business writing, editing, and storytelling skills with experience producing executive\-ready content
* Demonstrated ability to manage multiple projects simultaneously and meet deadlines in a fast\-paced, matrixed environment
* Experience working cross\-functionally with stakeholders, subject\-matter experts, and leadership teams
* Ability to analyze campaign or program data and translate insights into actionable recommendations
* Comfortable working independently while maintaining accountability and high execution standards
* Proficiency with Microsoft Office tools, including PowerPoint, Excel, Word, Outlook, and OneNote
**Preferred Qualifications** 
* Bachelor’s degree in communications, marketing, business, or a related field (or equivalent professional experience)
* Extensive experience (10\+ years) supporting communications, enablement, or business programs in large organizations
* Familiarity with internal communications platforms and content management tools
* Working knowledge of collaboration and content\-sharing platforms, including site structures, libraries, and permissions
* Experience supporting sales, enablement, or customer\-facing organizations
* Demonstrated success driving change management or process adoption through communication
**Core Skills \&amp; Competencies** 
* Strategic thinking and audience\-centric communication planning
* Strong stakeholder management and cross\-group collaboration
* Solid project management and execution discipline
* Creative approach to communication that increases engagement and challenges standard formats
* Ability to translate complex business information into clear, concise, and compelling messages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**$100,000 to $110,000 USD annually** 
 .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t>
        </is>
      </c>
    </row>
    <row r="105">
      <c r="A105" t="inlineStr">
        <is>
          <t>li-4362018612</t>
        </is>
      </c>
      <c r="B105" t="inlineStr">
        <is>
          <t>Program Manager III, Demand Planning and Forecasting, Cloud Supply Chain</t>
        </is>
      </c>
      <c r="C105" t="inlineStr">
        <is>
          <t>Google</t>
        </is>
      </c>
      <c r="D105" t="inlineStr">
        <is>
          <t>linkedin</t>
        </is>
      </c>
      <c r="E105" t="inlineStr"/>
      <c r="F105" t="inlineStr"/>
      <c r="G105" t="inlineStr">
        <is>
          <t>Atlanta, GA</t>
        </is>
      </c>
      <c r="H105" t="inlineStr"/>
      <c r="I105" t="inlineStr">
        <is>
          <t>**Minimum qualifications:**
* Bachelor's degree or equivalent practical experience.
* 5 years of experience in program or project management.
* Experience working with Sales and Operations Planning, Demand Planning and Forecasting.
* Experience developing supply chain strategy.
**Preferred qualifications:**
* 5 years of experience managing cross\-functional or cross\-team projects.
* Experience with supply chain in Spares, Demand and Supply Planning, Fulfillment, Inventory and Operations management.
* Excellent organizational skills, with the ability to stay focused and achieve results.
* Excellent communication and people management skills, with the ability to influence across multiple organizational levels.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In this role, you will be responsible for spares planning, execution and driving process improvements in our supply chain. Your skills in the areas of supply chain material planning and fulfillment will be critical for optimizing material and inventory required to sustain the health of massive compute hardware and technology requirements at our global data centers. You will work closely with Material Planning, NPI, Supply Planning, Purchasing, Quality, Engineering, Hardware Operation and Data Center Software teams to develop and oversee the execution of the spares strategies that directly support Google's rapidly growing hardware infrastructure. You will be a key enabler to ensure support of volume ramp of new technology, and ramp down of old technology.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cross\-functional partners to develop and execute spares strategies, analytics and reverse flow processes that enable sustainment of leading edge technology to power our global data centers. Act as a leading team member in the development of spares strategies throughout the product life\-cycle.
* Enable on\-time and predictable delivery of materials to all points of consumption.
* Partner with Finance and Inventory Management to enable cost optimization and awareness through sustaining product transitions, inventory planning and Excess and Obsolescence.
* Partner with our New Product Introduction (NPI) team to ensure seamless production ramp on innovative new technologies into our global data center fleet.
* Contribute to supply chain designs to enable scalable supply chain models in a dynamic product and supply base environment. Enable process improvements and tool development of ongoing evolution of our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6">
      <c r="A106" t="inlineStr">
        <is>
          <t>li-4336646751</t>
        </is>
      </c>
      <c r="B106" t="inlineStr">
        <is>
          <t>Sr. Program Manager, Planning &amp; Automation, Global Fleet and Products Electrification and Infrastructure</t>
        </is>
      </c>
      <c r="C106" t="inlineStr">
        <is>
          <t>Amazon</t>
        </is>
      </c>
      <c r="D106" t="inlineStr">
        <is>
          <t>linkedin</t>
        </is>
      </c>
      <c r="E106" t="inlineStr"/>
      <c r="F106" t="inlineStr"/>
      <c r="G106" t="inlineStr">
        <is>
          <t>Bellevue, WA</t>
        </is>
      </c>
      <c r="H106" t="inlineStr"/>
      <c r="I106" t="inlineStr">
        <is>
          <t>**Description**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A3126463</t>
        </is>
      </c>
    </row>
    <row r="107">
      <c r="A107" t="inlineStr">
        <is>
          <t>li-4342028731</t>
        </is>
      </c>
      <c r="B107" t="inlineStr">
        <is>
          <t>Physical Security Program Manager , DC Security AMER C</t>
        </is>
      </c>
      <c r="C107" t="inlineStr">
        <is>
          <t>Amazon Web Services (AWS)</t>
        </is>
      </c>
      <c r="D107" t="inlineStr">
        <is>
          <t>linkedin</t>
        </is>
      </c>
      <c r="E107" t="inlineStr"/>
      <c r="F107" t="inlineStr"/>
      <c r="G107" t="inlineStr">
        <is>
          <t>Canton, MS</t>
        </is>
      </c>
      <c r="H107" t="inlineStr"/>
      <c r="I107" t="inlineStr">
        <is>
          <t>**Description**
 Amazon Web Services (AWS) and Amazon.com serve customers and developers all over the world who rely on storage, compute, and other services that power Amazon’s consumer, digital and AWS businesses. Our customers trust us to handle their data with air\-tight security. Customer data security is a given and a guarantee for our businesses.
 AWS Infrastructure Physical Security team is looking for a highly talented and motivated Physical Security System Project Manager and Technology Expert to lead physical security projects. This position will be responsible for the management of data center physical security systems and projects. A successful candidate will be responsible for interpretation of Threat Assessments and AWS Physical Security Standards to assure the proper security mitigations are selected to meet the unique challenges in each area. You will be responsible for collaborating with AWS architectural and engineering teams to assure each data center meets the high standards AWS sets for physical security. After implementation, this position will be responsible for assuring local security teams have the technical knowledge and resources necessary to meet the physical security mission.
 \`
* Considered candidates should be at least 18 years old.
* As this is a GovCloud region, selected candidate requires US Citizenship or equivalent status.
 Effective May 15, 2017, logical access to the AWS GovCloud region will be restricted to Amazon employees who are U.S. Citizens. (GovCloud may NOT be accessed from outside of the United States)
 Key job responsibilities
* Manage installation of approved physical security system hardware, including, but not limited to, access control devices, intrusion detection devices, CCTV, and other components of physical security systems.
* Design of physical security system for new construction, expansion and retrofit projects.
* Preparation of security design standards, typical drawings, and technical specification documents for projects for the purposes of pricing by approved vendors. Review and provide quality assurance of vendor quotes. Submission of complete and accurate vendor quote packages to the Infrastructure Technical Project Manager for inclusion in project requisitions.
* Project management of multiple, concurrent security system installation projects and vendors.
* Subject Matter Expert for physical security system testing and acceptance, and assuring operational readiness at project completion.
* Preparation and archiving of project close\-out documentation.
* Reporting vendor performance metrics regarding system installation, service delivery, and equipment availability / reliability.
**About The Team**
 AWS Infrastructure Services (AIS)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High school or equivalent diploma, or Bachelor's degree
* 2\+ years of overseeing security operations and working with security vendors/contractors experience
* Travel up to 25% of the time
* 2\+ years’ experience in physical security project management.
**Preferred Qualifications**
* Bachelor's degree or equivalent
* Experience with CAD software (AutoCAD, REVIT, BIM 360, etc.)
* 4\+ years of design, implementation, support, and evaluation of security\-focused tools and services experience
* Experience working on physical security design and implementation of Access Control/Intrusion Detection and CCTV Surveillance systems
* PSP, CPP, PMP Certification.
* Ability to manage multiple medium and large scale projects that are complex in nature and ability to interpret program objectives, develop project schedules and manage adherence to established timetables.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$72,100/year in our lowest geographic market up to $154,000/year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A3131541</t>
        </is>
      </c>
    </row>
    <row r="108">
      <c r="A108" t="inlineStr">
        <is>
          <t>li-4354181099</t>
        </is>
      </c>
      <c r="B108" t="inlineStr">
        <is>
          <t>Sr. Product Manager - 10938</t>
        </is>
      </c>
      <c r="C108" t="inlineStr">
        <is>
          <t>Coupa</t>
        </is>
      </c>
      <c r="D108" t="inlineStr">
        <is>
          <t>linkedin</t>
        </is>
      </c>
      <c r="E108">
        <f>HYPERLINK("https://www.linkedin.com/jobs/view/4354181099", "https://www.linkedin.com/jobs/view/4354181099")</f>
        <v/>
      </c>
      <c r="F108" t="inlineStr"/>
      <c r="G108" t="inlineStr">
        <is>
          <t>Foster City, CA</t>
        </is>
      </c>
      <c r="H108" t="inlineStr"/>
      <c r="I108" t="inlineStr">
        <is>
          <t>Coupa makes margins multiply through its community\-generated AI and industry\-leading total spend management platform for businesses large and small. Coupa AI is informed by trillions of dollars of direct and indirect spend data across a global network of 10M\+ buyers and suppliers. We empower you with the ability to predict, prescribe, and automate smarter, more profitable business decisions to improve operating margins.
**Why join Coupa?**
 🔹 Pioneering Technology: At Coupa, we're at the forefront of innovation, leveraging the latest technology to empower our customers with greater efficiency and visibility in their spend.
 🔹 Collaborative Culture: We value collaboration and teamwork, and our culture is driven by transparency, openness, and a shared commitment to excellence.
 🔹 Global Impact: Join a company where your work has a global, measurable impact on our clients, the business, and each other.
 Learn more on Life at Coupa blog and hear from our employees about their experiences working at Coupa.
**The Impact of Sr. Product Manager at Coupa:**
 As a Sr. Product Manager for Supply Chain Collaboration, you’ll help us define, build, and launch a new product into the market to enable collaboration between planning teams and direct suppliers to reduce supply chain risks. You sit in the middle of the business community, engineering team, and user experience team and are the voice of the customer. Your responsibilities range from increasing the profitability of existing products to developing new products for the company. You’ll build products from existing ideas, and help develop new and innovative ideas based on your industry experience and contact with customers and prospects. You must possess a unique blend of business and technical savvy, a big\-picture vision, and the drive to make that vision a reality. You must enjoy spending time with customers to understand their pain points and find innovative solutions for the broader market.
**What You'll Do:**
* Drive the vision, roadmap planning and execution of Coupa’s Supply Chain Collaboration product, both short\-term through the next several months in detail, as well as mapping out the next year or two
* Balance innovation, customer, and market needs to deliver delightful, useful, and simple experiences
* Manage the entire product life cycle, including strategy, roadmap, feature design, development, go\-to\-market, and field support
* Work closely with engineering through design, build, test of requirements (stories) and documentation
* Conducting competitive market analysis and analyzing potential partnerships for the product
* Represent the product internally and externally, with occasional global travel and presentations—both internally, and to customers with wide\-ranging user needs and levels of sophistication
**What You Will Bring to Coupa:**
* You have 4\+ years of Product Management experience at the PM or Senior PM level
* You understand the importance and language of UX, and work well with designers to prioritize and drive highly usable, well\-designed solutions with clear UX standards
* You might not know Business Spend Management today, but you’re eager to learn and have a history of quickly mastering complex new areas. You never hesitate to roll up your sleeves and tackle work or questions hands\-on
* You know your market, customers, and competition, and you integrate this information into your product strategies
* You can balance team, company, and external priorities, and make effective and well\-reasoned
* You want to grow a business, solve customer problems and prioritize ruthlessly and logically
 The estimated pay range for this role is $121,000 \- $157,500
 The starting salary for the successful candidate will be based on permissible, non\-discriminatory factors such as skills, experience, and geographic location.
 Coupa complies with relevant laws and regulations regarding equal opportunity and offers a welcoming and inclusive work environment. Decisions related to hiring, compensation, training, or evaluating performance are made fairly, and we provide equal employment opportunities to all qualified candidates and employees.
 Please be advised that inquiries or resumes from recruiters will not be accepted.
 By submitting your application, you acknowledge that you have read Coupa’s Privacy Policy and understand that Coupa receives/collects your application, including your personal data, for the purposes of managing Coupa's ongoing recruitment and placement activities, including for employment purposes in the event of a successful application and for notification of future job opportunities if you did not succeed the first time. You will find more details about how your application is processed, the purposes of processing, and how long we retain your application in our Privacy Policy.</t>
        </is>
      </c>
    </row>
    <row r="109">
      <c r="A109" t="inlineStr">
        <is>
          <t>li-4365101282</t>
        </is>
      </c>
      <c r="B109" t="inlineStr">
        <is>
          <t>Product Manager</t>
        </is>
      </c>
      <c r="C109" t="inlineStr">
        <is>
          <t>ToolsGroup</t>
        </is>
      </c>
      <c r="D109" t="inlineStr">
        <is>
          <t>linkedin</t>
        </is>
      </c>
      <c r="E109">
        <f>HYPERLINK("https://www.linkedin.com/jobs/view/4365101282", "https://www.linkedin.com/jobs/view/4365101282")</f>
        <v/>
      </c>
      <c r="F109" t="inlineStr"/>
      <c r="G109" t="inlineStr"/>
      <c r="H109" t="inlineStr"/>
      <c r="I109" t="inlineStr">
        <is>
          <t>**About ToolsGroup**
 ToolsGroup delivers AI\-powered supply chain and retail planning solutions that help companies forecast demand, optimize inventory, and improve replenishment decisions across complex, multi\-tier networks. We partner with global customers to increase service levels, reduce working capital, and respond faster to volatility—by combining deep domain expertise with advanced analytics and optimization capabilities.
**The Opportunity**
 Retailers live and die by inventory decisions: where to place inventory, when to replenish, how to avoid stockouts without overstock, and how to re\-balance supply when demand shifts. ToolsGroup’s retail inventory capabilities help retailers move from manual, reactive decisions to automated, optimized allocation and replenishment—including the ability to re\-optimize inventory placement across stores and channels to protect margin and availability
 We’re looking for a Product Manager either in the United States or in Turin \- Italy, to own strategy and product planning for our Retail Inventory solutions—covering allocation, replenishment planning, and inventory optimization across a multi\-channel distribution network. You will shape “what and why,” partner tightly with engineering, UX, and data science on “how,” and drive measurable customer and business outcomes.
**What You’ll Do (Responsibilities)**
* Own Strategy \&amp; Product Direction (Outcomes\-first)
* Develop and communicate a clear product strategy and roadmap for Retail Inventory (Allocation \+ Replenishment \+ network inventory optimization), grounded in customer problems, market dynamics, and ToolsGroup’s product vision.
* Define the problems to solve (not just features to ship), align stakeholders on desired outcomes, and ensure delivery focuses on customer value and business impact (adoption, retention, expansion, margin/service improvements).
* Identify and prioritize the highest\-value use cases across omnichannel retail (store/DC/e\-comm), including exception management, automation, and “what\-if” decisioning.
* Lead Continuous Discovery with an Empowered Team
* Partner with engineering and design to run ongoing discovery: customer interviews, workflow mapping (“day\-in\-the\-life”), prototype testing, and data/telemetry review.
* Ensure solutions are valuable, usable, feasible, and viable—and that teams can iterate quickly based on evidence.
* Translate learning into sharp product bets: clear success metrics, hypotheses, rollout plans, and iteration loops.
* Translate Strategy into Roadmaps, Requirements \&amp; Execution
* Convert strategy into a prioritized roadmap/backlog with crisp problem statements, user outcomes, and acceptance criteria; maintain ongoing alignment with cross\-functional stakeholders.
* Collaborate with delivery leaders to ensure the team ships increments that deliver measurable outcomes, not just output.
* Define packaging/positioning inputs for Retail Inventory capabilities, including how allocation and replenishment capabilities are described and sold, ensuring consistency in how customers understand the value.
* Be the Product Expert \&amp; Evangelist (Internal \+ External)
* Act as a subject matter expert for retail inventory planning workflows (allocation, replenishment, inventory balancing) and the data/decision flows behind them.
* Support Sales and customer\-facing teams (pre\-sales, value engineering, implementation, customer success) by translating retailer needs into product direction and enabling successful adoption.
* Partner with Product Marketing on messaging, competitive differentiation, and launch readiness.
**What You Bring (Minimum Qualifications)**
* 3\+ years Product Management experience in retail inventory solutions (allocation, replenishment, MEIO, store/DC planning) or adjacent retail solution space (e.g., OMS, fulfillment, merchandising planning, supply planning) OR
* 5\+ years’ experience as a Retail Planner (e.g., allocation, replenishment, merchandise planning, assortment planning) with strong understanding of retailer pain points, decision processes, and tradeoffs.
**Domain \&amp; Product Skills**
* Working knowledge of allocation and replenishment planning concepts (service levels, lead times, safety stock, presentation minimums, seasonality, constraints, exceptions, network inventory tradeoffs) and how retailers operationalize these decisions.
* Ability to frame problems, prioritize based on evidence, and guide cross\-functional teams through ambiguity to deliver outcomes.
* Strong written and verbal communication skills; comfortable translating between executive narratives and detailed workflows.
* Strong collaboration to align stakeholders without relying on authority, and you build clarity across product, engineering, sales, and customer teams.
* Experience supporting enterprise SaaS go\-to\-market motions: RFPs, solution validation, implementation feedback loops, and enablement.
**Preferred / “Nice To Have”**
* Experience with (or familiarity with) retail planning vendors and domains such as RELEX / Blue Yonder / o9 (or comparable).
* Understanding of Typical technology ecosystems present in a retailer’s enterprise and the data constructs and integration patterns typical.
* Exposure to AI/ML\-driven forecasting/optimization and how probabilistic approaches improve decisioning under uncertainty
 Applying to this job the candidate consents that his/her data are treated by ToolsGroup in compliance with the GDPR n. 2016/679 GDPR and Transparency Document
 U.S. applicant notice: This employer participates in E\-Verify and will provide the federal government with your Form I\-9 information to confirm that you are authorized to work in the U.S. ToolsGroup is CCPA/CPRA compliant.</t>
        </is>
      </c>
    </row>
    <row r="110">
      <c r="A110" t="inlineStr">
        <is>
          <t>li-4365095658</t>
        </is>
      </c>
      <c r="B110" t="inlineStr">
        <is>
          <t>Product Owner</t>
        </is>
      </c>
      <c r="C110" t="inlineStr">
        <is>
          <t>ENow Software</t>
        </is>
      </c>
      <c r="D110" t="inlineStr">
        <is>
          <t>linkedin</t>
        </is>
      </c>
      <c r="E110">
        <f>HYPERLINK("https://www.linkedin.com/jobs/view/4365095658", "https://www.linkedin.com/jobs/view/4365095658")</f>
        <v/>
      </c>
      <c r="F110" t="inlineStr"/>
      <c r="G110" t="inlineStr"/>
      <c r="H110" t="inlineStr"/>
      <c r="I110" t="inlineStr">
        <is>
          <t>**Location:** 
 Remote / Hybrid
**Type:** 
 Full\-Time
**Reports to:** 
 VP of Engineering / Head of Product
 Salary Range: $140K \- $150K
 About ENow
 ENow has been a leader in the Microsoft systems management space for over 20 years with over a hundred enterprise clients including the NBA, NYSE, and BlackRock. We are growing and looking for someone who is passionate about helping our clients maximize the value of our solutions. 
 ENow protects and optimizes Microsoft 365, Microsoft Copilot, and Microsoft Entra, by empowering the Modern Workplace Leader with a single platform that drives outcomes for Adoption, Governance, Monitoring, License Optimization, and Entra ID Application Governance. 
 Trusted by some of the world’s largest enterprises, ENow delivers deep visibility and actionable insights that help organizations reduce risk, improve performance, and ensure secure, reliable access to critical Microsoft systems. We are a growing, customer\-obsessed team of technologists and problem\-solvers who believe long\-term success is built by delivering real, measurable outcomes for our customers. 
 About the Role
 We are seeking an experienced
 **Product Owner** 
 to help drive clarity, focus, and execution across our Microsoft 365 product portfolio, including monitoring, reporting, governance, and adoption solutions. This role sits at the intersection of customers, engineering, support, and leadership, translating real\-world customer problems into clear, actionable product requirements.
 This is a hands\-on role for someone who enjoys working close to the product, customers, and engineering, and who thrives in an environment where ownership matters more than titles.
 Key Responsibilities
**Product Ownership \&amp; Execution** 
* Own and maintain the product backlog across the ENow suite of products
* Write clear, concise Epics, Features, and User Stories with strong acceptance criteria
* Ensure backlog is prioritized, groomed, and ready to support a 60\-day development horizon
* Partner with Engineering to estimate, scope, and sequence work
* Act as a decision\-maker on scope and trade\-offs during development
**Customer \&amp; Market Alignment** 
* Gather input from customers, support, sales, and implementation to identify pain points and opportunities
* Translate customer challenges into practical, high\-value solutions
* Validate requirements through customer conversations, support data, and usage insights
* Help balance enterprise customer needs with scalable product design
**Collaboration \&amp; Communication** 
* Serve as a bridge between Engineering, Support, Sales, and Leadership
* Participate in sprint planning, backlog refinement, demos, and retrospectives
* Clearly communicate what is being built, why, and when
* Support pre\-sales and demo readiness by ensuring consistent functionality and data
* Periodically deliver product demos and technical walkthroughs to prospects and partners
* Support Sales by explaining product capabilities, use cases, and value propositions
**Product Quality \&amp; Outcomes** 
* Define success criteria for features
* Ensure features align with security, compliance, and least\-privileged access principles
* Review beta deployments to validate that delivered functionality meets expectations
* Continuously refine features based on feedback and real\-world usage
 What Success Looks Like (First 6–12 Months)
 * Engineering consistently has a clear, prioritized backlog
* Fewer requirement\-driven reworks and mid\-sprint changes
* Improved alignment between customer needs and delivered features
* More confident demos and sales conversations
* Tangible improvements in customer outcomes (e.g. Better governance posture)
 QualificationsRequired:
 * 5\+ years of experience as a Product Owner, Business Analyst, or similar role
* Experience working with Agile / Scrum teams
* Strong ability to write clear requirements and acceptance criteria
* Comfortable working closely with developers and technical stakeholders
* Experience in SaaS or enterprise software environments
* Excellent communication and prioritization skills
* Proficient with Microsoft 365, Entra ID (Azure AD), Exchange, Teams, SharePoint, or Power Platform
 Preferred:
 * Experience with monitoring, security, governance, or analytics products
* Understanding of enterprise IT environments and admin workflows
* Experience in a small company or startup environment
* Exposure to tools like Azure DevOps, Aha, Confluence, or similar
 Compensation \&amp; Incentives
 The salary range for this role is $140,000 \- $150,000\. ENow offers a competitive total rewards package which includes base salary and a comprehensive benefits \&amp; perks package. Exact compensation is determined based on a number of factors including experience, skill level, location, and qualifications which are assessed during the interview process. Additional details about total compensation and benefits will be provided by our Recruiting Team during the hiring process. In addition to the salary range listed, this role offers a meaningful, performance\-based variable component. A significant portion of total compensation (up to 25%) is tied to measurable outcomes.
 Why Join Us?
 * Fully remote role with flexibility and autonomy
* High\-impact position with direct influence on product direction and customer outcomes
* Opportunity to help shape the future of M365 monitoring and governance
* Close collaboration with leadership and engineering
* Flexible environment where ownership and initiative matter
* A team that values clarity, accountability, and practical execution
* Competitive compensation with strong upside for performance
* Collaborative, customer\-first culture in a growing SaaS company
* Competitive benefits package (Health, Dental, Vision) and Flexible Spending Account (FSA)
* 3 weeks of PTO!
* 401K</t>
        </is>
      </c>
    </row>
    <row r="111">
      <c r="A111" t="inlineStr">
        <is>
          <t>li-4362171819</t>
        </is>
      </c>
      <c r="B111" t="inlineStr">
        <is>
          <t>Product Manager</t>
        </is>
      </c>
      <c r="C111" t="inlineStr">
        <is>
          <t>Visibly</t>
        </is>
      </c>
      <c r="D111" t="inlineStr">
        <is>
          <t>linkedin</t>
        </is>
      </c>
      <c r="E111">
        <f>HYPERLINK("https://www.linkedin.com/jobs/view/4362171819", "https://www.linkedin.com/jobs/view/4362171819")</f>
        <v/>
      </c>
      <c r="F111" t="inlineStr"/>
      <c r="G111" t="inlineStr">
        <is>
          <t>Chicago, IL</t>
        </is>
      </c>
      <c r="H111" t="inlineStr"/>
      <c r="I111" t="inlineStr">
        <is>
          <t>**The Opportunity** 
 As a
 **Product Manager** 
 at Visibly, you will be at the center of our innovation, driving the creation of features and functionality for our suite of Digital Vision Solutions. This is a dynamic, hands\-on role for a product leader who can seamlessly switch between high\-level strategy and tactical execution. You will own the product lifecycle from end to end, from defining the roadmap and leading client implementations to working side\-by\-side with engineering. We are looking for a versatile and proactive individual who can create market\-changing services while being highly responsive to our customers and the competitive landscape.
 What You’ll Do
* **Own the Product Lifecycle:** 
 Manage all elements of the product lifecycle, including ideation, requirements definition, user story creation, testing and analysis, go\-to\-market strategy, and ongoing product support.
* **Define Product Strategy:** 
 Develop and maintain product roadmaps, proactively identify market\-changing opportunities, and translate business strategy into tangible product features.
* **Lead Implementations:** 
 Act as a key point of contact for clients, leading implementation projects and ensuring that customer needs are successfully translated into our product.
* **Collaborate with Engineering:** 
 Work closely with the development team within their SDLC, participating in sprint planning, backlog grooming, and ensuring requirements are clearly understood and executed.
* **Be the Voice of the Customer:** 
 Engage with clients and internal stakeholders to gather feedback, understand pain points, and champion data\-driven solutions that meet market demands.
 What We’re Looking For
* 4\+ years of experience in product management
* 2\+ years of experience building or working with API integrations
* 4\+ years of customer\-facing implementation/consulting experience or equivalent
* **Priority Management:** 
 Proven ability to work on and track multiple projects simultaneously, balancing long\-term strategy against immediate tactical execution.
* **Technical Skills:** 
 Strong analytic and data\-driven decision\-making skills, with experience in SQL, statistical modeling, or similar data analysis tools.
* **Documentation Skills:** 
 Strong documentation skills, translating business insights to product requirements for engineering teams
* **Communication:** 
 Excellent written, verbal, and oral presentation skills, with the ability to collaborate effectively with engineering, design, marketing, and the executive team.
**Bonus:** 
* UI/UX research and/or design
* Engineering, development, consulting, sales, or marketing
* Regulated industries (healthcare, banking/finance/insurance, etc)
 Benefits
* **Salary Range:** 
 $120,000\.00 \- $150,000\.00 Annual
* Bonuses based on company performance
* **Health Insurance:** 
 Medical, dental, and vision coverage
* **Retirement:** 
 401(k) plan
* **Flexible PTO:** 
 Generous and flexible vacation policy
* **Remote\-First:** 
 100% remote work environment, with travel 1\-2 times per quarter
* Please note, while this is a fully remote position based in the US, candidates must have substantial overlapping availability during core working hours (
 **8AM\-5PM CT** 
 ).
**Sponsorship Unavailable:** 
 Visibly is unable to provide sponsorship or transfer any kind of Visa at this time.</t>
        </is>
      </c>
    </row>
    <row r="112">
      <c r="A112" t="inlineStr">
        <is>
          <t>li-4362153337</t>
        </is>
      </c>
      <c r="B112" t="inlineStr">
        <is>
          <t>Product Manager</t>
        </is>
      </c>
      <c r="C112" t="inlineStr">
        <is>
          <t>Skylight</t>
        </is>
      </c>
      <c r="D112" t="inlineStr">
        <is>
          <t>linkedin</t>
        </is>
      </c>
      <c r="E112">
        <f>HYPERLINK("https://www.linkedin.com/jobs/view/4362153337", "https://www.linkedin.com/jobs/view/4362153337")</f>
        <v/>
      </c>
      <c r="F112" t="inlineStr"/>
      <c r="G112" t="inlineStr"/>
      <c r="H112" t="inlineStr"/>
      <c r="I112" t="inlineStr">
        <is>
          <t>Skylight is a digital consultancy using design and technology to help government agencies deliver better public services. We’re at the forefront of a civic movement to reinvent how all levels of government serve families, patients, and many others in today's digital world.
 If you want to play a part in driving this critical movement forward, we’d love for you to join our growing team of public interest technologists. The work we do matters.
**About the job** 
 At Skylight, product managers are responsible for strategy, planning, execution, stakeholder management, and team health. Product managers partner with researchers, designers, engineers, client stakeholders, and others to inform their product decisions. At a high level, it’s the product manager’s job to figure out what to build next and why.
 As a Product Manager supporting ACF’s grants management systems, you will partner closely with senior leadership, grants management staff, and technical teams to help translate strategy, policy, and operational needs into delivered system improvements across ACF’s grants management tool suite.
**What you’ll do** 
* Lead a cross\-functional team of researchers, designers, engineers, and subject matter experts to build and ship high\-impact products and services
* Translate needs from users and government partners into a product strategy, including vision, objectives, measures of success, product roadmap, and product backlog
* Manage the direction, scope, and priorities of the product initiative, building from user research to minimum viable products to scalable solutions
* Write user stories, prioritize stories, and build release plans
* Facilitate team ceremonies such as planning meetings, stakeholder syncs, and retrospectives
* Draw on data and feedback to inform the product strategy and roadmap
* Work in close partnership with government teams to transfer digital skills and product knowledge throughout the course of the project
* Creatively navigate bureaucratic challenges, paving the way for more intuitive processes in the future
* Collaborate with government partners to ensure compatibility with existing processes and technologies
**Minimum qualifications** 
* Understand lean product principles and how to apply them (e.g., minimum viable product) at various stages of the product life cycle in order to mitigate risk, validate assumptions, and amplify learning
* Can develop a product strategy that is informed by an understanding of the problem to be solved, prioritizes outcomes over feature sets, and establishes the direction of the product over time (e.g., product roadmap), including success criteria
* Ability to execute the product strategy by breaking down the product’s scope into usable chunks of value that can be realized sooner rather than later, creating and maintaining a prioritized backlog with validated user stories, and facilitating team ceremonies over the course of the product’s iterations
* Understand how to engage in the process of human\-centered design in order to better inform product direction
* Ability to collaborate with folks outside of your discipline, such as researchers, designers, engineers, and others, in order to get things done
* Ability to manage clients and stakeholders in a way that builds trust, alignment, and healthy environments for individuals and teams
* Understand the merits of different software development methodologies (e.g., agile, lean) and how to put them into practice
* Past experience embedding with a client to discover, recommend, and build more efficient and sustainable data systems and operational processes that support service delivery.
* Experience product managing core operational data products, including a strong understanding of data pipelines, data warehousing, and underlying infrastructure.
* Demonstrated comfort translating ambiguous or evolving needs into clear, actionable requirements in partnership with policy experts and data engineers.
* Comfort defining and working with data schemas, API specifications, and data delivery formats.
* Ability to work successfully within a professional services environment (e.g., can communicate effectively with clients)
* A passion for creating better public outcomes through great government services
* A mindset and work approach that aligns with
 our core values
**Nice\-to\-have qualifications** 
* Prior experience and familiarity with Palantir Foundry
* Understanding of core AI/ML concepts, with the ability to identify and evaluate opportunities where generative AI can deliver meaningful product or operational value.
* Prior experience working in the civic tech space
* Experience working in a remote\-team environment
**Other requirements** 
* All work must be conducted within the U.S., excluding U.S. territories. Some federal contracts require U.S. citizenship to be eligible for employment.
* You must be legally authorized to work in the U.S. now and in the future without sponsorship.
* As a government contractor, you may be required to obtain a public trust or security clearance.
* You are required to complete a company background check successfully.
* Some of our available roles are on federal contracts that require a degree or additional years of experience as a substitute.
**Position type** 
 This is a full\-time, exempt position.
**Location** 
 This role is on\-site in Washington, DC, five days per week. A relocation incentive of up to $10,000 is available.
**Salary** 
 We want to give you the most competitive salary possible. After all, you deserve it! To that end, we use the results of our interview process to determine what salary is most appropriate given your current level of seniority. For a Product Manager at Skylight, the current salary ranges are as follows:
* Associate Product Manager: $90,000–$125,000
* Product Manager I: $120,000–$140,000
* Product Manager II: $135,000–$160,000
* Senior Product Manager: $150,000–$185,000
* Staff Product Manager: $170,000–$203,000
* Principal Product Manager: $180,000–$230,000
**Benefits** 
 Your well\-being is important to us, so we focus on supporting you in a variety of ways:
* Medical insurance, dental insurance, vision insurance
* Short\-term and long\-term disability insurance
* Life and AD\&amp;D insurance
* Dependent care FSA, healthcare FSA, health savings account
* Dollar\-for\-dollar 401(k) match up to 10% of your salary with no vesting period
* Flexible paid\-time\-off policy (generally around 25 days per year), plus 11 paid federal holidays
* Up to 12 weeks paid\-time\-off for all eligible new birth, adoption, or foster parents
* Performance rewards, including annual salary increase, annual performance bonus, spot bonuses, and stock options
* Business development / sales bonuses
* Referral bonuses
* Annual $2,000 allowance for professional development
* Annual $750 allowance for tech\-related purchases
* Annual swag budget of $100 to display your Skylight pride with some merchandise (hoodies, hats, and more)
* Dollar\-for\-dollar charity donation matching, up to $500 per year
* Flexible, remote\-friendly work environment
* An environment that empowers you to unleash your superpowers for public good
*We participate in E\-Verify and upon hire, will provide the federal government with your Form I\-9 information to confirm that you’re authorized to work in the U.S.* 
*We are an Equal Opportunity Employer. All qualified applicants will receive consideration for employment without regard to race, color, national origin, sex, religion, age, disability, veteran status, or any other category protected by applicable law.*</t>
        </is>
      </c>
    </row>
    <row r="113">
      <c r="A113" t="inlineStr">
        <is>
          <t>li-4365160416</t>
        </is>
      </c>
      <c r="B113" t="inlineStr">
        <is>
          <t>Senior Product Manager, Payments</t>
        </is>
      </c>
      <c r="C113" t="inlineStr">
        <is>
          <t>Coinme</t>
        </is>
      </c>
      <c r="D113" t="inlineStr">
        <is>
          <t>linkedin</t>
        </is>
      </c>
      <c r="E113">
        <f>HYPERLINK("https://www.linkedin.com/jobs/view/4365160416", "https://www.linkedin.com/jobs/view/4365160416")</f>
        <v/>
      </c>
      <c r="F113" t="inlineStr"/>
      <c r="G113" t="inlineStr">
        <is>
          <t>Jersey City, NJ</t>
        </is>
      </c>
      <c r="H113" t="inlineStr"/>
      <c r="I113" t="inlineStr">
        <is>
          <t>At Coinme, we're redefining access to financial services in a digital world. By combining the cutting\-edge power of blockchain technology with everyday simplicity, we make digital currencies accessible and usable for all.
 As the world's largest network of cryptocurrency kiosks with over 40,000 locations nationwide, we're breaking down barriers to crypto adoption through our seamless mobile app, secure digital wallet, and DeFi integrations. Beyond our consumer offerings, we're also the infrastructure powering the crypto revolution for businesses.
 Through our enterprise Crypto\-as\-a\-Service (CaaS) platform, we enable businesses to launch crypto capabilities in weeks, not months. Our modular, API\-first infrastructure provides everything from KYC and payment processing to liquidity and custody solutions—all fully licensed and compliant.
 We're big enough to lead the charge in decentralized finance but small enough that your ideas will make waves. Every role at Coinme contributes to building a financial future where everyone has the tools to thrive. At Coinme, your growth fuels our mission. Together, we RISE.
 Senior Product Manager
 We're seeking a Senior Product Manager to own and revolutionize our entire payments infrastructure. This is a critical role where you'll architect the backbone of how users move between fiat and crypto seamlessly. You'll tackle complex challenges around card processing optimization, regulatory compliance, fraud prevention, and conversion rate maximization—all while building the most reliable payments experience in crypto.
**Key Responsibilities**
* Own the end\-to\-end payments infrastructure strategy, from card processing to settlement, ensuring industry\-leading reliability and conversion rates
* Design and implement payment flows that navigate complex processor relationships, banking rails, and regulatory requirements
* Drive aggressive conversion rate optimization initiatives through data\-driven experimentation and technical innovation
* Build sophisticated fraud detection and prevention systems that protect revenue while maintaining frictionless user experiences
* Partner with engineering to architect scalable payment systems that handle millions of transactions across multiple payment methods
* Navigate complex compliance requirements (PCI\-DSS, AML/KYC) to build products that meet regulatory standards without sacrificing user experience
* Establish and maintain relationships with payment processors, banks, and card networks to optimize rates and expand capabilities
* Create detailed PRDs covering edge cases, failure scenarios, and recovery mechanisms for mission\-critical payment flows
* Monitor and analyze payment metrics to identify opportunities for revenue optimization and cost reduction
* Lead cross\-functional initiatives with compliance, legal, risk, and fraud teams to ensure comprehensive payment protection
**Qualifications**
* 7\+ years of product management experience with at least 4\+ years focused on payments infrastructure
* Deep technical understanding of card processing ecosystems, including processors, acquirers, issuers, and card networks
* Proven track record of building compliant, regulated financial products at scale
* Expert knowledge of payment optimization techniques, including retry logic, routing strategies, and decline recovery
* Experience implementing fraud prevention systems and managing chargeback programs
* Strong analytical skills with the ability to derive insights from complex payment data
* Technical depth to collaborate effectively with engineering on system architecture and API design
* Experience working with compliance teams on PCI\-DSS, AML, and other regulatory requirements
* Track record of maximizing payment conversion rates and reducing payment failures
* Excellent stakeholder management skills with ability to influence across all levels of organization
**Nice to Have**
* Experience with crypto payment rails and blockchain\-based settlement systems
* Knowledge of alternative payment methods (cash, ACH, wire transfers, digital wallets)
* Background in high\-risk payment processing or money transmission
* Experience with payment orchestration platforms and multi\-processor strategies
* Understanding of global payment systems and cross\-border transaction complexities
* Familiarity with payment industry standards and emerging regulations
**Check out our AI Usage Guidelines to understand how we approach AI tools during the hiring process.**</t>
        </is>
      </c>
    </row>
    <row r="114">
      <c r="A114" t="inlineStr">
        <is>
          <t>li-4362540296</t>
        </is>
      </c>
      <c r="B114" t="inlineStr">
        <is>
          <t>Product Manager/ Sr. Product Manager, App Store Experience</t>
        </is>
      </c>
      <c r="C114" t="inlineStr">
        <is>
          <t>Apple</t>
        </is>
      </c>
      <c r="D114" t="inlineStr">
        <is>
          <t>linkedin</t>
        </is>
      </c>
      <c r="E114">
        <f>HYPERLINK("https://www.linkedin.com/jobs/view/4362540296", "https://www.linkedin.com/jobs/view/4362540296")</f>
        <v/>
      </c>
      <c r="F114">
        <f>HYPERLINK("https://jobs.apple.com/en-us/details/200613326?board_id=17682&amp;urlHash=HGbO", "https://jobs.apple.com/en-us/details/200613326?board_id=17682&amp;urlHash=HGbO")</f>
        <v/>
      </c>
      <c r="G114" t="inlineStr">
        <is>
          <t>Cupertino, CA</t>
        </is>
      </c>
      <c r="H114" t="inlineStr"/>
      <c r="I114" t="inlineStr">
        <is>
          <t>**Summary**
 The App Store is the world's safest and most vibrant app marketplace, serving more than half a billion people each week! Since the App Store launched in 2008, it has helped creators, dreamers, and learners of all ages and backgrounds connect with the tools and information they need to build a brighter future and a better world. It has enabled countless new companies, spawned new industries and created millions of jobs. A significant driver of the global economy, the App Store facilitated over a $1 trillion in developer billings and sales in 2022 alone, rewarding developers and entrepreneurs for their hard work and creativity. And we believe we’re just getting started!
 We’re seeking a hardworking, experienced and driven Product Manager/ Sr. Product Manager who will own the end\-to\-end discovery experience across the App Store. You will focus on building intuitive, engaging, and personalized experiences that help users find the best apps while driving meaningful engagement and growth. Ideal candidates bring deep consumer product experience, strong cross\-functional leadership, and the ability to turn insights into scalable, user\-facing solutions.
**Description**
 Define, deliver, market, and measure consumer\-focused discovery experiences on the App Store across all our platforms \- iOS, iPadOS, macOS, watchOS, tvOS and visionOS.
 Partner closely with design, engineering, editorial, and business teams to define features, optimize surfaces, and scale growth strategies. From opportunity identification to outcome definition, you’ll lead with a customer\-centric mindset and deliver features that improve how apps are surfaced, recommended, and communicated across the App Store.
 Define and continuously improve the App Store discovery experience across browse and search tabs, focusing on personalization, simplicity, performance, and customer delight, and driven by a hypothesis\-led approach using A/B testing, user research, and behavioral data to iterate and optimize outcomes.
 Use customer feedback, user research, competitive analysis, and product metrics to identify key opportunities and guide product prioritization.
 Implement the product vision and strategy, including leading the feature definition process, prioritizing features, and shaping how they are introduced to the public across communication channels.
 Collaborate with different cross\-functional teams to form policies and practices that uphold privacy, trust, safety, and AI principles to deliver a premium user experience.
**Minimum Qualifications**
* 12\+ years of experience in customer\-facing UX, including at least 5\+ years in product management and managing complex software projects with multiple collaborators and organizations.
* Strong track record delivering delightful, intuitive digital consumer products at scale, ideally with complex content discovery and search components.
**Preferred Qualifications**
* Expert storytelling and Keynote presentation skills with the ability to effectively communicate both big picture vision and detailed product specs.
* Exceptional interpersonal skills; thrives in highly collaborative projects, effective at building consensus, handles decisions with ease, and has the ability to navigate ambiguity.
* Experience working closely and collaboratively with both design and engineering partners.
* Strong analytical skills and ability to identify key opportunities and measure impact to drive improved user experiences.
* Proven track record of collaborating with machine learning experts to define and assess critical metrics.
* Extraordinary oral and written communication skills; ability to become fluent in technical concepts and explain to executives and non\-technical partners.
* BA/BS in Computer Science/other similar technical degree, or equivalent relevant professional experience.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15">
      <c r="A115" t="inlineStr">
        <is>
          <t>li-4365159470</t>
        </is>
      </c>
      <c r="B115" t="inlineStr">
        <is>
          <t>Senior/Lead Product Manager, Agentic AI Platform</t>
        </is>
      </c>
      <c r="C115" t="inlineStr">
        <is>
          <t>Qventus, Inc</t>
        </is>
      </c>
      <c r="D115" t="inlineStr">
        <is>
          <t>linkedin</t>
        </is>
      </c>
      <c r="E115">
        <f>HYPERLINK("https://www.linkedin.com/jobs/view/4365159470", "https://www.linkedin.com/jobs/view/4365159470")</f>
        <v/>
      </c>
      <c r="F115" t="inlineStr"/>
      <c r="G115" t="inlineStr"/>
      <c r="H115" t="inlineStr"/>
      <c r="I115"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We’re looking for a Senior/Lead Product Manager to own the strategy, roadmap, and development for our Agentic AI platform. You will help advance our AI Operational Assistant Studio which allows rapid development of agentic AI solutions. You will be the product management partner for our agentic AI engineering team. The scope of this role is expansive, as we build toward our “Platform as a Service” vision.
**Responsibilities**
* Set strategy, determine roadmap, and manage prioritization for our platform capabilities, working closely with our agentic AI engineering team
* Work cross\-functionally across the company to facilitate the end\-to\-end product lifecycle for development of platform capabilities
* Enhance and expand our AI voice \&amp; conversational AI capability suite
* Build toward a direct Platform\-as\-a\-Service offering for our customers to be able to extend our solutions over time
**Requirements And Qualifications**
* Mastery of navigating enterprise SaaS platform capabilities through the full product lifecycle, with a track record of rapidly shipping impactful products is required.
* Required minimum of at least 5 years of experience in product management, with a proven track record of shipping impactful enterprise SaaS products.
* Technical background in hands\-on engineering, data, or analytics required.
* Experience working with large language models and agentic AI.
* Proven track record of collaboration across all functions in an enterprise SaaS healthcare technology business (engineering, professional services, clinical operations, etc.).
* Ability and desire to span altitudes from vision/evangelism to “getting into the weeds” with high attention to detail and strong organizational skills.
* Willingness to “roll up your sleeves” and pitch in / fill in gaps when a team needs help
 Compensation for this role is based on market data and takes into account a variety of factors, including location, skills, qualifications, and prior relevant experience. Salary is just one part of the total rewards package at Qventus. We also offer a range of benefits and perks, including Open Paid Time Off, paid parental leave, professional development, wellness and technology stipends, a generous employee referral bonus, and employee stock option awards.
 Salary Range: $160,000 USD \- $200,000 USD
 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
 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
* Benefits and perks are subject to plan documents and may change at the company's discretion.
* Employment is contingent upon the satisfactory completion of our pre\-employment background investigation and drug test.</t>
        </is>
      </c>
    </row>
    <row r="116">
      <c r="A116" t="inlineStr">
        <is>
          <t>li-4361181795</t>
        </is>
      </c>
      <c r="B116" t="inlineStr">
        <is>
          <t>Product Manager I, RCS for Business</t>
        </is>
      </c>
      <c r="C116" t="inlineStr">
        <is>
          <t>Google</t>
        </is>
      </c>
      <c r="D116" t="inlineStr">
        <is>
          <t>linkedin</t>
        </is>
      </c>
      <c r="E116">
        <f>HYPERLINK("https://www.linkedin.com/jobs/view/4361181795", "https://www.linkedin.com/jobs/view/4361181795")</f>
        <v/>
      </c>
      <c r="F116">
        <f>HYPERLINK("https://careers.google.com/jobs/results/142065652989862598-product-manager-i/?src=Online/LinkedIn/linkedin_us&amp;utm_source=linkedin&amp;utm_medium=jobposting&amp;utm_campaign=contract&amp;urlHash=ig3-", "https://careers.google.com/jobs/results/142065652989862598-product-manager-i/?src=Online/LinkedIn/linkedin_us&amp;utm_source=linkedin&amp;utm_medium=jobposting&amp;utm_campaign=contract&amp;urlHash=ig3-")</f>
        <v/>
      </c>
      <c r="G116" t="inlineStr">
        <is>
          <t>San Francisco, CA</t>
        </is>
      </c>
      <c r="H116" t="inlineStr"/>
      <c r="I11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
 **Minimum qualifications:**
* Bachelor's degree or equivalent practical experience.
* 3 years of experience in product management or a related technical role.
* 1 year of experience taking technical products from conception to launch (e.g., ideation to execution, end\-to\-end, 0 to 1, etc).
**Preferred qualifications:**
* Master's degree in a technology or business related field.
* 2 years of experience working cross\-functionally with Engineering, UX/UI, Sales, Finance, and other key stakeholders.
* 2 years of experience in a business function or role (e.g., marketing, business operations, consulting).
* 2 years of experience in a role preparing and delivering technical presentations to executive leadership.
* 1 year of experience in software development or engineering.
* Knowledge of, or continued interest in building accessibility best practices, and curiosity for incorporating accessibility into product development methodologies.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Rich Communication Services (RCS) for business is a new product and is growing quickly. You will be joining a fast\-moving environment where new discoveries are frequent and require constant adaptation.
 In this role, you will develop product solutions for issues impacting both Google and the broader messaging ecosystem.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PRD (Product Requirements Document) execution by collaborating with cross\-functional partners including Engineering, Program Managers, and UX throughout the design and development life\-cycle.
* Contribute to the development of a highly engaging and secure business messaging platform.
* Identify high\-impact opportunities for Google and the RCS ecosystem in areas such as AI\-powered agents, conversational design, commerce, trust and safety, and personalized brand engagement.
* Identify the highest impact opportunities both for Google and the entire RCS ecosystem, related to AI\-powered agents, conversational design, commerce, trust and safety, personalized brand engagement, or other areas.
* Facilitate product launches, maintenance, and retirement in close collaboration with cross\-functional teams and external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7">
      <c r="A117" t="inlineStr">
        <is>
          <t>li-4361231801</t>
        </is>
      </c>
      <c r="B117" t="inlineStr">
        <is>
          <t>Product Manager I, RCS for Business</t>
        </is>
      </c>
      <c r="C117" t="inlineStr">
        <is>
          <t>Google</t>
        </is>
      </c>
      <c r="D117" t="inlineStr">
        <is>
          <t>linkedin</t>
        </is>
      </c>
      <c r="E117">
        <f>HYPERLINK("https://www.linkedin.com/jobs/view/4361231801", "https://www.linkedin.com/jobs/view/4361231801")</f>
        <v/>
      </c>
      <c r="F117" t="inlineStr"/>
      <c r="G117" t="inlineStr">
        <is>
          <t>San Jose, CA</t>
        </is>
      </c>
      <c r="H117" t="inlineStr"/>
      <c r="I11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
 **Minimum qualifications:**
* Bachelor's degree or equivalent practical experience.
* 3 years of experience in product management or a related technical role.
* 1 year of experience taking technical products from conception to launch (e.g., ideation to execution, end\-to\-end, 0 to 1, etc).
**Preferred qualifications:**
* Master's degree in a technology or business related field.
* 2 years of experience working cross\-functionally with Engineering, UX/UI, Sales, Finance, and other key stakeholders.
* 2 years of experience in a business function or role (e.g., marketing, business operations, consulting).
* 2 years of experience in a role preparing and delivering technical presentations to executive leadership.
* 1 year of experience in software development or engineering.
* Knowledge of, or continued interest in building accessibility best practices, and curiosity for incorporating accessibility into product development methodologies.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Rich Communication Services (RCS) for business is a new product and is growing quickly. You will be joining a fast\-moving environment where new discoveries are frequent and require constant adaptation.
 In this role, you will develop product solutions for issues impacting both Google and the broader messaging ecosystem.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PRD (Product Requirements Document) execution by collaborating with cross\-functional partners including Engineering, Program Managers, and UX throughout the design and development life\-cycle.
* Contribute to the development of a highly engaging and secure business messaging platform.
* Identify high\-impact opportunities for Google and the RCS ecosystem in areas such as AI\-powered agents, conversational design, commerce, trust and safety, and personalized brand engagement.
* Identify the highest impact opportunities both for Google and the entire RCS ecosystem, related to AI\-powered agents, conversational design, commerce, trust and safety, personalized brand engagement, or other areas.
* Facilitate product launches, maintenance, and retirement in close collaboration with cross\-functional teams and external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8">
      <c r="A118" t="inlineStr">
        <is>
          <t>li-4354281737</t>
        </is>
      </c>
      <c r="B118" t="inlineStr">
        <is>
          <t>Technical Product Manager - GenAI Healthcare</t>
        </is>
      </c>
      <c r="C118" t="inlineStr">
        <is>
          <t>Qualified Health</t>
        </is>
      </c>
      <c r="D118" t="inlineStr">
        <is>
          <t>linkedin</t>
        </is>
      </c>
      <c r="E118">
        <f>HYPERLINK("https://www.linkedin.com/jobs/view/4354281737", "https://www.linkedin.com/jobs/view/4354281737")</f>
        <v/>
      </c>
      <c r="F118" t="inlineStr"/>
      <c r="G118" t="inlineStr">
        <is>
          <t>Palo Alto, CA</t>
        </is>
      </c>
      <c r="H118" t="inlineStr"/>
      <c r="I118" t="inlineStr">
        <is>
          <t>**Transform healthcare with us.**
 At Qualified Health, we’re redefining what’s possible with Generative AI in healthcare. Our infrastructure provides the guardrails for safe AI governance, healthcare\-specific agent creation, and real\-time algorithm monitoring—working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Qualified Health is seeking a Technical Product Manager to help us build and scale GenAI\-powered solutions for health systems. You'll work at the intersection of cutting\-edge AI technology and real\-world healthcare challenges, translating complex technical capabilities into products that meaningfully improve patient care and operational efficiency.
**Key Responsibilities:**
* Own and manage product roadmap and strategy for our GenAI healthcare solutions, balancing customer needs, technical feasibility, and business priorities
* Work closely with design and engineering teams to define requirements, prioritize features, and ship products that meet the unique compliance and security needs of health systems
* Define success metrics and use data to drive product decisions and iterations
* Partner with sales and customer success to support deals, gather feedback, and ensure successful implementations
* Stay on top of GenAI advancements and identify opportunities to leverage new capabilities for healthcare use cases
* Create clear product specs, user stories, and documentation that help engineering teams build the right thing
* Navigate the complexities of healthcare regulations (HIPAA, data privacy, clinical safety) and ensure our products meet industry standards
* Within the first 12 months success will be measured across the following areas:
+ Shipping features and products that customers actually use and love
+ Building strong relationships with customer success, design and engineering teams and being a trusted partner in delivery
+ Making data\-driven decisions that move key product and business metrics
+ Balancing speed with quality in a startup environment where timelines matter
**Required Qualifications:**
* Bachelors Degree in Engineering, Computer Science, Business or a related field
* 5\+ years of product management experience, preferably with 2\+ years in B2B SaaS or healthcare technology
* Strong technical background \- you should be comfortable discussing AI/ML concepts, APIs, data pipelines, and system architecture with engineers
* Experience shipping products in regulated environments (healthcare, finance, or similar) is a big plus
* Track record of working collaboratively with customer success, design and engineering teams in fast\-paced environments and delivering to tight timelines
* Ability to break down complex problems, prioritize ruthlessly, and ship incrementally
* Excellent communication skills \- you can explain technical concepts to non\-technical stakeholders and vice versa
* Customer\-obsessed mindset with experience gathering requirements and validating solutions with users
* Comfort with ambiguity and ability to make decisions with incomplete information
* Able to work onsite in Palo Alto 3 days/week
* Bonus: Understanding of healthcare operations,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$160,000 and $210,000, and will depend on your skills, qualifications, experience, and location. This role is also eligible for equity and benefits.
***Join our mission to revolutionize healthcare with AI.***
 To apply, please send your resume through the application below.</t>
        </is>
      </c>
    </row>
    <row r="119">
      <c r="A119" t="inlineStr">
        <is>
          <t>li-4362125074</t>
        </is>
      </c>
      <c r="B119" t="inlineStr">
        <is>
          <t>Senior Product Manager, Blockchain Payments</t>
        </is>
      </c>
      <c r="C119" t="inlineStr">
        <is>
          <t>Ripple</t>
        </is>
      </c>
      <c r="D119" t="inlineStr">
        <is>
          <t>linkedin</t>
        </is>
      </c>
      <c r="E119">
        <f>HYPERLINK("https://www.linkedin.com/jobs/view/4362125074", "https://www.linkedin.com/jobs/view/4362125074")</f>
        <v/>
      </c>
      <c r="F119" t="inlineStr"/>
      <c r="G119" t="inlineStr">
        <is>
          <t>San Francisco, CA</t>
        </is>
      </c>
      <c r="H119" t="inlineStr"/>
      <c r="I119"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We’re looking for a Product Manager for Onchain Payments to use the power of decentralized technologies to transform global payments.
 As a Senior Product Manager at Ripple, you will have the exciting responsibility of building and improving solutions that harness crypto technologies as essential building blocks for payments.
 The ideal candidate has deep trading and financial markets expertise and strong curiosity about digital assets. You'll excel working in a fast\-past environment, and you are adept at and handling cross\-functional initiatives across geographies.
**WHAT YOU’LL DO:** 
* Build the vision for delivering payments solutions to customers that apply the XRP ledger to reduce the friction in moving money globally.
* Develop and test solutions for liquidity, payments, and FX challenges by applying decentralized finance tools, including onchain liquidity pools, decentralized exchange, and stablecoins.
* Create and communicate product stories and requirements to guide and align the cross\-functional teams building these products.
* Set and drive performance benchmarks and indicators, using data to inform decisions and iterate quickly.
* Partner with cross\-functional teams, including engineering, sales, and business development, to define, build, and maintain products critical to growth, engagement, and retention.
**WHAT YOU'LL BRING:** 
* 8\-10 years of total professional experience in financial services, fintech, or the crypto industry, with 4\-5 years in a core product management role.
* Consistent track record of scaling and evangelizing successful products.
* You \- demonstrated experience building and launching products.
* Ability to understand both business needs and technical requirements and communicate across different teams.
* Experience working cross\-functionally to drive influence and resolve conflict.
* Strategic problem solver who thinks about where the future is headed.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$180,000 USD \- $225,000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20">
      <c r="A120" t="inlineStr">
        <is>
          <t>li-4364307967</t>
        </is>
      </c>
      <c r="B120" t="inlineStr">
        <is>
          <t>Senior Product Manager, Poker Experience</t>
        </is>
      </c>
      <c r="C120" t="inlineStr">
        <is>
          <t>Bellota Labs</t>
        </is>
      </c>
      <c r="D120" t="inlineStr">
        <is>
          <t>linkedin</t>
        </is>
      </c>
      <c r="E120">
        <f>HYPERLINK("https://www.linkedin.com/jobs/view/4364307967", "https://www.linkedin.com/jobs/view/4364307967")</f>
        <v/>
      </c>
      <c r="F120" t="inlineStr"/>
      <c r="G120" t="inlineStr">
        <is>
          <t>Redwood City, CA</t>
        </is>
      </c>
      <c r="H120" t="inlineStr"/>
      <c r="I120" t="inlineStr">
        <is>
          <t>At Bellota Labs, we are a fast\-paced, hypergrowth startup revolutionizing the gaming industry with ClubWPT Gold—an innovative new product for the World Poker Tour. Our mission is fueled by a passion for innovation, game integrity, and delivering exceptional customer experiences. As we scale, we are seeking a
 **Senior Product Manager** 
 to shape the future of our consumer\-facing products, ensuring they deliver exceptional user experiences and achieve our ambitious goals.
 In this role, you will be instrumental in defining the product vision, driving the roadmap for new features, and collaborating with cross\-functional teams to deliver results. If you are a hands\-on product leader with an obsession for user experience and a passion for gaming or poker, we want to hear from you.
**Key Responsibilities:** 
* Define product specifications, including user stories and user acceptance criteria, to guide the development process
* Drive the roadmap for assigned features, ensuring alignment with company objectives and timelines
* Collect and integrate feedback from subject matter experts, internal stakeholders, and users
* Conduct research on industry best practices, competitor approaches, and emerging trends to inform product decisions
* Collaborate closely with internal design, engineering, and data teams to deliver seamless user experiences
* Analyze product data and user behavior to identify areas for improvement and report actionable findings
* Stay hands\-on throughout the product lifecycle, from ideation to execution, ensuring quality and performance
**What We Are Looking For:** 
* Experience playing poker (online, card rooms, or tournaments)
* **4–15 years of experience** 
 as a Product Manager or Product Designer in software development
* Proven experience designing online
 **B2C products** 
 , ideally in gaming, poker, or entertainment
* A
 **strong eye for UI/visual design** 
 , with the ability to collaborate effectively with design teams
* Basic programming knowledge to communicate effectively with engineering teams
* Passion for poker or video games—or a desire to learn about the gaming industry
* Exceptional communication and organizational skills, with a focus on driving results
* Ability to thrive in a fast\-paced startup environment and juggle multiple priorities
**Nice to Have:** 
* Experience conducting user research or testing
* Knowledge of analytics tools to monitor product performance and user behavior
* Familiarity with Agile or Scrum methodologies
 At Bellota Labs, we are defining the future of online gaming with cutting\-edge products and a team of passionate professionals. You will have the opportunity to shape the direction of our flagship product, work with a world\-class team, and make a lasting impact on the gaming industry.
 Ready to join us on this exciting journey? Apply now and we can build something extraordinary together.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1">
      <c r="A121" t="inlineStr">
        <is>
          <t>li-4344620489</t>
        </is>
      </c>
      <c r="B121" t="inlineStr">
        <is>
          <t>Product Manager I, Search</t>
        </is>
      </c>
      <c r="C121" t="inlineStr">
        <is>
          <t>Google</t>
        </is>
      </c>
      <c r="D121" t="inlineStr">
        <is>
          <t>linkedin</t>
        </is>
      </c>
      <c r="E121">
        <f>HYPERLINK("https://www.linkedin.com/jobs/view/4344620489", "https://www.linkedin.com/jobs/view/4344620489")</f>
        <v/>
      </c>
      <c r="F121">
        <f>HYPERLINK("https://careers.google.com/jobs/results/122360883127952070-product-manager-i/?src=Online/LinkedIn/linkedin_us&amp;utm_source=linkedin&amp;utm_medium=jobposting&amp;utm_campaign=contract&amp;urlHash=Sh7A", "https://careers.google.com/jobs/results/122360883127952070-product-manager-i/?src=Online/LinkedIn/linkedin_us&amp;utm_source=linkedin&amp;utm_medium=jobposting&amp;utm_campaign=contract&amp;urlHash=Sh7A")</f>
        <v/>
      </c>
      <c r="G121" t="inlineStr">
        <is>
          <t>New York, NY</t>
        </is>
      </c>
      <c r="H121" t="inlineStr"/>
      <c r="I121" t="inlineStr">
        <is>
          <t>Note: By applying to this position you will have an opportunity to share your preferred working location from the following:
 **Mountain View, CA, USA; New York, NY, USA** 
 .
 **Minimum qualifications:**
* Bachelor's degree or equivalent practical experience.
* 3 years of experience in product management or related technical role.
* 1 year of experience taking technical products from conception to launch (e.g., ideation to execution, end\-to\-end, 0 to 1, etc).
**Preferred qualifications:**
* Master’s degree or PhD in a technology or business related field.
* 2 years of experience in a business function or role (e.g., strategic marketing, business operations, consulting).
* 2 years of experience in a role preparing and delivering technical presentations to senior leadership.
* 2 years of experience working cross\-functionally with engineering, UX/UI, sales, finance, and other stakeholders.
* 1 year of experience in software development or engineering.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2">
      <c r="A122" t="inlineStr">
        <is>
          <t>li-4362124625</t>
        </is>
      </c>
      <c r="B122" t="inlineStr">
        <is>
          <t>Fractional Product Owner</t>
        </is>
      </c>
      <c r="C122" t="inlineStr">
        <is>
          <t>Dragonfly Operating Partners</t>
        </is>
      </c>
      <c r="D122" t="inlineStr">
        <is>
          <t>linkedin</t>
        </is>
      </c>
      <c r="E122">
        <f>HYPERLINK("https://www.linkedin.com/jobs/view/4362124625", "https://www.linkedin.com/jobs/view/4362124625")</f>
        <v/>
      </c>
      <c r="F122" t="inlineStr"/>
      <c r="G122" t="inlineStr"/>
      <c r="H122" t="inlineStr"/>
      <c r="I122" t="inlineStr">
        <is>
          <t>**Company Description** 
 Dragonfly Operating Partners is a collective of experienced executives dedicated to driving value creation for venture capital\-backed startups. Partnering with high\-potential founders, the team specializes in strategy and operations across product and go\-to\-market functions from seed to Series B stages. Key areas of expertise include AI\-driven strategy, product launches and management, go\-to\-market strategy, and organizational design. Dragonfly helps startups achieve product\-market fit, optimize pricing strategies, and scale operationally for sustainable growth. Located in Tampa, Florida, the company fosters impactful partnerships to propel businesses to their next level of success.
**Role Description** 
 This is a part\-time (8\-12 hours a week) role for a Fractional Product Owner.
 Preferred location: Tampa Bay area
 The Fractional Product Owner will collaborate with cross\-functional teams to define product roadmaps, gather and prioritize user needs, and ensure alignment with business goals. Daily responsibilities will include conducting business analysis, facilitating communication between stakeholders, and overseeing product management processes. The role involves driving product development and ensuring that deliverables meet expectations while maintaining a strategic focus on market and customer requirements.
**Qualifications** 
* Strong expertise in Product Management and Business Analysis with a proven ability to define and manage product roadmaps.
* Advanced Analytical Skills to interpret data, assess market trends, and guide decision\-making.
* Proficiency in software development processes and the ability to work closely with engineering teams.
* Exceptional communication skills for effective collaboration with stakeholders and cross\-functional teams.
* Ability to oversee projects from ideation to execution, with a focus on business outcomes and customer experience.
* Previous experience in a startup or high\-growth environment is a plus.
* Bachelor's degree in Computer Science, Business Administration, or a related field preferred.</t>
        </is>
      </c>
    </row>
    <row r="123">
      <c r="A123" t="inlineStr">
        <is>
          <t>li-4365105849</t>
        </is>
      </c>
      <c r="B123" t="inlineStr">
        <is>
          <t>Senior Product Manager</t>
        </is>
      </c>
      <c r="C123" t="inlineStr">
        <is>
          <t>AcuityMD</t>
        </is>
      </c>
      <c r="D123" t="inlineStr">
        <is>
          <t>linkedin</t>
        </is>
      </c>
      <c r="E123">
        <f>HYPERLINK("https://www.linkedin.com/jobs/view/4365105849", "https://www.linkedin.com/jobs/view/4365105849")</f>
        <v/>
      </c>
      <c r="F123">
        <f>HYPERLINK("https://www.adzuna.com/details/5419541180?v=7475AEB6B513F2CD4AB3981E83C4EB90D418DDBA&amp;frd=b9c6e7b085feb1a79d78b5469bc5ffa1&amp;ccd=7a6eac08d4800993f6a5975596eb70b5&amp;r=21106765&amp;utm_source=linkedin7&amp;utm_medium=organic&amp;chnlid=1931&amp;title=Senior%20Product%20Manager&amp;a=e&amp;urlHash=14iZ", "https://www.adzuna.com/details/5419541180?v=7475AEB6B513F2CD4AB3981E83C4EB90D418DDBA&amp;frd=b9c6e7b085feb1a79d78b5469bc5ffa1&amp;ccd=7a6eac08d4800993f6a5975596eb70b5&amp;r=21106765&amp;utm_source=linkedin7&amp;utm_medium=organic&amp;chnlid=1931&amp;title=Senior%20Product%20Manager&amp;a=e&amp;urlHash=14iZ")</f>
        <v/>
      </c>
      <c r="G123" t="inlineStr">
        <is>
          <t>Boston, MA</t>
        </is>
      </c>
      <c r="H123" t="inlineStr"/>
      <c r="I123" t="inlineStr">
        <is>
          <t>Senior Data Product Manager
 AcuityMD is a software and data platform that accelerates access to medical technologies. We help MedTech companies understand how their products are used, why customers vary, and identify opportunities for physicians to better serve their patients. Each year, the FDA approves \~6,000 new medical devices. Our platform helps MedTech companies get these products to physicians more effectively so they can improve patient care with the latest technology. We're backed by Benchmark, Redpoint, ICONIQ Growth, and Ajax Health.
 We’re hiring a Senior Data Product Manager to take ownership of a major product area. You’ll work across engineering, design, go\-to\-market, and customers to solve high\-impact problems, build scalable software, and deliver tangible business value.
 You’ll thrive here if you’re a high\-agency generalist with a strong product management foundation—skilled at cutting through ambiguity, shipping great products, and working in fast\-moving, collaborative environments. While we value AI literacy and design instincts, your superpower should be PM craft: understanding user needs, making smart tradeoffs, and driving outcomes.
 This is an opportunity to join a high\-growth company during a critical scaling phase. You’ll be optimizing mature products and shaping what comes next.
 Team Mission
 We are building a world\-class product team to build software features as meticulously crafted and data driven as the highly specialized MedTech products that save lives each day. Our team is the critical link between what our engineers build and what our customers need. We are looking for product leaders to develop deep empathy for our users, apply data to prioritize user needs, and bring new features to life by aligning and coordinating across technical and customer\-facing teams.
**Responsibilities**
* Own a product area end\-to\-end: from discovery and roadmap to execution, launch, and iteration.
* Understand our users deeply—their workflows, pain points, goals, and contexts.
* Collaborate tightly with Engineering and UX to craft intuitive, performant, and impactful product experiences.
* Prioritize ruthlessly, balancing long\-term vision with immediate value delivery.
* Communicate clearly across audiences—technical and non\-technical, internal and external.
* Work with AI tools in your day\-to\-day and contribute to the design of AI\-native features that enhance user workflows and drive differentiation.
* Measure impact: define, track, and improve product and business KPIs.
* Raise the bar: uphold strong standards for quality, curiosity, and integrity in how we build.
**Your Profile**
* 5\+ years of product management experience, ideally in B2B SaaS.
* Track record of shipping high\-quality software that solves real user problems.
* Strong product fundamentals: discovery, roadmap planning, prioritization, spec writing, stakeholder alignment, and post\-launch iteration.
* Demonstrated ability to thrive in ambiguity and make sound decisions under constraints.
* Clear, concise communicator—both written and verbal. You write to think and drive alignment.
* Comfortable using AI tools to accelerate your work. Experience building AI\-powered features is a plus, not a requirement.
* Curious, thoughtful, and motivated by making things better—for users, for teammates, and for the company.
 Nice to Haves
* Experience working on vertical SaaS, workflow automation, or data\-rich tools.
* Prior product management experience in a scaling startup environment.
* Familiarity with LLMs, data\-powered product features, or complex user roles/personas.
* Ability to prototype in tools like Figma, Make, or other low\-code platforms.
* Demonstrated mentorship or product leadership experience.
 AcuityMD is committed to providing highly competitive cash compensation, equity, and benefits. The compensation offered for this role will be based on multiple factors such as location, the role’s scope and complexity, and the candidate’s experience and expertise, market data and may vary from the range provided. Base salary range: $180,000\-$220,000
*You must have an eligible work permit in the USA to be considered for this position*
**We Offer**
* Remote work: AcuityMD is committed to supporting full\-remote flexibility for employees in the US. We provide a work\-from\-home stipend for all employees.
* Flexible PTO: Generous time off and flexible hours give you the freedom to do your best work.
* Paid Health, Dental, and Vision Plans: We offer 100% paid health, dental, and vision plans for all employees and 75% paid for our employees' dependents.
* Home Office Stipend: $1,000 to invest in remote office equipment and WiFi reimbursement.
* Learning Budget: Reimbursements for relevant learning and up\-skilling opportunities.
* Optional Team Retreats: We meet in\-person multiple times per year for co\-working and social gatherings.
* Parental Leave: 6\-12 weeks of fully\-paid, flexible parental leave.
* Ground floor opportunity: Join a high\-growth startup, backed by world\-class investors across Enterprise SaaS and Medical Devices (Benchmark, Redpoint Ventures, and Ajax Health).
* Competitive compensation with equity upside.
**Who We Are**
**The Company:** 
 We are builders, who are inspired by our mission to expand patient access to cutting\-edge medical technologies. We value working collaboratively to solve hard problems for our customers with simple, innovative solutions. We push ourselves to learn with empathy. We foster an active culture of mentorship and inclusion, and we welcome new team members that share our values.
 We're backed by Benchmark, Redpoint Ventures, Ajax Health, and several other leading software and medical device investors. Since Acuity launched in 2020, we've brought on customers ranging from publicly traded Fortune 500 companies to innovative growth\-stage companies and regional medical device distributors.
**The Product**
 AcuityMD uses data and software to help teams collaborate around the complex relationships they have with the users of medical technologies: doctors. Our platform empowers medical technology companies to see how their products are used, understand why outcomes vary, and identify opportunities where physicians or sites of care can better serve their patients.
 AcuityMD is an Equal Opportunity Employer
 AcuityMD is seeking to create a diverse work environment because all teams are stronger with different perspectives and life experiences. We strongly encourage people of all backgrounds to apply. We do not discriminate on the basis of race, gender, religion, color, national origin, sexual orientation, age, marital status, veteran status, or disability status. All employees and contractors of AcuityMD are responsible for maintaining a work culture free from discrimination and harassment by treating others with kindness and respect.</t>
        </is>
      </c>
    </row>
    <row r="124">
      <c r="A124" t="inlineStr">
        <is>
          <t>li-4365122794</t>
        </is>
      </c>
      <c r="B124" t="inlineStr">
        <is>
          <t>Product Manager</t>
        </is>
      </c>
      <c r="C124" t="inlineStr">
        <is>
          <t>Conduit</t>
        </is>
      </c>
      <c r="D124" t="inlineStr">
        <is>
          <t>linkedin</t>
        </is>
      </c>
      <c r="E124">
        <f>HYPERLINK("https://www.linkedin.com/jobs/view/4365122794", "https://www.linkedin.com/jobs/view/4365122794")</f>
        <v/>
      </c>
      <c r="F124">
        <f>HYPERLINK("https://jobs.ashbyhq.com/Conduit/b720d80c-be3f-46e9-9beb-b892c31934d6/application?utm_source=vN40eLVbrZ&amp;urlHash=tAWu", "https://jobs.ashbyhq.com/Conduit/b720d80c-be3f-46e9-9beb-b892c31934d6/application?utm_source=vN40eLVbrZ&amp;urlHash=tAWu")</f>
        <v/>
      </c>
      <c r="G124" t="inlineStr"/>
      <c r="H124" t="inlineStr"/>
      <c r="I124" t="inlineStr">
        <is>
          <t>**Conduit**
 At Conduit, we're building the crypto\-native cloud platform that will scale Ethereum.
 Crypto builders have been held back by a lack of onchain compute — without the ability to process a high volume of transactions quickly and cheaply, onchain apps and ecosystems can’t build high quality user experiences.
 Rollups have emerged as the answer to this problem. Just as servers work together to scale compute in web2, so too can rollups scale onchain compute in web3\. But building and operating your own rollup is difficult and time\-consuming. That's where Conduit comes in.
 As the rollup\-native cloud platform, Conduit combines web2 engineering best\-practices with web3 rollup technology to make it easy for anyone to launch and maintain their own chain. By making infrastructure simple and onchain compute abundant, similar to how AWS and GCP did for web2, we can unlock the next wave of innovation in the crypto ecosystem.
 The Conduit platform has seen massive growth since going live in 2023\. We run the largest chains in production, including Proof of Play, Zora, Aevo, and more. This translates to 200\+ chains across mainnet and testnet and over $1B in total\-value\-locked (TVL). We're operating on the bleeding edge of crypto, co\-evolving with our customers and integration partners, and pushing the limits of blockchain scalability and modularity.
 This success has been recognized and accelerated through a $37M Series A, co\-led by Paradigm and Haun Ventures — two of the best investors in the industry.
 We’re an elite team that’s previously worked at Meta, Brex, Wish, Compound, Chainalysis, Immunefi, Amazon, Avara/Aave, Paradigm, and more. We’re headquartered in San Francisco, with team members all over the world.
 We’re looking for ambitious, talented builders that want to help scale Ethereum and bring crypto compute to the masses. Join us!
**About The Role**
 We’re looking for a
 **Product Manager** 
 to join Conduit and drive product development across our core infrastructure platform. This role will work closely with our CEO, GTM, engineering, and operations teams to define, prioritize, and execute on initiatives that scale our platform and deliver value to enterprise\-grade customers building on Ethereum.
 This is a
 **high\-impact, cross\-functional role** 
 — perfect for someone who thrives in early\-stage environments but understands how to build with the structure and discipline of an enterprise product organization. You’ll be driving key product initiatives from concept to launch, and ensuring Conduit continues to lead the way in crypto infrastructure.
 What You’ll Do
* Lead cross\-functional product initiatives from 0 → 1, defining scope, requirements, and success metrics.
* Partner closely with engineering to align technical capabilities with customer needs.
* Bring product clarity and structure to a fast\-moving organization — reducing diffusion of responsibility and ensuring end\-to\-end ownership of outcomes.
* Collaborate with the GTM team to shape product positioning, write product copy, and translate technical concepts into clear, compelling narratives.
* Drive prioritization and tradeoff decisions — negotiating what’s in and what’s out — balancing speed, scope, and quality.
* Work with CEO on translating product vision and strategy into executable roadmaps that scale Conduit’s enterprise offering.
* Develop a deep understanding of our customers, their infrastructure needs, and the broader Ethereum and rollup ecosystem.
* Contribute to internal product process and frameworks to make product development more seamless, data\-informed, and customer\-driven.
 What We’re Looking For
* 5\+ years of experience as a Product Manager, ideally in B2B or infrastructure\-focused companies (e.g. platform, data, or developer tooling products).
* Strong product sense with experience taking products from concept → launch.
* Proven ability to manage complex, technical products — understanding constraints and collaborating with engineering to find elegant, feasible solutions.
* Detail\-oriented and organized — capable of driving clarity and alignment across teams.
* Excellent written and verbal communication skills, including technical documentation and product marketing copy.
* A bias toward action and accountability — thrives in environments where you own outcomes.
* Interest in learning about web3, Ethereum, and onchain infrastructure.
 Nice to Have
* Experience with web3 products, or familiarity with blockchain infrastructure (EVMs, rollups, validators, etc.)
* Prior experience at infrastructure, database, or developer tooling companies
* Exposure to usage\-based business models or platform\-as\-a\-service products.
 Conduit does not discriminate on the basis of race, religion, color, sex, gender identity, sexual orientation, age, non\-disqualifying physical or mental disability, national origin, veteran status or any other basis covered by appropriate law.</t>
        </is>
      </c>
    </row>
    <row r="125">
      <c r="A125" t="inlineStr">
        <is>
          <t>li-4365144831</t>
        </is>
      </c>
      <c r="B125" t="inlineStr">
        <is>
          <t>Product Manager, Automations</t>
        </is>
      </c>
      <c r="C125" t="inlineStr">
        <is>
          <t>careviso</t>
        </is>
      </c>
      <c r="D125" t="inlineStr">
        <is>
          <t>linkedin</t>
        </is>
      </c>
      <c r="E125">
        <f>HYPERLINK("https://www.linkedin.com/jobs/view/4365144831", "https://www.linkedin.com/jobs/view/4365144831")</f>
        <v/>
      </c>
      <c r="F125" t="inlineStr"/>
      <c r="G125" t="inlineStr">
        <is>
          <t>Northern Virginia, VA</t>
        </is>
      </c>
      <c r="H125" t="inlineStr"/>
      <c r="I125" t="inlineStr">
        <is>
          <t>**Product Manager, Automations** 
**Location: Hybrid – Northern Virginia preferred** 
**About careviso** 
 careviso is a healthcare technology company. By automating the impossible, we’re solving some of the most complex problems in the healthcare industry in real time—like prior authorizations and financial transparency. Our powerful, comprehensive platform increases patient access to care by delivering cost estimates, administrative requirements, and approvals instantly.
 We began with a lab\-focused approach, and our mission continues to be supporting patients, providers, and payors with total access to healthcare.
**Job Summary** 
 As the Product Manager, Automations, you will own the vision, strategy, and execution of careviso’s automation products—including RPA\- and AI\-driven workflows that power our prior authorization processes. This is a hands\-on product role focused on delivering measurable impact by expanding automation coverage, improving operational efficiency, and unlocking faster, more consistent care decisions.
 You will work closely with Engineering, Operations, Clinical Ops, and Data Science to identify high\-value automation opportunities, define requirements, and build scalable solutions that meaningfully reduce manual workload across our platform. This role requires a strong blend of product thinking, analytical rigor, and empathy for the complexity of healthcare operations.
**Responsibilities** 
* **Automation Product Strategy \&amp; Roadmap**
* Own the product roadmap for automation and AI\-enhanced workflows across the careviso ecosystem.
* Define and communicate a long\-term automation strategy aligned with company goals and operational needs.
* **Cross\-Functional Collaboration**
* Partner with Engineering, Operations, Clinical Ops, and Data Science to identify, prioritize, and implement automation opportunities that reduce operational workload and improve throughput.
* Ensure seamless integration of automations into existing workflows and tools.
* **Execution \&amp; Delivery**
* Translate complex operational challenges into clear, actionable product requirements.
* Lead product discovery, testing, and validation to ensure automation initiatives deliver real, measurable value.
* Drive execution with urgency and attention to detail.
* **Impact Measurement \&amp; Optimization**
* Define success metrics for automation performance and track progress against goals.
* Aim to automate an additional 20% of operational workload within the first 12 months.
* Use data and insights to refine prioritization and continuously improve automation outcomes.
* **Operational \&amp; Technical Understanding**
* Maintain a deep understanding of careviso’s data flows, prior authorization workflows, and automation capabilities (RPA, AI/ML, decisioning rules).
* Serve as a subject\-matter expert on automation functionality across the organization.
**Requirements** 
* 3–5\+ years of product management experience, ideally focused on automation, workflow optimization, or AI\-driven products.
* Healthcare or health\-tech experience required; prior exposure to healthcare operations or prior authorization workflows is a strong plus.
* Proven track record delivering technology products that improved operational efficiency or reduced manual processes.
* Strong analytical mindset with comfort using data to drive prioritization, measure results, and inform decision\-making.
* Excellent communication and stakeholder management skills—able to collaborate effectively with both technical and non\-technical teams.
* Familiarity with RPA platforms (e.g., UiPath, Automation Anywhere) or ML\-driven workflow solutions preferred.
**About careviso:** 
 careviso is a cutting\-edge, rapidly\-growing healthcare technology company. By automating the impossible we’re able to solve the most complex problems in the healthcare industry in real\-time: prior authorizations and financial transparency.
 careviso created a complete technology platform that increases patient access to care by delivering cost estimates, administrative requirements, and approvals in real time. Our mission is to support patients, providers, and payors with total access to healthcare.
 All employees must be authorized to work in the United States. careviso provides equal employment opportunities to all employees and applicants for employment without regard to race, color, religion, sex, national origin, age, disability or genetics. In addition to federal law requirements, careviso complies with applicable state and local laws governing non\-discrimination in employment in every location in which the company has facilities.</t>
        </is>
      </c>
    </row>
    <row r="126">
      <c r="A126" t="inlineStr">
        <is>
          <t>li-4365101703</t>
        </is>
      </c>
      <c r="B126" t="inlineStr">
        <is>
          <t>Product Owner</t>
        </is>
      </c>
      <c r="C126" t="inlineStr">
        <is>
          <t>Kimedics</t>
        </is>
      </c>
      <c r="D126" t="inlineStr">
        <is>
          <t>linkedin</t>
        </is>
      </c>
      <c r="E126">
        <f>HYPERLINK("https://www.linkedin.com/jobs/view/4365101703", "https://www.linkedin.com/jobs/view/4365101703")</f>
        <v/>
      </c>
      <c r="F126" t="inlineStr"/>
      <c r="G126" t="inlineStr"/>
      <c r="H126" t="inlineStr"/>
      <c r="I126" t="inlineStr">
        <is>
          <t>**About Kimedics** 
 Kimedics is transforming the way healthcare organizations manage their workforce. As part of the Jackson Healthcare family, we provide a modern, intuitive platform that helps hospitals, medical groups, and clinicians streamline scheduling, credentialing, time tracking, and workforce operations.
 Our mission is to empower healthcare teams with technology that removes friction, increases transparency, and improves patient care. We’re growing quickly and building an engineering organization where innovation, reliability, and trust are foundational.
**Product Owner – Kimedics** 
 Kimedics is growing, and we are seeking a Product Owner to help shape and deliver digital solutions that improve healthcare operations. This role partners closely with business and technology teams to gather requirements, define user stories, prioritize the backlog, and ensure maximum business value is delivered in every sprint.
**About the Role** 
 The
 **Product Owner** 
 is responsible for eliciting business requirements, defining stories, sequencing the backlog, and ensuring the team has the clarity needed to deliver high\-quality digital products in an Agile environment. This role serves as the primary liaison between stakeholders and the technology team.
**Responsibilities** 
 Stakeholder Communication and Collaboration (50%)
* Serve as the liaison between business units and the technology team.
* Lead elaboration and construction phases of the product lifecycle in an Agile environment.
* Own and prioritize the product backlog to support project and roadmap goals.
* Facilitate working sessions, checkpoints, and team alignment.
* Provide input and clarifications to UI/UX, architecture, development, and QA.
* Build strong relationships across departments.
* Identify opportunities to improve processes or products.
 Project Documentation and Visualization (30%)
* Deliver technology solutions supporting internal process digitization and customer\-facing experiences.
* Produce workflows, data mapping, and business process design.
* Conduct gap analyses and define target\-state architectures.
* Create product specifications to support training, production support, and knowledge transfer.
 User Acceptance Testing and Approval (20%)
* Conduct UAT and lead sprint demos to validate completion against the definition of done.
* Collaborate with architects to define non\-functional requirements.
* Triage and prioritize production defects.
**Additional Responsibilities** 
* Support development of training content.
* Participate in special projects as assigned.
* Communicate with external vendors and service providers as needed.
**Qualifications** 
* Bachelor’s degree required (Business, Computer Science, MIS preferred).
* 2\+ years of experience in full product lifecycle in an Agile environment.
* Agile\-related certification preferred (SAFe ideal).
* Experience with Agile software development.
**Skills and Competencies** 
* Intermediate skills in Excel, Visio, PowerPoint, and JIRA.
* Working knowledge of Salesforce or other CRMs and document management systems.
* Strong project management, analytical, and critical thinking abilities.
* Excellent communication skills, both written and verbal.
* Ability to lead workshops with diverse groups in person and virtually.
* Strong customer service mindset and attention to detail.
* Ability to manage multiple priorities in a fast\-paced environment.
* Ability to build relationships across all levels of the organization.
* Ability to work independently and collaboratively.
**Key competencies include:** 
 Tech Savvy, Manages Complexity, Decision Quality, Collaborates, Resilience, Action Oriented, Directs Work, Drives Results, Communicates Effectively, and Manages Ambiguity.
**What We Offer** 
* Company\-paid benefits (Basic Life and AD\\\&amp;D, Short and Long\-Term Disability, EAP, Health Advocate, Transitions).
* Multiple healthcare plan options (Value Plan, High Deductible with HSA, Healthcare FSA, Dependent Care FSA, Legal Services, 529 plan, Pet insurance).
* Paid parental leave.
* 401(k) with company match.
* PTO starting at 15 days per year, increasing with tenure.
**Disclosures** 
* Smoking, vaping, and tobacco use are prohibited on all company premises.
* Candidates receiving a conditional offer may be required to complete pre\-employment drug testing.
* Kimedics is an Equal Opportunity Employer.</t>
        </is>
      </c>
    </row>
    <row r="127">
      <c r="A127" t="inlineStr">
        <is>
          <t>li-4354881330</t>
        </is>
      </c>
      <c r="B127" t="inlineStr">
        <is>
          <t>Product Manager II, YouTube Posts</t>
        </is>
      </c>
      <c r="C127" t="inlineStr">
        <is>
          <t>Google</t>
        </is>
      </c>
      <c r="D127" t="inlineStr">
        <is>
          <t>linkedin</t>
        </is>
      </c>
      <c r="E127">
        <f>HYPERLINK("https://www.linkedin.com/jobs/view/4354881330", "https://www.linkedin.com/jobs/view/4354881330")</f>
        <v/>
      </c>
      <c r="F127" t="inlineStr"/>
      <c r="G127" t="inlineStr">
        <is>
          <t>San Bruno, CA</t>
        </is>
      </c>
      <c r="H127" t="inlineStr"/>
      <c r="I127"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 2 years of experience working cross\-functionally with engineering, User Experience/User Interface (UX/UI), sales, finance, and other stakeholders.
* Experience building and shipping Consumer products.
**Preferred qualifications:**
* Experience with A/B testing and user research methodologies.
* Familiarity with creator\-focused products or content sharing platforms.
* Ability to translate user needs and business objectives into detailed product specifications and roadmaps.
* Ability to work effectively with cross\-functional teams including engineering, design, and data science.
* Excellent communication, collaboration and investigative skills with experience using data to inform product decisions and measure success.
* Passion for YouTube and an understanding of the platform's ecosystem, creators, and viewers.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you will work on Posts, a growing format on YouTube to inspire casual creation and lightweight content consumption. Posts keep creators connected with their fans and are becoming a great way to use images, text, and music to create content without having to create a full video. You'll be joining the Community organization within YouTube which is responsible for various product portfolios including Subscriptions, Posts, Comments, and more.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goal, roadmap, and success metrics for Posts features.
* Understand viewer and fan needs, translating insights into compelling product experiences.
* Conceptualize and build intuitive tools leveraging technology (including generative AI) to empower meaningful fan participation and drive engagement.
* Collaborate with engineering, design, and research teams to bring the product goals to life.
* Utilize data\-driven decision\-making to measure performance, identify improvement areas, and iterate on the product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8">
      <c r="A128" t="inlineStr">
        <is>
          <t>li-4365130772</t>
        </is>
      </c>
      <c r="B128" t="inlineStr">
        <is>
          <t>Product Manager</t>
        </is>
      </c>
      <c r="C128" t="inlineStr">
        <is>
          <t>AssetMark</t>
        </is>
      </c>
      <c r="D128" t="inlineStr">
        <is>
          <t>linkedin</t>
        </is>
      </c>
      <c r="E128">
        <f>HYPERLINK("https://www.linkedin.com/jobs/view/4365130772", "https://www.linkedin.com/jobs/view/4365130772")</f>
        <v/>
      </c>
      <c r="F128" t="inlineStr"/>
      <c r="G128" t="inlineStr"/>
      <c r="H128" t="inlineStr"/>
      <c r="I128" t="inlineStr">
        <is>
          <t>**Job Description:**
 AssetMark is a leading strategic provider of innovative investment and consulting solutions serving independent financial advisors. We provide investment, relationship, and practice management solutions that advisors use in helping clients achieve wealth, independence, and purpose.
**The Job/What You'll Do:**
 AssetMark is seeking a Product Manager to join our growing Product \&amp; Engineering team. This role represents a significant step up in ownership and strategic impact, where you'll design feature improvements and new features while driving execution with engineering teams. You'll own multiple features or complex feature groups, working at the intersection of wealth management and software design to build products that make a meaningful impact for financial advisors and their clients.
**Responsibilities:**
**Product Strategy \&amp; Roadmap:**
* Develop and maintain a clear, strategically aligned agenda for the features you own
* Create and manage a shovel\-ready backlog for engineering teams at least 2 sprints out
* Maintain a high\-quality roadmap at least a quarter out
* Write actionable user stories that drive meaningful product improvements
**Product Design, Development, \&amp; Execution:**
* Write RFCs for feature enhancements and new features
* Independently sketch first drafts of user experience designs
* Specify platform components required to power new features, identifying where existing vs new platform capabilities are needed
* Decompose RFCs into actionable user stories, including work that may span multiple teams
* Track team capacity and proactively manage priorities 1\-2 sprints in advance
* Run at least two feature\-sized projects in parallel
* Provide engineers with business context and serve as first line of defense against distractions
* Use data and analytics tools to inform product decisions
* Design and execute comprehensive test plans for feature enhancements
**Stakeholder \&amp; Ecosystem Engagement:**
* Build credibility with internal stakeholders by helping them solve for their full outcomes
* Demo all features in your area internally and, with advance notice, externally
* Develop working knowledge of players and developments in the wealth management space relevant to your product area
* Manage stakeholder expectations through regular updates and timeline alignment
* May own one or more internal stakeholder relationships
**Leadership \&amp; Communication:**
* Lead feature planning and prioritization meetings
* Articulate product requirements and decisions clearly to cross\-functional teams
* Resolve minor team conflicts and maintain positive momentum
* Assess junior product candidates in interviews
* Demonstrate cross\-functional leadership, often persuading without formal authority
* Mentor junior PMs, provide feedback, and build team morale
**Knowledge, Skills, Abilities:**
* Strong analytical thinking and ability to translate business requirements into actionable development work
* Solid understanding of software development principles, APIs, and system integrations
* Proven ability to work effectively with engineering, design, and QA teams
* Experience with agile development methodologies and sprint planning
* Strong communication skills with ability to adapt messaging for different audiences
* Data\-driven approach to decision\-making using analytics and customer feedback
* Understanding of wealth management, asset management, or fintech domains
* Ability to manage multiple projects simultaneously while maintaining quality
**Education \&amp; Experience:**
* Bachelor's degree in Business, Finance, Economics, Computer Science, or related field
* 3\-6 years of product management experience, preferably in fintech or financial services
* Experience writing technical requirements and working closely with engineering teams
* Track record of successfully shipping software products or features
* Experience with user research and data analysis to inform product decisions
**Why Join AssetMark?**
* Own meaningful features that directly impact financial advisors and their clients
* Work in a collaborative environment with experienced product and engineering leaders
* Develop specialized expertise at the intersection of wealth management and technology
* Drive product features from concept to launch with significant ownership and autonomy
* Be part of a mission\-driven organization focused on empowering financial advisors
*Compensation: The Base Salary range for this position is between $100,000\-$115,000\.*
*This information reflects a base salary range that AssetMark reasonably expects to pay for the position based on a number of factors which may include job\-related knowledge, skills, education, experience, and actual work location. This position will also be eligible for additional variable incentive compensation and competitive benefits.*
*Candidates must be legally authorized to work in the US to be considered. We are unable to provide visa sponsorship for this position.*
**Who We Are \&amp; What We Offer:**
 We are AssetMark, a company on the move, shaping the future of financial services. Growth is in our DNA. Every day, we combine technology, insight, and collaboration to create new possibilities for advisors, for our people and for our investors. At AssetMark your ideas matter; they’re heard, valued, and drive meaningful change. Join a team that sets new standards and creates space for you to thrive and do your best work.
**Our Mission**
 Our mission is simple: to help our 10,500\+ financial advisors make a meaningful difference in their clients’ lives. We do this by combining powerful technology, holistic support, and expert consulting to help advisors run stronger, more efficient businesses. Backed by a comprehensive suite of investment solutions and a trust company that boasts of $150B\+ AUM, our platform empowers advisors to deliver exceptional service and an outstanding client experience.
**Our Values**
 Heart. Client Success. Integrity. Respect. Excellence. Our values are how we show up every day.
**We believe in:**
* Leading with Heart, in truly making a difference in the lives of others: teammates, clients, investors and communities.
* Obsessing over Client Success, bringing a relentless focus on what matters to clients that sets us apart and creates loyal, lasting relationships.
* Unyielding Integrity, doing what’s right, always. Even when it’s hard.
* Collective Respect, in being authentic, inclusive and valuing all voices while winning together.
* Operating with Excellence, in learning fast, continuously improving, innovating and collaborating to find new and better solutions.
 These values shape our culture, guide our decisions, and define what it means to be part of the AssetMark family.
**Our Culture \&amp; Benefits**
 Our culture brings our mission and values to life. Here, we do what’s right, embrace diverse ideas, and innovate together. We also offer a wide range of benefits to support you and your family—because thriving at work starts with thriving in life.
* Flex Time or Paid Time Off and Sick Time Off
* 401K – 6% Employer Match
* Medical, Dental, Vision – HDHP or PPO
* HSA – Employer contribution (HDHP only)
* Volunteer Time Off
* Career Development / Recognition
* Fitness Reimbursement
* Hybrid Work Schedule
 As an Equal Opportunity Employer, AssetMark is committed to building a diverse and inclusive workplace where everyone feels valued.</t>
        </is>
      </c>
    </row>
    <row r="129">
      <c r="A129" t="inlineStr">
        <is>
          <t>li-4326749107</t>
        </is>
      </c>
      <c r="B129" t="inlineStr">
        <is>
          <t>Product Manager II, Google Cloud</t>
        </is>
      </c>
      <c r="C129" t="inlineStr">
        <is>
          <t>Google</t>
        </is>
      </c>
      <c r="D129" t="inlineStr">
        <is>
          <t>linkedin</t>
        </is>
      </c>
      <c r="E129">
        <f>HYPERLINK("https://www.linkedin.com/jobs/view/4326749107", "https://www.linkedin.com/jobs/view/4326749107")</f>
        <v/>
      </c>
      <c r="F129">
        <f>HYPERLINK("https://careers.google.com/jobs/results/88132755442803398-product-manager-ii/?src=Online/LinkedIn/linkedin_us&amp;utm_source=linkedin&amp;utm_medium=jobposting&amp;utm_campaign=contract&amp;urlHash=_svN", "https://careers.google.com/jobs/results/88132755442803398-product-manager-ii/?src=Online/LinkedIn/linkedin_us&amp;utm_source=linkedin&amp;utm_medium=jobposting&amp;utm_campaign=contract&amp;urlHash=_svN")</f>
        <v/>
      </c>
      <c r="G129" t="inlineStr">
        <is>
          <t>Sunnyvale, CA</t>
        </is>
      </c>
      <c r="H129" t="inlineStr"/>
      <c r="I129" t="inlineStr">
        <is>
          <t>**Minimum qualifications:**
* Bachelor's degree or equivalent practical experience.
* 5 years of experience in product management or related technical role.
* 2 years of experience developing or launching products or technologies within one or more of the following: Cloud, SaaS, enterprise, internal tools, or supply chain networks.
**Preferred qualifications:**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0">
      <c r="A130" t="inlineStr">
        <is>
          <t>li-4361949821</t>
        </is>
      </c>
      <c r="B130" t="inlineStr">
        <is>
          <t>Senior Product Manager</t>
        </is>
      </c>
      <c r="C130" t="inlineStr">
        <is>
          <t>DASH2</t>
        </is>
      </c>
      <c r="D130" t="inlineStr">
        <is>
          <t>linkedin</t>
        </is>
      </c>
      <c r="E130">
        <f>HYPERLINK("https://www.linkedin.com/jobs/view/4361949821", "https://www.linkedin.com/jobs/view/4361949821")</f>
        <v/>
      </c>
      <c r="F130" t="inlineStr"/>
      <c r="G130" t="inlineStr">
        <is>
          <t>Ogden, UT</t>
        </is>
      </c>
      <c r="H130" t="inlineStr"/>
      <c r="I130" t="inlineStr">
        <is>
          <t>We’re hiring a
 **Senior Product Manager** 
 to join a growing Payments organization focused on building and scaling modern financial products for businesses. This role sits at the intersection of
 **commercial banking, payments, and credit** 
 , and is ideal for someone who understands how money flows through a business—from account setup to card spend to reconciliation.
 This is a
 **contract\-to\-hire** 
 opportunity with strong long\-term potential.
 You’ll partner closely with business leaders, engineering, data, and long\-tenured stakeholders to define strategy, build business cases, and bring new products to market.
**Must Haves** 
* Senior\-level Product Manager with strong product fundamentals
* Background in
 **banking, fintech, or financial services**
* Experience in commercial banking, payments, or commercial credit cards is highly relevant
* Proven ability to: Build a product strategy from scratch. Create and present business cases and strategy decks. Communicate clearly at both business unit and executive levels. Be a strong listener who can balance legacy context with forward\-looking strategy
**Nice to Haves** 
* Ability to pull or work with data from SQL databases
* Write or modify basic queries, or clearly define data needs
* Experience defining analytical requirements, such as: User segmentation by usage, geography, or behavior. Translating business questions into actionable data requests</t>
        </is>
      </c>
    </row>
    <row r="131">
      <c r="A131" t="inlineStr">
        <is>
          <t>li-4362069980</t>
        </is>
      </c>
      <c r="B131" t="inlineStr">
        <is>
          <t>Product Manager, Regulatory Reporting</t>
        </is>
      </c>
      <c r="C131" t="inlineStr">
        <is>
          <t>Waymo</t>
        </is>
      </c>
      <c r="D131" t="inlineStr">
        <is>
          <t>linkedin</t>
        </is>
      </c>
      <c r="E131">
        <f>HYPERLINK("https://www.linkedin.com/jobs/view/4362069980", "https://www.linkedin.com/jobs/view/4362069980")</f>
        <v/>
      </c>
      <c r="F131" t="inlineStr"/>
      <c r="G131" t="inlineStr">
        <is>
          <t>Mountain View, CA</t>
        </is>
      </c>
      <c r="H131" t="inlineStr"/>
      <c r="I13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 a hybrid work schedule and reports to the Manager of Fleet \&amp; Event Response.*
**You Will**
* Develop a deep understanding of the Regulatory Reporting landscape affecting Waymo
* Determine what tools and process improvements are needed to efficiently meet all Regulatory Reporting requirements and operations needs
* Work with engineers, UX and DS to automate reporting as much as possible
* Understand the role of each cross\-functional team (operations, safety, on\-call, regulatory, and legal, TPM) in all events that are of interest to regulators
* Develop a clear point of view on goals and prioritization, including success metrics
**You Have**
* BS degree in Computer Science degree or related technical degree
* 5\+ years of product management experience at a highly technical, large scale organization
* Strong bias\-to\-action, independence, and ability to execute
* Demonstrated ability to develop a roadmap out of a large, unstructured space
* Strong written and verbal communication skills
**We Prefer**
* MBA degree and/or consulting experience
* Technically adjacent skills such as prior engineering or PM on technical product experience
* Experience working with legal and public policy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32">
      <c r="A132" t="inlineStr">
        <is>
          <t>li-4365142210</t>
        </is>
      </c>
      <c r="B132" t="inlineStr">
        <is>
          <t>Senior Product Manager</t>
        </is>
      </c>
      <c r="C132" t="inlineStr">
        <is>
          <t>Uplight</t>
        </is>
      </c>
      <c r="D132" t="inlineStr">
        <is>
          <t>linkedin</t>
        </is>
      </c>
      <c r="E132">
        <f>HYPERLINK("https://www.linkedin.com/jobs/view/4365142210", "https://www.linkedin.com/jobs/view/4365142210")</f>
        <v/>
      </c>
      <c r="F132" t="inlineStr"/>
      <c r="G132" t="inlineStr"/>
      <c r="H132" t="inlineStr"/>
      <c r="I132" t="inlineStr">
        <is>
          <t>**Description**
 Uplight is
 *creating a new category of energy* 
 . We make software that manages energy resources in homes and businesses—including things like smart thermostats, electric vehicles, solar panels, storage batteries, heat pumps, and even people’s behavior—to generate, shift, or save energy to balance the grid, making it more efficient and reliable. This creates clean energy capacity that can be used by the power grid instead of burning more fossil fuels. Our solutions accelerate the transition to clean energy and save money for energy customers
 We are seeking a
 **Senior Product Manager** 
 to join our team and oversee the Programs \&amp; Event Management capabilities within our Flex platform. This person will be responsible for the core user experience of our Edge DERMS, ensuring utility program managers and control room operators can seamlessly manage DR/VPP programs and dispatch resources at scale. This mission\-critical role focuses on operationalizing advanced grid functionalities within our event flows, with a relentless focus on platform stability and execution reliability. By building intuitive, error\-proof workflows for both our utility partners and internal operations teams, you will ensure our most sophisticated dispatch capabilities are scalable, resilient, and easy to use in real\-world grid operations.
**What You Get To Do**
* Develop and articulate a clear product strategy for our client and admin facing tools and products
* Collaborate closely with engineering and design to shape strategy \&amp; roadmap, prioritize the most valuable problems to solve, and launch MVPs to quickly validate hypotheses in that strategy
* Lead iterative product \&amp; design thinking to continuously measure, learn, and enhance user experience in our utility\-facing products
* Build a deep and data\-driven understanding of customer needs, pain points, and real\-life behaviors across programs.
* Drive user research with clients at every stage of product development
* Define, monitor, measure, analyze, and report on key metrics for your products
* Partner closely with Designer, Engineers, fellow PMs \&amp; User Researchers, Marketers, Account Managers and more across the business to align on core user problems (or JTBD) and uncover shared opportunities together.
* Champion a culture of continuous learning, feedback, and iteration.
**What You Bring To Uplight**
* 3\+ years experience leading product teams to understand highest value pain points, market opportunities, and delivering on them
* Excellent communication and storytelling skills, with an ability to clearly articulate your narrative to both technical and non\-technical, internal and external client audiences alike.
* Experience leading horizontal, multi\-team efforts around shared business goals or questions, embedding discovery throughout your process.
* A user\-first mindset that advocates for the pursuit of simple, elegant solutions, while balancing ambiguity and technical constraints.
* Growth\-minded and well\-versed in giving and receiving constructive feedback, with a commitment to collaborative problem\-solving.
* Experience building enterprise software (B2B and/or B2C).
* Note: This role must be located on the East Coast or committed to working East Coast timezone hours, for meaningful overlap with our teams in India
**Bonus Points**
* A deep curiosity for exploring responsible efficiency opportunities with AI.
* Comfortable jumping into complex technical domains with curiosity and humility.
* Experience working in multiple industries and/or in startup environments
* Fluency in Agile environments, meeting cadences, etc.
**Why Join Uplight in Leading the Fight Against Climate Change?**
 At Uplight, We're Not Just Offering a Job – We're Offering a Chance To Be Part Of The Solution To One Of The World's Biggest Challenges. As a Certified B Corporation, We're Deeply Committed To Both Social And Environmental Responsibility. Here's Why You Should Join Our Team Of Passionate Uplighters
* Make a Meaningful Impact: Your work directly impacts our mission of decarbonization and building a more sustainable future.
* Grow Your Career: We offer ample advancement opportunities, robust learning and development programs, and a supportive team environment that fosters collaboration and innovation.
* Thrive: We offer comprehensive benefits, including flexible time off, generous parental leave, a wellness stipend, and work flexibility to help you thrive both personally and professionally.
* Belong to an Inclusive Community: We celebrate diversity and foster an inclusive workplace where everyone feels respected, empowered, and heard. Our Employee Resource Groups offer opportunities to connect with colleagues who share your interests and backgrounds.
* Be Part of a Growing Movement: Join a team of dedicated individuals who are passionate about creating a more sustainable future. We offer a collaborative environment where your ideas are valued and your contributions recognized. Together, we can build a brighter tomorrow.
 To learn more about our comprehensive benefits package and other perks, visit uplight.com/careers
 Salary Range: $140,000\-$155,000 USD \+ Bonus
 Application Deadline: March 1, 2026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
*Uplight provides equal employment opportunities to all employees and applicants and prohibits discrimination and harassment of any type without regard to race (including hair texture and hairstyles), color, religion (including head coverings), age, sex, national origin, disability status, neurodivergence, genetics, protected veteran status, sexual orientation, gender identity or expression, or any other characteristic protected by federal, state or local laws.*</t>
        </is>
      </c>
    </row>
    <row r="133">
      <c r="A133" t="inlineStr">
        <is>
          <t>li-4361919534</t>
        </is>
      </c>
      <c r="B133" t="inlineStr">
        <is>
          <t>Product Manager, Payments</t>
        </is>
      </c>
      <c r="C133" t="inlineStr">
        <is>
          <t>Whatnot</t>
        </is>
      </c>
      <c r="D133" t="inlineStr">
        <is>
          <t>linkedin</t>
        </is>
      </c>
      <c r="E133">
        <f>HYPERLINK("https://www.linkedin.com/jobs/view/4361919534", "https://www.linkedin.com/jobs/view/4361919534")</f>
        <v/>
      </c>
      <c r="F133">
        <f>HYPERLINK("https://jobs.ashbyhq.com/whatnot/34379814-57e6-4e3c-8cb9-08b2c47a0630/application?utm_source=LinkedInJobWrapping&amp;urlHash=Sw6R", "https://jobs.ashbyhq.com/whatnot/34379814-57e6-4e3c-8cb9-08b2c47a0630/application?utm_source=LinkedInJobWrapping&amp;urlHash=Sw6R")</f>
        <v/>
      </c>
      <c r="G133" t="inlineStr">
        <is>
          <t>Seattle, WA</t>
        </is>
      </c>
      <c r="H133" t="inlineStr"/>
      <c r="I133"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We're looking for an experienced Product Manager, Payments to lead the strategy and execution of the core payments platform and experiences that underpin the Whatnot marketplace. You will own the systems that power how buyers pay, how sellers get paid, and how money moves through our ecosystem—processing billions in annual GMV across 50\+ categories and enabling payouts to tens of thousands of sellers globally.
 In this role, you will work across the full payments stack, from payment initiation and processing to payouts, refunds, financial data infrastructure, and incentive instruments. You will partner closely with Engineering, Design, Finance, Trust \&amp; Safety, Legal, CX, Operations, and other product teams to deliver capabilities that unlock growth while maintaining strong financial controls and managing risk.
 You will report to a VP of Product. Team members in this role are required to be within commuting distance of our New York, NY, San Francisco, CA, Seattle, WA, or Los Angeles, CA hubs.
**You Will**
* Own the product vision and roadmap for Payments, balancing short\-term wins with long\-term platform investments that support extremely fast growth and international expansion.
* Deeply understand stakeholder needs – from sellers managing their businesses to Finance teams closing monthly books to CX resolving refund disputes; and translate them into clear product strategies and scalable systems.
* Define and own core payments metrics including authorization rates, payout success, refund rates, processing costs, and financial accuracy. Use these to guide prioritization and measure impact.
* Drive execution across multiple workstreams, coordinating backend payments systems, payment integrations, and frontend UX while managing dependencies and timelines.
* Build the financial data foundation the business needs, including ledger systems that power internal reporting, seller transparency and tools they need, and accurate month\-end closes.
* Partner cross\-functionally with Finance, Legal, Trust \&amp; Safety, CX, and Operations to ensure compliance, manage risk appropriately, and support efficient operations at scale.
* Establish metrics and experimentation frameworks to validate performance, test new capabilities, and continuously improve outcomes for users and internal teams.
**What We’re Looking For**
* 10\+ years of product management experience with significant focus on payments products and platforms (card/alternative payments, payouts, refunds, chargebacks, ledger systems).
* Proven experience owning high\-volume, mission\-critical payments systems at marketplace, fintech or platform companies, including deep familiarity with processors like Stripe, Braintree, Adyen, or similar.
* Strong product leadership, including setting strategy, influencing cross\-functional partners, and driving complex initiatives from 0→1 and 1→N.
* Deep understanding of financial data, reconciliation, and reporting, particularly supporting Finance, Accounting, and month\-end close processes in high\-transaction\-volume environments.
* Demonstrated ability to work in ambiguous, fast\-paced environments, making sound decisions with imperfect information and balancing speed with risk and quality.
* Proven track record using data and experimentation to inform product decisions, measure impact, and iterate on complex systems.
* Strong product discovery and execution skills, translating multi\-stakeholder problems into clear requirements and simple, intuitive experiences.
* Excellent cross\-functional communication, with experience partnering closely with Engineering, Design, Finance, Legal, CX/Ops, and risk\-oriented teams.
* High empathy for users and stakeholders, with passion for building trustworthy, transparent financial experiences.
* Nice to have: Experience in a marketplace or multi\-sided platform where payments, incentives, and marketplace dynamics are tightly coupled.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$320K</t>
        </is>
      </c>
    </row>
    <row r="134">
      <c r="A134" t="inlineStr">
        <is>
          <t>li-4365160394</t>
        </is>
      </c>
      <c r="B134" t="inlineStr">
        <is>
          <t>Senior Product Manager</t>
        </is>
      </c>
      <c r="C134" t="inlineStr">
        <is>
          <t>Signifyd</t>
        </is>
      </c>
      <c r="D134" t="inlineStr">
        <is>
          <t>linkedin</t>
        </is>
      </c>
      <c r="E134">
        <f>HYPERLINK("https://www.linkedin.com/jobs/view/4365160394", "https://www.linkedin.com/jobs/view/4365160394")</f>
        <v/>
      </c>
      <c r="F134" t="inlineStr"/>
      <c r="G134" t="inlineStr">
        <is>
          <t>New York, NY</t>
        </is>
      </c>
      <c r="H134" t="inlineStr"/>
      <c r="I134" t="inlineStr">
        <is>
          <t>At Signifyd, we help merchants confidently grow their businesses by building trusted relationships with their customers. Our advanced technology, combined with a team genuinely invested in our clients' success, creates frictionless shopping experiences, approving more good orders, protecting revenue, and keeping customers happy.
 Trusted by thousands of leading merchants across more than 100 countries, we securely process billions of transactions each year. Our people are the heart of everything we do, driving our mission forward with commitment, empathy, and creativity. Join us on our mission to empower fearless commerce by helping online retailers provide superior customer experiences and eliminate fraud. Learn about our company values here!
 At Signifyd, we empower businesses to thrive in digital commerce by eliminating fraud and enabling seamless customer experiences. Our mission is to build trust at every step of the customer journey — from checkout through post‑purchase.
 Signifyd AI Lab (SAIL) is our applied AI and machine‑learning innovation group. SAIL partners closely with Risk, Engineering, and Data Science to develop and productionize next‑generation decisioning techniques that materially improve fraud outcomes, automation, and customer experience across Signifyd's platform.
**The Role:**
 We are looking for a
 **Senior AI Product Manager** 
 to work with
 **SAIL** 
 , owning the path from experimentation to real‑world impact for advanced AI and ML initiatives.
 This role sits at the intersection of
 **applied research, productization, and business impact** 
 . You will help turn cutting‑edge models and techniques into outcomes that Risk teams can trust, Engineering teams can scale, and customers can ultimately benefit from.
 The ideal candidate is deeply comfortable with ambiguity, understands how to translate model performance into business value, and can drive alignment across Data Science, Engineering, Risk, and GTM without slowing momentum.
 This is not a feature PM role. It is a
 **systems‑ and outcomes‑oriented role** 
 , focused on decisioning quality, scalability, cost, latency, and downstream impact.
**Responsibilities:**
**Create Clarity on Impact \&amp; Outcomes**
* Translate experimental and model‑level results into clear business impact (e.g., fraud loss reduction, automation lift, approval‑rate improvements, operational efficiency).
* Define what "success" means for each AI technique or model before it reaches production.
* Frame why the work matters to internal stakeholders including Risk, Customer Success, Sales, Finance, and Executive Leadership.
**Own the Path from Experimentation to Production**
* Partner with Data Science to move models from offline experimentation to online testing and controlled rollout.
* Help define evaluation frameworks, guardrails, and decision thresholds required for production use.
* Ensure trade‑offs (accuracy, latency, cost, operational complexity) are explicit and intentional.
**3Drive Cross‑Functional Alignment**
* Act as the primary product interface between SAIL, Risk, and Engineering.
* Ensure there is a predictable process for ramping traffic, managing risk approvals, and resolving blockers.
* Secure engineering capacity and infrastructure alignment by grounding asks in committed outcomes and timelines.
**Build the "Path to Customer" for New AI Capabilities**
* Identify which customer segments or merchants are realistic early adopters for new decisioning approaches.
* Define the value story: what problem is solved, how success is measured, and what changes operationally for the customer.
* Partner with Customer Success to estimate upside, prerequisites, and deployment complexity.
**Execution, Communication, and Accountability**
* Maintain a clear view of milestones, dependencies, risks, and decisions across active SAIL initiatives.
* Keep stakeholders informed with the right level of detail to sustain momentum without over‑communicating.
* Ensure experimental work does not stall due to ambiguity, misalignment, or lack of ownership.
**What You'll Work On (Examples)**
 While exact projects will evolve, this role will typically involve:
* Translating advanced AI and ML experiments into clear product narratives and deployment plans.
* Defining how new decisioning approaches integrate into existing systems, workflows, and risk controls.
* Helping standardize evaluation, comparison, and rollout criteria across different modeling approaches.
* Aligning model innovation with infrastructure realities such as cost budgets, latency constraints, and scalability requirements.
* Ensuring internal teams understand what SAIL is building, when it will matter, and how it will show up for customers.
**Requirements:**
* 6\+ years of Product Management experience, with significant exposure to AI‑ or ML‑driven products.
* Proven experience working closely with Data Science and Engineering on model‑centric systems.
* Strong ability to translate technical performance into business and customer outcomes.
* Comfort operating in highly ambiguous, fast‑moving environments.
* Excellent written and verbal communication skills across technical and non‑technical audiences.
* Strong sense of ownership, judgment, and bias toward action.
**Nice to have:**
* Experience with decisioning systems, risk models, or large‑scale ML platforms.
* Familiarity with model evaluation, experimentation frameworks, and feedback loops.
* Experience working in fraud, risk, trust \&amp; safety, or operationally‑constrained environments.
* Background in scaling early or experimental products into production systems.
**Benefits in our US offices:**
* Discretionary Time Off Policy (Unlimited!)
* 401K Match
* Stock Options
* Annual Performance Bonus or Commissions
* Paid Parental Leave (12 weeks)
* On\-Demand Therapy for all employees \&amp; their dependents
* Dedicated learning budget through Learnerbly
* Health Insurance
* Dental Insurance
* Vision Insurance
* Flexible Spending Account (FSA)
* Short Term and Long Term Disability Insurance
* Life Insurance
* Company Social Events
* Signifyd Swag
**Compensation:**
*In the United States, each work location is assigned a specific pay zone, which determines the salary range for a given position. The starting base salary for the selected candidate will be based on a variety of factors, including job\-related skills, experience, qualifications, geographic location, and current market conditions.*
**Base Salary Ranges by Pay Zone:**
* Tier 1 (NYC/SF Bay Area/Seattle): $165,000 – $205,000 annually
* Tier 2 (DC Metro/Austin/Chicago/Denver/Boston/Los Angeles/San Diego): $155,000 – $195,000 annually
* Tier 3 (US \- All Other): $145,000 – $185,000 annually
**Equity:** 
 This role is eligible for a stock option grant of 6,000\-8,000 stock options, based on the position level and internal compensation guidelines.
**Bonus:** 
 This role is eligible for an annual performance bonus of up to 10% of base salary.
 We want to provide an inclusive interview experience for all, including people with disabilities. We are happy to provide reasonable accommodations to candidates in need of individualized support during the hiring process.
 Signifyd's Applicant Privacy Notice</t>
        </is>
      </c>
    </row>
    <row r="135">
      <c r="A135" t="inlineStr">
        <is>
          <t>li-4365159462</t>
        </is>
      </c>
      <c r="B135" t="inlineStr">
        <is>
          <t>AI Product Manager</t>
        </is>
      </c>
      <c r="C135" t="inlineStr">
        <is>
          <t>Scale AI</t>
        </is>
      </c>
      <c r="D135" t="inlineStr">
        <is>
          <t>linkedin</t>
        </is>
      </c>
      <c r="E135">
        <f>HYPERLINK("https://www.linkedin.com/jobs/view/4365159462", "https://www.linkedin.com/jobs/view/4365159462")</f>
        <v/>
      </c>
      <c r="F135" t="inlineStr"/>
      <c r="G135" t="inlineStr"/>
      <c r="H135" t="inlineStr"/>
      <c r="I135" t="inlineStr">
        <is>
          <t>Scale is at the forefront of enabling Machine Learning across multiple industries including Generative AI and self\-driving cars. AI Product Managers lead technical partnerships with researchers at our biggest customers, offer actionable insights, and build frontier data sets that push the boundaries of model development using Scale’s data engine.As an AI Product Manager, you will work with Scale’s most important customers and their leading researchers to push the boundaries of AI models and influence both internal and external roadmaps. This will generally involve a combination of go\-to\-market, technical stakeholder management, product management, and operations work. The ideal candidate has a strong entrepreneurial mindset and is comfortable getting in front of technical stakeholders to drive “must\-win” outcomes.You will:
* Lead cross\-functional initiatives with diverse ducts or enhance existing ones to fulfill the needs of strategic customers (Engineering \+ Ops \+ Go to Market)
* Build technical partnerships with AI researchers and product teams, and lead the development of new data strategies to advance model development
* Drive overall strategy and offer actionable market, competitive, and data insights for strategic customers
* Experiment and develop frontier data sets that push the boundaries of AI model development
 Ideally, you’d have:
* Entrepreneurial experience and mindset \- you are excited about building things from scratch
* Strong software engineering background (a degree in computer science or equivalent experience) \- the role will involve some coding, and you should be prepared for that
* 8\+ years of experience in a customer\-facing and product\-facing role
* Excited to do intense, high\-impact work (you should be prepared to work long weeks when necessary)
* Experience working on operational problems
* Ability to solve difficult problems in high\-stakes environments. This will usually involve getting into the weeds to ensure the success of “must\-win” projects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$237,600—$297,000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36">
      <c r="A136" t="inlineStr">
        <is>
          <t>li-4355250819</t>
        </is>
      </c>
      <c r="B136" t="inlineStr">
        <is>
          <t>Product Manager, Clearing Platform</t>
        </is>
      </c>
      <c r="C136" t="inlineStr">
        <is>
          <t>Robinhood</t>
        </is>
      </c>
      <c r="D136" t="inlineStr">
        <is>
          <t>linkedin</t>
        </is>
      </c>
      <c r="E136">
        <f>HYPERLINK("https://www.linkedin.com/jobs/view/4355250819", "https://www.linkedin.com/jobs/view/4355250819")</f>
        <v/>
      </c>
      <c r="F136" t="inlineStr"/>
      <c r="G136" t="inlineStr">
        <is>
          <t>New York, NY</t>
        </is>
      </c>
      <c r="H136" t="inlineStr"/>
      <c r="I136"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Clearing Platform Team is a part of Brokerage Platform and is responsible for the post trade services that power Robinhood’s self\-clearing broker dealer. The domain owned by the team is large and varied including brokerage functions like clearing, settlement, books and records, asset servicing, and trade reporting. As a Product Manager on the Clearing Platform team, you will be tasked with owning a strategy to constantly improve these core areas as well as build net new functionality to support the launch of customer facing products. You’ll be responsible for leading teams to develop products that improve the everyday lives of our customers. You’ll work with experts in data, design, engineering, marketing, operations, and research to bring ideas to life that will help us democratize our financial system.
 As a part of the larger Brokerage Platform team, you will work closely with product and business stakeholders across all of Robinhood to deliver new products that democratize our financial system and delight our users. You will champion the Clearing Platform’s priorities and own a roadmap that supports the overall Robinhood Brokerage strategy. Finally, you will work closely with partners in engineering, data science, and operations, to deliver, scale, and maintain our critical clearing and settlement systems.
**This role is based in our Menlo Park, CA, New York, NY, or Chicago, IL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Lead a product team across engineering, post trade operations, data science, design, and research focused on optimizing and expanding our clearing services.
* Establish a product vision and shared set of priorities for the team that align with Robinhood’s mission and the goals of the larger Brokerage organization.
* Deliver efficient and scalable solutions that help engineering, operations, and other stakeholders manage all aspects of post trade activity.
* Work cross\-functionally to ship high\-impact features that increase efficiency and improve customers’ experience.
 What you bring
* 4\+ years of direct product management experience building high\-quality platform products
* 5\+ years of experience in brokerage, market\-making, or institutional trading
* Familiarity using research, experimentation and product analytics to connect platform decision making with customer experience
* Ability to focus on a problem at hand while thoughtfully considering overarching company strategy
* Openness to all solutions and ability to build conviction in a solution based on evidence
* Passion for financial products and improving people’s financial lives
* Bachelor’s or Master's degree, or equivalent practical experience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wallet—a flexible benefits account for wellness, learning, and more
* Employer\-paid life \&amp; disability insurance, fertility benefits, and mental health support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**Base Pay Range**
 Toronto, ON
 $131,750—$155,000 CAD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37">
      <c r="A137" t="inlineStr">
        <is>
          <t>li-4362107753</t>
        </is>
      </c>
      <c r="B137" t="inlineStr">
        <is>
          <t>Staff Product Manager</t>
        </is>
      </c>
      <c r="C137" t="inlineStr">
        <is>
          <t>Ferrum Health</t>
        </is>
      </c>
      <c r="D137" t="inlineStr">
        <is>
          <t>linkedin</t>
        </is>
      </c>
      <c r="E137">
        <f>HYPERLINK("https://www.linkedin.com/jobs/view/4362107753", "https://www.linkedin.com/jobs/view/4362107753")</f>
        <v/>
      </c>
      <c r="F137" t="inlineStr"/>
      <c r="G137" t="inlineStr"/>
      <c r="H137" t="inlineStr"/>
      <c r="I137" t="inlineStr">
        <is>
          <t>Ferrum is seeking a Staff Product Manager to join our team. This role will be cross\-functional, and you will work with Ferrum’s engineering and commercial teams to maintain and improve the Ferrum platform and supporting enterprise applications.
 Must Have Traits
 You think healthcare can be better, and want to have an impact in the industry. Ferrum’s team is first and foremost, mission driven. Our mission is to help hospital systems use AI to improve patient care, and the work that you do will ultimately impact patient lives.
 You are adept at cross\-functional leadership. Ferrum is a high growth, venture\-backed, fast\-paced startup. This means that while the team members we’re hiring will fully own their functions, we expect them to understand adjacent roles and responsibilities and be able to integrate into the team. To this end, we believe that a successful Product Manager will have a strong grasp of the role, win conditions, and challenges of adjacent roles such as clinical accounts, sales, marketing, and vendor partnerships.
 You are an out of the box thinker. In a fast paced startup environment, much of our success hinges on our ability to think differently from competitors, counter\-position, outmaneuver, iterate rapidly, and present compelling messaging that differentiates us from the pack.
 What You’ll Be Doing
* Own and prioritize the product roadmap for the Ferrum Platform and Enterprise Applications
* Own the successful development and launch of new Ferrum product features
* Lead user requirements gathering, feature scoping and ideation, writing user stories, and backlog prioritization
* Lead sprint planning, sprint management and prioritization, release management, and sprint retrospectives
* Continually align with marketing and sales to ensure that external messaging is aligned with product direction and value proposition
* Continually align with AI partnerships to ensure that the product roadmap supports future vendor needs
* Continually align with clinical account team to ensure that customer feedback and needs are incorporated into the product roadmap
 Required Experience
* 7\+ years of experience as a Product Manager, preferably in healthcare or complex enterprise products
* Creating and prioritizing a strategic product roadmap with multiple product areas
* User research, needs finding, translating insights into product requirements and features
* Creating wireframes and mockups to communicate product features
* Managing agile product development processes \- user story writing, feature scoping, backlog management and prioritization, sprint planning, sprint management, and retrospectives
* Strong verbal and written communication that effectively conveys an issue, solution, or point of view and prompts action
 Highly Preferred
* Domain knowledge of the healthcare and hospital industry through past work or formal education, with a focus on radiology
* Familiarity with hospital information systems, such as the PACS, RIS, or EHR
* Familiarity with machine learning applications, use cases, and limitations
* Familiarity with Jira
* Experience at a startup at the Seed stage through Series B
 While Ferrum is a remote team, candidate must be based in the United States. Benefits include a 401k and health, vision, and dental insurance.</t>
        </is>
      </c>
    </row>
    <row r="138">
      <c r="A138" t="inlineStr">
        <is>
          <t>li-4362097891</t>
        </is>
      </c>
      <c r="B138" t="inlineStr">
        <is>
          <t>Product Manager, Measurement (Experimentation)</t>
        </is>
      </c>
      <c r="C138" t="inlineStr">
        <is>
          <t>TikTok</t>
        </is>
      </c>
      <c r="D138" t="inlineStr">
        <is>
          <t>linkedin</t>
        </is>
      </c>
      <c r="E138">
        <f>HYPERLINK("https://www.linkedin.com/jobs/view/4362097891", "https://www.linkedin.com/jobs/view/4362097891")</f>
        <v/>
      </c>
      <c r="F138" t="inlineStr"/>
      <c r="G138" t="inlineStr">
        <is>
          <t>San Jose, CA</t>
        </is>
      </c>
      <c r="H138" t="inlineStr"/>
      <c r="I138" t="inlineStr">
        <is>
          <t>**Responsibilities**
 About the team
 TikTok's Measurement Product team builds experimentation products that help marketers and brands realize their true business value generated by TikTok and across all of their paid channels. Our team drives innovation and performance across our advertising platform by working with cross\-functional teams across the globe on products that touch millions of advertisers. We're looking for a Product Manager to continue building our experimentation infrastructure and measurement products.
 Responsibilities
 \- Set the vision, develop the roadmap, build and launch measurement products that help advertisers meet their goals and see their true business value generated by TikTok
 \- Collaborate with senior leaders and cross\-functional teams, including Engineering, Data Science, and Product Marketing, to define priorities and execute shared goals for measurement products.
 \- Own the underlying experimentation infrastructure and methodology, from randomization to inference methods
 \- Define success metrics and analyze data to inform product strategy and prioritization
 \- Write all technical specs and product requirements for development
**Qualifications**
 Minimum Qualifications:
 \- Bachelor's degree or higher with a major in a quantitative field such as Statistics, Economics, and Social Sciences or equivalent science/technical field is preferred
 \- 3\+ years of experience in product management, having taken one or more internet products through the full product cycle, from requirements to launch
 \- Knowledge of causal inference and experimental design, as well as the broader measurement ecosystem
 \- Experience defining vision, strategy and roadmap for a software product
 \- Experience in ads monetization business and ecosystem
 \- Experience working with data teams and external partners to build measurement models and frameworks
 Preferred Qualifications
 \- Deep understanding of ad tech and the measurement space, including direct response and brand advertising
 \- PhD in a quantitative field such as statistics, economics or social sciences, or MS/MA degree with 2\+ years of experience in advanced ads measurement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$246400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39">
      <c r="A139" t="inlineStr">
        <is>
          <t>li-4365145359</t>
        </is>
      </c>
      <c r="B139" t="inlineStr">
        <is>
          <t>Sr. Product Manager</t>
        </is>
      </c>
      <c r="C139" t="inlineStr">
        <is>
          <t>AppFolio</t>
        </is>
      </c>
      <c r="D139" t="inlineStr">
        <is>
          <t>linkedin</t>
        </is>
      </c>
      <c r="E139">
        <f>HYPERLINK("https://www.linkedin.com/jobs/view/4365145359", "https://www.linkedin.com/jobs/view/4365145359")</f>
        <v/>
      </c>
      <c r="F139" t="inlineStr"/>
      <c r="G139" t="inlineStr">
        <is>
          <t>Dallas, TX</t>
        </is>
      </c>
      <c r="H139" t="inlineStr"/>
      <c r="I139" t="inlineStr">
        <is>
          <t>**Description**
 AppFolio is more than a company. We’re a community of dreamers, big thinkers, problem solvers, active listeners, and multipliers. At every opportunity, we set the pace while delivering innovation built to carry real estate into the future. One in which every experience feels effortless, yet meaningful. Where customers are empowered to take on any opportunity. We show up as one team, connected by our values to be a force for good. Because together, we have the power to create extraordinary outcomes for our customers, our communities, and ourselves.
 The Resident Services Platform Product Manager will make the moving experience easier for millions of residents, by building the foundation for one of our newest and fastest growing product areas, resident onboarding services. You will own developing the foundation to scale an early\-stage product to millions of users in a new industry segment.
 Your impact
* Contribute to building and delivering the vision, strategy, and product roadmap for the technical foundation of our resident services platform
* Leads initiatives that drive significant growth and are highly visible across the organization
* Inspire and motivate a team of engineers to achieve ambitious outcomes, removing obstacles along the way
* Dive deep into the technical details of our partnership integrations and infrastructure stack, mastering their intricacies to make identify opportunities to drive future growth
* Make tradeoff decisions based on technical and business insights and experimentation
* Clearly communicate product plans and shape Appfolio’s broader resident strategy by leading through influence and collaborating with other product and business leaders across the organization
**Qualifications**
* 5\+ years of product management experience building a best\-in\-class product
* Nice to have:
* World\-class product sense: you have strong intuition and know when to trust your gut and when to get more data
* High agency: you consistently overcome obstacles, bounce back from setbacks, and take initiative to get things done
* Exceptional technical acumen: you guide sound technical decision\-making, bridging engineering and non\-technical stakeholders to drive strong cross\-functional alignment.
* Stellar communication: you have a knack for storytelling, can distill complex ideas into a digestible narrative, and understand that 90% communication is listening
* Ruthless prioritization: you create of focus and clarity for the team on long\-term initiatives that are aligned to customer and business outcomes
* Outstanding analytical skills: you are comfortable integrating both qualitative and quantitative data into your decision\-making
 Location
 Find out more about our locations by visiting our site.
**Compensation \&amp; Benefits**
 The compensation that we reasonably expect to pay for this role is: $138,400 \- $173,000 \[base pay].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40">
      <c r="A140" t="inlineStr">
        <is>
          <t>li-4330684076</t>
        </is>
      </c>
      <c r="B140" t="inlineStr">
        <is>
          <t>Senior Product Manager, YouTube Shopping</t>
        </is>
      </c>
      <c r="C140" t="inlineStr">
        <is>
          <t>Google</t>
        </is>
      </c>
      <c r="D140" t="inlineStr">
        <is>
          <t>linkedin</t>
        </is>
      </c>
      <c r="E140">
        <f>HYPERLINK("https://www.linkedin.com/jobs/view/4330684076", "https://www.linkedin.com/jobs/view/4330684076")</f>
        <v/>
      </c>
      <c r="F140" t="inlineStr"/>
      <c r="G140" t="inlineStr">
        <is>
          <t>San Bruno, CA</t>
        </is>
      </c>
      <c r="H140" t="inlineStr"/>
      <c r="I140" t="inlineStr">
        <is>
          <t>**Minimum qualifications:**
* Bachelor's degree or equivalent practical experience.
* 8 years of experience in product management or related technical role.
* 3 years of experience taking technical products from conception to launch.
* Experience in the domain of social commerce, influencer marketing, video commerce, or digital advertising.
**Preferred qualifications:**
* Master’s degree or PhD in a technology or business related field.
* 5 years of experience in a business function or role (e.g., marketing, business operations, consulting).
* 5 years of experience working cross\-functionally with engineering, UX/UI, business, finance, and other stakeholders.
* 4 years of experience in a role preparing and delivering technical presentations to executive leadership.
* Experience building global products with region\-specific considerations including localization, market nuances, and user behavior differences.
* Experience with affiliate marketing, influencer platforms or other creator business growth products.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Product Manager lead for analytics and conversion tracking, you will own the strategy for how merchants understand their ROI on YouTube and build the foundational capabilities of conversion tracking and invoicing that allow the ecosystem to generate business.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overall strategy and product roadmap for building creator and merchant collaboration on YouTube shopping.
* Collaborate with cross\-functional teams (e.g., engineering, UX, PR, marketing and legal) to define product requirements, user stories, and user flows.
* Understand markets and user requirements.
* Launch new products and features, test their performance, and iterate quickly.
* Foster relationships with cross\-functional teams, stakeholders and customers spanning across geographies, and communicate the strategy and roadmap effectively.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1">
      <c r="A141" t="inlineStr">
        <is>
          <t>li-4365153034</t>
        </is>
      </c>
      <c r="B141" t="inlineStr">
        <is>
          <t>Sr. Product Manager</t>
        </is>
      </c>
      <c r="C141" t="inlineStr">
        <is>
          <t>AppFolio</t>
        </is>
      </c>
      <c r="D141" t="inlineStr">
        <is>
          <t>linkedin</t>
        </is>
      </c>
      <c r="E141">
        <f>HYPERLINK("https://www.linkedin.com/jobs/view/4365153034", "https://www.linkedin.com/jobs/view/4365153034")</f>
        <v/>
      </c>
      <c r="F141" t="inlineStr"/>
      <c r="G141" t="inlineStr">
        <is>
          <t>San Francisco, CA</t>
        </is>
      </c>
      <c r="H141" t="inlineStr"/>
      <c r="I141" t="inlineStr">
        <is>
          <t>**Description**
 AppFolio is more than a company. We’re a community of dreamers, big thinkers, problem solvers, active listeners, and multipliers. At every opportunity, we set the pace while delivering innovation built to carry real estate into the future. One in which every experience feels effortless, yet meaningful. Where customers are empowered to take on any opportunity. We show up as one team, connected by our values to be a force for good. Because together, we have the power to create extraordinary outcomes for our customers, our communities, and ourselves.
 The Resident Services Platform Product Manager will make the moving experience easier for millions of residents, by building the foundation for one of our newest and fastest growing product areas, resident onboarding services. You will own developing the foundation to scale an early\-stage product to millions of users in a new industry segment.
 Your impact
* Contribute to building and delivering the vision, strategy, and product roadmap for the technical foundation of our resident services platform
* Leads initiatives that drive significant growth and are highly visible across the organization
* Inspire and motivate a team of engineers to achieve ambitious outcomes, removing obstacles along the way
* Dive deep into the technical details of our partnership integrations and infrastructure stack, mastering their intricacies to make identify opportunities to drive future growth
* Make tradeoff decisions based on technical and business insights and experimentation
* Clearly communicate product plans and shape Appfolio’s broader resident strategy by leading through influence and collaborating with other product and business leaders across the organization
**Qualifications**
* 5\+ years of product management experience building a best\-in\-class product
* Nice to have:
* World\-class product sense: you have strong intuition and know when to trust your gut and when to get more data
* High agency: you consistently overcome obstacles, bounce back from setbacks, and take initiative to get things done
* Exceptional technical acumen: you guide sound technical decision\-making, bridging engineering and non\-technical stakeholders to drive strong cross\-functional alignment.
* Stellar communication: you have a knack for storytelling, can distill complex ideas into a digestible narrative, and understand that 90% communication is listening
* Ruthless prioritization: you create of focus and clarity for the team on long\-term initiatives that are aligned to customer and business outcomes
* Outstanding analytical skills: you are comfortable integrating both qualitative and quantitative data into your decision\-making
 Location
 Find out more about our locations by visiting our site.
**Compensation \&amp; Benefits**
 The compensation that we reasonably expect to pay for this role is: $138,400 \- $173,000 \[base pay].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42">
      <c r="A142" t="inlineStr">
        <is>
          <t>li-4355211055</t>
        </is>
      </c>
      <c r="B142" t="inlineStr">
        <is>
          <t>Principal Product Manager, White Label</t>
        </is>
      </c>
      <c r="C142" t="inlineStr">
        <is>
          <t>Upstart</t>
        </is>
      </c>
      <c r="D142" t="inlineStr">
        <is>
          <t>linkedin</t>
        </is>
      </c>
      <c r="E142">
        <f>HYPERLINK("https://www.linkedin.com/jobs/view/4355211055", "https://www.linkedin.com/jobs/view/4355211055")</f>
        <v/>
      </c>
      <c r="F142" t="inlineStr"/>
      <c r="G142" t="inlineStr"/>
      <c r="H142" t="inlineStr"/>
      <c r="I142"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As Principal Product Manager, White Label at Upstart, you will lead the creation of a new white label business that we expect to be our primary growth engine into 2027 and beyond. This is a foundational role with outsized impact on Upstart’s long\-term growth.
 Upstart White Label enables some of the largest consumer banks in the U.S. to offer Upstart’s industry\-leading borrower experience, automated decisioning, and capital markets partnerships under their own brand, while preserving the direct relationship between bank and borrower.
 We will begin by white\-labeling Upstart HELOC. Today, \~90% of HELOC borrowers originate through banks. A white\-labeled HELOC allows us to meet borrowers where they already are, while delivering meaningful differentiation: closing in \~7 days (vs. a 30\-day industry average) and offering fixed\-rate HELOCs (vs. the industry standard of variable rates) and half the cost of origination. This initial product lays the groundwork for extending white label across additional Upstart products over time.
**How You’ll Make An Impact**
* Define and launch a new line of business: Lead end\-to\-end discovery to understand what it takes for Upstart to stand up a successful white label offering. Become the subject\-matter expert for launching an initial V1 with a small set of core customers, then partner with Solutions Engineering to scale requirements gathering.
* Deliver a successful V1 white\-labeled HELOC: Own product strategy, scope, and sequencing to ensure the initial offering meets partner bank needs while being extensible across future Upstart products and lending verticals.
* Enable bank demand and distribution: Partner with bank stakeholders to support demand generation across digital and in\-branch channels, ensuring the product fits naturally into existing bank customer journeys.
* Power effective go\-to\-market: Equip Sales and Account Management with the product, messaging, and tooling they need to successfully sell, launch, and scale white\-labeled offerings.
* Own the borrower experience end\-to\-end: Ensure a seamless borrower experience despite interaction across both bank\-branded and Upstart\-powered applications, workflows, and UX.
* Reduce borrower friction: Work closely with the Verifications team to deeply understand each step in the application flow, challenge assumptions, and strategically streamline or eliminate unnecessary friction.
* Define operational visibility for banks: Determine how partner banks should monitor application status, performance, and outcomes in a white\-labeled environment.
**Minimum Qualifications**
* 8\+ years of product management experience on fast\-moving, customer\-obsessed teams.
* Demonstrated ability to drive business outcomes through a strong balance of quantitative metrics and qualitative insight. You are pragmatic about data, comfortable making decisions with imperfect information, and have well\-calibrated risk judgment.
* Strong product sense with experience authoring and executing multi\-quarter roadmaps, and living with the downstream consequences of those decisions.
* Rigorous, analytical problem solver with clear, concise, and persuasive communication skills.
* Ownership and growth mindset. You act like an owner, are confident yet humble, open to being wrong, and constantly seeking to improve both yourself and your team.
**Preferred Qualifications** 
* 
+ Prior 0→1 product experience, ideally as a product lead.
+ Experience building B2B or enterprise software, particularly in partnership\-driven or platform\-based businesses.
**Position location** 
 This role is available in the following locations: Remote \[
 *A specific city/location is not required if the role does not have an in\-person requirement]*
**Time zone requirements** 
 The team operates on the East/West coast time zones. \[
 *Only use this section if there are specific time zone requirements that this role must work in; if the role is remote\-US or can work in any timezone in the US, please remove this section.]*
**\[OPTIONAL] In\-Office requirements.** 
 You will be required to work from the {insert location} office x days per week/month.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 \&gt; use for internships
* \&gt; use for new graduate roles, L1, L2
* \&gt; use for L3, L4
* \&gt; use for L5, L6
* \&gt; use for L7
* \&gt; use for L8\+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$187,900—$260,000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43">
      <c r="A143" t="inlineStr">
        <is>
          <t>li-4365149271</t>
        </is>
      </c>
      <c r="B143" t="inlineStr">
        <is>
          <t>Founding Product Manager</t>
        </is>
      </c>
      <c r="C143" t="inlineStr">
        <is>
          <t>Reacher</t>
        </is>
      </c>
      <c r="D143" t="inlineStr">
        <is>
          <t>linkedin</t>
        </is>
      </c>
      <c r="E143">
        <f>HYPERLINK("https://www.linkedin.com/jobs/view/4365149271", "https://www.linkedin.com/jobs/view/4365149271")</f>
        <v/>
      </c>
      <c r="F143" t="inlineStr"/>
      <c r="G143" t="inlineStr"/>
      <c r="H143" t="inlineStr"/>
      <c r="I143" t="inlineStr">
        <is>
          <t>**About Reacher** 
 Reacher is a YC backed AI SaaS platform building the operating system for TikTok Shop brands and creators. We’re backed by Y Combinator, Pioneer Fund, Rebel Fund, and operators including Steve Huffman (CEO of Reddit), Matteo Franceschetti (CEO of Eight Sleep), Theo Browne (t3\.gg), Kulveer Taggar (Zeus Living), and Jake Mintz (Bump). We have years of runway and are scaling fast with some of the biggest brands in the world (UnderArmour, Hanes, Logitech, Goli)
 This is a highly execution driven PM role, you’ll report directly to the founder and CEO. We’re not looking for a “vision only” product manager. We’re looking for someone who ships, owns outcomes, and can run multiple product lines at once.
**What you’ll do** 
* Own several product surfaces and initiatives from discovery through launch and iteration
* Turn company strategy and enterprise customer problems into a clear, buildable roadmap
* Establish success metrics and make sure shipped features actually move those numbers
* Speak with customers weekly to uncover buying friction, adoption issues, and trust gaps
* Convert noisy, qualitative feedback into sharp product decisions and priorities
* Write tight, actionable specs that optimize for speed without sacrificing clarity
* Analyze product usage and customer data to drive informed, data backed decisions
* Act as the owner of Linear by enforcing structure, improving process, and keeping teams unblocked
* Run releases end to end, including QA, coordination, and clear cross team communication
* Maintain a high bar for quality, reliability, and pace of delivery
* Surface bottlenecks, misalignment, and process issues early and resolve them quickly
* Own product reporting and regularly update the CEO and key stakeholders
**What you’ll work on** 
 You’ll be hands on across multiple product lines at Reacher, with clear ownership over a few core surfaces. This is a 0 to 1 role building new products while scaling existing ones.
 You’ll work across:
* Our core TikTok Shop creator discovery and nurturing platform used by enterprise brands
* Our video intelligence stack, including creative analysis and model training workflows
* Our creator facing products and tools used by high GMV TikTok creators
 These products are built with ML engineers, infrastructure teams, TikTok Shop strategists, and industry veterans. You’ll help define what to build, why it matters, and how it ships.
 Your customers include enterprise brands like Under Armour, Hanes, Logitech, and Goli, as well as top performing TikTok creators driving meaningful GMV. Build products that real problems, scale fast, and grow Reacher more than 5x in the next year.
**What we’re looking for** 
* Strong execution focused product manager with startup experience preferred
* Comfortable owning multiple projects at once in a fast moving environment
* High agency and bias toward action
* Excellent written and verbal communicator
* Comfortable making decisions with imperfect data
* Technical fluency: you don’t need to write production code, but you can use Cursor, write SQL, and engage deeply in technical discussions
**What Reacher values** 
* You genuinely love working hard and moving fast
* You are extremely competitive and want to win
* You care about your health and take advantage of wellness benefits
* You enjoy traveling globally for work (China, Korea, UK, and more)
* You speak your mind and challenge ideas, including leadership
* You’re excited to work with world class, household name brands
* You like having fun with your team, both in and outside the office
**This role is not for you if** 
* You struggle with communication
* You’re uncomfortable with ambiguity
* You have low ownership or low agency
* You want a remote role. We are in office in San Francisco
* You need perfect data before making decisions
**Compensation** 
* Salary: $140,000 to $170,000
* Equity: 0\.1 \- 0\.75%
**Benefits \&amp; perks** 
* Daily meals provided in office (lunch and dinner at 6:30pm)
* 401k
* Unlimited PTO
* Relocation stipend for moving to San Francisco
* Wellness and fitness benefits, including a company covered gym membership
* Monthly team wellness or fitness activities
* $500 technology stipend for equipment
* Top tier equipment, including MacBook Pro or Air depending on role
* Additional professional equipment provided as needed</t>
        </is>
      </c>
    </row>
    <row r="144">
      <c r="A144" t="inlineStr">
        <is>
          <t>li-4362069735</t>
        </is>
      </c>
      <c r="B144" t="inlineStr">
        <is>
          <t>Sr. Product Manager, Consumer Product - Spotlight Listings &amp; Agent Directory</t>
        </is>
      </c>
      <c r="C144" t="inlineStr">
        <is>
          <t>Realtor.com</t>
        </is>
      </c>
      <c r="D144" t="inlineStr">
        <is>
          <t>linkedin</t>
        </is>
      </c>
      <c r="E144">
        <f>HYPERLINK("https://www.linkedin.com/jobs/view/4362069735", "https://www.linkedin.com/jobs/view/4362069735")</f>
        <v/>
      </c>
      <c r="F144" t="inlineStr"/>
      <c r="G144" t="inlineStr">
        <is>
          <t>Austin, TX</t>
        </is>
      </c>
      <c r="H144" t="inlineStr"/>
      <c r="I144"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We’re seeking a bold, strategic 
 **Sr. Product Manager** 
 to shape the future of how millions of home seekers engage with promoted properties and professionals on Realtor.com® . In this role, you will focus on enhancing our
 **Spotlight Listing** 
 detail pages and our
 **Agent Directory** 
 , two critical experiences that support emerging, high\-growth revenue streams.
 This is a high\-impact, high\-visibility role—part architect, part builder—where you’ll execute the roadmap that fuels our next stage of growth. You’ll partner deeply with the client product team, design, engineering, and data science to create consumer experiences that make finding a home and the right professional feel trustworthy, intuitive, and unique to Realtor.com® .
 If you’re driven by big product challenges, inspired by the idea of reimagining the way that homes and real estate professionals are presented to consumers, and energized by turning high\-growth business opportunities into seamless consumer products—we’d love to meet you.
**What You'll Do:** 
* ****Product Strategy \&amp; Execution:****
 Define and drive the consumer product strategy for Spotlight Listings and the Agent Directory, ensuring alignment with company goals and high\-growth revenue objectives.
* ****Feature Innovation:****
 Lead the development of new features to enhance the consumer experience on listing pages, helping to make promoted properties and agents stand out to high\-intent buyers.
* ****Cross\-functional Collaboration:****
 Work closely with client product, design, engineering, data science, and sales teams to align on roadmaps and ensure the successful execution of monetization\-focused features.
* ****Consumer Insights \&amp; Data\-Driven Decisions:****
 Use consumer feedback and marketplace data to shape product strategies and drive thoughtful experimentation to meet the needs of buyers and agents alike.
* ****Product Lifecycle Management:****
 Oversee the full lifecycle of Spotlight Listings and Agent Directory features from ideation to launch, ensuring they hit performance benchmarks for our new revenue streams.
* ****Market Analysis:****
 Stay informed on competitive trends in the real estate marketplace to ensure our Agent Directory and Spotlight products remain best\-in\-class.
* ****Stakeholder Management \&amp; Communication:****
 Regularly communicate with leadership and key business stakeholders, providing updates on growth metrics and securing support for roadmap initiatives.
* ****Performance Metrics \&amp; KPIs:****
 Define, track, and analyze KPIs—specifically those tied to conversion, engagement, and revenue—to guide continuous improvement.
**How We Work:** 
 We balance creativity and innovation on a foundation of in\-person collaboration. For most roles, our employees work three or more days in our offices, where they have the opportunity to collaborate in\-person, adding richness to our culture and knitting us closer together.
**What You Bring:** 
* ****8\+ years of experience in product management****
 , with a proven track record of shipping consumer\-facing features. Experience in marketplace companies or real estate technology is highly preferred.
* ****Bachelor’s degree****
 or equivalent experience.
* ****AI Knowledge and Experience:****
 Understanding of how to leverage AI\-driven solutions to personalize consumer journeys and improve the discovery of professionals and properties.
* ****Growth Mindset:****
 Proven ability to balance consumer experience with business monetization, specifically in scaling emerging revenue products.
* ****Problem Solving:****
 Demonstrated ability to find solutions to hard problems with many constraints, using sound judgment and data to drive results.
* ****Collaborative Spirit:****
 Enjoy translating feedback from consumers, agents, and internal sales teams into action plans that build stronger product capabilities.
* ****Technical Fluency:****
 Proven ability to engage with engineers and designers in a constructive relationship to solve complex architectural and UX challenges.
* ****Consumer Empathy:****
 A consumer\-centered style with experience driving product direction based on deep user research and behavioral data.
* ****Inclusivity:****
 A desire to be part of and help create a highly inclusive culture where everyone can belong.
* ****Agility:****
 Comfortable working through ambiguity and balancing priorities; can concurrently manage multiple initiatives in a fast\-paced environment.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45">
      <c r="A145" t="inlineStr">
        <is>
          <t>li-4330652616</t>
        </is>
      </c>
      <c r="B145" t="inlineStr">
        <is>
          <t>Product Manager II, Kids Content ML, YouTube</t>
        </is>
      </c>
      <c r="C145" t="inlineStr">
        <is>
          <t>Google</t>
        </is>
      </c>
      <c r="D145" t="inlineStr">
        <is>
          <t>linkedin</t>
        </is>
      </c>
      <c r="E145">
        <f>HYPERLINK("https://www.linkedin.com/jobs/view/4330652616", "https://www.linkedin.com/jobs/view/4330652616")</f>
        <v/>
      </c>
      <c r="F145">
        <f>HYPERLINK("https://careers.google.com/jobs/results/85332162961646278-product-manager-ii/?src=Online/LinkedIn/linkedin_us&amp;utm_source=linkedin&amp;utm_medium=jobposting&amp;utm_campaign=contract&amp;urlHash=9cis", "https://careers.google.com/jobs/results/85332162961646278-product-manager-ii/?src=Online/LinkedIn/linkedin_us&amp;utm_source=linkedin&amp;utm_medium=jobposting&amp;utm_campaign=contract&amp;urlHash=9cis")</f>
        <v/>
      </c>
      <c r="G145" t="inlineStr">
        <is>
          <t>San Bruno, CA</t>
        </is>
      </c>
      <c r="H145" t="inlineStr"/>
      <c r="I145" t="inlineStr">
        <is>
          <t>**Minimum qualifications:**
* Bachelor's degree or equivalent practical experience.
* 5 years of experience in product management or related technical roles.
* 3 years of experience developing and iterating on Machine Learning or LLM classifiers.
* 3 years of experience taking technical consumer products from conception to launch.
**Preferred qualifications:**
* Master's degree in a technology or business related field.
* 2 years of experience working cross\-functionally with engineering, UX/UXR, partnerships, marketing, and other stakeholders.
* 2 years of experience in a role preparing and delivering product strategy presentations to executive leadership.
* Experience in driving the roadmap for ML models in search or recommendation systems.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shaping the future of YouTube’s trusted ecosystem. You will leverage exceptional Large Language Model (LLM) and Machine Learning (ML) techniques to set the bar for safety and quality, directly impacting the viewing experience of families worldwide.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roadmap and drive execution for content classifiers and signal applications in Search and Discovery on the YouTube main app and YouTube Kids app.
* Identify new areas of content, creation, or interactive features that warrant responsibility treatments for kids and families.
* Develop classifiers and LLM autoraters from start to finish including golden set creation, template definition, prompt creation, and iteration on performance.
* Define treatments to apply these signals in Search and Discovery across short form and long form content types.
* Serve as the domain expert for kids quality ML across YouTube, leading alignment between youth and Search and Discovery surface owners as well as other collaborators in Product, Engineering, User Experience Researcher (UXR), Partnerships, Marketing, Government Affairs and Public Policy (GAPP) and Legal.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6">
      <c r="A146" t="inlineStr">
        <is>
          <t>li-4354707815</t>
        </is>
      </c>
      <c r="B146" t="inlineStr">
        <is>
          <t>Product Manager, Google Play Promotions Platform</t>
        </is>
      </c>
      <c r="C146" t="inlineStr">
        <is>
          <t>Google</t>
        </is>
      </c>
      <c r="D146" t="inlineStr">
        <is>
          <t>linkedin</t>
        </is>
      </c>
      <c r="E146">
        <f>HYPERLINK("https://www.linkedin.com/jobs/view/4354707815", "https://www.linkedin.com/jobs/view/4354707815")</f>
        <v/>
      </c>
      <c r="F146" t="inlineStr"/>
      <c r="G146" t="inlineStr">
        <is>
          <t>San Francisco, CA</t>
        </is>
      </c>
      <c r="H146" t="inlineStr"/>
      <c r="I14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
 **Minimum qualifications:**
* Bachelor's degree or equivalent practical experience.
* 5 years of experience in product management or related technical role.
* 2 years of experience taking technical products from conception to launch (e.g., ideation to execution, end\-to\-end, 0 to 1, etc).
* Experience working with a team of cross\-functional stakeholders such as software engineers, designers, technical writers.
**Preferred qualifications:**
* Experience in a commerce related field.
* Experience developing Internet products and technologies.
* Experience with managing mobile technology.
* Experience developing technical road maps and plans to implement end\-to\-end solutions, and effective communication of the road map to cross\-functional stakeholder.
* Ability to drive the product goal, go\-to\-market strategy, and design discussions.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Play has a global presence and a range of Android Developers which demands a highly flexible and scalable business platform. As part of the business platform team, you will be working at the intersection of digital, commerce, and payments with a charter to help our incentives platform to scale in an efficient way.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closely with engineering to define goal, strategy, and roadmap for Play Promotions Platform, focusing on enabling the infrastructure that supports the catalog of offers and incentives for Google Play.
* Work directly with both internal and external partners to understand business models and incorporate platform gaps into product strategy.
* Develop an understanding of Play Promotions Platform and its complex role in the ecosystem of Play incentives.
* Work across Play’s product and engineering teams to advise on and ensure platform consistency and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7">
      <c r="A147" t="inlineStr">
        <is>
          <t>li-4361951878</t>
        </is>
      </c>
      <c r="B147" t="inlineStr">
        <is>
          <t>Group Product Manager, AI Ecosystem and API Business</t>
        </is>
      </c>
      <c r="C147" t="inlineStr">
        <is>
          <t>Google</t>
        </is>
      </c>
      <c r="D147" t="inlineStr">
        <is>
          <t>linkedin</t>
        </is>
      </c>
      <c r="E147">
        <f>HYPERLINK("https://www.linkedin.com/jobs/view/4361951878", "https://www.linkedin.com/jobs/view/4361951878")</f>
        <v/>
      </c>
      <c r="F147">
        <f>HYPERLINK("https://careers.google.com/jobs/results/119999612114084550-group-product-manager/?src=Online/LinkedIn/linkedin_us&amp;utm_source=linkedin&amp;utm_medium=jobposting&amp;utm_campaign=contract&amp;urlHash=enPI", "https://careers.google.com/jobs/results/119999612114084550-group-product-manager/?src=Online/LinkedIn/linkedin_us&amp;utm_source=linkedin&amp;utm_medium=jobposting&amp;utm_campaign=contract&amp;urlHash=enPI")</f>
        <v/>
      </c>
      <c r="G147" t="inlineStr">
        <is>
          <t>Sunnyvale, CA</t>
        </is>
      </c>
      <c r="H147" t="inlineStr"/>
      <c r="I147" t="inlineStr">
        <is>
          <t>**Minimum qualifications:**
* Bachelor's degree in Computer Science or a related technical field, or equivalent practical experience.
* 10 years of experience in product management or related technical roles.
* 5 years of experience taking technical products from conception to launch (e.g., ideation to execution, end\-to\-end, 0 to 1, etc.).
* Experience developing AI related products, or within Generative AI or Large Language Models (LLM) domains.
**Preferred qualifications:**
* Experience in building complex financial models, pricing strategies, and negotiating multi\-party commercial agreements.
* Experience mentoring executive individual contributors and navigating large, cross\-functional organizations (e.g., Legal, Finance, Research).
* Experience scaling API\-based businesses or cloud platforms.
* Experience working directly with SOTA model providers.
* Understanding of the Generative AI landscape, including LLM architectures, inference infrastructure, and the open\-source AI ecosystem.
* Ability to influence executive leadership on investment decisions.
**About The Job**
 This team strives to bring leading foundation models to Model Garden (commercial or OSS) and establish Vertex AI as the best platform for inference, winning developers and enterprises. Expanded choice, highest possible performance, reliability, security and lowest possible costs are the key goals for the inference API business.
 As a Group Product Manager for the Model Garden and third\-party API business, you will be the primary architect of our third\-party (3P) model strategy. You will lead the selection, integration, and commercialization of the world’s most significant AI models, ensuring our platform remains the premier destination for developers and enterprises. You will require a blend of deep technical understanding, strategic business development, and the ability to navigate complex cross\-functional landscapes.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selection of proprietary and open\-source models for Model Garden. Develop onboarding frameworks that balance technical performance, safety, and market demand. Proactively resolve technical, legal, and commercial roadblocks alongside cross\-functional teams.
* Design commercial models for third\-party APIs and open\-source offerings to ensure participant positioning. Define the platform’s GTM strategy and value proposition. Establish and track Key Performance Indicators (KPIs), growth goals, and business health metrics for executive reporting.
* Drive third\-party API adoption by partnering with Sales and customers to refine product\-market fit. Serve as the primary interface for model providers, fostering relationships with influential AI research organizations.
* Mentor and elevate product management excellence by establishing best practices for model lifecycle management and platform integration.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8">
      <c r="A148" t="inlineStr">
        <is>
          <t>li-4365123130</t>
        </is>
      </c>
      <c r="B148" t="inlineStr">
        <is>
          <t>Senior Product Manager / 100% Remote</t>
        </is>
      </c>
      <c r="C148" t="inlineStr">
        <is>
          <t>Motion Recruitment</t>
        </is>
      </c>
      <c r="D148" t="inlineStr">
        <is>
          <t>linkedin</t>
        </is>
      </c>
      <c r="E148">
        <f>HYPERLINK("https://www.linkedin.com/jobs/view/4365123130", "https://www.linkedin.com/jobs/view/4365123130")</f>
        <v/>
      </c>
      <c r="F148" t="inlineStr"/>
      <c r="G148" t="inlineStr">
        <is>
          <t>Los Angeles, CA</t>
        </is>
      </c>
      <c r="H148" t="inlineStr"/>
      <c r="I148" t="inlineStr">
        <is>
          <t>**Job Description**
 We are hiring a full\-time Senior Product Manager to lead the execution and scaling of new telehealth offerings within a regulated healthcare and e\-commerce environment. The role sits at the intersection of e\-commerce platforms, healthcare workflows, and regulatory compliance, with a strong emphasis on building 0\-1 products that can scale securely and efficiently.
**Required Skills \&amp; Experience**
* 4–6\+ years of Product Management experience, including hands\-on work in Digital Health or Telehealth
* Proven experience leading 0\-1 product builds, including subscription\-based products
* Direct experience designing or integrating telehealth and/or digital intake workflows
* Strong understanding of regulated data handling, privacy, and security best practices (HIPAA, PHI)
* Experience working closely with Engineering on platform builds, API integrations, and system workflows
* Familiarity with SFCC, Salesforce (SFDC), and SQL
* Strong ability to identify and clearly define problems before solutioning
 What You Will Be Doing
* Own product strategy and roadmap for telehealth\-connected offerings and workflows
* Define and prioritize initiatives aligned with business objectives, conversion goals, and revenue growth
* Design and manage the full telehealth user journey, including scheduling, intake, provider review, follow\-up, and documentation delivery
* Partner with Engineering to integrate telehealth platforms, EHR systems, and third\-party APIs
* Define core features including appointment flows, payment logic, notifications, and document delivery
* Ensure HIPAA, PHI, and regulatory compliance in collaboration with Legal and Compliance teams
* Work with providers and/or telehealth partners to establish scalable review and approval processes
 Product Focus Breakdown
* 35% Product Strategy, Roadmap \&amp; Discovery
* 30% Telehealth Workflow \&amp; Subscription Feature Development
* 20% Cross\-Functional Collaboration (Engineering, Marketing, CX, Legal, Compliance)
* 15% Compliance, Provider Processes \&amp; Operational Scaling
 Daily Responsibilities
* 45% Product Definition, Requirements, and Roadmap Execution
* 30% Cross\-Functional Collaboration and Stakeholder Alignment
* 15% Workflow Optimization, Metrics Review, and Iteration
* 10% Compliance Review and Provider/Partner Coordination
 The Offer
**You Will Receive a Competitive Benefits Package, Including**
* 100% coverage Medical, Dental, and Vision Insurance
* Paid Vacation Time
* 401(k)
* Bonus
 Applicants must be currently authorized to work in the United States on a full\-time basis now and in the future.
**Posted By:** 
 Paul Kim</t>
        </is>
      </c>
    </row>
    <row r="149">
      <c r="A149" t="inlineStr">
        <is>
          <t>li-4365131967</t>
        </is>
      </c>
      <c r="B149" t="inlineStr">
        <is>
          <t>Sr. Product Manager</t>
        </is>
      </c>
      <c r="C149" t="inlineStr">
        <is>
          <t>AppFolio</t>
        </is>
      </c>
      <c r="D149" t="inlineStr">
        <is>
          <t>linkedin</t>
        </is>
      </c>
      <c r="E149">
        <f>HYPERLINK("https://www.linkedin.com/jobs/view/4365131967", "https://www.linkedin.com/jobs/view/4365131967")</f>
        <v/>
      </c>
      <c r="F149" t="inlineStr"/>
      <c r="G149" t="inlineStr">
        <is>
          <t>Chicago, IL</t>
        </is>
      </c>
      <c r="H149" t="inlineStr"/>
      <c r="I149" t="inlineStr">
        <is>
          <t>**Description**
 AppFolio is more than a company. We’re a community of dreamers, big thinkers, problem solvers, active listeners, and multipliers. At every opportunity, we set the pace while delivering innovation built to carry real estate into the future. One in which every experience feels effortless, yet meaningful. Where customers are empowered to take on any opportunity. We show up as one team, connected by our values to be a force for good. Because together, we have the power to create extraordinary outcomes for our customers, our communities, and ourselves.
 The Resident Services Platform Product Manager will make the moving experience easier for millions of residents, by building the foundation for one of our newest and fastest growing product areas, resident onboarding services. You will own developing the foundation to scale an early\-stage product to millions of users in a new industry segment.
 Your impact
* Contribute to building and delivering the vision, strategy, and product roadmap for the technical foundation of our resident services platform
* Leads initiatives that drive significant growth and are highly visible across the organization
* Inspire and motivate a team of engineers to achieve ambitious outcomes, removing obstacles along the way
* Dive deep into the technical details of our partnership integrations and infrastructure stack, mastering their intricacies to make identify opportunities to drive future growth
* Make tradeoff decisions based on technical and business insights and experimentation
* Clearly communicate product plans and shape Appfolio’s broader resident strategy by leading through influence and collaborating with other product and business leaders across the organization
**Qualifications**
* 5\+ years of product management experience building a best\-in\-class product
* Nice to have:
* World\-class product sense: you have strong intuition and know when to trust your gut and when to get more data
* High agency: you consistently overcome obstacles, bounce back from setbacks, and take initiative to get things done
* Exceptional technical acumen: you guide sound technical decision\-making, bridging engineering and non\-technical stakeholders to drive strong cross\-functional alignment.
* Stellar communication: you have a knack for storytelling, can distill complex ideas into a digestible narrative, and understand that 90% communication is listening
* Ruthless prioritization: you create of focus and clarity for the team on long\-term initiatives that are aligned to customer and business outcomes
* Outstanding analytical skills: you are comfortable integrating both qualitative and quantitative data into your decision\-making
 Location
 Find out more about our locations by visiting our site.
**Compensation \&amp; Benefits**
 The compensation that we reasonably expect to pay for this role is: $138,400 \- $173,000 \[base pay].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50">
      <c r="A150" t="inlineStr">
        <is>
          <t>li-4317989060</t>
        </is>
      </c>
      <c r="B150" t="inlineStr">
        <is>
          <t>Product Manager II, Core</t>
        </is>
      </c>
      <c r="C150" t="inlineStr">
        <is>
          <t>Google</t>
        </is>
      </c>
      <c r="D150" t="inlineStr">
        <is>
          <t>linkedin</t>
        </is>
      </c>
      <c r="E150">
        <f>HYPERLINK("https://www.linkedin.com/jobs/view/4317989060", "https://www.linkedin.com/jobs/view/4317989060")</f>
        <v/>
      </c>
      <c r="F150">
        <f>HYPERLINK("https://careers.google.com/jobs/results/105908894399636166-product-manager-ii/?src=Online/LinkedIn/linkedin_us&amp;utm_source=linkedin&amp;utm_medium=jobposting&amp;utm_campaign=contract&amp;urlHash=uLld", "https://careers.google.com/jobs/results/105908894399636166-product-manager-ii/?src=Online/LinkedIn/linkedin_us&amp;utm_source=linkedin&amp;utm_medium=jobposting&amp;utm_campaign=contract&amp;urlHash=uLld")</f>
        <v/>
      </c>
      <c r="G150" t="inlineStr">
        <is>
          <t>Boulder, CO</t>
        </is>
      </c>
      <c r="H150" t="inlineStr"/>
      <c r="I150" t="inlineStr">
        <is>
          <t>The application window will be open until at least October 30, 2025\. This opportunity will remain online based on business needs which may be before or after the specified date.
 Note: By applying to this position you will have an opportunity to share your preferred working location from the following:
 **Boulder, CO, USA; Pittsburgh, PA, USA** 
 .
 **Minimum qualifications:**
* Bachelor's degree or equivalent practical experience.
* 5 years of experience in product management or related technical role.
* 2 years of experience taking technical products from conception to launch (e.g., ideation to execution, end\-to\-end, 0 to 1, etc).
* Experience working with cross\-functional (e.g. engineering, UX/UI, Program Management, etc.) teams.
**Preferred qualifications:**
* Master's degree in a technology or business related field.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years of experience in technical leadership.
* Experience driving elements of the product development lifecycle such as product vision, go\-to\-market strategy, driving requirements, and product launch.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revenue).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1">
      <c r="A151" t="inlineStr">
        <is>
          <t>li-4362181755</t>
        </is>
      </c>
      <c r="B151" t="inlineStr">
        <is>
          <t>Product Manager - Shared Branching</t>
        </is>
      </c>
      <c r="C151" t="inlineStr">
        <is>
          <t>Velera</t>
        </is>
      </c>
      <c r="D151" t="inlineStr">
        <is>
          <t>linkedin</t>
        </is>
      </c>
      <c r="E151">
        <f>HYPERLINK("https://www.linkedin.com/jobs/view/4362181755", "https://www.linkedin.com/jobs/view/4362181755")</f>
        <v/>
      </c>
      <c r="F151" t="inlineStr"/>
      <c r="G151" t="inlineStr"/>
      <c r="H151" t="inlineStr"/>
      <c r="I151"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We are seeking a talented
 **Product Manager** 
 who is responsible for the tactical product management effort for various Velera products and services. The incumbent will serve as a liaison and subject matter expert to internal and external customers on Velera’s products and services. Product manager will handle efficiencies, monitor product compliance and mandates, analyze product penetration, define the market release process, and bridge the gaps between different functions within the company and aligning the strategic teams.
**Day In The Life**
* Lead the analysis and review product enhancement requests from various sources and oversee the creation of business requirements for these enhancements.
* Serve as an escalation point, both internally and externally, related to assigned products and applications.
* Collaborate with appropriate functional areas (e.g., Training, Operations, Information Technology, Administration, and Finance) to develop and provide comprehensive product definitions, objectives, and goals that are responsive to the needs of the end user.
* Work closely with Velera’s departments in executing product strategies on assigned products and services.
* Identify risks throughout feasibility studies and development process and communicate issues to senior product management and leadership for evaluation; develop market test scenarios and ensure approval from the end\-user for product rollout.
* Development of product documentation, procedures, and training in all pertinent platforms.
* Report and routinely update product and solution performance information to the strategic product manager.
* Lead research efforts, analyze and ascertain required modifications and impacts to existing products and services. Communicate to affected areas.
* Assist in the coordination and presentation of seminars and training for Velera personnel, prospective clients, trade associations, current members and other entities as assigned.
* Conduct and lead meetings to support the development process and track and communicate progress.
* Attend and participate in various Velera sponsored events and industry events, as needed.
* Serve as the primary liaison to Operational Support departments for assigned products.
* Maintain proficiency in departmental operations to assist as a backup for other products and services.
* Work as a member and/or leader of a cross\-functional team that addresses the development and implementation of new and/or enhanced products and services within determined deadlines.
* Oversee and review mandate and industry product impacts. Partner with marketing to communicate internally and externally on pertinent bulletins.
* Direct and oversee maintenance, mandate, industry requirement, or vendor replacement product commercialization duties in conjunction with internal teams. Use commercialization process to execute on system readiness with partners both internal and external.
* Maintain, lead and respond to product\-focused servicing ticket inquiries through the defined channel.
* Perform other duties as assigned.
**Qualifications**
* Bachelor’s degree in Business, Marketing, Technology, or related field or equivalent combination of education and experience required.
* Combined four (4\) years of product management, technical product implementations, and/or business systems analysis supporting technical products experience required.
* Experience with the financial, credit union industry and core or account processing required.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$84,900\.00 \- $108,200\.00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152">
      <c r="A152" t="inlineStr">
        <is>
          <t>li-4330468912</t>
        </is>
      </c>
      <c r="B152" t="inlineStr">
        <is>
          <t>Founding Product Manager</t>
        </is>
      </c>
      <c r="C152" t="inlineStr">
        <is>
          <t>Kismet Search</t>
        </is>
      </c>
      <c r="D152" t="inlineStr">
        <is>
          <t>linkedin</t>
        </is>
      </c>
      <c r="E152">
        <f>HYPERLINK("https://www.linkedin.com/jobs/view/4330468912", "https://www.linkedin.com/jobs/view/4330468912")</f>
        <v/>
      </c>
      <c r="F152" t="inlineStr"/>
      <c r="G152" t="inlineStr"/>
      <c r="H152" t="inlineStr"/>
      <c r="I152" t="inlineStr">
        <is>
          <t>**About Our Client Company** 
 Our exclusive client is a Series A technology company with recent $25M raise from top\-tier VCs. They are building a category\-defining B2B2C verification platform that allows businesses and developers to verify data directly from its source using advanced mathematics and cryptographic proofs.
**Their Mission:** 
 Rebuild trust between people, brands, and platforms by fundamentally changing how onboarding, verification, and compliance work across the internet.
**About the Role** 
 This is a true Product Owner role. You will define what the product is and is not, guide it from early adoption through scale, and operate across discovery, UX, roadmap, and execution. You’ll stay close to customers, engineers, and real\-world use cases.
 This is a rare opportunity to help define a new category of verification infrastructure at a moment when trust and privacy actually matter.
 They don’t need a manager of managers or a roadmap architect; they need a
 **Founding Product Manager who is action oriented and knows how to ship and GTM** 
 . You aren't here to implement process for the sake of it; you are here to fill the gap with pure output.
 As the first product hire, this isn't a role for someone who expects to manage other PMs or building roadmaps in Notion and call it a day. You are here to drive output. You’ll wake up thinking about what's blocking the next release and go to sleep having unblocked it.
**What You’ll Actually Do:** 
* **Own Strategy \&amp; Execution:** 
 You’ll build the plan from scratch, pressure\-test it with the team, and execute. No one is handing you a playbook.
* **Ship Weekly:** 
 We prioritize weekly releases over quarterly planning cycles. You’ll be in the weeds, ie: writing specs, defining scope, cutting features, and testing builds.
* **Bridge the Revenue Gap:** 
 We are pre\-revenue. Your primary objective is to move us from "product exists" to "product makes money."
* **Empower Engineering:** 
 Our engineers have been handling product duties themselves. You must prove that your involvement makes their work better and faster, not slower.
* **UX \&amp; Design Intuition:** 
 You have a "founder\-level" eye for UX. You don't need a designer to tell you when a flow is broken; you can wireframe a solution, refine the hierarchy, and ensure the product is intuitive without over\-engineering the interface.
* **Leverage AI:** 
 Use AI as a daily force multiplier for research, spec writing, and prototyping. It should already be central to your workflow.
* **Create Clarity:** 
 Maintain systems to track multiple workstreams across a fast\-paced team without becoming a bottleneck.
**What We’re Looking For:** 
* **Experience:** 
 7\+ years of formal Product Management experience (PM titles and outcomes, not adjacent roles).
* **Startup DNA:** 
 Proven track record at early\-stage startups (Seed–Series B). You know how to thrive when there is no infrastructure.
* **The "First PM" Mindset:** 
 You’ve been the solo or first PM before. You are an individual contributor who doesn't need a team to be effective.
* **Design Literacy:** 
 You understand user psychology and visual hierarchy. You can navigate Figma to make adjustments and communicate clearly with engineers about front\-end polish.
* **Revenue Focus:** 
 You haven't just "launched features"; you’ve shipped products that generated actual dollars.
* **Bias for Action:** 
 You instinctively cut scope to launch and learn rather than waiting for perfection.
* **AI\-Native:** 
 You use AI tools daily in your actual workflow—it is a core part of how you produce results.
* **Experience in Modern Tech Platforms** 
 , ideally within one or more of the following verticals: fintech, identity, payments, security, data infrastructure, or regulated environments
* **Location:** 
 Ideal candidate will be based in NYC and open to working onsite with flexible schedule to WFH. Relocation package provided for selected candidate if not currently based in NYC.
**Pay range and compensation package:** 
 $150\-190K base (depending on skills and location) \+ significant equity \+ 100% paid benefits
**Equal Opportunity Statement** 
 We are committed to diversity and inclusivity in our hiring practices.</t>
        </is>
      </c>
    </row>
    <row r="153">
      <c r="A153" t="inlineStr">
        <is>
          <t>li-4331946018</t>
        </is>
      </c>
      <c r="B153" t="inlineStr">
        <is>
          <t>Product Manager II, Display Ads, Audiences and Targeting</t>
        </is>
      </c>
      <c r="C153" t="inlineStr">
        <is>
          <t>Google</t>
        </is>
      </c>
      <c r="D153" t="inlineStr">
        <is>
          <t>linkedin</t>
        </is>
      </c>
      <c r="E153">
        <f>HYPERLINK("https://www.linkedin.com/jobs/view/4331946018", "https://www.linkedin.com/jobs/view/4331946018")</f>
        <v/>
      </c>
      <c r="F153" t="inlineStr"/>
      <c r="G153" t="inlineStr">
        <is>
          <t>New York, NY</t>
        </is>
      </c>
      <c r="H153" t="inlineStr"/>
      <c r="I153" t="inlineStr">
        <is>
          <t>Note: By applying to this position you will have an opportunity to share your preferred working location from the following:
 **New York, NY, USA; Mountain View, CA, USA** 
 .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working in the Ads industry.
**Preferred qualifications:**
* 3 years of experience in a business function or role (e.g., marketing, business operations, consulting).
* 2 years of experience working cross\-functionally with engineering, UX/UI, sales finance, and other stakeholders.
* Experience leading Ads initiatives focused on Audiences and Targeting.
* Excellent entrepreneurial drive and passion for innovation.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Google Display Ads (GDA) Product Manager, you will shape and develop our strategy for offering advertisers campaign controls vs automation, and lead our continued groundbreaking work on location targeting initiatives, including location modeling and inference. In this role, you will also include leading GDA’s efforts on Ad Intents, a new type of publisher ad inventory that creates contextually\-relevant, cookie\-optional placements. This role offers the opportunity to own a high\-impact area of the Display business while driving innovation via deploying new types of LLM\-based integrations and Machine Learning models.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Google Display Ads’ initiatives for Audiences and Targeting, including audiences strategy, location, and interest\-based targeting, and contextual targeting.
* Guide Audience Strategy for Display Ads, directing the team on the right balance of automation versus controls for advertiser audiences.
* Build and execute a roadmap for location, and interest\-based targeting.
* Collaborate with the DemandGen team to ensure that the DemandGen audience experience serves GDA use cases by creating Product Requirements Documents (PRDs) that represent advertisers’ Display use cases.
* Transform high\-intent keywords into relevant ads, using Gemini assistance, representing a significant growth opportunity for GDA.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4">
      <c r="A154" t="inlineStr">
        <is>
          <t>li-4362029116</t>
        </is>
      </c>
      <c r="B154" t="inlineStr">
        <is>
          <t>Senior Product Manager - Customer Data Platform</t>
        </is>
      </c>
      <c r="C154" t="inlineStr">
        <is>
          <t>GEICO</t>
        </is>
      </c>
      <c r="D154" t="inlineStr">
        <is>
          <t>linkedin</t>
        </is>
      </c>
      <c r="E154">
        <f>HYPERLINK("https://www.linkedin.com/jobs/view/4362029116", "https://www.linkedin.com/jobs/view/4362029116")</f>
        <v/>
      </c>
      <c r="F154" t="inlineStr"/>
      <c r="G154" t="inlineStr">
        <is>
          <t>San Francisco, CA</t>
        </is>
      </c>
      <c r="H154" t="inlineStr"/>
      <c r="I15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5">
      <c r="A155" t="inlineStr">
        <is>
          <t>li-4365131974</t>
        </is>
      </c>
      <c r="B155" t="inlineStr">
        <is>
          <t>Senior Product Manager</t>
        </is>
      </c>
      <c r="C155" t="inlineStr">
        <is>
          <t>OneStudyTeam</t>
        </is>
      </c>
      <c r="D155" t="inlineStr">
        <is>
          <t>linkedin</t>
        </is>
      </c>
      <c r="E155">
        <f>HYPERLINK("https://www.linkedin.com/jobs/view/4365131974", "https://www.linkedin.com/jobs/view/4365131974")</f>
        <v/>
      </c>
      <c r="F155" t="inlineStr"/>
      <c r="G155" t="inlineStr">
        <is>
          <t>Boston, MA</t>
        </is>
      </c>
      <c r="H155" t="inlineStr"/>
      <c r="I155" t="inlineStr">
        <is>
          <t>At OneStudyTeam (a Reify Health company), we specialize in speeding up clinical trials and increasing the chance of new therapies being approved with the ultimate goal of improving patient outcomes. Our cloud\-based platform, StudyTeam, brings research site workflows online and enables sites, sponsors, and other key stakeholders to work together more effectively. StudyTeam is trusted by the largest global biopharmaceutical companies, used in over 6,000 research sites, and is available in over 100 countries. Join us in our mission to advance clinical research and improve patient care.
**One mission. One team. That's OneStudyTeam.**
 Join our team as a
 **Senior Product Leader** 
 to help us build the future of clinical trials. You'll dive deep into complex industry problems, turning "good ideas" into great products that scale. This role requires more than just technical oversight; it requires a navigator comfortable with evolving priorities and a strategist who empowers our Sales and Success teams to win.
 If you have strong judgment for trade\-offs and a bias for action in the face of ambiguity, you'll fit right in. Specifically, you'll be the driving force behind bringing AI agents into the StudyTeam ecosystem, solving the industry's biggest bottleneck: patient recruitment and enrollment.
**What You'll Be Working On:**
* Directs the end\-to\-end product lifecycle \- Plans, builds, launches, and scales impactful products within the StudyTeam ecosystem to transform clinical trials. This includes specifically integrating AI agents to automate and optimize patient recruitment and enrollment for clinical sites.
* Plays a key role in defining solutions for complex problems \- Navigates evolving priorities and deep\-dives into industry challenges to turn conceptual ideas into scalable, innovative products. Takes decisive action in ambiguous situations and makes high\-judgment trade\-offs regarding product direction.
* Champions cross\-functional collaboration with Marketing, Sales, and Customer Success teams to foster product growth in a dynamic market. Identifies product improvements and delivers resources that enable these teams to succeed.
* Analyzes product performance \- Tracks product adoption metrics and internalizes customer challenges to ensure solutions deliver meaningful business outcomes. Proactively identifies and mitigates risks while monitoring competition and market trends.
* Communicates strategy and vision \- Simplifies complex technical and market concepts to present clear, impactful strategies to executive leadership. Facilitates active listening and clear written/verbal communication to align internal teams with product goals.
**What You'll Bring to OneStudyTeam:**
* Experience: 6\+ years in product management, ideally in tech.
* Adaptability \&amp; Initiative: Thrive in fast\-paced, evolving environments, adept at navigating ambiguity. A proactive self\-starter, comfortable forging solutions in uncharted territory.
* Curiosity: A rapid, avid learner, inquisitive about the market, competition, customers, and strategy; driven to understand underlying problems.
* Bias for Action: Value speed and decisive, intelligent risk\-taking over excessive analysis.
* Impact\-Driven: Consistently deliver meaningful results, focusing on business outcomes. Own product success, align teams, and proactively mitigate risks.
* Empathy: Deeply internalize customer challenges, passionate about creating solutions they love.
* Excellent Communication: An active listener who communicates with clarity, conciseness, and impact (written and verbal). Excel at simplifying complexity and can confidently present to executive leadership.
*We value diversity and believe the unique contributions each of us brings drives our success. We do not discriminate on the basis of race, sex, religion, color, national origin, gender identity, age, marital status, veteran status, or disability status.*
***Note** 
 : OneStudyTeam is unable to sponsor work visas at this time. If you are a non\-U.S. resident applicant, please note that OneStudyTeam works with a Professional Employer Organization.*
*As a condition of employment, you will abide by all organizational security and privacy policies.*
*This organization participates in E\-Verify (E\-Verify's Right to Work guidance can be found here).*</t>
        </is>
      </c>
    </row>
    <row r="156">
      <c r="A156" t="inlineStr">
        <is>
          <t>li-4362116537</t>
        </is>
      </c>
      <c r="B156" t="inlineStr">
        <is>
          <t>Sr Product Manager</t>
        </is>
      </c>
      <c r="C156" t="inlineStr">
        <is>
          <t>RemoteHunter</t>
        </is>
      </c>
      <c r="D156" t="inlineStr">
        <is>
          <t>linkedin</t>
        </is>
      </c>
      <c r="E156">
        <f>HYPERLINK("https://www.linkedin.com/jobs/view/4362116537", "https://www.linkedin.com/jobs/view/4362116537")</f>
        <v/>
      </c>
      <c r="F156" t="inlineStr"/>
      <c r="G156" t="inlineStr"/>
      <c r="H156" t="inlineStr"/>
      <c r="I156" t="inlineStr">
        <is>
          <t>About the Opportunity:
 A rapidly growing SaaS company is transforming how Durable Medical Equipment (DME) and Home Medical Equipment (HME) providers operate through an all\-in\-one platform that streamlines business operations. The Sr Product Manager will lead and expand the product team, driving product vision, roadmap, and execution to support clients’ goals and maintain the platform’s market leadership.
 Responsibilities:
 • Develop and own the product vision and roadmap aligned with business goals and customer needs
 • Collaborate with internal teams to deliver products on time and within scope
 • Identify opportunities to improve and expand the platform using market research, customer feedback, and emerging technologies
 • Assess and prioritize product initiatives based on market demand, customer feedback, and ROI
 • Communicate the vision and roadmap to internal teams, customers, and executives
 • Define and track key performance indicators (KPIs) to evaluate product success
 • Partner with Customer Success and Sales teams to understand user pain points and refine the product
 • Develop processes and frameworks to support efficient product development and delivery in a fast\-paced environment
 Requirements:
 • 5\+ years of product development experience with at least 3 years in a leadership role in a SaaS environment
 • Solid understanding of AI/ML tools, frameworks, and practical applications
 • Ability to interpret complex data and translate it into actionable product insights
 • Proven ability to bring new products and features to market with measurable business outcomes
 • Experience engaging with stakeholders at all levels and clearly articulating product vision
 • Deep knowledge of Agile and iterative development processes
 • Proficiency with product tools such as Jira and Confluence
 • Strong focus on understanding customer needs and delivering exceptional user experiences
 Bonus Points:
 Experience working with SaaS solutions in the healthcare industry
 Benefits \&amp; Perks:
 • Fully remote role
 • Must be based in the U.S. or Canada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57">
      <c r="A157" t="inlineStr">
        <is>
          <t>li-4345881281</t>
        </is>
      </c>
      <c r="B157" t="inlineStr">
        <is>
          <t>Product Manager II, RCS for Business</t>
        </is>
      </c>
      <c r="C157" t="inlineStr">
        <is>
          <t>Google</t>
        </is>
      </c>
      <c r="D157" t="inlineStr">
        <is>
          <t>linkedin</t>
        </is>
      </c>
      <c r="E157">
        <f>HYPERLINK("https://www.linkedin.com/jobs/view/4345881281", "https://www.linkedin.com/jobs/view/4345881281")</f>
        <v/>
      </c>
      <c r="F157" t="inlineStr"/>
      <c r="G157" t="inlineStr">
        <is>
          <t>San Jose, CA</t>
        </is>
      </c>
      <c r="H157" t="inlineStr"/>
      <c r="I15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
 **Minimum qualifications:**
* Bachelor's degree or equivalent practical experience.
* 5 years of experience in product management or a related technical role.
* 2 years of experience taking technical products from conception to launch (e.g., ideation to execution, 0 to 1, etc.).
**Preferred qualifications:**
* 8 years of experience in product management, consulting, co\-founder, or related technical roles.
* 6 years of experience in consumer\-internet products or SaaS Business\-to\-Business (B2B) software.
* 4 years of experience building and shipping technical products.
* Experience in partnerships, collaborating with enterprises on creating technical solutions.
* Experience with platforms or standards bodies that influence global ecosystem direction.
* Experience in roadmap development of large\-scale platform architecture involves distributed trust, authentication, or data integrity components such as SSL/PKI.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Rich Communication Services (RCS) for business is a new product and is growing quickly. You will be joining a fast\-moving environment where new discoveries are frequent and require constant adaptation.
 In this role, you will be developing product solutions to complex problems with long\-term strategic impact to both Google and the entire messaging ecosystem.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For US Applicants: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and drive the roadmap for establishing scaled business verification and trust across the ecosystem, which includes global OEMs, mobile operators, and standards bodies.
* Contribute to the aim of creating the most engaging and safest business messaging platform on earth.
* Spend time with customers, users, and partners to understand their needs and translate them directly to the future of global communication.
* Identify the highest impact opportunities both for Google and the entire RCS ecosystem, related to AI\-powered agents, conversational design, commerce, trust and safety, personalized brand engagement, or other areas.
* Enable brands to create the most engaging customer experience possible.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8">
      <c r="A158" t="inlineStr">
        <is>
          <t>li-4362085594</t>
        </is>
      </c>
      <c r="B158" t="inlineStr">
        <is>
          <t>Senior Product Manager, Creators on Search</t>
        </is>
      </c>
      <c r="C158" t="inlineStr">
        <is>
          <t>Google</t>
        </is>
      </c>
      <c r="D158" t="inlineStr">
        <is>
          <t>linkedin</t>
        </is>
      </c>
      <c r="E158">
        <f>HYPERLINK("https://www.linkedin.com/jobs/view/4362085594", "https://www.linkedin.com/jobs/view/4362085594")</f>
        <v/>
      </c>
      <c r="F158" t="inlineStr"/>
      <c r="G158" t="inlineStr">
        <is>
          <t>Mountain View, CA</t>
        </is>
      </c>
      <c r="H158" t="inlineStr"/>
      <c r="I158"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Los Angeles, CA, USA; New York, NY, USA** 
 .
 **Minimum qualifications:**
* Bachelor's degree or equivalent practical experience.
* 8 years of experience in product management or a related technical role.
* 3 years of experience taking technical products from conception to launch.
**Preferred qualifications:**
* Master’s degree or PhD in a technology or business related field.
* 5 years of experience working cross\-functionally with engineering, UX/UI, sales, finance, and other stakeholders.
* Experience with creator\-centric products, social interactions, or communities.
* Experience in a user\-facing product role, shipping design\-centric features that drive user engagement.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articulate a product outlook for the creator work stream area, aligning with search discovery's missions and strategy.
* Partner with search discovery teams, collaborating with engineering and research teams to integrate new creator features and tools.
* Develop an understanding of creator behavior and motivations through a combination of qualitative research, quantitative analysis, and direct feedback from creators.
* Communicate product strategy, progress, and results to executive leadership and other stakeholders across Google, advocating for the Creator team and its mission.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9">
      <c r="A159" t="inlineStr">
        <is>
          <t>li-4332244040</t>
        </is>
      </c>
      <c r="B159" t="inlineStr">
        <is>
          <t>Product Manager II, Display Ads, Audiences and Targeting</t>
        </is>
      </c>
      <c r="C159" t="inlineStr">
        <is>
          <t>Google</t>
        </is>
      </c>
      <c r="D159" t="inlineStr">
        <is>
          <t>linkedin</t>
        </is>
      </c>
      <c r="E159">
        <f>HYPERLINK("https://www.linkedin.com/jobs/view/4332244040", "https://www.linkedin.com/jobs/view/4332244040")</f>
        <v/>
      </c>
      <c r="F159" t="inlineStr"/>
      <c r="G159" t="inlineStr">
        <is>
          <t>Mountain View, CA</t>
        </is>
      </c>
      <c r="H159" t="inlineStr"/>
      <c r="I159" t="inlineStr">
        <is>
          <t>Note: By applying to this position you will have an opportunity to share your preferred working location from the following:
 **New York, NY, USA; Mountain View, CA, USA** 
 .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working in the Ads industry.
**Preferred qualifications:**
* 3 years of experience in a business function or role (e.g., marketing, business operations, consulting).
* 2 years of experience working cross\-functionally with engineering, UX/UI, sales finance, and other stakeholders.
* Experience leading Ads initiatives focused on Audiences and Targeting.
* Excellent entrepreneurial drive and passion for innovation.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Google Display Ads (GDA) Product Manager, you will shape and develop our strategy for offering advertisers campaign controls vs automation, and lead our continued groundbreaking work on location targeting initiatives, including location modeling and inference. In this role, you will also include leading GDA’s efforts on Ad Intents, a new type of publisher ad inventory that creates contextually\-relevant, cookie\-optional placements. This role offers the opportunity to own a high\-impact area of the Display business while driving innovation via deploying new types of LLM\-based integrations and Machine Learning models.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Google Display Ads’ initiatives for Audiences and Targeting, including audiences strategy, location, and interest\-based targeting, and contextual targeting.
* Guide Audience Strategy for Display Ads, directing the team on the right balance of automation versus controls for advertiser audiences.
* Build and execute a roadmap for location, and interest\-based targeting.
* Collaborate with the DemandGen team to ensure that the DemandGen audience experience serves GDA use cases by creating Product Requirements Documents (PRDs) that represent advertisers’ Display use cases.
* Transform high\-intent keywords into relevant ads, using Gemini assistance, representing a significant growth opportunity for GDA.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0">
      <c r="A160" t="inlineStr">
        <is>
          <t>li-4330933132</t>
        </is>
      </c>
      <c r="B160" t="inlineStr">
        <is>
          <t>Product Manager II, Cross Product Safety, YouTube</t>
        </is>
      </c>
      <c r="C160" t="inlineStr">
        <is>
          <t>Google</t>
        </is>
      </c>
      <c r="D160" t="inlineStr">
        <is>
          <t>linkedin</t>
        </is>
      </c>
      <c r="E160">
        <f>HYPERLINK("https://www.linkedin.com/jobs/view/4330933132", "https://www.linkedin.com/jobs/view/4330933132")</f>
        <v/>
      </c>
      <c r="F160">
        <f>HYPERLINK("https://careers.google.com/jobs/results/137798899334030022-product-manager-ii/?src=Online/LinkedIn/linkedin_us&amp;utm_source=linkedin&amp;utm_medium=jobposting&amp;utm_campaign=contract&amp;urlHash=42gS", "https://careers.google.com/jobs/results/137798899334030022-product-manager-ii/?src=Online/LinkedIn/linkedin_us&amp;utm_source=linkedin&amp;utm_medium=jobposting&amp;utm_campaign=contract&amp;urlHash=42gS")</f>
        <v/>
      </c>
      <c r="G160" t="inlineStr">
        <is>
          <t>Mountain View, CA</t>
        </is>
      </c>
      <c r="H160" t="inlineStr"/>
      <c r="I160" t="inlineStr">
        <is>
          <t>Note: By applying to this position you will have an opportunity to share your preferred working location from the following:
 **San Bruno, CA, USA; Mountain View, CA, USA** 
 .
 **Minimum qualifications:**
* Bachelor's degree or equivalent practical experience.
* 5 years of experience in product management or related technical role.
* 2 years of experience in taking products from conception to launch (e.g., ideation to execution, 0 to 1, etc.) specifically in Trust and Safety domain or infrastructure and platform solutions.
**Preferred qualifications:**
* Experience working with cross\-functional teams, including policy development, operations, and feature teams, within a T\&amp;S or adjacent organization.
* Experience driving cross\-functional initiatives involving multiple product teams.
* Familiarity with ML and detection, setting policies and compliance, understanding of systems and platforms, or knowledge of APIs.
* Ability to influence and communicate cross\-functionally with all levels of management.
* Excellent problem\-solving, communication, and presentation skills with the ability to operate in a changing, constantly evolving, and collaborative environment.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Cross Product Safety (XPS) at YouTube (YT) enables YouTube innovation by allowing features to launch safely and responsibly in a fast and easy way.
 This team advanced Machine Learning (ML) teams employing Large Language Model (LLM) and ML technologies to keep YT safe. This role will interface with these expert engineering teams to develop the Trust and Safety (T\&amp;S) capabilities as needed for the new features.
 In this role, you will have a front seat to innovation alongside high visibility with executive leadership in an effort to ensure all new features are designed to be safe for the YouTube community. You will take the pivotal responsibility of developing a goal, strategy, and roadmap for platform\-level product ideas to improve the new feature onboarding to T\&amp;S.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Evaluate the risk landscape of emerging YouTube features, identifying potential vulnerabilities and outlining impact assessments to ensure user safety from the outset.
* Design and implement comprehensive Trust and Safety (T\&amp;S) plans for new features where required, ensuring all initiatives meet and exceed our stringent safety standards and policy requirements.
* Drive the successful execution of safety plans through seamless collaboration with Feature teams, T\&amp;S Product and Engineering teams, Product Operations, Technical Program Managers, and other key stakeholders.
* Develop the goal and strategy for platform\-level product roadmaps that can improve the T\&amp;S efficiencies overall resulting in faster onboarding times for the Feature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1">
      <c r="A161" t="inlineStr">
        <is>
          <t>li-4365096800</t>
        </is>
      </c>
      <c r="B161" t="inlineStr">
        <is>
          <t>Product Manager - Paragon Regulatory</t>
        </is>
      </c>
      <c r="C161" t="inlineStr">
        <is>
          <t>Altera Digital Health</t>
        </is>
      </c>
      <c r="D161" t="inlineStr">
        <is>
          <t>linkedin</t>
        </is>
      </c>
      <c r="E161">
        <f>HYPERLINK("https://www.linkedin.com/jobs/view/4365096800", "https://www.linkedin.com/jobs/view/4365096800")</f>
        <v/>
      </c>
      <c r="F161" t="inlineStr"/>
      <c r="G161" t="inlineStr">
        <is>
          <t>Illinois, United States</t>
        </is>
      </c>
      <c r="H161" t="inlineStr"/>
      <c r="I161" t="inlineStr">
        <is>
          <t>* PRODUCT MANAGER – COMMUNITY HOSPITALS / REGULATORY\*\*\*
 Paragon Denali \| Altera Digital Health
*Remote U.S. Role*
 Altera Digital Health is seeking a driven and experienced Product Manager to lead the regulatory strategy and execution for our Paragon community hospital solution. This role will focus on ensuring Paragon's compliance with evolving healthcare regulations, particularly related to FHIR and other key interoperability standards. The ideal candidate will have a strong understanding of the U.S. healthcare regulatory landscape and a proven track record of successfully delivering compliant solutions.
**Key Responsibilities**
*The purpose of this role is to deliver on product roadmap priorities to achieve time to market and time to value targets by managing the product development lifecycle for a given product(s) through proven technical leadership. This role will be responsible for specific Paragon Regulatory commitments, including but not limited to The Centers for Medicare and Medicaid Services (CMS) and The Joint Commission (TJC) Promoting Interoperability and eCQM programs. The Regulatory Product Manager will be responsible for the analysis of Promoting Interoperability and eCQM data and methodologies and production of documentation to support product development and subsequently client implementations and support.*
* Define and prioritize Paragon product requirements, with a primary focus on regulatory compliance, including FHIR and other interoperability standards.
* Collaborate with engineering, QA, business analysts, and other stakeholders to translate regulatory requirements into actionable product specifications and user stories.
* Analyze and document upcoming regulatory changes and their impact on Paragon, proactively identifying opportunities for product enhancements.
* Manage the product roadmap for regulatory features, ensuring timely delivery and alignment with overall product strategy.
* Engage with regulatory bodies and industry experts to stay informed about evolving requirements and best practices.
* Work closely with clients and internal teams to understand their regulatory needs and incorporate feedback into the product roadmap.
* Create and maintain comprehensive product documentation, including regulatory impact assessments and compliance artifacts.
* Support sales, marketing, and other teams with regulatory expertise as needed.
* Champion a culture of regulatory compliance within the Paragon team.
**Qualifications**
 Education
 Bachelor's degree in healthcare informatics, business, IT or related field, or equivalent years of experience
 Work Experience
* 5\+ years of experience in healthcare IT or a related field
* 3\+ years of product management experience, preferably in a regulated environment.
* Understanding of U.S. healthcare regulations, including HIPAA, Meaningful Use, and interoperability rules (e.g., 21st Century Cures Act).
* Strong knowledge of HL7 standards, including FHIR, HL7v2, and CDA.
* Experience working with Agile development methodologies.
* Excellent communication, collaboration, and presentation skills.
* Ability to analyze complex regulatory requirements and translate them into actionable product plans.
* Experience working with Azure DevOps (or similar tools) is a plus.
* Paragon experience is a plus.
**TRAVEL**
 U.S.\-based travel as required (up to 10%, including client visits and industry events)
**WORKING ARRANGEMENTS**
 Remote U.S. role – prefer Eastern / Central Time zone location
**WHY THIS ROLE?**
 This role offers a unique opportunity to contribute to the future of community hospital healthcare IT by working on cutting\-edge interoperability solutions within the rapidly evolving field of regulatory technology. We are seeking a highly motivated and collaborative individual with a proven ability to solve complex problems and meet deadlines. Strong project management skills are essential, as this position plays a critical role in shaping Paragon's regulatory strategy and ensuring its continued success as a leading solution for hospitals navigating the complex landscape of healthcare compliance. This position offers significant growth potential and the chance to make a tangible impact on the healthcare industry.</t>
        </is>
      </c>
    </row>
    <row r="162">
      <c r="A162" t="inlineStr">
        <is>
          <t>li-4365107566</t>
        </is>
      </c>
      <c r="B162" t="inlineStr">
        <is>
          <t>Technical Product Manager</t>
        </is>
      </c>
      <c r="C162" t="inlineStr">
        <is>
          <t>Centric Software</t>
        </is>
      </c>
      <c r="D162" t="inlineStr">
        <is>
          <t>linkedin</t>
        </is>
      </c>
      <c r="E162">
        <f>HYPERLINK("https://www.linkedin.com/jobs/view/4365107566", "https://www.linkedin.com/jobs/view/4365107566")</f>
        <v/>
      </c>
      <c r="F162" t="inlineStr"/>
      <c r="G162" t="inlineStr">
        <is>
          <t>San Francisco, CA</t>
        </is>
      </c>
      <c r="H162" t="inlineStr"/>
      <c r="I162" t="inlineStr">
        <is>
          <t>**About Centric Software**
 Centric Software® is a global leader, providing an innovative and AI\-enabled product\-concept\-to\-commercialization platform for retailers, brands and manufacturers of all sizes. We equip retail, fashion, luxury, footwear, outdoor, home and consumer goods brands with pioneering best\-of\-breed solutions to plan, design, develop, source, comply, buy, make, price, allocate, sell and replenish products. Our technology powers brands to streamline processes, drive efficiency and operate with confidence in an ever\-changing market.
 Our story is one of rapid growth, bold ideas and extraordinary opportunities. We’re here to challenge the status quo—and we’re looking for brilliant people who want to do the same. No matter where you are in the world, this is your chance to be part of something exceptional.
 Job Title: Technical Product Manager – Platform
 Architecture, Framework \&amp; Developer Tools
 Location: Remote, USA/Canada
 Compensation Range: $80,000 \- $130,000 USD for USA,
 depending on location and experience \+ Benefits
**Job Summary**
 We are seeking a highly technical Product Manager with a strong engineering background to support and evolve our platform’s REST APIs, microservices, data systems, and the Framework \&amp; Developer Tools used across Centric’s engineering organization. This role is cross\-team and will work closely with multiple engineering groups simultaneously.
 The ideal candidate is a former Senior Software Engineer, Engineering Lead, or Architect who is comfortable discussing system design, evaluating technical proposals, and supporting developers in day\-to\-day problem\-solving.
**Key Responsibilities**
* Framework \&amp; Developer Tools Ownership
+ Support and maintain existing Framework \&amp; Dev Tools capabilities used by Developers, Business Consultants, QA, and Technical Consultants.
+ Answer technical questions from internal stakeholders and act as an escalation point for platform\-related issues.
+ Keep product and technical documentation accurate and up to date.
+ Communicate new features, changes, and best practices to all impacted teams.
+ Collect enhancement requests and incorporate them into future planning.
+ Ensure internal tooling evolves to support productivity, consistency, and maintainability across the organization.
* Technical \&amp; Architectural Leadership
+ Participate in technical design discussions around APIs, services, frameworks, and data models.
+ Evaluate architectural proposals and collaborate with engineering leads to drive strong technical decisions.
+ Promote consistent API design, proper versioning, and a high\-quality developer experience.
+ Encourage scalable microservices patterns, strong integration design, and operational excellence.
* Product Strategy \&amp; Roadmap
+ Own the roadmap for platform APIs, microservices, backend services, and developer tooling.
+ Balance business needs, customer feedback, and long\-term architectural evolution.
+ Work across multiple engineering teams to align priorities and maintain platform\-wide coherence.
+ Translate business needs into clear, actionable technical requirements.
* Execution \&amp; Delivery
+ Break down complex requirements into well\-defined technical user stories.
+ Collaborate with engineering leads on scope, milestones, and success criteria.
+ Track progress across multiple workstreams and ensure release readiness.
+ Identify dependencies early and surface technical risks.
* Cross\-Team Collaboration
+ Act as the connector between Product, Engineering, Architecture, QA, Business Consulting, and Customer\-facing teams.
+ Facilitate communication across teams working on interconnected platform components.
+ Ensure consistent understanding of standards, design decisions, and new capabilities.
+ Support internal teams with adoption of new features and tools.
**Qualifications**
* 5\+ years as a Software Engineer, Engineering Lead, or Architect.
* Strong technical background in:
+ SQL \&amp; NoSQL databases
+ Java
+ TypeScript
+ Java application servers (e.g., WildFly)
+ Messaging/event\-driven systems (Kafka, RabbitMQ)
+ Kubernetes, Docker, cloud\-native deployments
* Solid understanding of Framework \&amp; Developer Tools development practices.
* Ability to work through deep technical challenges with engineering teams.
* Excellent communication skills with the ability to explain complex topics.
**Preferred**
* Experience owning internal developer platforms, frameworks, or shared libraries.
* Experience supporting multiple engineering teams concurrently.
* Understanding of CI/CD pipelines, observability, and release engineering.
* Ability to produce high\-quality technical documentation.
**Why This Role Matters**
 This role is critical in enabling consistency, efficiency, and strong architectural alignment across engineering teams. It supports improved developer experience, better decision\-making, and a scalable, maintainable platform ecosystem.
***The US base salary range for this full\-time position is $80,000 \- $130,000 \+ benefits.***
*Our salary ranges are determined by role, level, and location. The range for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Candidates who exceed the specified experience and relevant education or training may be considered for compensation above the stated range. Please note that the compensation details listed reflect base salary, and certain positions may be offered additional variable incentives.*
*Centric Software provides equal employment opportunities to all qualified applicants without regard to race, sex, sexual orientation, gender identity, national origin, color, age, religion, protected veteran or disability status or genetic information.*</t>
        </is>
      </c>
    </row>
    <row r="163">
      <c r="A163" t="inlineStr">
        <is>
          <t>li-4365101550</t>
        </is>
      </c>
      <c r="B163" t="inlineStr">
        <is>
          <t>Principal Product Manager</t>
        </is>
      </c>
      <c r="C163" t="inlineStr">
        <is>
          <t>Microsoft</t>
        </is>
      </c>
      <c r="D163" t="inlineStr">
        <is>
          <t>linkedin</t>
        </is>
      </c>
      <c r="E163">
        <f>HYPERLINK("https://www.linkedin.com/jobs/view/4365101550", "https://www.linkedin.com/jobs/view/4365101550")</f>
        <v/>
      </c>
      <c r="F163" t="inlineStr"/>
      <c r="G163" t="inlineStr">
        <is>
          <t>Mountain View, CA</t>
        </is>
      </c>
      <c r="H163" t="inlineStr"/>
      <c r="I163"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Principal Product Manager for Microsoft AI, you will help businesses that want to grow and expand their business using our products, data, and services through advertising and new business models that unlock AI\-first products. This role requires consistent knowledge and deep awareness of the emerging AI industry to develop new products as we have the freedom and flexibility to use the best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building world\-class AI applications that will delight consumers and deliver business results .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Applied Science, Data Science, Engineering, UX and Product Marketing/Sales teams.
* Define goals and performance indicators, set up and oversee experiments, measure success with data and research.
* Embody our Culture and Values.
**Qualifications**
**Required Qualifications:**
* Bachelor's Degree AND 8\+ years experience in product/service/program management or software development
+ OR equivalent experience.
**Preferred Qualifications**
* Bachelor's Degree AND 10\+ years experience in product/service/program management or software development
* 
+ OR equivalent experience.
* 2\+ years experience leading cross functional product teams across advertising, privacy, search, conversational AI, or generative AI
* 5\+ years experience delivering products that include full Search and/or Advertising technology stack
* 5\+ years experience with data analytics and experimentation tools with working knowledge of SQL and coding skills (Python, Javascript).
* 7\+ years of experience building Ads products
* 5\+ years of experience in monetization products and B2B
* Ability to work in a fast\-paced environment, manage multiple priorities, and adapt to changing requirements and deadlines.
* Proven ability to collaborate and contribute to a positive, inclusive work environment, fostering knowledge sharing and growth within the team.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4">
      <c r="A164" t="inlineStr">
        <is>
          <t>li-4330878902</t>
        </is>
      </c>
      <c r="B164" t="inlineStr">
        <is>
          <t>Senior Product Manager, Generative AI, Google Cloud</t>
        </is>
      </c>
      <c r="C164" t="inlineStr">
        <is>
          <t>Google</t>
        </is>
      </c>
      <c r="D164" t="inlineStr">
        <is>
          <t>linkedin</t>
        </is>
      </c>
      <c r="E164">
        <f>HYPERLINK("https://www.linkedin.com/jobs/view/4330878902", "https://www.linkedin.com/jobs/view/4330878902")</f>
        <v/>
      </c>
      <c r="F164" t="inlineStr"/>
      <c r="G164" t="inlineStr">
        <is>
          <t>San Francisco, CA</t>
        </is>
      </c>
      <c r="H164" t="inlineStr"/>
      <c r="I16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with the domain area of Generative AI or Large Language Models.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senior leadership.
* 3 years of experience in software development or engineering.
* 3 years of people management experience with direct reports, and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 will work closely with our product teams to innovate, incubate and prototype how to evolve and transform our Google Cloud Platform (GCP) products to provide Generative AI driven experiences and solutions. You will incubate, prototype, and iterate in this space to quickly bring new ideas to production. This includes staying on top of the latest technology and techniques for Generative AI to continue to evolve our approaches.solve their most critical business problems.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PRDs by collaborating with partner teams (e.g., engineers, PgMs, UX) during product design and development to implement the requirements to turn PRDs into OKRs for multiple teams.
* Own and define project roadmaps.
* Drive development and secure buy\-in for a product vision that identifies, defines, and supports the overall product narrative and direction, achieving an outcome that is greater than the sum of its parts.
* Manage validation of market size and opportunity (e.g., user\-based, strategic opportunity, revenue).
* Lead and harmonize processes to define, identify, collect, and track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5">
      <c r="A165" t="inlineStr">
        <is>
          <t>li-4365139575</t>
        </is>
      </c>
      <c r="B165" t="inlineStr">
        <is>
          <t>Senior Product Manager, In-Vehicle Authentication and Authorization</t>
        </is>
      </c>
      <c r="C165" t="inlineStr">
        <is>
          <t>General Motors</t>
        </is>
      </c>
      <c r="D165" t="inlineStr">
        <is>
          <t>linkedin</t>
        </is>
      </c>
      <c r="E165">
        <f>HYPERLINK("https://www.linkedin.com/jobs/view/4365139575", "https://www.linkedin.com/jobs/view/4365139575")</f>
        <v/>
      </c>
      <c r="F165" t="inlineStr"/>
      <c r="G165" t="inlineStr">
        <is>
          <t>Austin, TX</t>
        </is>
      </c>
      <c r="H165" t="inlineStr"/>
      <c r="I165" t="inlineStr">
        <is>
          <t>**Job Description**
**Hybrid:** 
 This role is categorized as hybrid. This means the successful candidate is expected to report to the GM Technical/Innovation Center in Mountain View (CA), Austin (TX), or Warren (MI) three times per week, at minimum. This position can be located at either of these locations.
**Why join us?**
 General Motors pioneers the innovations that move and connect people to what matters. We see a world with zero crashes, zero emissions, and zero congestion. As we move toward this vision, software plays an integral role as it becomes more prominent in our vehicles.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Product Manager for In\-Vehicle Authentication and Authorization, you will lead the strategy, roadmap, and execution of authentication solutions that enable secure, convenient, and personalized access to GM vehicles and services. You will define and deliver an authentication method strategy that enables the user to seamlessly navigate across mobile, web and in\-vehicle platforms. You will consider existing and future authentication and authorization methods keeping GM at the forefront of user access. Your work will ensure that every customer interaction with their vehicle is both secure and frictionless.
 You will drive alignment across Engineering, Design, Legal, Privacy, Cybersecurity, and Product teams to build authentication experiences that balance security, usability, and regulatory compliance. A strong systems\-thinking mindset, user empathy, and the ability to simplify complex technical challenges are essential for success.
**What You’ll Do**
* Define and own the product vision and roadmap for in\-vehicle authentication.
* Lead the development and integration of authentication methods into vehicle UI and connected platforms, ensuring seamless onboarding and sign\-in experiences.
* Partner with Account \&amp; Identity, Security, and Setup teams to deliver secure authentication flows that meet privacy, regulatory, and cybersecurity standards.
* Leverage Design Thinking methodologies to collaborate with design and research, delivering intuitive authentication experiences that reduce friction and increase adoption.
* Establish and track KPIs such as authentication success rate, security incident rate, user adoption, and customer satisfaction.
* Serve as the voice of the customer and advocate for secure, seamless authentication across all GM digital touchpoints.
* Monitor emerging authentication trends, technologies, and threats; incorporate data, research, and market analysis to inform and prioritize the product roadmap.
**Your Skills \&amp; Abilities (Required Qualifications)**
* Bachelor’s degree in Computer Science, Engineering, Business, or related field
* 5\+ years of product management experience, preferably in automotive, identity, authentication, or consumer technology.
* Strong understanding of authentication technologies (PIN, biometrics, digital key, trusted device, third\-party sign\-in) and their use across multiple platforms.
* Technical background with the ability to work closely with engineering on complex platform architecture, especially in identity and authentication domains.
* Excellent communication and documentation skills, with the ability to craft clear narratives and influence at all levels.
**What Will Give You a Competitive Edge (Preferred Qualifications)**
* Experience with Android Automotive, embedded systems, or infotainment platforms
* Familiarity with cloud\-based identity architectures that span multiple devices and surfaces.
* Experience working with Design Thinking methodologies
* Master’s degree in related field
**Compensation** 
 :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The compensation may not be representative for positions located outside of the California Bay Area.
* The salary range for this role is 125,200 and 192,700\.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The position is subject to export control restrictions and requires the successful candidate to be either a U.S. Person (U.S. citizen, U.S. permanent resident, asylee or refugee) or a non\-U.S. Person who is eligible to obtain any required export control authorization.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66">
      <c r="A166" t="inlineStr">
        <is>
          <t>li-4365119370</t>
        </is>
      </c>
      <c r="B166" t="inlineStr">
        <is>
          <t>Senior Product Manager</t>
        </is>
      </c>
      <c r="C166" t="inlineStr">
        <is>
          <t>Inside Real Estate</t>
        </is>
      </c>
      <c r="D166" t="inlineStr">
        <is>
          <t>linkedin</t>
        </is>
      </c>
      <c r="E166">
        <f>HYPERLINK("https://www.linkedin.com/jobs/view/4365119370", "https://www.linkedin.com/jobs/view/4365119370")</f>
        <v/>
      </c>
      <c r="F166" t="inlineStr"/>
      <c r="G166" t="inlineStr">
        <is>
          <t>Murray, UT</t>
        </is>
      </c>
      <c r="H166" t="inlineStr"/>
      <c r="I166" t="inlineStr">
        <is>
          <t>Inside Real Estate is a fast\-growing, independently\-owned real estate software firm that serves as a trusted technology partner to over 500,000 top brokerages, agents, and teams. Their branded portfolio, BoldTrail, includes BoldTrail (Front Office), BoldTrail BackOffice and BoldTrail Recruit, solutions that create a complete tech ecosystem for clients, and deliver seamless end\-to\-end operations to scale success at any level. With an accomplished leadership team and its talented staff, Inside Real Estate brings the resources, scale, and vision to deliver ongoing innovation and success to their growing customer base.
 We are seeking a Senior Product Manager who is passionate about simplifying complex workflows and delivering intuitive product experiences that drive user engagement and business growth. You’ll bring a customer\-first mindset and a data\-driven approach to prioritize what matters most—balancing user needs with measurable business outcomes. This role is ideal for someone who thrives at the intersection of user experience, product strategy, and execution, with a particular focus on delivering impactful web and mobile experiences. You’ll lead with clear objectives and key results (OKRs) to keep the team focused on outcomes that matter.
**Responsibilities:**
* Own and drive product strategy for AI\-powered mobile and next\-generation workflow experiences across the BoldTrail platform, with a focus on accelerating time\-to\-value, adoption, and customer satisfaction.
* Lead customer discovery through qualitative and quantitative research to identify friction points, unmet needs, and opportunities to simplify complex workflows.
* Define and manage the roadmap for your product areas, ensuring priorities align with customer needs, business outcomes, and technical feasibility.
* Own and drive key results (KRs) aligned to company\-wide OKRs set by the executive team. This includes defining success metrics, tracking progress, and keeping cross\-functional teams aligned and accountable.
* Partner closely with design, engineering, and QA to deliver high\-quality web and mobile experiences that drive meaningful engagement and business results.
* Apply experimentation and A/B testing to validate hypotheses, optimize experiences, and iterate quickly based on data and learning.
* Collaborate with go\-to\-market teams (Customer Success, Sales, Product Marketing) to ensure successful launches, user onboarding, and feature adoption. Serve as a connective force across teams, aligning stakeholders around clear problems, priorities, and success metrics.
* Champion a customer\-first, outcomes\-oriented approach, ensuring user needs are consistently represented in product decisions.
**Qualifications:**
* 5\+ years of hands\-on product management experience in B2B or SaaS environments, with a focus on driving product adoption, user engagement, and customer value through data\-informed decisions.
* Proven track record of leading products or major features from concept to launch—defining problems, setting success metrics, and delivering measurable results.
* Strong experience designing and evolving multi\-persona, workflow\-driven products (e.g., CRM).
* Experience shipping and optimizing mobile and web product experiences, using analytics to inform decisions and improve usability.
* Highly customer\-obsessed and insights\-driven, with experience turning user feedback and behavioral data into product improvements that enhance engagement and business impact.
* Skilled in experimentation and optimization, including A/B testing and iterative delivery to validate assumptions and improve outcomes over time.
* Experience working with mobile and web product analytics to drive optimization and user experience improvements.
* Strong collaboration and communication skills, with the ability to work cross\-functionally and influence without formal authority.
* Excellent problem\-solving skills, attention to detail, and ability to manage multiple projects in parallel.
* Domain knowledge in residential real estate is a plus, but not required—curiosity and a passion for learning our space is essential.
* Experience working with data tools such as Amplitude, Tableau, SQL, or similar is preferred.
 We offer a competitive total rewards package including:
* Competitive salary
* 3 Medical plans to choose from \- 1 PPO and 2 HDHPs
* 2 Dental plans to choose from
* Vision
* HSA \- company\-funded
* FSAs \- healthcare, limited purpose, dependent care
* Short\-Term Disability \- company\-paid
* Long\-Term Disability \- company\-paid
* Basic Employee Life Insurance \- company\-paid
* Voluntary Dependent Life Insurance
* Voluntary Accident Insurance
* Voluntary Critical Illness
* Voluntary Hospital Indemnity
* Legal Plan
* ID Protection
* Pet Insurance
* 401(k) Retirement Savings with company match
* Paid PTO/Vacation/Sick Time
* 11 company\-recognized holidays
* Company\-paid Parental/Disability Leave
 In addition, at IRE, we focus on driving top results providing:
* Opportunities to grow within our company;
* Potential to work in a remote setting;
* Exciting/energetic work environment and fun, creative culture.
 IRE EEO Statement \- We believe that the unique contributions of all Insiders are the driver of our success. To make sure that our products and culture continue to incorporate everyone's perspectives and experiences we never discriminate on the basis of race, religion, national origin, gender identity or expression, sexual orientation, age, marital, veteran, or disability status.</t>
        </is>
      </c>
    </row>
    <row r="167">
      <c r="A167" t="inlineStr">
        <is>
          <t>li-4361918836</t>
        </is>
      </c>
      <c r="B167" t="inlineStr">
        <is>
          <t>Product Manager</t>
        </is>
      </c>
      <c r="C167" t="inlineStr">
        <is>
          <t>Mentors International</t>
        </is>
      </c>
      <c r="D167" t="inlineStr">
        <is>
          <t>linkedin</t>
        </is>
      </c>
      <c r="E167">
        <f>HYPERLINK("https://www.linkedin.com/jobs/view/4361918836", "https://www.linkedin.com/jobs/view/4361918836")</f>
        <v/>
      </c>
      <c r="F167">
        <f>HYPERLINK("https://forms.monday.com/forms/5ffefe817de2f812c80141a3926dbbc7?r=use1&amp;urlHash=p14r", "https://forms.monday.com/forms/5ffefe817de2f812c80141a3926dbbc7?r=use1&amp;urlHash=p14r")</f>
        <v/>
      </c>
      <c r="G167" t="inlineStr">
        <is>
          <t>Salt Lake City, UT</t>
        </is>
      </c>
      <c r="H167" t="inlineStr"/>
      <c r="I167" t="inlineStr">
        <is>
          <t>Do you want to use your product skills to change the world? 
 Mentors International is looking for a Product Manager who is eager to learn fast, think strategically, and build training and technology products that lift families from poverty to prosperity. You will work closely with the CEO, collaborate across cultures, travel internationally, and run rapid experiments to discover the right models for scaling a proven mentorship program.
**Job Summary:** 
 The Product Manager will lead program development at Mentors International, spanning both technology\-enabled tools and social intervention design. This role is responsible for translating deep, on\-the\-ground insights from entrepreneurs, mentors, partners, and internal teams into clear, actionable, and high\-impact programs that scale across countries.
 Reporting directly to the CEO, the Product Manager will own the end\-to\-end product lifecycle—from discovery and vision through prototyping, testing, and iteration in the field. This is a highly collaborative, hands\-on role requiring strong empathy, comfort with ambiguity, and the ability to move quickly from insight to execution in a global, mission\-driven environment.
 This is a full\-time, remote position that requires periodic domestic and international travel.
**Success Factors:** 
* **Connected to our mission** 
 : You are deeply motivated by Mentors International’s mission to support entrepreneurs and families as they move from poverty to self\-reliance. You are energized by building tools and programs that create real\-world impact.
* **Empathetic problem solver:** 
 You build deep empathy with entrepreneurs, mentors, partners, and internal teams, using their lived experiences to shape meaningful solutions.
* **Vision\-driven and execution\-oriented:** 
 You can translate insights into a clear and motivating product vision—and then turn that vision into a practical roadmap that delivers results.
* **Action\-oriented experimenter:** 
 You move quickly, prototype often, and are comfortable testing ideas in the field to learn what works. You thrive in high\-ambiguity environments.
* **Collaborative and cross\-cultural:** 
 You work effectively across functions, countries, and cultures, bringing people together around shared goals.
**Responsibilities:** 
**Product Vision and Strategy** 
* Build deep empathy with entrepreneurs, mentors, partners, and internal teams through field engagement, interviews, and observation.
* Translate insights from the field into a clear and compelling product vision aligned with Mentors International’s strategy and mission.
* Define and communicate product goals, success metrics, and learning priorities.
* Lead design of integrated interventions including curriculum, personal mentoring, and technology enablement.
**Roadmap and Execution** 
* Create and manage a product roadmap that connects long\-term strategy to near\-term execution.
* Prioritize initiatives based on impact, feasibility, and learning value.
* Balance speed and quality in a resource\-constrained, global environment.
**Cross\-Functional Collaboration** 
* Partner closely with engineering, design, operations, curriculum, and in\-country teams to deliver effective programs and tools.
* Serve as a bridge between field realities and technical or programmatic implementation.
* Support alignment and clarity across distributed teams.
**Prototyping and Field Testing** 
* Rapidly prototype solutions using Figma or similar platforms.
* Test ideas directly in the field with entrepreneurs, mentors, and partners.
* Iterate based on feedback, data, and observed outcomes.
**Measurement and Learning** 
* Monitor product performance and track success metrics to understand impact and effectiveness.
* Use qualitative and quantitative insights to inform improvements and future development.
* Help establish lightweight systems for learning and continuous improvement.
**Required Qualifications:** 
* 3–5 years of experience in product management, product\-adjacent, or technology\-related roles.
* Strong communication and problem\-solving skills.
* Demonstrated curiosity, empathy, and comfort working in ambiguous environments.
* Ability to collaborate effectively across functions and cultures.
* Action\-oriented mindset with a willingness to experiment, test, and learn.
* Conversational Spanish and English required to gather end\-user insights.
* Ability to travel internationally several times per year.
**Beneficial Experience:** 
* Experience in tech, social impact, education, or nonprofits
* Exposure to UX research or human\-centered design
* Experience with rapid prototyping tools such as Figma.
* Basic data analysis skills
* Experience working with distributed teams
**About Mentors International:** 
 Mentors International is an innovative nonprofit organization serving over 40,000 families and businesses per year across 12 developing countries. Working hand\-in\-hand with entrepreneurs, our programs drive economic growth and job creation while helping families to move from poverty to self\-reliance and prosperity.
 Mentors International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68">
      <c r="A168" t="inlineStr">
        <is>
          <t>li-4365112624</t>
        </is>
      </c>
      <c r="B168" t="inlineStr">
        <is>
          <t>Staff Technical Program Manager: Core AI</t>
        </is>
      </c>
      <c r="C168" t="inlineStr">
        <is>
          <t>LinkedIn</t>
        </is>
      </c>
      <c r="D168" t="inlineStr">
        <is>
          <t>linkedin</t>
        </is>
      </c>
      <c r="E168">
        <f>HYPERLINK("https://www.linkedin.com/jobs/view/4365112624", "https://www.linkedin.com/jobs/view/4365112624")</f>
        <v/>
      </c>
      <c r="F168" t="inlineStr"/>
      <c r="G168" t="inlineStr">
        <is>
          <t>Mountain View, CA</t>
        </is>
      </c>
      <c r="H168" t="inlineStr"/>
      <c r="I16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either San Francisco or Sunnyvale, California.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**Core AI** 
 is at the heart of LinkedIn’s AI innovation, incubating and delivering the company’s most ambitious moonshot initiatives. This Sr.Staff Technical Program Management (TPM) will be accountable for driving successful outcomes across these high\-impact, cross\-functional AI initiatives that impact the LinkedIn's products.
 We are seeking someone who is an expert of the TPM craft—someone who brings deep technical program leadership, operational rigor, strategic judgment, execution, collaboration, and impact as Core AI turns bold ideas into reality. We are looking for individuals who have demonstrated technical leadership in development of AI native products from incubation to productization.
**Qualifications**
**Responsibilities:**
* Support multiple cross\-functional technical teams to deliver their objectives in fast\-paced and complex programs and projects
* Develop strong partnerships with engineering and product management leaders to drive focus on strategic and tactical program objectives
* Create and drive programs to improve hardware usage across compute, storage, and network
* Drive new organization\-wide programs to ensure reliability, scalability, and maintainability of the data ecosystem
* Own and manage program and portfolio planning, execution of roadmap, and engineering operations for multiple verticals
* Drive alignments and prioritization across all technology initiatives, manage roadmap for a single consistent view and lead communications
* Build strategic relationships with key technology and business leaders to ensure program success
* Drive teams and individuals in planning and executing roadmaps, releases, and work backlogs
* Lead efforts to identify risks, resolve key project conflicts, and establish appropriate resolution paths
* Fill in gaps across roles and functions as needed, performing as an adaptive problem solver
* Report on project status or portfolio roadmap, risks, issues and mitigation plans
* Create a collaborative work environment that fosters shared understanding, transparency, mastery, autonomy, innovation and continuous learning
* Coach and mentor others in the best practices of modern planning and execution
**Basic Qualifications:**
* B.S./B.A. Engineering, Computer Science or related technical field, or equivalent practical experience
* 5\+ years professional experience in an engineering or technical team, managing technical programs/projects
* Experience with large scale AI systems and Generative AI
**Preferred Qualifications:**
* Experience managing company wide, large scale, high impact programs
* Proven success on establishing organization\-wide processes and communication framework for R\&amp;D initiatives
* Direct work experience in a technical project management capacity to drive large technical initiatives including all aspects of process development and execution.
* Knowledge of complex technical ecosystems and adequate technical depth
* Experience managing multiple major and concurrent projects/programs executed through multiple geographic locations
* Direct experience working with software engineering leadership, technical teams and individual contributors
* Ability to quickly adapt to faster pace, shifting priorities, demands, and timelines through analytical and problem\-solving capabilities
* 2\+ years of hands\-on software development experience
**Suggested Skills:**
* GenAI
* Agentic Flows
* Agentic Surfaces
* Cross Functional Collaboration
* Program Management
**Additional Information**
 LinkedIn is committed to fair and equitable compensation practices.
 The pay range for this role is $139,000 to $229,000\.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69">
      <c r="A169" t="inlineStr">
        <is>
          <t>li-4354860729</t>
        </is>
      </c>
      <c r="B169" t="inlineStr">
        <is>
          <t>Senior Product Manager, Tensor SoC</t>
        </is>
      </c>
      <c r="C169" t="inlineStr">
        <is>
          <t>Google</t>
        </is>
      </c>
      <c r="D169" t="inlineStr">
        <is>
          <t>linkedin</t>
        </is>
      </c>
      <c r="E169">
        <f>HYPERLINK("https://www.linkedin.com/jobs/view/4354860729", "https://www.linkedin.com/jobs/view/4354860729")</f>
        <v/>
      </c>
      <c r="F169" t="inlineStr"/>
      <c r="G169" t="inlineStr">
        <is>
          <t>San Diego, CA</t>
        </is>
      </c>
      <c r="H169" t="inlineStr"/>
      <c r="I169" t="inlineStr">
        <is>
          <t>Note: By applying to this position you will have an opportunity to share your preferred working location from the following:
 **Mountain View, CA, USA; San Diego, CA, USA** 
 .
 **Minimum qualifications:**
* Bachelor's degree or equivalent practical experience.
* 8 years of experience in product management or related technical role.
* 3 years of experience taking technical products from conception to launch.
* Experience in driving power/battery life optimizations for key user journeys.
**Preferred qualifications:**
* Master's degree in a technology or business related field.
* Experience in SoC power architecture and battery life.
* Experience defining and launching mobile application processors for premium phones, in particular those that host on\-device large language models (LLMs).
* Understanding of the semiconductor industry from engaged landscape to advanced technologies and supply chain.
* Understanding of embedded device design, both software and hardware, including system architecture, and Android OS.
* Excellent communication and people management skills to advocate initiatives across many cross\-functional stakeholders and executive management.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We are the team that builds Google Tensor, Google’s custom System\-On\-Chip (SoC) that powers Pixel devices. Tensor makes transformative user experiences possible through machine learning, including Gemini, running on\-device. We are looking for an experienced product manager to define our next generation SoCs.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Tensor SoC products, from early concept definition through launch on Pixel phones.
* Define long\-term chipset roadmaps and Product Requirement Documents (PRDs).
* Collaborate with Pixel and Android partners to identify top use cases and metrics driving silicon requirements.
* Partner with Engineering and Operations teams to deliver an exceptional chipset solution that meets business goals.
* Partner with Marketing and Public Relations for go\-to\-market goals and collateral.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0">
      <c r="A170" t="inlineStr">
        <is>
          <t>li-4365160411</t>
        </is>
      </c>
      <c r="B170" t="inlineStr">
        <is>
          <t>Sr Technical Product Manager, Bot and AI Agent Detection</t>
        </is>
      </c>
      <c r="C170" t="inlineStr">
        <is>
          <t>Fingerprint</t>
        </is>
      </c>
      <c r="D170" t="inlineStr">
        <is>
          <t>linkedin</t>
        </is>
      </c>
      <c r="E170">
        <f>HYPERLINK("https://www.linkedin.com/jobs/view/4365160411", "https://www.linkedin.com/jobs/view/4365160411")</f>
        <v/>
      </c>
      <c r="F170" t="inlineStr"/>
      <c r="G170" t="inlineStr">
        <is>
          <t>Boston, MA</t>
        </is>
      </c>
      <c r="H170" t="inlineStr"/>
      <c r="I170" t="inlineStr">
        <is>
          <t>**Fingerprint** 
 empowers developers to stop online fraud at the source.
 We work on turning radical new ideas in the fraud detection space into reality. Our products are developer\-focused and our clients range from solo developers to publicly traded companies.
 **We are a globally dispersed, 100% remote company** 
 with a strong open\-source focus. Our flagship open\-source project is FingerprintJS (20K stars on GitHub).
 We have raised $77M and are backed by Craft Ventures (previously invested in Tesla, Facebook, Airbnb ), Nexus Venture Partners (previously invested in Postman, Apollo.io, MinIO, Druva) and Uncorrelated Ventures (previously invested in Redis, Rollbar \&amp; Gradle).
*We have noticed a rise in recruiting impersonations across the industry, where scammers attempt to access candidates' personal and financial information through fake interviews and offers. All Fingerprint recruiting email communications will always come from the @fingerprint.com domain. Any outreach claiming to be from Fingerprint via other sources should be ignored.*
 We're looking for a
 **Senior Technical Product Manager** 
 to shape the future of automation and intent detection in a world increasingly powered by AI. In this role, you'll own the product lifecycle—from identifying evolving threats and researching new detection techniques, to delivering products that help customers classify traffic, protect digital experiences, and integrate detection insights into security systems.
 You'll work alongside a globally distributed team of engineers, data scientists, and fraud experts. We move fast, value deep curiosity, and create space for individual ownership and impact.
 🔍
 **What You'll Do**
* Lead the product roadmap for bot and AI agent detection, staying ahead of emerging trends in automation and adversarial behavior
* Develop detection capabilities that identify automated traffic, classify intent, and integrate with fraud scoring systems, WAFs, and security platforms
* Partner with engineering, data science, sales engineering, and product analytics to ship features that deliver real\-world protection at scale
* Translate customer challenges into clear product requirements and prioritize for impact using frameworks like RICE
* Use tools like Amplitude, Sigma, and Preset to inform decisions with product usage and performance data
* Collaborate with customers—particularly security, fraud, and risk teams—to deeply understand their workflows and needs
* Ensure detection capabilities are privacy\-conscious and compliant with global standards (e.g., GDPR, CCPA)
* Communicate how detection features work and where they drive value—both internally and externally
 ✅
 **What You'll Bring**
* 6\-10 years of experience in technical product management, ideally in bot detection, fraud prevention, or cybersecurity
* Familiarity with automation detection, fingerprinting, signal pipelines, and browser/mobile SDKs
* Strong understanding of adversarial tactics and classification methods, including ML\-based approaches
* Clear track record of roadmap ownership, fast iteration cycles, and writing detailed, developer\-friendly specs
* Confidence working across technical and non\-technical teams to ship and communicate impactful features
* Experience using product data tools like Amplitude, Sigma, or similar platforms to drive decisions
* Awareness of global privacy regulations and ethical considerations around behavioral tracking
* Role requires proficiency with macOS and comfort working fully remotely using tools such as Slack, Google Workspace, and Zoom.
 ⭐
 **Bonus Points For**
* Experience at a bot detection, fraud prevention, or security company (e.g. HUMAN, Arkose, DataDome)
* Contributions to open\-source tools or published research in fraud/automation detection
* Deep understanding of AI agents and how they interact with modern apps
***For US\-based employees***
*, the cash compensation range for this role is* 
***$180,000\-$193,000\.***
*We set standard ranges for all US roles based on function, level, and geographic location, benchmarked against similar stage growth companies. To comply with local legislation and provide greater transparency to candidates, we share salary ranges on all job postings regardless of desired hiring location. However,* 
***these ranges are specific to the hiring location and may differ within or outside the US.***
*Final offer amounts are determined by multiple factors, including geographic location as well as candidate experience and expertise, and may vary from the amounts listed above.*
*We have noticed a rise in recruiting impersonations across the industry, where scammers attempt to access candidates' personal and financial information through fake interviews and offers. All Fingerprint recruiting email communications will always come from the @fingerprint.com domain. Any outreach claiming to be from Fingerprint via other sources should be ignored.*
 Offers vary depending on, but not limited to, relevant experience, education, certifications/licenses, skills, training, and market conditions.
 Due to regulatory and security reasons, there's a small number of countries where we cannot have Fingerprint teammates based.
 **Additionally, because Fingerprint is an all\-remote company and people can join our workforce from almost any country, we do not sponsor visas. Fingerprint teammates need to be authorized to work from their home location** 
 .
 We are dedicated to creating an inclusive work environment for everyone. We embrace and celebrate the unique experiences, perspectives and cultural backgrounds that each employee brings to our workplace. Fingerprint strives to foster an environment where our employees feel respected, valued and empowered, and our team members are at the forefront in helping us promote and sustain an inclusive workplace. We highly encourage people from underrepresented groups in tech to apply.
 If you are applying as a resident of California, please read our CCPA notice here
 If you are applying as a resident of the EU, please read our GDPR notice here</t>
        </is>
      </c>
    </row>
    <row r="171">
      <c r="A171" t="inlineStr">
        <is>
          <t>li-4360791828</t>
        </is>
      </c>
      <c r="B171" t="inlineStr">
        <is>
          <t>Lanes Data Product Manager, Geo</t>
        </is>
      </c>
      <c r="C171" t="inlineStr">
        <is>
          <t>Google</t>
        </is>
      </c>
      <c r="D171" t="inlineStr">
        <is>
          <t>linkedin</t>
        </is>
      </c>
      <c r="E171">
        <f>HYPERLINK("https://www.linkedin.com/jobs/view/4360791828", "https://www.linkedin.com/jobs/view/4360791828")</f>
        <v/>
      </c>
      <c r="F171" t="inlineStr"/>
      <c r="G171" t="inlineStr">
        <is>
          <t>Mountain View, CA</t>
        </is>
      </c>
      <c r="H171" t="inlineStr"/>
      <c r="I171" t="inlineStr">
        <is>
          <t>**Minimum qualifications:**
* Bachelor's degree or equivalent practical experience.
* 5 years of experience in product management or related technical role.
* 2 years of experience taking technical products from conception to launch.
**Preferred qualifications:**
* Master’s degree or PhD in a technology or business related field.
* 6 years of experience in technical product management.
* Experience in stakeholder management, including ability to bring disparate parts of an organization together to a common consensus, including where ownership is ambiguous.
* Experience with geospatial datasets or large datasets.
* Ability to lead cross\-functional teams, manage product roadmaps, and deliver high\-quality products on schedule.
* Excellent written and verbal communication skills, with the ability to articulate ideas clearly and concisely to audiences.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Lanes Data Product Manager, you will enable a high quality driving and navigation experience through lane\-level detail on the map. You will leverage techniques to bring together multiple data sources to build and maintain an up\-to\-date model of the physical road and lane network. You will work with engineering, operations and client experience teams to design the systems needed to enable lane\-aware features. You will be responsible for understanding the market for geospatial lane data, driving advancements in Google's technological capabilities to build this data, and understanding the needs of multiple stakeholders to form a roadmap to drive impact over the short and long\-term.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with engineering and operations to deliver scalable systems powered by AI and Operations that brings detailed lane and intersection data to use cases across consumer and auto surfaces.
* Establish quality standards for lanes data products, ensuring the team can continue to meet user needs as the world changes.
* Explore and integrate new data sources, such as vehicle sensor observations, driving telemetry, user reports, and imagery.
* Prioritize and build new features that increase the level of detail of our lanes offering.
* Conduct market research on both consumer and auto offerings to influence the data roadmap.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2">
      <c r="A172" t="inlineStr">
        <is>
          <t>li-4330588375</t>
        </is>
      </c>
      <c r="B172" t="inlineStr">
        <is>
          <t>Product Manager, Growth Products and Partnerships</t>
        </is>
      </c>
      <c r="C172" t="inlineStr">
        <is>
          <t>Visa</t>
        </is>
      </c>
      <c r="D172" t="inlineStr">
        <is>
          <t>linkedin</t>
        </is>
      </c>
      <c r="E172">
        <f>HYPERLINK("https://www.linkedin.com/jobs/view/4330588375", "https://www.linkedin.com/jobs/view/4330588375")</f>
        <v/>
      </c>
      <c r="F172" t="inlineStr"/>
      <c r="G172" t="inlineStr">
        <is>
          <t>Austin, TX</t>
        </is>
      </c>
      <c r="H172" t="inlineStr"/>
      <c r="I172"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is seeking a skilled and innovative Manager of Product Management to support the development and delivery of advanced products and solutions. This role requires a good understanding of the payment infrastructure, utilizing Payment Acceptance, Tokenization, Visa Direct, and 3DS rails to create secure, PCI\-compliant products. You will be responsible for optimizing the end\-to\-end experience for issuers, acquirers, and technology platforms, ensuring that these solutions meet the needs of both developed and emerging markets.
**Key Responsibilities:**
* Product and Solution Delivery: Assist in the development and delivery of innovative card acceptance services and capabilities that enhance the overall ecosystem.
* Product Development: Utilize product\-building skills, focusing on digital payment technologies to identify efficiencies and opportunities.
* Requirement Authoring and Deployment: Assist in authoring detailed business requirements and overseeing the deployment of Solution Services, including creating go\-to\-market (GTM) collateral and processes.
* Cross\-Functional Collaboration: Collaborate with various teams across Visa to launch, commercialize, and scale business services.
* Infrastructure Establishment: Contribute to designing and establishing the infrastructure for card acceptance services to meet current and future needs.
* Sprint Management: Support sprint management, ensuring status updates and delivery align with agreed time, cost, and quality parameters.
* Issue Management: Identify potential issues early, determine resolutions, communicate status, and track and resolve issues promptly.
* Global and Regional Balance: Assist in balancing regional and global opportunities to achieve overall solution and platform objectives through collaboration across a complex, matrixed organization.
**Essential Functions:**
* Pragmatic Product Building: Synthesize requirements into a common set of platform and service capabilities, writing clear and detailed user stories and requirements for complex features and product sets.
* Cross\-Functional Liaison: Liaise with other business units, product managers, engineering, and other groups to ensure flawless execution and output enablement guides and collaterals.
* Business Problem Management: Manage business problems through hands\-on troubleshooting and analysis, essential for key global projects/programs related to the new solution.
* Technical Discussions: Participate in technical discussions with knowledge of Payments, EMV, PCI, tokenization, application requirements, customer experience, and software and payments security.
* Team Collaboration: Act as a bridge between business and technology, collaborating effectively with various teams across Visa globally.
* Core Platform Development: Support the development of the core platform along with feature sets spanning the end\-to\-end payments lifecycle.
* Product Documentation: Manage updates to product documentation and collaborate with global stakeholders on communication impacts, including developing FAQs, internal memos, and Visa Business News (VBN) articles.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Demonstrated expertise in designing and implementing payment products and services tailored for treasury banking.
* Proven track record of contributing to successful initiatives.
* Subject matter expertise in debit, credit, and digital products, with an understanding of RTP, card schemes, and Instant Payments.
* At least 5 years of industry experience in product management, product development, and payments processing, focusing on launching new products and features.
* Knowledge of Digital Payments, NFC/HCE, and QR Codes.
* Understanding of Credit/Debit/Pre\-Paid cards and the financial/payment industry.
* Ability to manage projects with multiple workstreams and demonstrate leadership across various product business challenges.
* Experience in structuring, managing, and coordinating complex workstreams and processes involving multiple stakeholders.
* Ability to collaborate and influence within a highly matrixed organization.
* Proficiency in PowerPoint, Excel, and JIRA.
* Team\-oriented, collaborative, and flexible, with excellent presentation skills and strong oral and written communication capabilities.
* Detail\-oriented and highly execution\-focused, with the ability to work effectively with counterparts across multiple functional groups.
* Organized, with a natural aptitude for both strategic and tactical planning, and the ability to translate strategy into actionable deliverables.
* Strong business acumen and an understanding of organizational issues and challenges.
* Ability to think creatively, innovate, and differentiate products, with tangible evidence of business results.
* Ability to work independently within a complex environment, driving rigorous, fact\-based recommendations and solutions.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146,200\.00 to 211,850\.00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73">
      <c r="A173" t="inlineStr">
        <is>
          <t>li-4354200978</t>
        </is>
      </c>
      <c r="B173" t="inlineStr">
        <is>
          <t>Consumer Electronics (PC/Mac) Software Product Manager</t>
        </is>
      </c>
      <c r="C173" t="inlineStr">
        <is>
          <t>Portrait Displays (Calman)</t>
        </is>
      </c>
      <c r="D173" t="inlineStr">
        <is>
          <t>linkedin</t>
        </is>
      </c>
      <c r="E173">
        <f>HYPERLINK("https://www.linkedin.com/jobs/view/4354200978", "https://www.linkedin.com/jobs/view/4354200978")</f>
        <v/>
      </c>
      <c r="F173" t="inlineStr"/>
      <c r="G173" t="inlineStr">
        <is>
          <t>Lynnwood, WA</t>
        </is>
      </c>
      <c r="H173" t="inlineStr"/>
      <c r="I173" t="inlineStr">
        <is>
          <t>**Job Overview** 
 The Product Manager of PC/Mac Solutions at Portrait Displays, Inc. (PDI) is a key driver for advanced color management and display calibration solutions, specifically for Consumer electronics ODM/OEM partners. This role is vital for coordinating the planning and execution of PDI's OEM solutions product line.
**Key Responsibilities** 
***Product Planning \&amp; Execution***
* Collaborates with the product team to manage the ODM/OEM business line while collaborating with Sales and Marketing to identify, develop, and execute new business opportunities with ODM/OEM customers.
* Defines priorities, acceptance criteria, and outcomes.
* Ensures roadmap alignment and productization.
* Coordinates releases, including enhancements, bug fixes, and new display support.
* Track timelines, issues, and deliverables to ensure on\-time execution.
* Maintain high responsiveness to reported issues from internal teams, partners, and customers.
***Cross\-Functional Collaboration***
* Work closely with the PM team and Engineering on sprint planning, execution, and issue resolution.
* Coordinate with QA to define testing priorities and validate release readiness.
* Sync with Sales and Marketing on customer needs, feedback, and pre\- and post\-sale product support.
* Attend and help drive internal and customer\-facing meetings.
***Technical \&amp; Platform Scope***
* Support full development cycles for factory tools, color management, and display calibration.
* Learn and support factory calibration and ODM test tools first, then expand to additional CT / CMV products.
* Maintain working knowledge of TV / display manufacturing processes, ODM / OEM factory environments, and calibration workflows.
* Support products across both Windows and macOS operating systems.
***Documentation, Testing \&amp; Feedback***
* Create, update and maintain MRDs, PRDs and related product documentation.
* Support test planning, internal testing, beta programs, and customer validation.
* Track issues, enhancements, and feedback to support continuous product improvement.
**Education** 
 A Bachelor's or Master's degree in a technical field with a specialization or strong coursework in display technology, color science, or manufacturing systems would be the most advantageous background for this Product Manager role.
**Required Qualifications and Experience** 
* Strong organizational and multitasking skills with attention to detail.
* Excellent people skills and the ability to collaborate across technical and non\-technical teams.
* Ability to create, update, and maintain MRDs (Market Requirements Documents) and PRDs (Product Requirements Documents), along with other related product documentation
* Experience supporting products across both Windows and macOS operating systems.
* Experience tracking issues, enhancements, and feedback for continuous product improvement.
**Preferred Experience** 
* Experience in using display and color solutions for both Windows and macOS environments
* Aware and up\-to\-date on color, display, and productivity features and trends on Windows and macOS through OS and/or existing 3rd party offerings.
* Experience in display industry and can distinguish between common display technologies
* Possesses an understanding and vision of market (end user) needs for display solutions
* Experience supporting full development cycles for factory tools, color management, and display calibration
* Exposure to factory tools or ODM / OEM test environments.
* Knowledge on networking platforms and/or remote management systems a positive
**Company Description** 
 The Product Manager will be operating in the specialized field of color display solutions. Portrait Displays, Inc. (PDI) is a leader in this domain, known for:
* Combining the latest in color science with advanced display control.
* Ensuring color quality for global device manufacturers, content creators, and distributors.
*This role is based entirely on\-site and requires full\-time attendance (five days per week) at our Lynnwood WA location. We kindly request that only locally situated candidates or those who can arrange their own relocation apply, as we are unable to provide relocation support or visa sponsorship. PDI is an equal opportunity employer who pledges not to discriminate against employees based on race, color, religion, sex (including pregnancy), national origin, age, disability or genetic information.*</t>
        </is>
      </c>
    </row>
    <row r="174">
      <c r="A174" t="inlineStr">
        <is>
          <t>li-4354819194</t>
        </is>
      </c>
      <c r="B174" t="inlineStr">
        <is>
          <t>Product Manager II, Databases and Analytics, Google Cloud</t>
        </is>
      </c>
      <c r="C174" t="inlineStr">
        <is>
          <t>Google</t>
        </is>
      </c>
      <c r="D174" t="inlineStr">
        <is>
          <t>linkedin</t>
        </is>
      </c>
      <c r="E174">
        <f>HYPERLINK("https://www.linkedin.com/jobs/view/4354819194", "https://www.linkedin.com/jobs/view/4354819194")</f>
        <v/>
      </c>
      <c r="F174">
        <f>HYPERLINK("https://careers.google.com/jobs/results/88598970921558726-product-manager-ii/?src=Online/LinkedIn/linkedin_us&amp;utm_source=linkedin&amp;utm_medium=jobposting&amp;utm_campaign=contract&amp;urlHash=BBB0", "https://careers.google.com/jobs/results/88598970921558726-product-manager-ii/?src=Online/LinkedIn/linkedin_us&amp;utm_source=linkedin&amp;utm_medium=jobposting&amp;utm_campaign=contract&amp;urlHash=BBB0")</f>
        <v/>
      </c>
      <c r="G174" t="inlineStr">
        <is>
          <t>Sunnyvale, CA</t>
        </is>
      </c>
      <c r="H174" t="inlineStr"/>
      <c r="I174" t="inlineStr">
        <is>
          <t>**Minimum qualifications:**
* Bachelor's degree or equivalent practical experience.
* 5 years of experience in product management or related technical role.
* 2 years of experience developing or launching products or technologies within databases, analytics, big data, or a related area.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revenue).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5">
      <c r="A175" t="inlineStr">
        <is>
          <t>li-4355251405</t>
        </is>
      </c>
      <c r="B175" t="inlineStr">
        <is>
          <t>Senior Advertising Product Manager</t>
        </is>
      </c>
      <c r="C175" t="inlineStr">
        <is>
          <t>Axon by AppLovin</t>
        </is>
      </c>
      <c r="D175" t="inlineStr">
        <is>
          <t>linkedin</t>
        </is>
      </c>
      <c r="E175">
        <f>HYPERLINK("https://www.linkedin.com/jobs/view/4355251405", "https://www.linkedin.com/jobs/view/4355251405")</f>
        <v/>
      </c>
      <c r="F175">
        <f>HYPERLINK("https://boards.greenhouse.io/applovin/jobs/4646753006?gh_jid=4646753006&amp;urlHash=bMx-", "https://boards.greenhouse.io/applovin/jobs/4646753006?gh_jid=4646753006&amp;urlHash=bMx-")</f>
        <v/>
      </c>
      <c r="G175" t="inlineStr"/>
      <c r="H175" t="inlineStr"/>
      <c r="I175" t="inlineStr">
        <is>
          <t>**About AppLovin**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recognizes AppLovin as one of the Best Workplaces in the Bay Area, and the company has been a Certified Great Place to Work for the last four years (2021\-2024\). Check out the rest of our awards HERE.
**The Opportunity**
 Wurl is seeking a Senior Software Engineer to build and optimize the high\-concurrency Go services powering our real\-time advertising platform. We operate at massive scale, handling 100k\+ OpenRTB requests per second where latency is measured in single\-digit milliseconds. You will be a key contributor to our core engine, ensuring our services thrive under extreme load while providing a strong technical reference point for the team’s Go development practices.
**Key Responsibilities**
**Technical Execution \&amp; Performance**
* Feature Ownership: Lead the design and implementation of complex features within our Go\-based ad\-serving stack, optimized for high throughput.
* Systems Optimization: Use pprof and tracer to eliminate bottlenecks; tune memory allocation and goroutine usage to meet aggressive p99 latency targets.
* Protocol Mastery: Maintain high\-speed support for OpenRTB and VAST protocols, focusing on efficient request parsing and validation.
* Stream Processing: Integrate services with Kafka pipelines and with low\-latency data stores to support real\-time decisioning.
**Operational Excellence \&amp; Partnership**
* Platform Partnership: Work closely with Platform Engineers to ensure application behavior aligns with infrastructure capabilities, specifically around auto\-scaling triggers, networking, and deep observability.
* Defensive Engineering: Implement reliability patterns (circuit breakers, retries, graceful degradation) to maintain uptime during traffic surges.
* Production Ownership: Take end\-to\-end responsibility for services, from initial design through deployment to Kubernetes (EKS) and production monitoring.
**Team Leadership**
* Architectural Rigor: Lead design reviews, providing critical feedback on system architecture, data modeling, and API design.
* Mentorship: Grow the team through thoughtful code reviews and informal sessions on Go best practices and distributed systems.
**Requirements**
* Go Expertise: 5\+ years of professional experience building high\-scale services in Go, with a deep understanding of internals (GC, scheduling, and memory management).
* High\-Scale Systems: Proven track record of operating distributed systems handling 100k\+ RPS.
* Concurrency: Mastery of goroutines, channels, and synchronization primitives.
* Domain Context: Experience with OpenRTB, VAST, or similar programmatic advertising technologies preferred.
* Infrastructure: Practical experience running and debugging services in Kubernetes and AWS environments
* Mindset: A pragmatic architect who values simple, effective solutions over over\-engineered abstractions.
**Why Wurl?**
* Go as a First\-Class Citizen: Join a specialized environment where performance is the primary feature.
* Engineering at the Edge: Tackle the unique concurrency and networking challenges that only emerge at the "hundreds of thousands of RPS" threshold.
* Direct Visibility: See your optimizations immediately move the needle on revenue and the ad experience for millions of global streamers.
**What We Offer**
* Competitive Salary \&amp; Equity
* Strong Medical, Dental and Vision Benefits, 100% paid by Wurl
* Remote first policy
* Flexible Time Off
* 12 US Holidays
* 401(k) Matching
* Pre\-Tax Savings Plans, HSA \&amp; FSA
* Ginger, Aaptiv and Headspace subscriptions for mental and physical wellness
* OneMedical subscription for 24/7 convenient medical care
* Paid Maternity and Parental Leave for all family additions
* Discounted PetPlan and easy at home access to Covid testing with empowerDX
* $1k Work From Home Stipend to set up your Office
 Few companies allow you to thrive like you will at Wurl. Join us to revolutionize the way the world watches television while enjoying mentorship, collaboration, and innovation.
 We encourage all applicants, even those who don’t meet 100% of the requirements, to apply. Passion and potential go a long way here at Wurl.
 EN.PGPG.P4
 AppLovin provides a competitive total compensation package with a pay for performance rewards approach. Total compensation at AppLovin is based on a number of factors including market location and may vary depending on job\-related knowledge, skills, and experience. Depending on the position offered, equity, and other forms of incentive compensation (as applicable) may be provided as part of a total compensation package, in addition to dental, vision, and other benefits.
**Health Insurance:** 
 Medical, Dental, Vision, Life, Disability
**Retirement Benefits:** 
 401(k) Retirement Plan
**Paid Time Off:** 
 Unlimited Discretionary Time Off
**Paid Holidays:** 
 10 paid holidays per year
**Paid Sick Leave:** 
 80 hours per year
**Method of Application:** 
 Apply online
**Application Window:** 
 The application window is expected to close within 30 days of the posting date.
 All questions or concerns about this posting should be directed to peopleops@applovin.com.
 USA Base Pay Range: CA, NY, WA States
 $161,000—$241,000 USD
 USA Base Pay Range: all other States (excludes CA, NY, WA)
 $147,000—$221,000 USD
 AppLovin has become aware of a scam targeting jobseekers with fake “app optimization” and similar roles. We do not ask our candidates to download apps or make any form of payment(s). AppLovin works with applicants through our Careers page and applovin.com email addresses. If you are contacted through other unofficial channels (such as WhatsApp or Telegram) or asked to download an app or make a payment, these contacts are not legitimate. Confirm the information here and contact us directly with any questions.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If you’re applying for a position in California, learn more here.
 To support an efficient and fair hiring process, we may use technology\-assisted tools, including artificial intelligence (AI), to help identify and evaluate candidates. All hiring decisions are ultimately made by human reviewers.
 Please read our Global Applicant Privacy Notice to learn more about how AppLovin processes your personal information.</t>
        </is>
      </c>
    </row>
    <row r="176">
      <c r="A176" t="inlineStr">
        <is>
          <t>li-4344791559</t>
        </is>
      </c>
      <c r="B176" t="inlineStr">
        <is>
          <t>Lead Group Product Manager, Databases &amp; Analytics, Google Cloud</t>
        </is>
      </c>
      <c r="C176" t="inlineStr">
        <is>
          <t>Google</t>
        </is>
      </c>
      <c r="D176" t="inlineStr">
        <is>
          <t>linkedin</t>
        </is>
      </c>
      <c r="E176">
        <f>HYPERLINK("https://www.linkedin.com/jobs/view/4344791559", "https://www.linkedin.com/jobs/view/4344791559")</f>
        <v/>
      </c>
      <c r="F176" t="inlineStr"/>
      <c r="G176" t="inlineStr">
        <is>
          <t>Sunnyvale, CA</t>
        </is>
      </c>
      <c r="H176" t="inlineStr"/>
      <c r="I17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or equivalent practical experience.
* 10 years of experience in product management or related technical role.
* 5 years of experience taking technical products from conception to launch (e.g., ideation to execution, end\-to\-end, 0 to 1, etc).
* 5 years of experience in people management, with technical leadership.
* Experience developing or launching products or technologies within databases, analytics, big data, or a related area.
**Preferred qualifications:**
* Master's degree in a technology or business related field.
* 7 years of experience working cross\-functionally with engineering, UX/UI, sales finance, and other stakeholders.
* 7 years of experience in a business function or role (e.g., strategic marketing, business operations, consulting).
* 5 years of experience in a role preparing and delivering technical presentations to senior leadership.
* 5 years of experience in software development or engineering.
* Knowledge of, or continued interest in building accessibility best practices, and experience/curiosity for incorporating accessibility into product development methodologies.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PRDs by overseeing collaboration with partner teams (e.g., engineers, PgMs, UX) during product design.
* Own and oversee definition of product roadmaps.
* Own development and secure buy\-in for a product vision that identifies, defines, and supports the overall product narrative and direction, achieving an outcome that is greater than the sum of its parts.
* Oversee validation of market size and opportunity (e.g., user\-based, strategic opportunity, revenue).
* Lead the team through defining, identifying, collecting, and tracking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7">
      <c r="A177" t="inlineStr">
        <is>
          <t>li-4330933138</t>
        </is>
      </c>
      <c r="B177" t="inlineStr">
        <is>
          <t>Group Outbound Product Manager, High Performance Compute</t>
        </is>
      </c>
      <c r="C177" t="inlineStr">
        <is>
          <t>Google</t>
        </is>
      </c>
      <c r="D177" t="inlineStr">
        <is>
          <t>linkedin</t>
        </is>
      </c>
      <c r="E177">
        <f>HYPERLINK("https://www.linkedin.com/jobs/view/4330933138", "https://www.linkedin.com/jobs/view/4330933138")</f>
        <v/>
      </c>
      <c r="F177" t="inlineStr"/>
      <c r="G177" t="inlineStr">
        <is>
          <t>Sunnyvale, CA</t>
        </is>
      </c>
      <c r="H177" t="inlineStr"/>
      <c r="I17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Austin, TX, USA; Sunnyvale, CA, USA** 
 .
 **Minimum qualifications:**
* Bachelor's degree or equivalent practical experience.
* 10 years of experience in product management or related technical role.
* 5 years of experience taking technical products from conception to launch (e.g., ideation to execution, end\-to\-end, 0 to 1, etc).
* Experience developing or launching infrastructure products or technologies within networking, storage, compute hardware, databases, file systems, data analytics, cluster management, and other software infrastructure areas.
**Preferred qualifications:**
* Master's degree in a technology or business related field.
* 7 years of experience working cross\-functionally with engineering, UX/UI, sales finance, and other stakeholders.
* 7 years of experience in a business function or role (e.g., strategic marketing, business operations, consulting).
* 5 years of experience in software development or engineering.
* 5 years of experience in a role preparing and delivering technical presentations to senior leadership.
* Understanding of customer workloads and workflows in manufacturing segment use cases (e.g., CAE, EDA, Energy) for High Performance Computing.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team builds, launches computing environments and solutions for High Performance Computing (HPC) workloads on GCP. Come work with leading customers in the HPC space and make your mark.
 We partner with teams across Cloud (including Compute, Storage, Networking, GKE and more) and Google (including Core ML, DeepMind, Research, and others) to build software and solutions for cutting\-edge HPC workloads used across key verticals like Financial Services, Manufacturing, and Healthcare and Life Sciences, and the public sector. We are responsible for the end\-to\-end product and customer experience, building differentiated offerings that leverage Alphabet’s strengths to fully meet the rapidly evolving needs of our customers.
 We are looking for an experienced outbound product manager to lead the development, launch, and landing of the next\-generation HPC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product goal and strategy to win in HPC key vertical segments with the right GCP HPC products and solutions.
* Create the narrative to attract and win enterprise accounts in key GCP HPC vertical markets.
* Partner closely with engineering and work cross\-functionally with workload experts, Customer Engineers, Solutions Architects, Sales, Partnership, Marketing and other Google teams to create, drive, and deliver innovative, compelling product experiences.
* Understand customer requirements end\-to\-end, generating insights and requirements, and then working with Engineering and Solutions architects to bring the solution to reality.
* Work with our go\-to\-market and field to identify the best way to build momentum for HPC solutions for key verticals, with a focus on acquiring and growing accounts.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8">
      <c r="A178" t="inlineStr">
        <is>
          <t>li-4338901862</t>
        </is>
      </c>
      <c r="B178" t="inlineStr">
        <is>
          <t>Product Manager - Infrastructure</t>
        </is>
      </c>
      <c r="C178" t="inlineStr">
        <is>
          <t>Baseten</t>
        </is>
      </c>
      <c r="D178" t="inlineStr">
        <is>
          <t>linkedin</t>
        </is>
      </c>
      <c r="E178">
        <f>HYPERLINK("https://www.linkedin.com/jobs/view/4338901862", "https://www.linkedin.com/jobs/view/4338901862")</f>
        <v/>
      </c>
      <c r="F178">
        <f>HYPERLINK("https://jobs.ashbyhq.com/baseten/bcdd2609-1ea0-41f1-9641-c90f7aae2f8d&amp;urlHash=1S8b", "https://jobs.ashbyhq.com/baseten/bcdd2609-1ea0-41f1-9641-c90f7aae2f8d&amp;urlHash=1S8b")</f>
        <v/>
      </c>
      <c r="G178" t="inlineStr">
        <is>
          <t>San Francisco, CA</t>
        </is>
      </c>
      <c r="H178" t="inlineStr"/>
      <c r="I178"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an
 **Infrastructure Product Manager** 
 at Baseten, you’ll own the roadmap for our core inference and compute infrastructure, ensuring our platform delivers world\-class reliability, scalability, and performance. You’ll work closely with engineering teams to define how we handle large\-scale distributed systems, optimize GPU utilization, and provide enterprise\-grade security and observability. This is a deeply technical role that bridges engineering excellence and customer impact, ensuring Baseten’s infrastructure is a foundation our users can depend on.
**EXAMPLE INITIATIVES**
 You'll get to work on these types of projects as part of our Infrastructure team:
* Multi\-cloud capacity management
* Inference on B200 GPUs
* Multi\-node inference
* Fractional H100 GPUs for efficient model serving
**Responsibilities**
* Define the product vision and roadmap for Baseten’s inference, serving, and orchestration infrastructure
* Collaborate with engineering to improve the reliability, latency, and cost efficiency of model deployments
* Partner with Forward Deployed Engineering and customer teams to translate performance needs into infrastructure investments
* Drive internal platform scalability from multi\-GPU support to hybrid cloud architecture
* Establish metrics for uptime, latency, and cost, ensuring we deliver best\-in\-class performance and efficiency
* Lead cross\-functional initiatives around observability, deployment automation, and infrastructure security
**Requirements**
* 4\+ years of Product Management experience in developer platforms, infrastructure, or ML systems
* Engineering background (e.g., degree in Computer Science, Electrical Engineering, or related field; or equivalent hands\-on experience as a software engineer)
* Strong technical understanding of distributed systems, cloud computing, and GPU\-based workloads
* Proven track record of shipping technical products with measurable reliability or performance improvements
* Excellent communication and prioritization skills with deeply technical teams
**NICE TO HAVE**
* Experience with Kubernetes, autoscaling systems, or inference optimization
* Understanding of LLM and multimodal model serving
* Prior experience at a company building infrastructure for ML or developer tools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179">
      <c r="A179" t="inlineStr">
        <is>
          <t>li-4353018827</t>
        </is>
      </c>
      <c r="B179" t="inlineStr">
        <is>
          <t>Lead Technical Product Manager, Hardware</t>
        </is>
      </c>
      <c r="C179" t="inlineStr">
        <is>
          <t>Sunco.com</t>
        </is>
      </c>
      <c r="D179" t="inlineStr">
        <is>
          <t>linkedin</t>
        </is>
      </c>
      <c r="E179">
        <f>HYPERLINK("https://www.linkedin.com/jobs/view/4353018827", "https://www.linkedin.com/jobs/view/4353018827")</f>
        <v/>
      </c>
      <c r="F179" t="inlineStr"/>
      <c r="G179" t="inlineStr">
        <is>
          <t>Santa Clarita, CA</t>
        </is>
      </c>
      <c r="H179" t="inlineStr"/>
      <c r="I179" t="inlineStr">
        <is>
          <t>****Note to applicants:****
 This is a full\-time, onsite position working out of our HQ in Valencia, CA.
**Who We Are**
 Sunco is a leading American lighting and electrical eCommerce retailer proudly serving electrical contractors, builders, and property owners. Based in sunny Valencia, CA, we’re guided by values of customer\-centricity, expertise, grit, and agility. Our vision is to simplify the purchase\-to\-install journey through a seamless, one\-stop experience built on selection, service, speed, and savings. When our customers win, we win. By joining Sunco, you’re joining a company committed to continuous progress and improving efficiency across every project we support.
**Who You Are**
* Smart – strong reasoning and critical thinking
* Passionate – your work is your sport of choice
* Optimistic – self\-explanatory
* Tenacious – extraordinary impact requires extraordinary grit and work ethic
* Adaptable – the world evolves at breakneck speed. You evolve faster.
* Kind – but that doesn't mean you’re a pushover. Kindness lets you make hard decisions.
**About The Role**
 We’re hiring a senior technical product leader to own Sunco’s lighting and electrical supply portfolio end\-to\-end. This role will manage and scale a team of Product Managers and Project/Program Managers. This role is accountable for both what we build (product strategy, requirements, customer value) and how we build it (NPI execution, manufacturing alignment, supplier partnerships, iteration systems).
 You’ll lead lighting products from concept through launch and into high\-velocity iteration. You’ll drive gains in reliability, thermal performance, manufacturability, cost\-downs, and customer outcomes. You’ll operate as a cross\-team leader, because you understand that a single team can go fast, but a team of teams can go far.
 You'll partner closely with data, software engineering, hardware engineering, quality, manufacturing, supply chain, sales/marketing, CS and more. You're already actively exploring how AI \+ data is reshaping manufacturing and hardware product development. .
**What You’ll Do**
* Own lighting products end\-to\-end: Lead NPI from requirements → prototypes → validation/compliance → pilot → ramp → launch → post\-launch iteration.
* Lead and develop the PM/Program team: Manage Product Managers and Project/Program Managers; set operating cadence, priorities, and execution standards; coach decision\-making and communication quality.
* Manage full product lifecycle: Drive roadmap planning from concept to end\-of\-life; continuously assess market conditions and customer needs; lead feature additions, refreshes, and portfolio decisions.
* Drive iteration at scale: Improve reliability, thermal performance, manufacturability, packaging, margin, returns/defects, yield, lead time, and supplier/CM changes.
* Serve as primary operations point of contact: Understand factory operations and manufacturing constraints to prevent misalignment, reduce waste, and protect Sunco’s time and resources.
* Lead supplier and vendor relationships: Ensure factories and partners prioritize Sunco—supporting faster development, smoother production, better terms, and improved pricing.
* Run cross\-functional decision systems: Facilitate phase gates, executive updates, and high\-quality decisions across product, engineering, manufacturing, supply chain, sales/marketing, and analytics.
* Operate with a data\-driven mindset: Gather and synthesize quantitative \+ qualitative inputs; build decision narratives that align stakeholders and enable fast, confident bets.
* Apply AI to accelerate work: Identify and implement practical AI\-enabled improvements in requirements, documentation, issue triage, test planning, and manufacturing/quality insights.
**What We Are Looking For**
* Lighting industry background: Strong understanding of lighting customers, trends, channels, and technology progression.
* Technical hardware depth: High\-level understanding of lighting technology and innovation, with hands\-on experience in electrical, mechanical, and/or electromechanical systems.
* Engineering training strongly preferred: EE degree/training or equivalent technical hardware product leadership background.
* 7\+ years shipping hardware products from concept to scale (lighting/electrical preferred) with meaningful hands\-on engineering involvement.
* 3\+ years in technical hardware product management and/or hardware engineering leadership, including leading teams and driving cross\-functional outcomes.
* Technical fluency in lighting hardware: LED systems, drivers/power, chips, dimming behavior, thermal/reliability, manufacturability, and core EE principles.
* Manufacturing \+ supplier/ODM/CM experience: RFQ, sampling, pilots, production support, and navigating factory operations effectively.
* Market Analysis: Exceptional understanding of demographics and customer needs. Has the ability to root cause customer pain points and translate that into product features and offerings.
* Communication and influence: Exceptional written and verbal communication; ability to align and drive outcomes across teams (including senior stakeholders) without direct authority.
* Data\-first decision making: Comfortable using quantitative and qualitative inputs to make and defend product decisions at speed.
**Benefits \&amp; Perks**
 At Sunco, we pride ourselves on offering a comprehensive benefits package designed to support the well\-being and professional growth of our team members, our offering include:
* Comprehensive Health and Wellness Coverage: Enjoy peace of mind with our extensive health insurance plans, which include medical, dental, and vision coverage.
* 401(k) with Company Match: Secure your financial future with our 401(k) plan, featuring a competitive company match to help you save for retirement.
* Flexible Spending Accounts (FSAs): Take advantage of FSAs to manage out\-of\-pocket healthcare and dependent care expenses efficiently.
* Time Off Policy: We believe in the importance of work\-life balance and provide a generous time off policy, including paid vacation, holidays, and sick leave.
* Employee Assistance Program (EAP): Access confidential counseling and support services for personal and professional challenges.
* Team Building Activities: Engage in weekly challenges, regular team\-building activities, and quarterly company outings to foster a strong sense of community.
****Job Type:****
 Full\-time , Exempt
****Compensation:****
 $145,000 \- $160,000 per year
****DISCLAIMER:****
 This is not necessarily an exhaustive list of all responsibilities, duties, skills, efforts, requirements, or working conditions associated with the job. While this is intended to accurately reflect the current job, management reserves the right to revise the job or to require that other or different tasks be performed as assigned.
 Sunco Lighting Inc. provides equal employment opportunities to all employees and applicants for employment and complies with Ban the Box laws, which prohibit us from inquiring about an applicant's criminal history until after a conditional job offer has been made. We also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Sunco values privacy as a top priority. To understand more about the data we collect and process as part of our application, please view our Sunco Privacy Notice
**The Pay Range For This Role Is**
 145,000 \- 160,000 USD per year(Valencia, CA Office)</t>
        </is>
      </c>
    </row>
    <row r="180">
      <c r="A180" t="inlineStr">
        <is>
          <t>li-4330395272</t>
        </is>
      </c>
      <c r="B180" t="inlineStr">
        <is>
          <t>Senior Product Manager, Quantum Product, Quantum AI, Hardware</t>
        </is>
      </c>
      <c r="C180" t="inlineStr">
        <is>
          <t>Google</t>
        </is>
      </c>
      <c r="D180" t="inlineStr">
        <is>
          <t>linkedin</t>
        </is>
      </c>
      <c r="E180">
        <f>HYPERLINK("https://www.linkedin.com/jobs/view/4330395272", "https://www.linkedin.com/jobs/view/4330395272")</f>
        <v/>
      </c>
      <c r="F180" t="inlineStr"/>
      <c r="G180" t="inlineStr">
        <is>
          <t>Seattle, WA</t>
        </is>
      </c>
      <c r="H180" t="inlineStr"/>
      <c r="I180"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Seattle, WA, USA; San Francisco, CA, USA; Goleta, CA, USA; Los Angeles, CA, USA** 
 .
 **Minimum qualifications:**
* Bachelor's degree in Physics, Computer Science, Mathematics, a related technical field, or equivalent practical experience.
* 8 years of experience in product management or related technical role.
* 3 years of experience taking technical products from conception to launch (e.g., ideation to execution, end\-to\-end, 0 to 1, etc.).
* Experience with quantum computing, cloud platforms, high\-performance computing, or advanced research infrastructure.
**Preferred qualifications:**
* Advanced degree in a quantum computing related field (e.g., Physics, Chemistry).
* Experience managing technical products or online services related to web services, online technology, and compute services.
* Experience in Quantum Physics, Engineering, or Technology.
* Experience developing business strategy in conjunction with executive leadership.
* Excellent communication skills with an ability to articulate a value proposition to technical and non\-technical audiences.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Google’s Quantum AI team builds and operates the world's leading quantum computers. As these systems evolve from research prototypes into commercial products, we are seeking a technical, user\-focused Product Manager to lead in defining a new initiative for the quantum research community.
 In this role, you will be responsible for establishing the product goal, gathering requirements, and driving the roadmap and go\-to\-market strategy for our hardware offerings. You will collaborate across software, hardware, and research teams to enable the next wave of scientific breakthroughs in this emerging field.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Conduct market research and engaged analysis to identify user needs and emerging trends, utilizing these insights to shape the product goal and prioritize the hardware roadmap.
* Collaborate with engineering and research teams to translate technical capabilities into detailed product requirements, balancing technical innovation with delivery feasibility.
* Define the go\-to\-market strategy and contribute to the cross\-functional implementation of the plan, coordinating with Marketing and Sales to develop pricing, positioning, and technical enablement materials.
* Manage the full product life\-cycle, defining requirements for operational readiness, reliability, and serviceability to ensure successful adoption and long\-term maintenance.
* Act as a product subject matter expert, staying abreast of technical and business developments in the quantum computing and related quantum technology industries.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1">
      <c r="A181" t="inlineStr">
        <is>
          <t>li-4354107413</t>
        </is>
      </c>
      <c r="B181" t="inlineStr">
        <is>
          <t>Staff Product Manager, Identity and Access Management</t>
        </is>
      </c>
      <c r="C181" t="inlineStr">
        <is>
          <t>CoreWeave</t>
        </is>
      </c>
      <c r="D181" t="inlineStr">
        <is>
          <t>linkedin</t>
        </is>
      </c>
      <c r="E181">
        <f>HYPERLINK("https://www.linkedin.com/jobs/view/4354107413", "https://www.linkedin.com/jobs/view/4354107413")</f>
        <v/>
      </c>
      <c r="F181">
        <f>HYPERLINK("https://coreweave.com/careers/job?4646540006&amp;board=coreweave&amp;gh_jid=4646540006&amp;urlHash=tLuM", "https://coreweave.com/careers/job?4646540006&amp;board=coreweave&amp;gh_jid=4646540006&amp;urlHash=tLuM")</f>
        <v/>
      </c>
      <c r="G181" t="inlineStr">
        <is>
          <t>Sunnyvale, CA</t>
        </is>
      </c>
      <c r="H181" t="inlineStr"/>
      <c r="I181"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You’ll lead the evolution of CoreWeave IAM, the platform that manages identity, authentication, and authorization across CoreWeave’s products and services. This team builds foundational security capabilities that enable the world’s leading AI labs and enterprises to securely access critical data and infrastructure. Your work will directly support scalable, secure AI workloads by ensuring identity and access controls are robust, flexible, and enterprise\-ready. You will drive a novel, modern approach to IAM that delights customers, even those with the most stringent security requirements.
**About The Role**
 As a Staff Product Manager for Identity and Access Management, you will own and evolve CoreWeave IAM, the platform responsible for identity, authentication, and authorization across CoreWeave’s products and services. In this role, you’ll define the IAM product strategy and roadmap while working closely with engineering, security, product, field, and marketing teams to deliver scalable, secure identity capabilities. You’ll partner with enterprise customers and internal stakeholders to ensure CoreWeave IAM meets the security, reliability, and performance needs of critical AI workloads. This role is highly cross\-functional and sits at the intersection of enterprise security, cloud infrastructure, and AI platforms.
**Who You Are**
* 8\+ years of product management experience, preferably in enterprise identity, security, or cloud infrastructure
* Demonstrated experience owning and delivering identity, authentication, and authorization products or platforms
* Strong technical understanding of enterprise IAM concepts, including least\-privileged access, SSO, MFA, and authn/authz systems
* Hands\-on experience with identity standards and protocols, such as OIDC/OAuth, SAML, and PKI
* Solid understanding of cloud infrastructure and enterprise platforms
* Familiarity with DevOps and Infrastructure\-as\-Code tools, such as Kubernetes and Terraform
* Proven track record of managing products from concept through launch and iteration
* Experience defining and tracking product performance metrics and using data to inform product decisions
* Bachelor’s or Master’s degree in Computer Science, Engineering, or a related technical field
**Preferred**
* Experience building IAM platforms that support large\-scale, multi\-tenant enterprise customers
* Background working with security teams or compliance\-driven environments
* Experience supporting AI, HPC, or mission\-critical infrastructure workloads
**Wondering if You’re a Good Fit?**
 We believe in investing in our people and value candidates who bring diverse experiences, even if you aren’t a 100% match. If some of this describes you, we’d love to talk.
* You believe that security done right is an enabler of great customer experiences, not a hurdle
* You love to act as the voice of the customer, turning real\-world enterprise needs into secure, scalable products
* You’re curious about identity and security trends and how they intersect with AI platforms and agentic infrastructure
* You’re an expert in enterprise identity, authentication, and authorization, and enjoy building systems that enable secure access to critical data and infrastructure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82">
      <c r="A182" t="inlineStr">
        <is>
          <t>li-4360453889</t>
        </is>
      </c>
      <c r="B182" t="inlineStr">
        <is>
          <t>Program Manager, Business Engagement</t>
        </is>
      </c>
      <c r="C182" t="inlineStr">
        <is>
          <t>Google</t>
        </is>
      </c>
      <c r="D182" t="inlineStr">
        <is>
          <t>linkedin</t>
        </is>
      </c>
      <c r="E182">
        <f>HYPERLINK("https://www.linkedin.com/jobs/view/4360453889", "https://www.linkedin.com/jobs/view/4360453889")</f>
        <v/>
      </c>
      <c r="F182">
        <f>HYPERLINK("https://careers.google.com/jobs/results/82696352269509318-program-manager/?src=Online/LinkedIn/linkedin_us&amp;utm_source=linkedin&amp;utm_medium=jobposting&amp;utm_campaign=contract&amp;urlHash=Mnxn", "https://careers.google.com/jobs/results/82696352269509318-program-manager/?src=Online/LinkedIn/linkedin_us&amp;utm_source=linkedin&amp;utm_medium=jobposting&amp;utm_campaign=contract&amp;urlHash=Mnxn")</f>
        <v/>
      </c>
      <c r="G182" t="inlineStr">
        <is>
          <t>Sunnyvale, CA</t>
        </is>
      </c>
      <c r="H182" t="inlineStr"/>
      <c r="I182" t="inlineStr">
        <is>
          <t>**Minimum qualifications:**
* Bachelor's degree or equivalent practical experience.
* 5 years of experience in program management or a related operational role.
* Experience working with executive\-level clients or stakeholders.
* Experience in managing multiple projects and priorities in a changing environment.
**Preferred qualifications:**
* Understanding how to use and interpret analytics to drive program outcomes.
* Ability to serve as a domain expert, balancing the needs of the business with optimal process application.
* Ability to lead operational initiatives with delivery against milestones.
* Excellent organizational skills for both individual work and holistic project management.
* Excellent capability in creating compelling presentations and documents with a high attention to detail.
* Demonstrated ability to drive program management by tracking progress, facilitating meetings, and managing action items while solving cross\-functional issues across large stakeholder groups.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US base salary range for this full\-time position is $130,000\-$191,000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projects and utilize project trackers to oversee timelines and deliverables. Ensure all workstreams have clear owners and that progress is monitored against milestones, reconciling competing priorities as needed.
* Develop compelling communication materials (slides, docs) to engage leaders within REWS and across Product Areas. Facilitate effective meetings with clear agendas and actionable follow\-ups to build consensus and drive cross\-functional decision\-making.
* Lead changes management efforts to drive program adoption and organizational readiness. Leverage data and analytics to report on progress, outcomes, and deliverables, while conducting post\-mortems to capture lessons learned.
* Bring order to ambiguity by defining problems and crafting custom solutions. Proactively identify cross\-organizational opportunity areas, refine processes, and contribute to the development of program management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3">
      <c r="A183" t="inlineStr">
        <is>
          <t>li-4353947330</t>
        </is>
      </c>
      <c r="B183" t="inlineStr">
        <is>
          <t>Staff Product Manager, Identity and Access Management</t>
        </is>
      </c>
      <c r="C183" t="inlineStr">
        <is>
          <t>CoreWeave</t>
        </is>
      </c>
      <c r="D183" t="inlineStr">
        <is>
          <t>linkedin</t>
        </is>
      </c>
      <c r="E183">
        <f>HYPERLINK("https://www.linkedin.com/jobs/view/4353947330", "https://www.linkedin.com/jobs/view/4353947330")</f>
        <v/>
      </c>
      <c r="F183" t="inlineStr"/>
      <c r="G183" t="inlineStr">
        <is>
          <t>Livingston, NJ</t>
        </is>
      </c>
      <c r="H183" t="inlineStr"/>
      <c r="I18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You’ll lead the evolution of CoreWeave IAM, the platform that manages identity, authentication, and authorization across CoreWeave’s products and services. This team builds foundational security capabilities that enable the world’s leading AI labs and enterprises to securely access critical data and infrastructure. Your work will directly support scalable, secure AI workloads by ensuring identity and access controls are robust, flexible, and enterprise\-ready. You will drive a novel, modern approach to IAM that delights customers, even those with the most stringent security requirements.
**About The Role**
 As a Staff Product Manager for Identity and Access Management, you will own and evolve CoreWeave IAM, the platform responsible for identity, authentication, and authorization across CoreWeave’s products and services. In this role, you’ll define the IAM product strategy and roadmap while working closely with engineering, security, product, field, and marketing teams to deliver scalable, secure identity capabilities. You’ll partner with enterprise customers and internal stakeholders to ensure CoreWeave IAM meets the security, reliability, and performance needs of critical AI workloads. This role is highly cross\-functional and sits at the intersection of enterprise security, cloud infrastructure, and AI platforms.
**Who You Are**
* 8\+ years of product management experience, preferably in enterprise identity, security, or cloud infrastructure
* Demonstrated experience owning and delivering identity, authentication, and authorization products or platforms
* Strong technical understanding of enterprise IAM concepts, including least\-privileged access, SSO, MFA, and authn/authz systems
* Hands\-on experience with identity standards and protocols, such as OIDC/OAuth, SAML, and PKI
* Solid understanding of cloud infrastructure and enterprise platforms
* Familiarity with DevOps and Infrastructure\-as\-Code tools, such as Kubernetes and Terraform
* Proven track record of managing products from concept through launch and iteration
* Experience defining and tracking product performance metrics and using data to inform product decisions
* Bachelor’s or Master’s degree in Computer Science, Engineering, or a related technical field
**Preferred**
* Experience building IAM platforms that support large\-scale, multi\-tenant enterprise customers
* Background working with security teams or compliance\-driven environments
* Experience supporting AI, HPC, or mission\-critical infrastructure workloads
**Wondering if You’re a Good Fit?**
 We believe in investing in our people and value candidates who bring diverse experiences, even if you aren’t a 100% match. If some of this describes you, we’d love to talk.
* You believe that security done right is an enabler of great customer experiences, not a hurdle
* You love to act as the voice of the customer, turning real\-world enterprise needs into secure, scalable products
* You’re curious about identity and security trends and how they intersect with AI platforms and agentic infrastructure
* You’re an expert in enterprise identity, authentication, and authorization, and enjoy building systems that enable secure access to critical data and infrastructure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84">
      <c r="A184" t="inlineStr">
        <is>
          <t>li-4365160322</t>
        </is>
      </c>
      <c r="B184" t="inlineStr">
        <is>
          <t>Engineering Program Manager</t>
        </is>
      </c>
      <c r="C184" t="inlineStr">
        <is>
          <t>Xtalic Corporation</t>
        </is>
      </c>
      <c r="D184" t="inlineStr">
        <is>
          <t>linkedin</t>
        </is>
      </c>
      <c r="E184">
        <f>HYPERLINK("https://www.linkedin.com/jobs/view/4365160322", "https://www.linkedin.com/jobs/view/4365160322")</f>
        <v/>
      </c>
      <c r="F184" t="inlineStr"/>
      <c r="G184" t="inlineStr">
        <is>
          <t>Marlborough, MA</t>
        </is>
      </c>
      <c r="H184" t="inlineStr"/>
      <c r="I184" t="inlineStr">
        <is>
          <t>**Engineering Program Manager – Chemical \&amp; Metallurgical Engineering** 
**Job Summary** 
 The Engineering Program Manager leads the planning, execution, and delivery of complex engineering programs involving chemical processes, metallurgical science, and electroplating technologies. This role manages cross‑functional teams, oversees customer program engagements, and drives new product development from concept through commercialization with a focus on technical excellence, quality, and on‑time delivery.
**Key Responsibilities** 
* Lead end‑to‑end program management for engineering initiatives involving chemical processing, metal finishing, and electroplating applications.
* Oversee customer\-facing program execution, ensuring technical requirements, timelines, and quality standards are consistently met.
* Manage cross\-functional engineering teams, providing direction, prioritization, and performance oversight.
* Drive development of new products and processes—from early\-stage design, lab validation, and metallurgical characterization to scale‑up and commercial launch.
* Identify and mitigate technical risks related to materials, corrosion, surface treatments, and plating performance.
* Collaborate closely with manufacturing, quality, supply chain, and external partners to ensure robust process transfer and production readiness.
* Maintain documentation, program dashboards, and technical reports to support decision‑making and customer communication.
* Champion continuous improvement in process capability, product reliability, and program execution.
**Qualifications** 
* Bachelor’s or Master’s degree in Chemical Engineering, Materials/Metallurgical Engineering, or related field.
* 7\-10 years' experience with metal finishing processes, electroplating chemistry, corrosion science, and surface treatments.
* Proven success managing technical programs, cross‑functional teams, and customer engagements.
* Strong analytical, organizational, and communication skills, with the ability to translate complex technical issues into clear program actions.</t>
        </is>
      </c>
    </row>
    <row r="185">
      <c r="A185" t="inlineStr">
        <is>
          <t>li-4365150441</t>
        </is>
      </c>
      <c r="B185" t="inlineStr">
        <is>
          <t>Program Manager</t>
        </is>
      </c>
      <c r="C185" t="inlineStr">
        <is>
          <t>SciTec</t>
        </is>
      </c>
      <c r="D185" t="inlineStr">
        <is>
          <t>linkedin</t>
        </is>
      </c>
      <c r="E185">
        <f>HYPERLINK("https://www.linkedin.com/jobs/view/4365150441", "https://www.linkedin.com/jobs/view/4365150441")</f>
        <v/>
      </c>
      <c r="F185" t="inlineStr"/>
      <c r="G185" t="inlineStr">
        <is>
          <t>Boulder, CO</t>
        </is>
      </c>
      <c r="H185" t="inlineStr"/>
      <c r="I185" t="inlineStr">
        <is>
          <t>SciTec is a dynamic small business, with the mission to deliver advanced sensor data processing technologies and scientific instrumentation capabilities in support of National Security and Defense, and we are growing our creative team! We support customers throughout the Department of Defense and U.S. Government in building innovative new tools to deliver unique world\-class data exploitation capabilities.
 Important Notice: SciTec exclusively works on U.S. government contracts that require U.S. citizenship for all employees. SciTec cannot sponsor or assume sponsorship of employee work visas of any type. Further, U.S. citizenship is a requirement to obtain and keep a security clearance. Applicants that do not meet these requirements will not be considered.
 As we grow, we're looking for a mission\-driven Project Manager who is ready to make a real impact with purpose. The DPM is responsible for supporting the Program Manager in leading and managing the cost, schedule, scope, quality, risk, and performance through agile software development executed from our Boulder, CO office. If you're passionate about delivering mission critical solutions, SciTec is the place for you.
**Responsibilities**
* Project Planning \&amp; Execution: Develop detailed project plans, including timelines, resources allocation, and risk management strategies to ensure projects are delivered on time, within scope and budget
* Change Management: Identify and communicate potential and contractual impacts to scope, schedule, and financials through proactive communication to the PM and senior management, and collaborative change impact analysis
* Team \&amp; Stakeholder Management: Lead and coordinate multidisciplinary teams, while managing relationships and expectations with customers and stakeholders
* Technical Oversight: Support technical leads with the management of requirements and roadmap development
* Reporting \&amp; Communication: Prepare regular project status reports and present findings to senior management and other stakeholders, clearly translating complex technical data to understandable language
* Process Improvement: Identify opportunities for process improvements, implement new technologies, and drive innovation within assigned project activities
* Provide direction and leadership to Agile software development team
* Other duties as assigned
**Requirements**
* Bachelor's degree in a technical or business (management, business) discipline with 12\+ years of professional experience
* 7\+ years defense industry experience as a project manager or deputy project manager in software development
* Experience resource planning for and/or staffing large, complex software development programs
* 6\+ years financial management experience
* Ability to troubleshoot and problem solve with a large software development team
* Ability to obtain and maintain an active DoD Final SECRET clearance or higher
* Experience with Agile software development methodology, including a working knowledge of Jira and Confluence
* Good verbal and written communication skills
* Excellent attention to detail
 Candidates who have one or more of the following skills will be preferred
* Experience as Scrum Master for Agile software development team
* Experience developing and delivering on Other Transaction Authority program efforts
* Certifications in Project Management or Agile
* Previous government contracting proposal, Basis of Estimate (BOE), and/or negotiations experience
* Subcontractor management
* Active DoD Final Top Secret/SCI clearance
**Benefits**
 SciTec offers a highly competitive salary and benefits package, including:
* 4% Safe Harbor 401(k) match
* 100% company paid HSA Medical insurance, with a choice of 2 buy\-up options
* 80% company paid Dental insurance
* 100% company paid Vision insurance
* 100% company paid Life insurance
* 100% company paid Long\-term Disability insurance
* Short\-term Disability insurance
* Annual Profit\-Sharing Plan
* Discretionary Performance Bonus
* Paid Parental Leave
* Generous Paid Time Off, including Holiday, Vacation, and Sick Pay
* Flexible work hours
 The pay range for this position is $158,000 \- $227,000 / year. SciTec considers several factors when extending an offer of employment, including but not limited to the role and associated responsibilities, a candidate's work experience, education/training, and key skills. This is not a guarantee of compensation.
 SciTec is proud to be an Equal Opportunity employer. VET/Disabled.</t>
        </is>
      </c>
    </row>
    <row r="186">
      <c r="A186" t="inlineStr">
        <is>
          <t>li-4361231794</t>
        </is>
      </c>
      <c r="B186" t="inlineStr">
        <is>
          <t>Leadership Technical Program Manager I, Infrastructure, Google Cloud</t>
        </is>
      </c>
      <c r="C186" t="inlineStr">
        <is>
          <t>Google</t>
        </is>
      </c>
      <c r="D186" t="inlineStr">
        <is>
          <t>linkedin</t>
        </is>
      </c>
      <c r="E186">
        <f>HYPERLINK("https://www.linkedin.com/jobs/view/4361231794", "https://www.linkedin.com/jobs/view/4361231794")</f>
        <v/>
      </c>
      <c r="F186" t="inlineStr"/>
      <c r="G186" t="inlineStr">
        <is>
          <t>New York, NY</t>
        </is>
      </c>
      <c r="H186" t="inlineStr"/>
      <c r="I18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**Atlanta, GA, USA; Austin, TX, USA; Moncks Corner, SC 29461, USA; New York, NY, USA; Redmond, WA, USA; Sunnyvale, CA, USA** 
 .
 **Minimum qualifications:**
* Bachelor's degree in a relevant field, or equivalent practical experience.
* 8 years of infrastructure work experience.
* 5 years of experience in leadership role(s) with/without direct reports.
* 4 years of experience managing projects.
**Preferred qualifications:**
* 8 years of experience managing cross\-functional/team projects.
* 5 years of supervisory experience.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Apply governance over change management to ensure it’s used effectively.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7">
      <c r="A187" t="inlineStr">
        <is>
          <t>li-4362341433</t>
        </is>
      </c>
      <c r="B187" t="inlineStr">
        <is>
          <t>Technical Program Manager II, Customer Relationship Management, Google Cloud</t>
        </is>
      </c>
      <c r="C187" t="inlineStr">
        <is>
          <t>Google</t>
        </is>
      </c>
      <c r="D187" t="inlineStr">
        <is>
          <t>linkedin</t>
        </is>
      </c>
      <c r="E187">
        <f>HYPERLINK("https://www.linkedin.com/jobs/view/4362341433", "https://www.linkedin.com/jobs/view/4362341433")</f>
        <v/>
      </c>
      <c r="F187">
        <f>HYPERLINK("https://careers.google.com/jobs/results/91684681585435334-technical-program-manager-ii/?src=Online/LinkedIn/linkedin_us&amp;utm_source=linkedin&amp;utm_medium=jobposting&amp;utm_campaign=contract&amp;urlHash=Iyax", "https://careers.google.com/jobs/results/91684681585435334-technical-program-manager-ii/?src=Online/LinkedIn/linkedin_us&amp;utm_source=linkedin&amp;utm_medium=jobposting&amp;utm_campaign=contract&amp;urlHash=Iyax")</f>
        <v/>
      </c>
      <c r="G187" t="inlineStr">
        <is>
          <t>Atlanta, GA</t>
        </is>
      </c>
      <c r="H187" t="inlineStr"/>
      <c r="I187" t="inlineStr">
        <is>
          <t>**Minimum qualifications:**
* Bachelor's degree in a technical field, or equivalent practical experience.
* 2 years of experience in program management.
* Experience with project forecasting and customer relationship management.
* Experience with technical integration, system integration, risk mitigation, deployment planning, or data center operations.
* Ability to travel at least 10% of the time in support of business activities.
**Preferred qualifications:**
* 2 years of experience managing cross\-functional or cross\-team projects.
* Experience in translating business requirements into technological solutions.
* Experience or knowledge in server or network hardware, software development or implementation, systems data center infrastructure or operations.
* Experience with project management or equivalent practical experience within colocation space or point\-of\-presence environments.
* Ability to craft creative, non\-standard, and innovative solutions using data and analytics to drive impact.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will develop relationships, both internally and externally, and connect with internal customers and partner teams to develop an understanding of their business requirements and goals.The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customer relationships by maintaining an understanding of business requirements and measure customer metric needs.
* Navigate among potentially conflicting requirements, and objectives across a wide range of cross\-functional organizations without formal authority.
* Identify process and communications breakdowns, while developing and driving solutions to remedy the issues.
* Communicate with technical experts and craft solutions to plan for growth inside and outside of customer portfolios.
* Identify areas for improvement within the existing customer base and potential future customers while also acting as an escalation point for partner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8">
      <c r="A188" t="inlineStr">
        <is>
          <t>li-4361250810</t>
        </is>
      </c>
      <c r="B188" t="inlineStr">
        <is>
          <t>Technical Program Manager III, Silicon Operations, Cloud Supply Chain</t>
        </is>
      </c>
      <c r="C188" t="inlineStr">
        <is>
          <t>Google</t>
        </is>
      </c>
      <c r="D188" t="inlineStr">
        <is>
          <t>linkedin</t>
        </is>
      </c>
      <c r="E188">
        <f>HYPERLINK("https://www.linkedin.com/jobs/view/4361250810", "https://www.linkedin.com/jobs/view/4361250810")</f>
        <v/>
      </c>
      <c r="F188" t="inlineStr"/>
      <c r="G188" t="inlineStr">
        <is>
          <t>Sunnyvale, CA</t>
        </is>
      </c>
      <c r="H188" t="inlineStr"/>
      <c r="I188" t="inlineStr">
        <is>
          <t>**Minimum qualifications:**
* Bachelor's degree in a technical field or equivalent practical experience.
* 5 years of experience in program management.
* Experience in supply chain operations.
* Experience in silicon development life cycle and manufacturing processes (e.g., wafer fab, assembly, test).
**Preferred qualifications:**
* 5 years of experience managing cross\-functional or cross\-team projects.
* Experience in technical program management within the semiconductor industry, with a focus on custom silicon, ASIC, or electronic component development.
* Experience managing projects involving global foundries, OSATs, and other key silicon supply chain partners.
* Ability to drive projects to completion in an ambiguous environment.
* Excellent communication and negotiation skills, with the ability to influence without direct authority.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Technical Program Manager (TPM), you will serve as the central point of accountability for the business and operational management of custom silicon projects. In this role, you will source, develop, and deliver high\-quality electronic components. You will also lead seamless execution across the entire project life\-cycle, bridging technical, operational, and commercial teams both internally and externally.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planning, execution, and delivery of custom silicon projects from concept to high\-volume manufacturing, ensuring all business, operational, and technical aspects are managed.
* Coordinate and integrate efforts across internal teams (e.g., engineering, quality, manufacturing, sourcing, finance, platform, CI2, CSCO) and external partners (e.g., foundries, OSATs, IP vendors).
* Define, track, and manage all critical project requirements, timelines, and deliverables, holding stakeholders accountable for on\-time and high\-quality contributions.
* Identify, assess, and mitigate program risks and issues, developing contingency plans and driving resolution with a sense of urgency.
* Drive continuous improvement in program management processes and tools, leveraging data and AI insights where applicable to enhance efficiency, predictability, and agility.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9">
      <c r="A189" t="inlineStr">
        <is>
          <t>li-4362144022</t>
        </is>
      </c>
      <c r="B189" t="inlineStr">
        <is>
          <t>Digital Product Owner (Local to Colorado)</t>
        </is>
      </c>
      <c r="C189" t="inlineStr">
        <is>
          <t>Jobs via Dice</t>
        </is>
      </c>
      <c r="D189" t="inlineStr">
        <is>
          <t>linkedin</t>
        </is>
      </c>
      <c r="E189">
        <f>HYPERLINK("https://www.linkedin.com/jobs/view/4362144022", "https://www.linkedin.com/jobs/view/4362144022")</f>
        <v/>
      </c>
      <c r="F189" t="inlineStr"/>
      <c r="G189" t="inlineStr">
        <is>
          <t>Colorado Springs, CO</t>
        </is>
      </c>
      <c r="H189" t="inlineStr"/>
      <c r="I189" t="inlineStr">
        <is>
          <t>Dice is the leading career destination for tech experts at every stage of their careers. Our client, JSM Consulting, is seeking the following. Apply via Dice today!
**Job Description**
**Digital Product Owner (DPO) – AI \&amp; Contact Center Automation**
**Location:** 
 Remote (Associated with Colorado Springs Campus)
**Role Overview**
 This role functions as a
 **Digital Product Owner (DPO)** 
 within the Omni Enablement business unit. You will serve as the primary liaison between business stakeholders and IT delivery teams, acting as the "Voice of the Contact Center ". The primary focus of this position is the
 **strategic development and deployment of AI\-enabled capabilities** 
 to modernize contact center operations.
**Key Responsibilities**
* Backlog Management: Own and prioritize the product backlog, including new features, technical defects, and automation requirements.
* AI \&amp; Automation Leadership: Identify and prioritize automation opportunities specifically tailored for contact center environments.
* Strategic Liaison: Represent business stakeholders to elicit, analyze, and document complex business needs for technical execution.
* Decision Making: Serve as the day\-to\-day decision maker for the execution team, providing continual guidance to ensure alignment with executive strategies.
* Product Validation: Review and accept/decline development output based on predefined acceptance criteria and customer perspective.
* Risk Mitigation: Partner with IT and business teams to identify and mitigate operational risks while ensuring compliance with Enterprise controls.
**Required Skills \&amp; Expertise**
* Backlog Management: Expert\-level proficiency in managing Agile backlogs and product roadmaps.
* Contact Center Operations: Deep understanding of contact center environments, metrics, and workflows.
* AI \&amp; Automation: Critical experience in deploying AI technologies and automation solutions.
* Agile Framework: Strong experience working in iterative Agile development environments.
* Data\-Driven Decision Making: Ability to perform cost\-benefit analysis and utilize validating metrics to drive investment and business value.
**Technology Toolset**
* Jira: Primary tool for backlog management, task prioritization, and development tracking.
* Figma: Used for collaborating with designers and user experience (UX) partners to visualize product solutions.
**Candidate Success Criteria**
 The ideal candidate is a strategic thinker who can navigate both Agile and Waterfall methodologies. High priority will be given to candidates who demonstrate
 **Technical Problem Solving** 
 skills and a proven track record of managing
 **AI\-enabled product releases** 
 .</t>
        </is>
      </c>
    </row>
    <row r="190">
      <c r="A190" t="inlineStr">
        <is>
          <t>li-4345844446</t>
        </is>
      </c>
      <c r="B190" t="inlineStr">
        <is>
          <t>Digital Sales Program Manager, Public Sector</t>
        </is>
      </c>
      <c r="C190" t="inlineStr">
        <is>
          <t>Google</t>
        </is>
      </c>
      <c r="D190" t="inlineStr">
        <is>
          <t>linkedin</t>
        </is>
      </c>
      <c r="E190">
        <f>HYPERLINK("https://www.linkedin.com/jobs/view/4345844446", "https://www.linkedin.com/jobs/view/4345844446")</f>
        <v/>
      </c>
      <c r="F190" t="inlineStr"/>
      <c r="G190" t="inlineStr">
        <is>
          <t>Reston, VA</t>
        </is>
      </c>
      <c r="H190" t="inlineStr"/>
      <c r="I190" t="inlineStr">
        <is>
          <t>**Minimum qualifications:**
* Bachelor's degree or equivalent practical experience.
* 10 years of experience in program or project management in a sales or go\-to\-market organization.
* 8 years of experience working with executive stakeholders.
* Experience carrying a sales quota.
* Experience in people management.
**Preferred qualifications:**
* Experience working with the US Public Sector or IT infrastructure, cloud and digital transformations.
* Experience meeting and exceeding sales goals.
* Ability to work in ambiguous and fast\-moving environments, with excellent problem\-solving skills.
* Ability to build highly effective relationships, cross\-functional executive stakeholder management and leadership through influence.
* Excellent program management, problem\-solving skills, combined with business judgment and communication skills.
**About the job** 
 In this role, you will join the team as a Program Manager for the GPS go\-to\-market organization to propel our U.S. public sector growth strategy. You will operate within a highly scaled GPS GTM business that relies on people, processes, programs, and partners to generate high sales productivity and meet our growth goals. As a highly skilled professional, you will guide day\-to\-day rhythm for managing sales teams, manage OKRs and expertly co\-ordinate cross\-functional owners of programs, enablement and analytics.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needs of local, state and federal government and educational institutions.
 The US base salary range for this full\-time position is $155,000\-$218,000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Deliver and manage the SLED territory business quota, overseeing business managed by Temp/Vendor/Contractors.
* Develop and execute a programmatic sales strategy for the SLED Territory (SMB) business.
* Develop and execute sales plays to drive new business and expand existing accounts.
* Partner directly with the Channel/partner organization to co\-develop GTM sales plays, bill of materials and product/solution offerings.
* Serve as a critical team member of the GTM and SLED organizations, acting as the connective tissue across GTM leadership team and critical imperatives.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1">
      <c r="A191" t="inlineStr">
        <is>
          <t>li-4361921929</t>
        </is>
      </c>
      <c r="B191" t="inlineStr">
        <is>
          <t>Technical Program Manager III, Systems Engineering, Cloud Supply Chain</t>
        </is>
      </c>
      <c r="C191" t="inlineStr">
        <is>
          <t>Google</t>
        </is>
      </c>
      <c r="D191" t="inlineStr">
        <is>
          <t>linkedin</t>
        </is>
      </c>
      <c r="E191">
        <f>HYPERLINK("https://www.linkedin.com/jobs/view/4361921929", "https://www.linkedin.com/jobs/view/4361921929")</f>
        <v/>
      </c>
      <c r="F191">
        <f>HYPERLINK("https://careers.google.com/jobs/results/88919923090170566-technical-program-manager-iii/?src=Online/LinkedIn/linkedin_us&amp;utm_source=linkedin&amp;utm_medium=jobposting&amp;utm_campaign=contract&amp;urlHash=FIUw", "https://careers.google.com/jobs/results/88919923090170566-technical-program-manager-iii/?src=Online/LinkedIn/linkedin_us&amp;utm_source=linkedin&amp;utm_medium=jobposting&amp;utm_campaign=contract&amp;urlHash=FIUw")</f>
        <v/>
      </c>
      <c r="G191" t="inlineStr">
        <is>
          <t>Kirkland, WA</t>
        </is>
      </c>
      <c r="H191" t="inlineStr"/>
      <c r="I19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Kirkland, WA, USA; New York, NY, USA** 
 .
 **Minimum qualifications:**
* Bachelor's degree in a technical field, or equivalent practical experience.
* 5 years of experience in program management.
* Experience in software or systems engineering from design through deployment.
**Preferred qualifications:**
* 5 years of experience managing cross\-functional or cross\-team projects.
* Experience in data analysis, supply chain, and datacenter automation.
* Experience in SQL.
* Excellent investigative thinking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initiatives to optimize the entire technical delivery life\-cycle, from design through deployment, to ensure faster throughput, improved resource utilization, and predictable outcomes.
* Advocate programs that incorporate automation, data analytics, and Machine Learning (ML) capabilities to simplify routine operations, reduce manual intervention, and increase overall system resilience.
* Oversee critical cross\-functional engagements, including those with third\-party vendors, ensuring aligned delivery, monitoring, and clear escalation paths for mission\-critical services.
* Develop clear, data\-driven reports on program status, risks, budget utilization, and impact against organizational scalability goals, presenting findings to leadership.
* Define and deliver new capability to improve overall fleet health and performance across critical metrics like availability, time to repair, and labor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2">
      <c r="A192" t="inlineStr">
        <is>
          <t>li-4362520203</t>
        </is>
      </c>
      <c r="B192" t="inlineStr">
        <is>
          <t>Program Manager-RO Operations - Infrastructure Enablement</t>
        </is>
      </c>
      <c r="C192" t="inlineStr">
        <is>
          <t>Waymo</t>
        </is>
      </c>
      <c r="D192" t="inlineStr">
        <is>
          <t>linkedin</t>
        </is>
      </c>
      <c r="E192">
        <f>HYPERLINK("https://www.linkedin.com/jobs/view/4362520203", "https://www.linkedin.com/jobs/view/4362520203")</f>
        <v/>
      </c>
      <c r="F192" t="inlineStr"/>
      <c r="G192" t="inlineStr">
        <is>
          <t>San Francisco, CA</t>
        </is>
      </c>
      <c r="H192" t="inlineStr"/>
      <c r="I19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 Operations exists to deliver the Waymo Driver to the world. We are a global team building and scaling the world's first and leading autonomous fleet and operations platform. From component sourcing to end customer management, we enable and create value for Waymo through scaled and orchestrated deployment of the Waymo Driver. At Waymo, we are dedicated to building a culture that promotes collaboration and celebration. We value our team members' unique backgrounds, perspectives, and experiences and support and encourage all team members to share their ideas to help Waymo better serve the communities in which we operate.
 In this onsite role you will report to our RO Enablement Team Lead and will be the end to end owner in the enablement of our Infrastructure for autonomous operations. You will manage a portfolio of sites across multiple markets from site feasibility to site launch while partnering cross functionally with Real Estate, Construction, Engineering, and Operations. Objectives include but are not limited to; process adherence, site enablement, and scaling at or better than plan of record.
**You Will**
* Strategic Planning \&amp; Deployment: Lead and manage the end\-to\-end program for the enablement and readiness of all new regionalized locations, ensuring alignment with corporate expansion strategy and timelines.
* Drive Sustainable Outcomes: Serve as a trusted leader with a continuous improvement mindset, driving operational excellence, strengthening stakeholder alignment, and delivering measurable, sustainable results
* Depot Configuration: Define, document, and oversee the execution of standardized depot layout, workflow, and equipment configuration, optimizing for efficiency and scalability.
* Performance Monitoring: Establish and track key performance indicators (KPIs) for new and existing depot operations, focusing on initial performance stabilization and sustained improvement post\-launch.
* Lead the successful expansion and standardization of regionalized operations (ROs), ensuring efficient launches and sustained high performance across multiple locations.
* Drives strategic preparation, setup, and stabilization of new ROs, encompassing program management, logistics, depot operations, network technology, and cross\-functional leadership.
**You Have**
* Bachelor's degree in Business Administration, Operations, or Project/Program Management
* 5\+ years of experience in program management or a related field.
* Proven ability to effectively lead and inspire teams, fostering a collaborative and high\-performing environment.
* Excellent communication skills, including the ability to clearly articulate ideas, actively listen, and build strong relationships with stakeholders at all levels.
* Extensive experience with operational processes and best practices
* Exceptional problem\-solving and analytical skills: Capable of quickly identifying root causes, proposing effective solutions, and making data\-driven decisions.
* Proven experience in managing multi\-site operational launches or expansions (e.g., distribution centers, depots, retail locations)
* Excellent project management skills, including familiarity with tools for tracking milestones, dependencies, and resources
* Ability to thrive in a fast\-paced, cross\-functional environment: Comfortable working under pressure, adapting to changing priorities, and collaborating effectively with diverse teams.
* Demonstrated ability to build strong relationships and influence stakeholders across different departments.
**We Prefer**
* A Master's degree in Computer Science, Engineering, Business Operations, or a related field
* Excellent communication skills, including the ability to clearly articulate ideas, actively listen, and build strong relationships with stakeholders at all levels.
* Extensive experience in the autonomous vehicle sector, encompassing a deep understanding of the unique technological, regulatory, and operational challenges.
* Proven ability to unlock scale within operations across both domestic and international markets
* A strong track record of working effectively in collaborative, cross\-functional teams, fostering a culture of open communication and shared goals.
* Demonstrated knowledge of warehouse/depot physical layout and configuration best practices.
* Adept at using analytical tools and methodologies to solve complex problems.
**Travel**
 Candidates should expect up to 25% travel
 Please note that Waymo may not be able to employ remotely in all locations. Please speak with your recruiter about your preferred location for remote work when you begin the interview process.
 The expected base salary range for this full\-time position is listed below. Actual starting pay will be based on job\-related factors, including exact work location, experience, relevant training and education, and skill level. Waymo employees are also eligible to participate in Waymo’s discretionary annual bonus program, equity incentive plan, and generous Company benefits program, subject to eligibility requirements.
 Salary Range
 $140,000—$151,000 USD</t>
        </is>
      </c>
    </row>
    <row r="193">
      <c r="A193" t="inlineStr">
        <is>
          <t>li-4346131383</t>
        </is>
      </c>
      <c r="B193" t="inlineStr">
        <is>
          <t>Real Time Operations Systems Program Manager, Google Cloud</t>
        </is>
      </c>
      <c r="C193" t="inlineStr">
        <is>
          <t>Google</t>
        </is>
      </c>
      <c r="D193" t="inlineStr">
        <is>
          <t>linkedin</t>
        </is>
      </c>
      <c r="E193">
        <f>HYPERLINK("https://www.linkedin.com/jobs/view/4346131383", "https://www.linkedin.com/jobs/view/4346131383")</f>
        <v/>
      </c>
      <c r="F193">
        <f>HYPERLINK("https://careers.google.com/jobs/results/130714283133543110-real-time-operations-systems-program-manager/?src=Online/LinkedIn/linkedin_us&amp;utm_source=linkedin&amp;utm_medium=jobposting&amp;utm_campaign=contract&amp;urlHash=kBWo", "https://careers.google.com/jobs/results/130714283133543110-real-time-operations-systems-program-manager/?src=Online/LinkedIn/linkedin_us&amp;utm_source=linkedin&amp;utm_medium=jobposting&amp;utm_campaign=contract&amp;urlHash=kBWo")</f>
        <v/>
      </c>
      <c r="G193" t="inlineStr">
        <is>
          <t>Sunnyvale, CA</t>
        </is>
      </c>
      <c r="H193" t="inlineStr"/>
      <c r="I19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Austin, TX, USA; San Francisco, CA, USA** 
 .
 **Minimum qualifications:**
* Bachelor's degree or equivalent practical experience.
* 7 years of experience in program management, product management, business operations, or strategy and operations within a global customer support or contact center environment.
* Experience in Real Time Operations (RTO), Workforce Management (WFM) strategy, or managing support channel supply, demand, and staffing models.
**Preferred qualifications:**
* Experience translating operational needs into technical system requirements.
* Experience with data analytics, conducting trend analysis, and making critical decisions based on the data.
* Experience presenting to and collaborating with senior stakeholders of director\- to VP\-level across a large, global organization.
* Experience launching and scaling an enterprise\-level real\-time operations system/tool.
* Experience setting up, managing, and optimizing case management workflows and tooling (third\-party or proprietary).
* Proficiency working with SQL and connecting and summarizing large datasets to drive strategic decisions.
**About The Job**
 The Digital Support Experience team sits within Google Cloud Support and is responsible for influencing, owning, and enabling the deployment of critical support systems and tooling rollouts for our global FTE and vendor\-managed Support Delivery teams. We prioritize, plan, implement, and measure the success of transformative support system initiatives across the entire customer support journey.
 This role sits at the critical intersection of support operations, product management, and systems strategy. You will be accountable for the lifecycle of the Real Time Operations (RTO) System, setting the strategic vision and roadmap. You will leverage deep expertise in workforce management and support operations to define the "why," "what," and "how" for our RTO tooling, ensuring it scales seamlessly as our support volume and channel variety continue to grow.
 In this role, you will act as the essential bridge between our support operations and the technical teams that build the tools. Your impact will directly enable support delivery, workforce management, and our global operations center to monitor real\-time supply vs. demand, track live and non\-live channel health, react quickly to correct trends in operational KPIs and customer sentiment, and utilize automated interventions for timely customer service.
 You will operate with significant autonomy, setting the RTO system roadmap, interacting with and driving alignment across senior leadership, and acting as the definitive subject matter expert for real\-time operations in our organization.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$158,000\-$235,000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RTO system roadmap and lead the solution and technology strategy. Translate both immediate needs and the long\-term business vision into concrete scope, business requirements, and delivery plans.
* Identify bottlenecks, time\-consuming inefficiencies, and manual RTO processes within our current operational setup. Define comprehensive business requirements for solving these challenges and drive technical solutions with engineering.
* Serve as the definitive subject matter expert for RTO workflows and technical solutions, acting as the primary liaison between operational Support Delivery teams and internal Engineering partners.
* Own the end\-to\-end delivery of the RTO solution. This includes partnering with Engineering, Operations, and Business Intelligence to drive the development lifecycle, manage scope and risk, and ensure on\-time delivery.
* Ensure the solution and strategy will scale as support volume increases, additional channels are added, and cases become more complex.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4">
      <c r="A194" t="inlineStr">
        <is>
          <t>li-4329699434</t>
        </is>
      </c>
      <c r="B194" t="inlineStr">
        <is>
          <t>Technical Program Manager II, Infrastructure Management, Google Cloud</t>
        </is>
      </c>
      <c r="C194" t="inlineStr">
        <is>
          <t>Google</t>
        </is>
      </c>
      <c r="D194" t="inlineStr">
        <is>
          <t>linkedin</t>
        </is>
      </c>
      <c r="E194">
        <f>HYPERLINK("https://www.linkedin.com/jobs/view/4329699434", "https://www.linkedin.com/jobs/view/4329699434")</f>
        <v/>
      </c>
      <c r="F194" t="inlineStr"/>
      <c r="G194" t="inlineStr">
        <is>
          <t>Kirkland, WA</t>
        </is>
      </c>
      <c r="H194" t="inlineStr"/>
      <c r="I19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
 **Minimum qualifications:**
* Bachelor's degree in a technical field, or equivalent practical experience.
* 2 years of experience in program management.
* Experience with infrastructure planning or capacity planning.
* Experience working with data tools like SQL, Python, Databases, or other programming language.
**Preferred qualifications:**
* 2 years of experience managing cross\-functional or cross\-team projects.
* Experience in software development or programming.
* Ability to learn systems and tools, and drive or design improvements.
* Excellent influencing skills, with the ability to deliver solutions in a changing environment.
* Excellent investigative and SQL skills with the ability to work with data.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Capacity at the right place, at the right time, in the right form is a prerequisite to meet customer needs, enable Google Cloud Platform (GCP) business growth, and run our business efficiently. If you are interested in solving this problem at a global scale across GCP products and accounts, look no further. We are building a customer focused capacity planning team with the goal of providing a consistent, predictable and collaborative capacity experience for GCP customers.
 In this role, you will have passion, technical and business depth, excellent organizational, communication, and teamwork skills to work with various set of stakeholders ranging from Product, Sales, Engineering, Supply Chain, and Finance. As part of the Cloud Flex Planning team, you will partner with service owners, engineering, capacity management, supply chain, and finance team members to deliver a reliable, efficient, and high\-velocity capacity planning experience for Cloud Flex customers. You will own demand planning, supply management, and fulfillment work streams for top GCP customers, leveraging systems to provide end\-to\-end solutions.Google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operations and analytic projects related to the allocation and budgeting of internal infrastructure resources and efficiency programs.
* Collaborate with stakeholders to define program goals, prioritize deliverables, and build trusted relationships that enable effective decision making as well as manage program escalations and independently triage technical issues, assessing their impact and resolving requests related to tooling and operational processes.
* Define project scope and independently author program charters, creating detailed project plans that outline phases, resources, risks, and dependencies.
* Develop and maintain operational dashboards, monitoring key program metrics to identify deviations and implement corrective actions for continuous improvement.
* Design and execute targeted communication plans for various stakeholders, representing the program team and providing transparency into program pivots and progress.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5">
      <c r="A195" t="inlineStr">
        <is>
          <t>li-4361951876</t>
        </is>
      </c>
      <c r="B195" t="inlineStr">
        <is>
          <t>Technical Program Manager III, Systems Engineering, Cloud Supply Chain</t>
        </is>
      </c>
      <c r="C195" t="inlineStr">
        <is>
          <t>Google</t>
        </is>
      </c>
      <c r="D195" t="inlineStr">
        <is>
          <t>linkedin</t>
        </is>
      </c>
      <c r="E195">
        <f>HYPERLINK("https://www.linkedin.com/jobs/view/4361951876", "https://www.linkedin.com/jobs/view/4361951876")</f>
        <v/>
      </c>
      <c r="F195">
        <f>HYPERLINK("https://careers.google.com/jobs/results/88919923090170566-technical-program-manager-iii/?src=Online/LinkedIn/linkedin_us&amp;utm_source=linkedin&amp;utm_medium=jobposting&amp;utm_campaign=contract&amp;urlHash=FIUw", "https://careers.google.com/jobs/results/88919923090170566-technical-program-manager-iii/?src=Online/LinkedIn/linkedin_us&amp;utm_source=linkedin&amp;utm_medium=jobposting&amp;utm_campaign=contract&amp;urlHash=FIUw")</f>
        <v/>
      </c>
      <c r="G195" t="inlineStr">
        <is>
          <t>Atlanta, GA</t>
        </is>
      </c>
      <c r="H195" t="inlineStr"/>
      <c r="I19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Kirkland, WA, USA; New York, NY, USA** 
 .
 **Minimum qualifications:**
* Bachelor's degree in a technical field, or equivalent practical experience.
* 5 years of experience in program management.
* Experience in software or systems engineering from design through deployment.
**Preferred qualifications:**
* 5 years of experience managing cross\-functional or cross\-team projects.
* Experience in data analysis, supply chain, and datacenter automation.
* Experience in SQL.
* Excellent investigative thinking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initiatives to optimize the entire technical delivery life\-cycle, from design through deployment, to ensure faster throughput, improved resource utilization, and predictable outcomes.
* Advocate programs that incorporate automation, data analytics, and Machine Learning (ML) capabilities to simplify routine operations, reduce manual intervention, and increase overall system resilience.
* Oversee critical cross\-functional engagements, including those with third\-party vendors, ensuring aligned delivery, monitoring, and clear escalation paths for mission\-critical services.
* Develop clear, data\-driven reports on program status, risks, budget utilization, and impact against organizational scalability goals, presenting findings to leadership.
* Define and deliver new capability to improve overall fleet health and performance across critical metrics like availability, time to repair, and labor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6">
      <c r="A196" t="inlineStr">
        <is>
          <t>li-4331904055</t>
        </is>
      </c>
      <c r="B196" t="inlineStr">
        <is>
          <t>Technical Program Manager, Operations, Physical Automation</t>
        </is>
      </c>
      <c r="C196" t="inlineStr">
        <is>
          <t>Google</t>
        </is>
      </c>
      <c r="D196" t="inlineStr">
        <is>
          <t>linkedin</t>
        </is>
      </c>
      <c r="E196">
        <f>HYPERLINK("https://www.linkedin.com/jobs/view/4331904055", "https://www.linkedin.com/jobs/view/4331904055")</f>
        <v/>
      </c>
      <c r="F196" t="inlineStr"/>
      <c r="G196" t="inlineStr">
        <is>
          <t>Sunnyvale, CA</t>
        </is>
      </c>
      <c r="H196" t="inlineStr"/>
      <c r="I196" t="inlineStr">
        <is>
          <t>**Minimum qualifications:**
* Bachelor's degree in a technical field, or equivalent practical experience.
* 5 years of experience in program management in an engineering function, product area or team.
* Experience in leading operations and strategy.
**Preferred qualifications:**
* 5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are a bridge between hardware engineering and global operations. You are the primary driver for serviceability by design, ensuring that server products are optimized for manual intervention and future physical automation. You will lead high\-impact projects that transform how our data centers operate, focusing on areas such as NPI, new automation concepts, and acceleration opportunities. You will not just manage projects, shape the narrative, structure the strategy, and ensure our innovation pipeline delivers measurable results across our global data center footprint.
 In this role, you will support the building and align a unified roadmap for physical server infrastructure and support automation by being the Cloud Supply Chain and Operations (CSCO) liaison to the Platforms Infrastructure Engineering (PIE) teams. You are not just a project tracker, you are a strategic architect who ensures that automation solutions are technically viable and operationally scalable. You will provide visibility into complex technical bottlenecks and driving solutions for the hardware lifecycle.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with engineering, EHS, logistics, and Operations teams to align on a multi\-year roadmap for physical automation and server serviceability across the global fleet.
* Ensure operational excellence for incoming platforms and physical automation.
* Partner with leadership to define the long\-term goal and roadmap for physical automation and server serviceability within the global data center environment. Drive technical in\-depth search to resolve hardware design blockers affecting automation deployment.
* Lead the annual and quarterly planning processes, ensuring alignment between engineering and operations stakeholders.
* Deliver executive communications and business reviews for VP\-level audiences to provide visibility into automation solutions and infrastructure roadmaps.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7">
      <c r="A197" t="inlineStr">
        <is>
          <t>li-4329733839</t>
        </is>
      </c>
      <c r="B197" t="inlineStr">
        <is>
          <t>Program Manager III, Capacity Planning, Cloud Supply Chain</t>
        </is>
      </c>
      <c r="C197" t="inlineStr">
        <is>
          <t>Google</t>
        </is>
      </c>
      <c r="D197" t="inlineStr">
        <is>
          <t>linkedin</t>
        </is>
      </c>
      <c r="E197">
        <f>HYPERLINK("https://www.linkedin.com/jobs/view/4329733839", "https://www.linkedin.com/jobs/view/4329733839")</f>
        <v/>
      </c>
      <c r="F197" t="inlineStr"/>
      <c r="G197" t="inlineStr">
        <is>
          <t>Sunnyvale, CA</t>
        </is>
      </c>
      <c r="H197" t="inlineStr"/>
      <c r="I197" t="inlineStr">
        <is>
          <t>**Minimum qualifications:**
* Bachelor's degree in a technical field, or equivalent practical experience.
* 5 years of experience in program management.
* Experience in spreadsheet modeling (i.e., Scenario Planning, Monte Carlo simulation, Sensitivity Analysis).
* Experience in cloud capacity planning.
**Preferred qualifications:**
* Master's degree or equivalent practical experience.
* 5 years of experience managing cross\-functional or cross\-team projects.
* Experience with product and technical aspects of infrastructure, cloud, and enterprise (B2B) businesses.
* Experience supporting Cloud Leadership by synthesizing business context, Risk/Opportunities, and organizational priorities to deliver business goals.
* Experience with stakeholder management with the ability to deliver effective presentations with insights and recommendations to multiple levels of stakeholders and to create relationships and collaborate at all organizational levels with various cross\-functional partners (e.g., Product, Sales, Finance, Engineering, Supply Chain).
* Excellent problem\-solving, investigative, communication skills, particularly with executive\-level stakeholders.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part of the Machine Planning and Fulfillment team member, you will be in the front line of a new disrupting and fast paced Cloud product area. You will help drive Forecasting and Execution strategies by orchestrating alignment across Technical Program Manager's, Program Manager's and Data Science teams and incorporating business intelligence and baseline/event driven inputs.
 In this role, you will drive process/system improvement initiatives with cross\-functional teams. You will also drive portfolio\-wide business strategies, policies, and standard operating procedures to drive scale.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Capacity Planning to support Cloud growth and enable $xx Business (with $xxxM Inventory Efficiency goal/Annual Operational Expenditure Spend of $xB) by driving Machine Capacity Deployment.
* Manage Capacity Demand/Supply planning through cross\-functional engagement (via D/S Reviews, Sales and Operations Planning (S\&amp;OPs), MBRs/WBRs, and Steering Committees) to minimize capacity risks impacting Business, Spend, and Efficiency goals.
* Drive capacity deployment strategies maximizing capacity availability to enable business while optimizing cost\-to\-serve to deliver Margin$/%.
* Develop capacity recommendations to the Cloud leadership by framing and structuring ambiguous, business implications across a range of available data sets and analysis.
* Drive process improvements and system enhancements in partnership with cross\-functional teams. Collaborate with the Engineering Developer team to drive System Automation initiatives.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8">
      <c r="A198" t="inlineStr">
        <is>
          <t>li-4362134997</t>
        </is>
      </c>
      <c r="B198" t="inlineStr">
        <is>
          <t>Program Manager, SAIO</t>
        </is>
      </c>
      <c r="C198" t="inlineStr">
        <is>
          <t>Air Force Civilian Service</t>
        </is>
      </c>
      <c r="D198" t="inlineStr">
        <is>
          <t>linkedin</t>
        </is>
      </c>
      <c r="E198">
        <f>HYPERLINK("https://www.linkedin.com/jobs/view/4362134997", "https://www.linkedin.com/jobs/view/4362134997")</f>
        <v/>
      </c>
      <c r="F198" t="inlineStr"/>
      <c r="G198" t="inlineStr">
        <is>
          <t>Colorado Springs, CO</t>
        </is>
      </c>
      <c r="H198" t="inlineStr"/>
      <c r="I198" t="inlineStr">
        <is>
          <t>The United States Space Force (USSF) at Peterson Space Force Base, Colorado Springs, Colorado is searching for a Program Manager to support SAIO (NH\-1101\-03, GS\-12/13 equivalent). Description: The selected candidate will be responsible for leading or supporting pre and post award activities for assigned portfolios which could include radar and satellite operations/maintenance programs, cyber and classified ISR programs, or knowledge\-based services. The primary goal of this role is to deliver responsive, mission\-focused acquisition solutions that optimize warfighter operations. As a Program Manager, you will play a pivotal role in ensuring the success and effectiveness of our acquisition processes and programs. Position Responsibilities:
* Independently manages services programs/contracts throughout their lifecycle, including requirements definition, acquisition strategy, and post\-award performance monitoring.
* Applies Project Management Institute principles and continuous process improvement to acquisition processes.
* Prepares and delivers briefings/documents on program/project management aspects to various stakeholders.
* Proactively provides program/portfolio information and advice to supervisor, leadership, peers, and mission partners.
* Serves as the organization's liaison with DoD, federal government, and Industry, fostering productive relationships.
* Cultivates and maintains relationships with teams and leadership to facilitate operations and address complex issues.
* Engages with mission partners to assess satisfaction, address concerns, and resolve issues.
* Develops courses of action and recommendations, and delivers briefings and reports to meet requirements.
* Stays informed on policies to address programmatic and contractual considerations and improve efficiency.
* Participates in business case analyses, source selections, program rotations, and performs additional duties as assigned. Key Skills and Abilities: 1\. Knowledge of DoD acquisition, life cycle management, risk management, quality assurance control, and cost/price analysis policies, procedures, and practices. 2\. Knowledge of the missions, products, services, needs, and goals of the program(s) and organizations that govern, interface with, and/or influence the acquisition process 3\. Ability to recognize and analyze problems, conduct research, analyze, interpret and apply rules, regulations, and procedures, summarize results, make appropriate recommendations, and implement innovative detailed strategies to resolve issues. 4\. Ability to plan and execute complex, multi\-faceted portfolios and/or projects by stratifying resources and executing within established cost and schedule constraints. 5\. Ability to communicate effectively orally and in writing, clearly, concisely, and with technical accuracy. 6\. Ability to maintain good internal and external working relations, to use a high degree of tact and diplomacy with key individuals/groups, and to support/interact/advise mid and senior level leaders Requirements: 1\. Must be a U.S Citizen. 2\. Must be able to obtain and maintain a Top\-Secret / SCI security clearance. 3\. Safeguards classified or sensitive budget\-related information and/or files. 4\. May be required to work overtime on an unscheduled or emergency basis. 5\. Eligible for situational telework only, including Emergency and OPM prescribed “Unscheduled Telework”. 6\. This position will close after 5 business days or 75 applications, whichever comes first. 7\. Employee may be required to perform travel by military or commercial passenger aircraft in the performance of temporary duty assignments. 8\. PCS / Relocation funding is not authorized. 9\. This position is designated as a Testing Designated Position (TDP) under the Air Force Civilian Drug Testing Program. 10\. Employee must within 30\-days of assuming this position and by 31 October annually thereafter, file an OGE\-450, “Confidential Financial Disclosure Report.” 11\. This position is designated a NON\-CRITICAL APDP position. 12\. Subject to Temporary Duty Assignment (TDY): Approximately 30 days per year. 13\. May be required to be part of a source selection team; during this time the employee may be removed from telework agreement or placed on a modified agreement. 14\. Required to sign a non\-disclosure statement. Organization: The United States Space Force (USSF) is a military service that organizes, trains, and equips military members and civilians to protect U.S. and allied interests in space and provide space capabilities to the joint force. USSF responsibilities include developing Guardians, acquiring military space systems, maturing the military doctrine for space power, and organizing space forces to present to our Combatant Commands (CCMDs). The strategic importance of space can’t be overstated. Political and humanitarian interests as well as commercial concerns vital to the world economy all rely on space\-based systems. Launched in 2019 as the nation’s sixth and newest military branch, the USSF was created to protect the interests and assets of America and its allies in this heavily contested realm. The Department of Defense relies on satellites and advanced space\-based technology for secure communications, navigation, real\-time reconnaissance, precision targeting on the battlefield, early warning of potential missile launches, and even weather forecasting. Guardians and civilians of the USSF are challenged every day to reach new heights in protecting and amplifying these space\-based capabilities and defending our way of life by maintaining our edge in space. The Space Force wants to attract talent with the character and potential to excel, empower them with information and choices, and develop them in line with their desires and the Space Force’s needs to create a high\-performing organization necessary to secure and defend space. Please review the new Guardian Ideal to learn more about the new talent culture within the new U.S. Space Force, as we have a chance to make history and rewrite some of the rules—we hope you are excited about the opportunities this will present! https://www.spaceforce.mil/News/Article/2782534/cso\-unveils\-guardian\-ideal\-space\-force\-values\-at\-afa/</t>
        </is>
      </c>
    </row>
    <row r="199">
      <c r="A199" t="inlineStr">
        <is>
          <t>li-4365140119</t>
        </is>
      </c>
      <c r="B199" t="inlineStr">
        <is>
          <t>Sr Technical Program Manager, Device Ad Products &amp; Personalization</t>
        </is>
      </c>
      <c r="C199" t="inlineStr">
        <is>
          <t>Amazon</t>
        </is>
      </c>
      <c r="D199" t="inlineStr">
        <is>
          <t>linkedin</t>
        </is>
      </c>
      <c r="E199">
        <f>HYPERLINK("https://www.linkedin.com/jobs/view/4365140119", "https://www.linkedin.com/jobs/view/4365140119")</f>
        <v/>
      </c>
      <c r="F199">
        <f>HYPERLINK("https://www.amazon.jobs/jobs/3163334/sr-technical-program-manager-device-ad-products\u002d\u002dpersonalization?cmpid=SPLICX0248M&amp;utm_source=linkedin.com&amp;utm_campaign=cxro&amp;utm_medium=social_media&amp;utm_content=job_posting&amp;ss=paid&amp;urlHash=ViTC", "https://www.amazon.jobs/jobs/3163334/sr-technical-program-manager-device-ad-products\u002d\u002dpersonalization?cmpid=SPLICX0248M&amp;utm_source=linkedin.com&amp;utm_campaign=cxro&amp;utm_medium=social_media&amp;utm_content=job_posting&amp;ss=paid&amp;urlHash=ViTC")</f>
        <v/>
      </c>
      <c r="G199" t="inlineStr">
        <is>
          <t>Sunnyvale, CA</t>
        </is>
      </c>
      <c r="H199" t="inlineStr"/>
      <c r="I199" t="inlineStr">
        <is>
          <t>**Description**
 We're on a journey to build advertising products that help advertisers reach their desired audiences and also delight our end users who use Amazon devices and 1P application such as Fire TV by serving them relevant Ads. We're looking for a talented senior TPM to drive complex, cross\-organization goals to deliver innovative Ad experiences to our end users.
 Key job responsibilities
 The right candidate will possess strong technical skills and have demonstrated experience in collaborating with teams who own medium to large distributed services. You must be able to thrive in an entrepreneurial environment and not be hindered by ambiguity or competing priorities. You must be able to communicate up, down, and out to both technical and business audiences. You must be able to successfully drive, architect and scale services based on the program vision, anticipate bottlenecks, and balance business needs against technical constraints. You must take complex challenges and break them down into manageable projects, then work with technologists to prototype and engineering to deliver them in a successful and timely manner. You must be able to de\-risk situations by taking a pragmatic approach and be willing to take calculated bets.
 This opportunity requires excellent technical, problem\-solving, and communication skills (written and verbal) with senior management on status, risks and strategy. Qualified candidates must have experience collecting requirements, writing detailed functional and test specifications, coordinating efforts to scope, schedule, and deploy new features; as well as analyze the cost/benefit of feature selection and communicating results throughout the organization. In this role you would be interfacing with your immediate multi\-discipline team, building relationships with partners across Amazon (ex. Advertising core stack, FireTV, Prime Video, Alexa, and other Devices) and communicate across diverse areas of the org (e.g., legal, finance). You own your projects end\-to\-end and help build and refine exciting new Ad experiences for Amazon.
 A day in the life
 As a Sr. Technical Program Manager on this team, you will lead the technical planning, coordination, architecture, and implementation of multiple projects within a program. You will manage the full lifecycle of a project starting with technical requirements, system design planning, stakeholder alignment, implementation, and production rollout. You will work alongside Program Managers, Product Managers, and engineers. You will collaborate with teams across Amazon on the planning and execution of complex and highly\-technical projects with high impact and visibility.
**About The Team**
 This role is in the Entertainment, Device \&amp; Grocery ad Experiences (EDGE) team, which is part of the Amazon Publisher Monetization (APM) organization. Our team has a vision to create innovative Ad experiences on Amazon Devices, providing customers better convenience and more selection.
**Basic Qualifications**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5\+ years of project management disciplines including scope, schedule, budget, quality, along with risk and critical path management experience
* Experience defining KPI's/SLA's used to drive multi\-million dollar businesses and reporting to senior leadership
* Bachelor's degree in engineering,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\- 171,000\.00 \- 231,400\.00 USD annually
**Company** 
 \- Amazon.com Services LLC
 Job ID: A3163334</t>
        </is>
      </c>
    </row>
    <row r="200">
      <c r="A200" t="inlineStr">
        <is>
          <t>li-4361957464</t>
        </is>
      </c>
      <c r="B200" t="inlineStr">
        <is>
          <t>Senior Technical Program Manager, Supply Strategy and Portfolio Planning</t>
        </is>
      </c>
      <c r="C200" t="inlineStr">
        <is>
          <t>Google</t>
        </is>
      </c>
      <c r="D200" t="inlineStr">
        <is>
          <t>linkedin</t>
        </is>
      </c>
      <c r="E200">
        <f>HYPERLINK("https://www.linkedin.com/jobs/view/4361957464", "https://www.linkedin.com/jobs/view/4361957464")</f>
        <v/>
      </c>
      <c r="F200" t="inlineStr"/>
      <c r="G200" t="inlineStr">
        <is>
          <t>San Francisco, CA</t>
        </is>
      </c>
      <c r="H200" t="inlineStr"/>
      <c r="I200"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Kirkland, WA, USA; San Francisco, CA, USA** 
 .
 **Minimum qualifications:**
* Bachelor's degree in a technical field, or equivalent practical experience.
* 10 years of experience in program management.
* 10 years of experience in the design, planning, or optimization of data center Infrastructure.
**Preferred qualifications:**
* Bachelor's degree in a quantitative field.
* 10 years of experience managing complex cross\-functional or cross\-team projects.
* Ability to develop strategy, define and drive programs and processes through ambiguity to address significant business challenges.
* Ability to navigate ambiguity to define and drive cross\-functional programs in large, complex work groups, including upwards of team members and stakeholders that span multiple teams/organizations.
* Excellent execution, organizational, and stakeholder management skills.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design and implement integrated modeling frameworks for planning Google data centers, from land and energy acquisition to network and data center infrastructure.
* Own the decision framework balancing demand and cost for data centers, defining buffering strategy, and guiding optimization across infrastructure stack.
* Create communication channels across various planning organizations. Ensure alignment on asset definitions, logical and physical attributes, and demand mapping. Build consensus on planning policies.
* Lead integrated network and data center planning and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1">
      <c r="A201" t="inlineStr">
        <is>
          <t>li-4365129052</t>
        </is>
      </c>
      <c r="B201" t="inlineStr">
        <is>
          <t>Program Manager</t>
        </is>
      </c>
      <c r="C201" t="inlineStr">
        <is>
          <t>Technix LLC</t>
        </is>
      </c>
      <c r="D201" t="inlineStr">
        <is>
          <t>linkedin</t>
        </is>
      </c>
      <c r="E201">
        <f>HYPERLINK("https://www.linkedin.com/jobs/view/4365129052", "https://www.linkedin.com/jobs/view/4365129052")</f>
        <v/>
      </c>
      <c r="F201">
        <f>HYPERLINK("https://www.adzuna.com/details/5593110313?v=C61EF5BB7C4AD754F6F510EEE350BEECA3326C4F&amp;frd=1f659c4ffc528bfb5f103eee5ae22b51&amp;r=21106765&amp;ccd=9f8644fd24a419678cbfd0cbb669f173&amp;utm_source=linkedin7&amp;utm_medium=organic&amp;chnlid=1931&amp;title=Program%20Manager&amp;a=e&amp;urlHash=EaYB", "https://www.adzuna.com/details/5593110313?v=C61EF5BB7C4AD754F6F510EEE350BEECA3326C4F&amp;frd=1f659c4ffc528bfb5f103eee5ae22b51&amp;r=21106765&amp;ccd=9f8644fd24a419678cbfd0cbb669f173&amp;utm_source=linkedin7&amp;utm_medium=organic&amp;chnlid=1931&amp;title=Program%20Manager&amp;a=e&amp;urlHash=EaYB")</f>
        <v/>
      </c>
      <c r="G201" t="inlineStr">
        <is>
          <t>St Paul, MN</t>
        </is>
      </c>
      <c r="H201" t="inlineStr"/>
      <c r="I201" t="inlineStr">
        <is>
          <t>**Position: Program Manager**
**Duration: 12 months**
**Location: St. Paul, Minnesota (Hybrid work mode)**
**(Need Local Candidates of Minnesota)**
**Role Summary**
 Responsible for overall program governance, coordination, and delivery of large, multi\-initiative enterprise programs. Oversees multiple concurrent projects, ensuring alignment with organizational objectives, regulatory requirements, schedules, and budgets.
**Key Responsibilities**
* Provide program\-level oversight across multiple projects and workstreams.
* Establish and manage program governance, reporting, and escalation structures.
* Coordinate cross\-functional stakeholders, leadership teams, and vendors.
* Monitor program risks, dependencies, budgets, and timelines.
* Ensure adherence to regulatory, security, and compliance requirements.
* Support executive communications and decision\-making.
* Drive continuous improvement in delivery processes and controls.
**Required Experience**
* 12\+ years of program or large\-scale project management experience
* Experience managing enterprise platforms or system modernization initiatives
* Strong stakeholder and vendor management skills
* Public\-sector or regulated\-environment experience preferred</t>
        </is>
      </c>
    </row>
    <row r="202">
      <c r="A202" t="inlineStr">
        <is>
          <t>li-4359243247</t>
        </is>
      </c>
      <c r="B202" t="inlineStr">
        <is>
          <t>Senior Program Manager I, Business Planning and Pricing, Google Cloud</t>
        </is>
      </c>
      <c r="C202" t="inlineStr">
        <is>
          <t>Google</t>
        </is>
      </c>
      <c r="D202" t="inlineStr">
        <is>
          <t>linkedin</t>
        </is>
      </c>
      <c r="E202">
        <f>HYPERLINK("https://www.linkedin.com/jobs/view/4359243247", "https://www.linkedin.com/jobs/view/4359243247")</f>
        <v/>
      </c>
      <c r="F202">
        <f>HYPERLINK("https://careers.google.com/jobs/results/132328839723262662-senior-program-manager-i/?src=Online/LinkedIn/linkedin_us&amp;utm_source=linkedin&amp;utm_medium=jobposting&amp;utm_campaign=contract&amp;urlHash=jKMc", "https://careers.google.com/jobs/results/132328839723262662-senior-program-manager-i/?src=Online/LinkedIn/linkedin_us&amp;utm_source=linkedin&amp;utm_medium=jobposting&amp;utm_campaign=contract&amp;urlHash=jKMc")</f>
        <v/>
      </c>
      <c r="G202" t="inlineStr">
        <is>
          <t>Kirkland, WA</t>
        </is>
      </c>
      <c r="H202" t="inlineStr"/>
      <c r="I202" t="inlineStr">
        <is>
          <t>Note: By applying to this position you will have an opportunity to share your preferred working location from the following:
 **Sunnyvale, CA, USA; Kirkland, WA, USA; Seattle, WA, USA** 
 .
 **Minimum qualifications:**
* Bachelor's degree or equivalent practical experience.
* 8 years of experience in program or project management.
* Experience leading cross\-functional projects, specifically managing partnerships between Engineering, Business Planning, and Product teams.
**Preferred qualifications:**
* 8 years of experience managing cross\-functional or cross\-team projects.
* Experience leveraging internal AI platforms (e.g., LLMs, generative AI tools) to automate or enhance traditional business workflows.
* Experience using AI\-driven tools to develop scalable training modules and system documentation for technical and non\-technical stakeholders.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Business Planning Review is one of the vital milestones in the overall New Product Introduction (NPI) launch process. In this role, you will work across all cloud verticals to optimize Go\-to\-Market (GTM) execution. You are an expert at managing digital transformation by transitioning manual operations into systematic, engineering\-led workflows, while maintaining stewardship of organizational metrics and strict compliance frameworks to ensure sustainable enterprise scale.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cross\-functional partnerships across cloud divisions to drive continuous improvement in product launches, focusing on simplifying processes and increasing deployment scale and speed.
* Direct the Business Planning Review (BPR) process, serving as the primary owner for this critical milestone within the New Product Introduction life\-cycle.
* Collaborate with Engineering, Google Cloud Business Platform (GCBP) and Business Planning teams to transition manual workflows into automated, scalable system solutions.
* Develop and maintain comprehensive dashboards to track key BPR performance metrics, utilizing data to identify bottlenecks and implement continuous improvement initiatives.
* Ensure strict adherence to organizational compliance standards and take full accountability for achieving successful outcomes in all internal and external audit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3">
      <c r="A203" t="inlineStr">
        <is>
          <t>li-4361626873</t>
        </is>
      </c>
      <c r="B203" t="inlineStr">
        <is>
          <t>Technical Program Manager, Data Center Construction and Design</t>
        </is>
      </c>
      <c r="C203" t="inlineStr">
        <is>
          <t>Google</t>
        </is>
      </c>
      <c r="D203" t="inlineStr">
        <is>
          <t>linkedin</t>
        </is>
      </c>
      <c r="E203">
        <f>HYPERLINK("https://www.linkedin.com/jobs/view/4361626873", "https://www.linkedin.com/jobs/view/4361626873")</f>
        <v/>
      </c>
      <c r="F203" t="inlineStr"/>
      <c r="G203" t="inlineStr">
        <is>
          <t>Sunnyvale, CA</t>
        </is>
      </c>
      <c r="H203" t="inlineStr"/>
      <c r="I203"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Google's hybrid workplace includes remote and in\-office roles. By applying to this position you will have an opportunity to share your preferred working location from the following:
**In\-office locations: Reston, VA, USA; Austin, TX, USA; Papillion, NE, USA; Moncks Corner, SC 29461, USA; New York, NY, USA; San Francisco, CA, USA; Sunnyvale, CA, USA.**
**Remote location(s): California, USA; New York, USA.** 
**Minimum qualifications:**
* Bachelor's degree in Engineering, Construction Management, a related technical field, or equivalent practical experience.
* 10 years of experience in program management.
* 10 years of experience in program or project management specifically within mission\-critical facilities (e.g., data centers, chip fabrication plants) or a design\-build/real estate development environment.
* 8 years of experience with construction, spanning the entire lifecycle from programming through commissioning.
* 8 years of experience in a leadership role, with experience managing capital projects.
* Ability to travel domestically and internationally up to 25% of the time as required.
**Preferred qualifications:**
* Master's Degree or PhD in Electrical Engineering, Mechanical Engineering, Industrial Engineering, Construction Management, or a related technical field.
* Experience with data center equipment and environments (e.g., switchgear, generators, chillers, controls, fire safety systems).
* Experience in the design, construction, and commissioning of facilities with medium voltage and low voltage electrical distribution systems.
* Experience managing teams to deliver industrial\-type capital projects, including engineering, construction management, and project controls.
* Understanding of the start\-up and commissioning processes.
* Ability to manage effectively within a cross\-functional organization, including managing commissioning programs and cross\-functional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initiate and lead our technical programs, driving them from concept to successful execution. You will require technical judgment to navigate ambiguity, make critical trade\-offs between engineering and business needs, and ensure outcomes align with long\-term organizational objectives.
 In this role, you will be a central hub for stakeholder management, building trusted relationships with cross\-functional leaders and proactively resolving misalignment. You will not only deliver on key initiatives but also establish new, proactive programs that embed a culture of continuous improvement and high performance across the technical organization.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design, construction, and capital project support for ongoing operations, providing strategic and tactical oversight to deliver large\-scale data center projects from concept to execution.
* Develop and mentor teams of engineers and project managers, while serving as a key partner and development lead for general and trade contractors.
* Act as the strategic central hub for stakeholder management, building trusted relationships with cross\-functional leaders to navigate ambiguity and resolve misalignment without direct authority.
* Foster a forward\-thinking culture that prioritizes continuous improvement, ensuring construction outcomes align with long\-term organizational objectives and verifying construction fundamentals from programming through commissioning.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4">
      <c r="A204" t="inlineStr">
        <is>
          <t>li-4362141771</t>
        </is>
      </c>
      <c r="B204" t="inlineStr">
        <is>
          <t>Program Manager, Compliance Readiness, Trust and Safety</t>
        </is>
      </c>
      <c r="C204" t="inlineStr">
        <is>
          <t>Google</t>
        </is>
      </c>
      <c r="D204" t="inlineStr">
        <is>
          <t>linkedin</t>
        </is>
      </c>
      <c r="E204">
        <f>HYPERLINK("https://www.linkedin.com/jobs/view/4362141771", "https://www.linkedin.com/jobs/view/4362141771")</f>
        <v/>
      </c>
      <c r="F204" t="inlineStr"/>
      <c r="G204" t="inlineStr">
        <is>
          <t>Austin, TX</t>
        </is>
      </c>
      <c r="H204" t="inlineStr"/>
      <c r="I204" t="inlineStr">
        <is>
          <t>**Minimum qualifications:**
* Bachelor's degree or equivalent practical experience.
* 5 years of experience managing programs with multiple work streams in compliance, risk management, audit, legal, or consulting.
* Experience working with number of cross\-functional stakeholders in a changing global environment.
**Preferred qualifications:**
* Advanced degree in a relevant field (e.g., business, compliance, law).
* Experience in any of the following areas: content, AI, privacy, consumer protection, or competition.
* Experience in compliance and implementing compliance programs.
* Ability to craft clear and concise narratives and tailor communications to inform and influence different stakeholders.
* Ability to influence and motivate partner teams in highly ambiguous environments without direct authority.
* Excellent stakeholder management skills with the ability to build relationships, align across multiple global teams, and functions toward a mutually agreed upon solution.
**About the job** 
 Trust and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In this role, you will drive proactive compliance readiness for high\-priority regulations impacting Google and Trust and Safety in areas of Artificial Intelligence (AI) and content moderation. You will have exceptional communication skills and extensive experience in building compliance programs.At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$130,000\-$191,000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Influence and shape emerging regulations through effective advocacy of Trust and Safety (T\&amp;S) equities.
* Provide Trust and Safety (T\&amp;S) leadership with early visibility on emerging regulations and thematic trends.
* Partner with Legal to interpret regulatory requirements and translate them into concrete, actionable steps for T\&amp;S teams.
* Work with a wide range of cross\-functional stakeholders across Google to program manage implementation towards day 1 readiness.
* Communicate status updates effectively and escalate risks appropriately.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5">
      <c r="A205" t="inlineStr">
        <is>
          <t>li-4362085604</t>
        </is>
      </c>
      <c r="B205" t="inlineStr">
        <is>
          <t>Technical Program Manager, Data Center Network Delivery</t>
        </is>
      </c>
      <c r="C205" t="inlineStr">
        <is>
          <t>Google</t>
        </is>
      </c>
      <c r="D205" t="inlineStr">
        <is>
          <t>linkedin</t>
        </is>
      </c>
      <c r="E205">
        <f>HYPERLINK("https://www.linkedin.com/jobs/view/4362085604", "https://www.linkedin.com/jobs/view/4362085604")</f>
        <v/>
      </c>
      <c r="F205" t="inlineStr"/>
      <c r="G205" t="inlineStr">
        <is>
          <t>Atlanta, GA</t>
        </is>
      </c>
      <c r="H205" t="inlineStr"/>
      <c r="I205" t="inlineStr">
        <is>
          <t>**Minimum qualifications:**
* Bachelor's degree in a technical field, or equivalent practical experience.
* 8 years of experience in program management.
* 5 years of experience in leadership role with/without direct reports.
**Preferred qualifications:**
* 8 years of experience managing cross\-functional/team projects.
* 5 years of experience in management of Network Engineers, or in technical program management delivery teams in a telecom or data centre infrastructure space/environment.
* Experience working in organizational settings (e.g., shared accountability, geographic dispersion, ambiguity, etc.).
* Familiarity with data center, networking, or telecom operations.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In this role, you will be reponsible of critical network deployment programs, directly managing a team that drives the tactical work. You will guide them in organizing cross\-functional projects, ensuring clear ownership, streamlined workflows, and meticulously managed master schedules. Your role demands a technical background in infrastructure, capacity planning, servers, networks, and data center operations, along with excellent communication and presentation skills to influence executive leaders and foster collaboration across all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Direct management of a team of project managers/ engineers responsible for cross\-functional coordination, design and oversight of data centre network and capacity growth projects in a given region to deliver on on\-time delivery and cycle time goals.
* Hire, coach and develop a team of Network Engineers to meet objectives.
* Work with direct reports and partner teams to set and implement short term and long\-term infrastructure delivery strategy for the region.
* Own and nurture relationships between cross\-functional teams. Deliver effective execution at scale within large, multi\-project programs. Define and develop cross\-team roles, expectations, and responsibilities.
* Drive process development and iterative optimization and manage career development and aid in personal growth of a team of dynamic, driven, network engineers.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6">
      <c r="A206" t="inlineStr">
        <is>
          <t>li-4331973958</t>
        </is>
      </c>
      <c r="B206" t="inlineStr">
        <is>
          <t>Program Manager II, Spares Readiness, Data Center Operations</t>
        </is>
      </c>
      <c r="C206" t="inlineStr">
        <is>
          <t>Google</t>
        </is>
      </c>
      <c r="D206" t="inlineStr">
        <is>
          <t>linkedin</t>
        </is>
      </c>
      <c r="E206">
        <f>HYPERLINK("https://www.linkedin.com/jobs/view/4331973958", "https://www.linkedin.com/jobs/view/4331973958")</f>
        <v/>
      </c>
      <c r="F206" t="inlineStr"/>
      <c r="G206" t="inlineStr">
        <is>
          <t>Bridgeport, AL</t>
        </is>
      </c>
      <c r="H206" t="inlineStr"/>
      <c r="I206" t="inlineStr">
        <is>
          <t>Note: By applying to this position you will have an opportunity to share your preferred working location from the following:
 **Pryor Creek, OK 74361, USA; Council Bluffs, IA, USA; Clarksville, TN, USA; Midlothian, TX, USA; Las Vegas, Nevada, USA; Reno, NV, USA; Bridgeport, AL, USA** 
 .
 **Minimum qualifications:**
* Bachelor's degree or equivalent practical experience.
* 2 years of experience in program or project management.
* Experience in infrastructure operations, supply chain/operations, data center operations, manufacturing, or technology based business units.
**Preferred qualifications:**
* Lean or Six Sigma certification.
* 2 years of experience managing cross\-functional or cross\-team projects.
* Experience with SAP, SQL, dashboarding, and advanced data analytics/statistical analysis.
* Experience coordinating projects or programs across global teams, spanning multiple offices, time zones, and regional environments.
* Experience navigating technical blockers or emergency recovery events.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own and operate the most advanced fleet of data centers and core technical infrastructure to power services and features used by billions of people around the world. Data Centers Central Operations is responsible for keeping these sites operating efficiently and safely.
 Within the Data Center Central Operations function, our Spares Readiness team will be accountable for improvement/sustainment programs that support our mission of assuring that data centers have their spare parts available to them when they need them. This role and peer roles on this team are critical to keeping our data centers running worldwide.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efforts during emergency recovery events to help operations identify, find, and receive spare parts for repairs.
* Coordinate/lead project work between field and central operations, manufacturers, engineering, and administrative vendor groups to identify and create Google part numbers for unique critical spare parts.
* Balance project data and analytics and stakeholder input and use “levers” to improve project performance against expectations and milestones.
* Establish strong and aligned linkages to our supply chain partner teams in planning, procurement, global commodity management, and logistics to provide exceptional customer satisfaction.
* Work closely with site leaders, site teams, and cross\-functional teams to identify gaps, make improvement recommendations, orchestrate change, and establish robust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7">
      <c r="A207" t="inlineStr">
        <is>
          <t>li-4330970644</t>
        </is>
      </c>
      <c r="B207" t="inlineStr">
        <is>
          <t>Program Manager, Sustainable Data Center Construction</t>
        </is>
      </c>
      <c r="C207" t="inlineStr">
        <is>
          <t>Google</t>
        </is>
      </c>
      <c r="D207" t="inlineStr">
        <is>
          <t>linkedin</t>
        </is>
      </c>
      <c r="E207">
        <f>HYPERLINK("https://www.linkedin.com/jobs/view/4330970644", "https://www.linkedin.com/jobs/view/4330970644")</f>
        <v/>
      </c>
      <c r="F207" t="inlineStr"/>
      <c r="G207" t="inlineStr">
        <is>
          <t>Ridgeville, SC</t>
        </is>
      </c>
      <c r="H207" t="inlineStr"/>
      <c r="I207" t="inlineStr">
        <is>
          <t>**Minimum qualifications:**
* Bachelor's degree or equivalent practical experience.
* 2 years of experience in program or project management.
* 2 years of experience with technical teams in project management, engineering, and construction of data centers or facilities.
* 2 years of experience in electrical, mechanical, controls, security monitoring, fire safety, or networking/fiber.
**Preferred qualifications:**
* 5 years of experience with equipment/environments, including electrical switchgear, generators, chillers, cooling towers, air handling units, controls, security monitoring systems and fire safety systems.
* Experience managing vendor relationships and standard practices in the design and construction industry.
* Experience gathering requirements, resource organization, task prioritization, scheduling and achieving objectives within set goals.
* Knowledge of design build processes and associated documents and agreements.
* Knowledge of large\-scale facility electrical and mechanical systems.
* Understanding of start up and commissioning processes.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multiple data center projects from inception through to completion, including all aspects of the program, concept and design development, schedule and budget management.
* Be responsible for gathering internal requirements and delivering solutions that satisfy customer's needs while maintaining responsibility from construction to deployment.
* Resolve critical issues within the organization while maintaining adherence to project timelines and costs while engaging with customers, cross\-functional partners and other internal organizations.
* Communicate project information and updates to leadership appropriately.
* Work separately on difficult construction issues requiring analysis and evaluation of business situations.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8">
      <c r="A208" t="inlineStr">
        <is>
          <t>li-4362144668</t>
        </is>
      </c>
      <c r="B208" t="inlineStr">
        <is>
          <t>Deputy Program Manager</t>
        </is>
      </c>
      <c r="C208" t="inlineStr">
        <is>
          <t>Janicki</t>
        </is>
      </c>
      <c r="D208" t="inlineStr">
        <is>
          <t>linkedin</t>
        </is>
      </c>
      <c r="E208">
        <f>HYPERLINK("https://www.linkedin.com/jobs/view/4362144668", "https://www.linkedin.com/jobs/view/4362144668")</f>
        <v/>
      </c>
      <c r="F208" t="inlineStr"/>
      <c r="G208" t="inlineStr">
        <is>
          <t>Hamilton, WA</t>
        </is>
      </c>
      <c r="H208" t="inlineStr"/>
      <c r="I208" t="inlineStr">
        <is>
          <t>Janicki Industries is an innovative, family\-owned aerospace company located at the foot of the Cascades. We focus on engineering and manufacturing complex projects for companies in the aerospace, defense, and space industries.
 **We are looking for a Deputy Program Manager to join our growing team.**
**This position is located on\-site in Hamilton, Washington State.**
**Position Description**
 The Deputy Program Manager plays a pivotal role in supporting the Program Director within the engineering team, ensuring the effective coordination and execution of strategic initiatives. This individual will proactively anticipate the needs and priorities of the Program Director, fostering strong, trusting partnerships across the engineering organization. The Deputy Program Manager must excel at managing multiple engineering projects while effectively prioritizing tasks in a fast\-paced environment. Acting as a representative for the Program Director, this person will collaborate with engineering leaders and cross\-functional teams as needed.
 This role demands a hands\-on, self\-motivated, and highly intelligent professional who thrives in a dynamic, evolving engineering environment. Success in this position requires exceptional strategic thinking, strong business acumen, and the ability to collaborate and communicate effectively with key stakeholders. The ideal candidate will possess a deep understanding of engineering operations, organizational dynamics, and process optimization, ensuring seamless execution of key initiatives.
 The following essential job functions are performed as a Deputy Program Manager:
* Serve as the central coordination point across departments, ensuring effective collaboration and communication between executive leadership, department heads, and staff
* Plan, coordinate, and facilitate meetings, conferences, and special events, handling logistics and preparing materials as needed
* Navigate complex organizational dynamics with diplomacy and strategic awareness, fostering open communication to build and maintain strong stakeholder relationships
* Act as a trusted advisor to the Program Director and executive leadership, providing insights and recommendations for workflow optimization, collaboration enhancement, and budget management based on a deep understanding of engineering and business operations
* Represent the Program Director in external meetings, ensuring seamless alignment with organizational goals
* Partner with executive leadership to develop and implement long\-term strategic plans, setting key performance indicators and monitoring progress toward business objectives
* Make informed decisions and resolve issues by exercising sound judgment and communicating critical outcomes to appropriate stakeholders, often acting on behalf of senior leadership
* Ensure the Program Director’s active involvement in key engineering decision\-making processes
* Undertake and manage special projects of varying sizes and complexities, ensuring they are completed on time and within scope
* Provide executive support with minimal guidance, managing priorities, scheduling, and delegating tasks when necessary
* Handle sensitive information with discretion, professionalism, and strict confidentiality
* Perform additional responsibilities as required, recognizing that duties are not limited to the above\-listed functions
* Performs additional responsibilities as required to support organizational success
**Qualifications**
* Due to our ITAR and EAR regulations, applicants must be a US Citizen or of Legal Permanent Resident Status as defined by 8 U.S.C. 1324b (a) (3\).
* This position requires the ability to obtain a U.S. Secret Security Clearance (U.S. Citizenship Required). Janicki will assist with gaining this access once employed. Special Access Program or other Government Access Requirements are mandatory for this position and requires candidate agreed to enter a Continuous Evaluation program.
**Education/Experience**
* Bachelor’s degree required in a technical or engineering\-related field, such as mechanical engineering, industrial design, or program management
* 10\+ years of relevant industry experience preferred, with strong leadership in engineering, manufacturing, or business operations
* Proven experience working directly with senior leadership, managing strategic initiatives, and influencing decision\-making
* Expertise in leading complex engineering or business projects, coordinating cross\-functional teams, and ensuring timely execution and stakeholder alignment
* Strong analytical and problem\-solving skills, with a proactive, inquisitive, and intuitive approach to challenges
* Advanced project management abilities, with demonstrated success in executing initiatives and meeting strategic objectives
* Strong leadership and interpersonal skills, with the ability to collaborate effectively and influence stakeholders at all levels
* Proven ability to manage confidential data and executive\-level discussions with professionalism and discretion
* Ability to thrive in a fast\-paced, dynamic environment, balancing multiple priorities with efficient and effective time management
* High level of integrity, professionalism, and discretion in handling confidential information
* Exceptional verbal and written communication skills in English, with experience presenting to executives, managing customer relations, and negotiating contracts
**Additional Information**
* Salary range for this role is between $125,000 \- $150,000, plus discretionary bonus, 401(k) matching, vacation, and health benefits. Employees can also receive additional pay for off\-shifts. The range provided is Janicki’s estimate of the base compensation for this role. Actual amount offered will be based on job\-related and non\-discriminatory factors such as experience, location, education, training, skills, and abilities
**Benefits**
* Medical, dental, and vision insurance with employer contribution
* Disability insurance as well as Life/AD\&amp;D insurance
* HSA (Health Savings Account) with employer contribution and FSA (Flexible Savings Account)
* 401k with employer matching
* Paid time off and paid holidays (including two floating holidays)
* Education reimbursement program
* Several shift options
* Premium pay for off\-shifts
***Not sure that you’ll be the perfect fit for this role? You should still apply! We’ll review your application for other opportunities. We are always on the lookout for talented people!***
*Janicki Industries is an Equal Opportunity Employer. Janicki Industries does not discriminate on the basis of race, color, religion, sex, national origin, sexual orientation, marital or familial status, physical or mental disability, genetic information, age, retaliation, veteran/military service status, or any other legally protected status. Janicki is proud to be a military friendly employer.*
*Applicants or employees wishing to view a copy of Janicki Industries’ Affirmative Action Plan for veterans and individuals with disabilities, or applicants requiring reasonable accommodation to the application/interview process should notify the Human Resources Department at (360\) 404\-1997\.*
*As a federal government contractor and a recipient of federal funding, Janicki is required to abide by federal drug testing requirements (including preemployment drug testing for cannabis). Additionally, because of Janicki’s work on aerospace products and the high volume of safety sensitive positions, Janicki takes the safety of its employees very seriously and requires that employees pass a preemployment drug test prior to starting employment.*</t>
        </is>
      </c>
    </row>
    <row r="209">
      <c r="A209" t="inlineStr">
        <is>
          <t>li-4365128172</t>
        </is>
      </c>
      <c r="B209" t="inlineStr">
        <is>
          <t>Staff Program Manager (Analytic Optmization))</t>
        </is>
      </c>
      <c r="C209" t="inlineStr">
        <is>
          <t>Dexcom</t>
        </is>
      </c>
      <c r="D209" t="inlineStr">
        <is>
          <t>linkedin</t>
        </is>
      </c>
      <c r="E209">
        <f>HYPERLINK("https://www.linkedin.com/jobs/view/4365128172", "https://www.linkedin.com/jobs/view/4365128172")</f>
        <v/>
      </c>
      <c r="F209" t="inlineStr"/>
      <c r="G209" t="inlineStr">
        <is>
          <t>San Diego, CA</t>
        </is>
      </c>
      <c r="H209" t="inlineStr"/>
      <c r="I209"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Dexcom is seeking a Staff Program Manager with a strong marketing focus to work with the Global Commercial Analytics team. In addition to building cloud\-based data platforms and developing advanced analytics “as\-a\-service” solutions, this role will partner closely with Marketing, Commercial Operations, and Sales teams to drive data\-driven marketing strategies, campaign analytics, and customer engagement initiatives.
 The ideal candidate will leverage analytics to optimize marketing programs, measure campaign effectiveness, and support go\-to\-market strategies for Dexcom’s products and services.
**Where You Come In**
* You lead the development and execution of omnichannel marketing programs that integrate channels and enhance provider and customer engagement.
* You manage the implementation of Commercial Mix Modeling (CMM) to optimize cross‑channel marketing spend and drive measurable ROI.
* You drive platform selection and lead contract negotiations with software vendors to ensure enterprise‑scale cost optimization.
* You oversee the development and governance of global marketing taxonomies to ensure cross‑functional data interoperability and accurate commercial attribution.
* You standardize metadata tagging processes across the marketing technology stack to improve personalization, funnel transparency, and reporting consistency.
* You implement program‑management processes including platform selection, intake workflows, Gantt chart planning, and funnel reporting.
* You monitor programs and projects from initiation through delivery, coordinating requirements, stakeholder alignment, milestones, UAT, timelines, and change‑management activities.
* You collaborate with Marketing teams to design, track, and evaluate marketing campaigns, digital engagement strategies, and lead‑generation initiatives.
* You partner with technical and marketing teams to develop and maintain marketing data platform
* You build strong partnerships with Marketing and Commercial stakeholders to gather their roadmaps and communicate the Commercial Operations Analytics roadmap.
* You ensure that Commercial Operations and Marketing remain aligned with Enterprise Council requirements regarding policies, reporting, and deliverables.
* You manage GDPR‑related updates and documentation across the CRM and marketing‑technology ecosystem to ensure compliance.
* You apply direct‑attribution methodologies for web properties to strengthen measurement accuracy and improve marketing efficiency.
**What Makes You Successful**
* You have strong experience collaborating across Sales, Commercial Operations, Marketing Analytics, Technical Marketing, or similar business functions.
* You bring proven program and project‑management capabilities, including cross‑functional coordination and stakeholder communication.
* You have demonstrated ability to communicate insights and recommendations clearly to business leaders and executive stakeholders, including Marketing leadership.
* You bring hands‑on experience partnering with Data Science teams to translate business needs into actionable requirements.
* You have proficiency working with cloud‑based environments such as AWS, GCP, or Azure.
* You have strong technical marketing skills, including product positioning, competitive analysis, and translating features into customer value.
* You bring hands‑on experience with digital marketing analytics, campaign management, and marketing‑automation platforms such as Google Analytics, Marketo, or HubSpot.
* You have strong working knowledge of CRM systems and modern marketing‑technology stacks.
* You demonstrate a solid understanding of change‑management principles and performance‑evaluation processes.
* You excel in environments with rapidly evolving business rules and bring a high level of attention to detail.
**What You’ll Get**
* A front row seat to life changing CGM technology. Learn about our brave \#dexcomwarriors community.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5\-15%
**Experience And Education Requirements**
* Typically requires a Bachelor’s degree and a minimum of 13\+ years of related experience.
* At this level a graduate degree may be expected with 6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$111,100\.00 \- $185,100\.00</t>
        </is>
      </c>
    </row>
    <row r="210">
      <c r="A210" t="inlineStr">
        <is>
          <t>li-4362401250</t>
        </is>
      </c>
      <c r="B210" t="inlineStr">
        <is>
          <t>Technical Program Manager, Data Center Regional Portfolio Planner</t>
        </is>
      </c>
      <c r="C210" t="inlineStr">
        <is>
          <t>Google</t>
        </is>
      </c>
      <c r="D210" t="inlineStr">
        <is>
          <t>linkedin</t>
        </is>
      </c>
      <c r="E210">
        <f>HYPERLINK("https://www.linkedin.com/jobs/view/4362401250", "https://www.linkedin.com/jobs/view/4362401250")</f>
        <v/>
      </c>
      <c r="F210" t="inlineStr"/>
      <c r="G210" t="inlineStr">
        <is>
          <t>Atlanta, GA</t>
        </is>
      </c>
      <c r="H210" t="inlineStr"/>
      <c r="I21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Atlanta, GA, USA** 
 .
 **Minimum qualifications:**
* Bachelor’s degree in real estate, engineering, construction management or a related field, or equivalent practical experience.
* 5 years of experience in program management or planning for data center infrastructure and real estate development (or a similar industry).
* 5 years of experience in managing cross\-functional programs.
**Preferred qualifications:**
* 8 years of experience in managing large, cross\-functional program
* Ability to develop data\-driven technical insights and quickly translating them into executable commercial solutions for the business.
* Excellent skills in planning and communication management in a cross\-functional leadership role, with the ability to create project plans that break down work into discrete phases and manage dependencies.
**About the job** 
 As our products and services scale the globe, the Global Infrastructure and Energy team works behind the scenes as a dynamic team within Google responsible for delivering the infrastructure capacity needed to support Google's rapidly growing product portfolio. The Supply Strategy and Portfolio Planning team manages a portfolio of infrastructure projects, ensuring that Google's services have the resources they need to operate seamlessly and reliably. We perform location strategy, regional planning and portfolio management to determine where, why, and how much infrastructure assets needed. We provide the programs, strategies and tool sets for our regional discussion and execution teams to consistently make high\-quality decisions at scale, faster and with less risk to meet the needs of Google’s business.
 In this role, you will lead multi\-disciplinary projects from start to finish and will work with stakeholders to plan requirements, manage project schedules, identify risks, and communicate clearly with cross\-functional partners across the company. Your projects will often span offices, time zones, and hemispheres. It will be your job to coordinate the players and keep them up to date on progress and deadlines. As a member of the Supply Strategy and Portfolio Planning team, you will lead the planning of a global data center portfolio, informing efficient execution and risk management practices, and ensuring alignment with objectives. You will lead programs that reach beyond your immediate team, proactively identifying and leading activities to deliver business, operational, and technical improvements.The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development of the long\-range infrastructure supply plans.
* Utilize the output from advanced demand and capacity models to drive critical trade\-off decisions and develop optimal multi\-year supply plans. Communicate the resulting resource requirements and investment signals to key suppliers and execution partners to ensure alignment and advocate for the optimal planning outcome
* Establish cross\-functional planning governance, enforcing established principles and actively incorporating asset delivery status and risks from site acquisition through construction completion to ensure accountability and on\-time performance of the regional plans.
* Serve as the central bridge and point\-of\-contact for the regional planning, cultivating strong relationships to align the internal business drivers of all key stakeholders with the regional infrastructure plans.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1">
      <c r="A211" t="inlineStr">
        <is>
          <t>li-4354785525</t>
        </is>
      </c>
      <c r="B211" t="inlineStr">
        <is>
          <t>Program Manager III, Strategy and Operations, Cloud Supply Chain</t>
        </is>
      </c>
      <c r="C211" t="inlineStr">
        <is>
          <t>Google</t>
        </is>
      </c>
      <c r="D211" t="inlineStr">
        <is>
          <t>linkedin</t>
        </is>
      </c>
      <c r="E211">
        <f>HYPERLINK("https://www.linkedin.com/jobs/view/4354785525", "https://www.linkedin.com/jobs/view/4354785525")</f>
        <v/>
      </c>
      <c r="F211" t="inlineStr"/>
      <c r="G211" t="inlineStr">
        <is>
          <t>Sunnyvale, CA</t>
        </is>
      </c>
      <c r="H211" t="inlineStr"/>
      <c r="I211" t="inlineStr">
        <is>
          <t>Note: By applying to this position you will have an opportunity to share your preferred working location from the following:
 **Sunnyvale, CA, USA; Austin, TX, USA** 
 .
 **Minimum qualifications:**
* Bachelor's degree or equivalent practical experience.
* 5 years of experience in program or project management.
* Experience working with data analytics tools and reporting platforms.
* Experience in any one of the following: Strategy, Program Management or Management Consulting.
**Preferred qualifications:**
* 7 years of experience in Strategy and Operations, Program Management, or Management Consulting.
* 5 years of experience managing cross\-functional or cross\-team projects.
* Experience with financial planning and analysis (e.g., financial modeling, budget forecasting, statistical analysis).
* Experience with data analysis and visualization tools (e.g., SQL, dashboards).
* Ability to influence stakeholders at all levels.
* Excellent problem\-solving and communication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Strategy and Operations Program Manager, you will separately lead high\-impact strategic initiatives and drive operational excellence across the organization. You will own the scoping, planning, and delivery of complex programs that span multiple quarters, translating vague business priorities into clear, actionable goals and roadmaps. You will partner with executive leadership to align direction and influence cross\-functional decision\-making through strategic data analysis and insights. You will be a self\-directed professional who excels at navigating ambiguity and building momentum to deliver scalable and sustainable results.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high\-impact strategic programs from conception through execution, navigating ambiguity to deliver results that align with long\-term organizational objectives and span multiple quarters.
* Partner with executive cross\-functional stakeholders to identify complex operational bottlenecks; design and implement scalable and sustainable process improvements that drive excellence and efficiency across the broader organization.
* Own the scoping, planning, and delivery of programs by translating vague initiatives into clear goals and comprehensive execution plans, ensuring continued alignment with evolving business strategy and Objectives and Key Results (OKRs).
* Leverage strategic data analysis and insights to influence cross\-functional decision\-making and measure program impact, providing actionable recommendations to executive leadership to drive program momentum.
* Drive business operations initiatives, including complex headcount planning and resource management, while establishing key operational metrics to monitor performance and inform long\-term resource allocation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2">
      <c r="A212" t="inlineStr">
        <is>
          <t>li-4359060845</t>
        </is>
      </c>
      <c r="B212" t="inlineStr">
        <is>
          <t>Technical Program Manager, Controls, Google Data Centers</t>
        </is>
      </c>
      <c r="C212" t="inlineStr">
        <is>
          <t>Google</t>
        </is>
      </c>
      <c r="D212" t="inlineStr">
        <is>
          <t>linkedin</t>
        </is>
      </c>
      <c r="E212">
        <f>HYPERLINK("https://www.linkedin.com/jobs/view/4359060845", "https://www.linkedin.com/jobs/view/4359060845")</f>
        <v/>
      </c>
      <c r="F212" t="inlineStr"/>
      <c r="G212" t="inlineStr">
        <is>
          <t>New York, NY</t>
        </is>
      </c>
      <c r="H212" t="inlineStr"/>
      <c r="I212" t="inlineStr">
        <is>
          <t>Note: By applying to this position you will have an opportunity to share your preferred working location from the following:
 **New York, NY, USA; Sunnyvale, CA, USA** 
 .
 **Minimum qualifications:**
* Bachelor's degree in Electrical Engineering, Mechanical Engineering, Construction Management, or a related technical field, or equivalent practical experience.
* 5 years of experience managing the entire life\-cycle of projects.
* 5 years of experience in Technical Program Management or Engineering management, specifically managing multi\-disciplinary projects.
* 5 years of experience with mission\-critical facilities, controls systems, vulnerability programs.
**Preferred qualifications:**
* Master's degree in Engineering.
* 5 years of experience managing cross\-functional or cross\-team projects.
* Experience with retrofits in live, operational critical environments, including knowledge of change management and risk mitigation strategies.
* Technical understanding of controls systems as applied to data center operations.
* Familiarity with digital design tools and strategies, such as BIM or VDC (Virtual Design and Construction) integration.
* Ability to navigate ambiguity, managing vague project requirements and organizing them into clear goals and objectives.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be responsible for overseeing the design of Post\-Facility Ready (FR) controls systems, as well as product upgrades and retrofits. This includes building matrixed design teams from internal and external design services partners, facilitating the creation of a shared plan for execution, and overseeing design services in support of construction activities. You will possess a deep understanding of mission\-critical controls design, implementation and insertion workflows. You will identify, organize, and lead program activities to deliver business, operational, and technical improvements, ensuring alignment across executive cross\-functional stakeholders.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Identify, organize, and lead program activities to deliver business, operational, and technical improvements by scoping, phasing, and leading ambiguous cross\-functional issues. Separately design and deliver optimized program communication plans, including executive and key partner communications.
* Oversee the life\-cycle of controls upgrades, performing technical due diligence to evaluate engineering scope, determine milestones, and define engineering resourcing needs.
* Build trusted relationships with executive program stakeholders to proactively enable decision\-making, resolve prioritization misalignments, and manage program escalations and obstacles.
* Measure and publish program and process metrics to drive consensus, leverage Continuous Improvement approaches to identify process gaps, and create automated processes to enhance velocity and monitoring.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3">
      <c r="A213" t="inlineStr">
        <is>
          <t>li-4330186657</t>
        </is>
      </c>
      <c r="B213" t="inlineStr">
        <is>
          <t>Technical Program Manager II, Data Center Design, Technical Infrastructure</t>
        </is>
      </c>
      <c r="C213" t="inlineStr">
        <is>
          <t>Google</t>
        </is>
      </c>
      <c r="D213" t="inlineStr">
        <is>
          <t>linkedin</t>
        </is>
      </c>
      <c r="E213">
        <f>HYPERLINK("https://www.linkedin.com/jobs/view/4330186657", "https://www.linkedin.com/jobs/view/4330186657")</f>
        <v/>
      </c>
      <c r="F213" t="inlineStr"/>
      <c r="G213" t="inlineStr">
        <is>
          <t>New Albany, OH</t>
        </is>
      </c>
      <c r="H213" t="inlineStr"/>
      <c r="I213" t="inlineStr">
        <is>
          <t>Note: By applying to this position you will have an opportunity to share your preferred working location from the following:
 **Atlanta, GA, USA; Papillion, NE, USA; Reston, VA, USA; New Albany, OH, USA** 
 .
 **Minimum qualifications:**
* Bachelor's degree in a technical field, or equivalent practical experience.
* 2 years of experience in program management.
* Experience with data center infrastructure or construction.
* Experience with AutoCAD.
* Ability to travel up to 10% of the time.
**Preferred qualifications:**
* 2 years of experience managing cross\-functional or cross\-team projects.
* Experience with data center design, network hardware and software, operations, and mechanical and electrical systems.
* Experience managing programs through the entire program management cycle.
* Ability to report out on process improvements, issues, and program highlights.
* Excellent investigative and quantitative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provide leadership for data center projects that will include facility implementation planning, development and documentation of deployment standards, detailed data analysis, and corresponding recommendations. You will have subject matter expertise relevant to data center technologies and the technical judgment necessary to drive engineering decisions resulting in significant, positive business impact.
 In this role, you will leverage your technical expertise in data center design and engineering to lead multi\-disciplinary projects from inception to completion. You will lead the collaboration with stakeholders across various teams and time zones to plan requirements, mitigate risks, manage project schedules, and ensure clear communication throughout the project life\-cycle.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physical design of data center facilities, including the layout of server racks, power distribution units (PDUs), cooling systems, and detailed cable management/tray systems to maximize space and resource efficiency.
* Develop and maintain precise 2D and 3D specifications and drawings using Computer\-Aided Design (CAD) and Building Information Modeling (BIM) software for construction, documentation, and asset management.
* Oversee projects from conception through delivery, taking ownership of scope, driving process improvements, and identifying and mitigating technical, logistical, and budgetary risks.
* Act as the Subject Matter Expert (SME), providing technical expertise and direction to project teams while ensuring seamless collaboration with construction, electrical, network, and IT operations across time zones.
* Build and manage relationships with stakeholders at all levels, clearly communicating project status, risks, and recommendations to influence organizational decision\-making and ensure alignment with program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4">
      <c r="A214" t="inlineStr">
        <is>
          <t>li-4354715762</t>
        </is>
      </c>
      <c r="B214" t="inlineStr">
        <is>
          <t>Senior Technical Program Manager, Data Center Regional Portfolio Planner</t>
        </is>
      </c>
      <c r="C214" t="inlineStr">
        <is>
          <t>Google</t>
        </is>
      </c>
      <c r="D214" t="inlineStr">
        <is>
          <t>linkedin</t>
        </is>
      </c>
      <c r="E214">
        <f>HYPERLINK("https://www.linkedin.com/jobs/view/4354715762", "https://www.linkedin.com/jobs/view/4354715762")</f>
        <v/>
      </c>
      <c r="F214" t="inlineStr"/>
      <c r="G214" t="inlineStr">
        <is>
          <t>Atlanta, GA</t>
        </is>
      </c>
      <c r="H214" t="inlineStr"/>
      <c r="I21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Atlanta, GA, USA** 
 .
 **Minimum qualifications:**
* Bachelor's degree in a technical field, or equivalent practical experience.
* 8 years of experience in program management.
* 5 years of experience in program management or planning for data center infrastructure and real estate development (or a similar industry).
* 5 years of experience in developing data\-driven technical insights and translating them into executable commercial solutions.
* 5 years of experience with data centers or other critical infrastructure in the areas of supply planning, site development, construction, design or engineering
**Preferred qualifications:**
* 8 years of experience managing cross\-functional or cross\-team projects.
* Excellent planning and communication management skills in a cross\-functional leadership role with the ability to create project plans that break down work into discrete phases and manage dependencies.
**About the job**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Supply Strategy and Portfolio Planning, you will manage a portfolio of infrastructure projects, ensuring that Google's services have the resources they need to operate seamlessly and reliably. You will be a part of location strategy, regional planning and portfolio management to determine where, why, and how much infrastructure assets Google needs to seamlessly scale into the future. You will provide the programs, strategies and tool sets for our regional negotiation and execution teams to consistently make high\-quality decisions at scale, faster and with less risk to meet the needs of Google’s business.The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and ensures governance structure effectively exposes and mitigates dependencies.
* Utilize the output from advanced demand and capacity models to drive critical tradeoff decisions, develop optimal multi\-year supply plans, and communicate resulting resource requirements and investment signals to key suppliers and execution partners (Acquisition, Energy, Construction) to ensure alignment and advocate for optimal planning outcomes.
* Define and 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5">
      <c r="A215" t="inlineStr">
        <is>
          <t>li-4355230899</t>
        </is>
      </c>
      <c r="B215" t="inlineStr">
        <is>
          <t>Sr. Technical Program Manager, Fire TV Devices Organization</t>
        </is>
      </c>
      <c r="C215" t="inlineStr">
        <is>
          <t>myGwork - LGBTQ+ Business Community</t>
        </is>
      </c>
      <c r="D215" t="inlineStr">
        <is>
          <t>linkedin</t>
        </is>
      </c>
      <c r="E215">
        <f>HYPERLINK("https://www.linkedin.com/jobs/view/4355230899", "https://www.linkedin.com/jobs/view/4355230899")</f>
        <v/>
      </c>
      <c r="F215" t="inlineStr"/>
      <c r="G215" t="inlineStr">
        <is>
          <t>Sunnyvale, CA</t>
        </is>
      </c>
      <c r="H215" t="inlineStr"/>
      <c r="I215" t="inlineStr">
        <is>
          <t>**This job is with Amazon, an inclusive employer and a member of myGwork – the largest global platform for the LGBTQ\+ business community. Please do not contact the recruiter directly.**
**Description**
 Transform the future of home entertainment by joining our dynamic Fire TV devices team! As a Senior Technical Program Manager, you'll be at the epicenter of innovation, driving critical device launches that connect millions of users to their favorite content. Your strategic leadership and technical expertise will help shape streaming experiences that redefine how people interact with digital media.
 Key job responsibilities
* Lead complex technical program initiatives across multiple teams, ensuring strategic alignment and successful device launches.
* Develop comprehensive project plans that balance technical feasibility, user experience, and business objectives.
* Facilitate cross\-functional communication, translating technical requirements into actionable strategies.
* Conduct rigorous data analysis to inform decision\-making and optimize product development processes.
* Champion user\-centric design principles while maintaining technical excellence.
 A day in the life
 Imagine a role where your strategic vision meets hands\-on technical execution. You'll collaborate across multiple teams, bridging software engineering, product marketing, and customer experience to deliver seamless streaming solutions. Your day might involve deep\-dive technical discussions, cross\-functional planning sessions, and crafting innovative strategies that push the boundaries of connected device technology.
**About The Team**
 We are a passionate, collaborative team dedicated to revolutionizing home entertainment. Our mission is to create intuitive, delightful streaming experiences that delight users worldwide. By joining us, you'll work alongside talented professionals who are committed to continuous innovation and solving complex technical challenges.
**Basic Qualifications**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Sunnyvale \- 171,000\.00 \- 231,400\.00 USD annually
 USA, TX, Austin \- 148,700\.00 \- 201,200\.00 USD annually
 USA, VA, Arlington \- 148,700\.00 \- 201,200\.00 USD annually
 USA, WA, Seattle \- 148,700\.00 \- 201,200\.00 USD annually]]\&gt;</t>
        </is>
      </c>
    </row>
    <row r="216">
      <c r="A216" t="inlineStr">
        <is>
          <t>li-4362087861</t>
        </is>
      </c>
      <c r="B216" t="inlineStr">
        <is>
          <t>Product Ownerwith P&amp;C Insurance domain &amp; Claims Exp</t>
        </is>
      </c>
      <c r="C216" t="inlineStr">
        <is>
          <t>Jobs via Dice</t>
        </is>
      </c>
      <c r="D216" t="inlineStr">
        <is>
          <t>linkedin</t>
        </is>
      </c>
      <c r="E216">
        <f>HYPERLINK("https://www.linkedin.com/jobs/view/4362087861", "https://www.linkedin.com/jobs/view/4362087861")</f>
        <v/>
      </c>
      <c r="F216">
        <f>HYPERLINK("https://click.appcast.io/t/PNC-Zj1fbh1zUGOOIweWi4Zch6WhSM-R-sUU4VZbkRU=&amp;urlHash=youO", "https://click.appcast.io/t/PNC-Zj1fbh1zUGOOIweWi4Zch6WhSM-R-sUU4VZbkRU=&amp;urlHash=youO")</f>
        <v/>
      </c>
      <c r="G216" t="inlineStr">
        <is>
          <t>New Jersey, United States</t>
        </is>
      </c>
      <c r="H216" t="inlineStr"/>
      <c r="I216" t="inlineStr">
        <is>
          <t>Dice is the leading career destination for tech experts at every stage of their careers. Our client, Delta System \&amp; Software Inc., is seeking the following. Apply via Dice today!
**Product Owner with P\&amp;C Insurance domain \&amp; Claims Exp**
**Long term Contract**
**Erie, PA or Piscataway, NJ**
**Required Experience:**
* Demonstrated experience working on claims systems (P\&amp;C insurance,)
* Strong understanding of claims
* Comfort working with data (SQL or analytics tools) to validate assumptions and outcomes
* Experience with Bureau reporting and statistical reporting
* Excellent written and verbal communication skills, especially for explaining complex workflows clearly
**Technical Knowledge:**
* Strong understanding of Agile methodologies and frameworks (Scrum, SAFe).
* Strong understanding of Claims workflow within P\&amp;C insurance specially Commercial Lines
* Proficiency with Agile project management tools (e.g., Jira, Azure DevOps, Confluence).
* General understanding of software development principles to effectively communicate with the development team and understand their challenges.
**Preferred certifications:**
* CSPO, SAFE POPM
* Any P\&amp;C insurance certification and/or claims
 Thank You
 Kanishk Pratap</t>
        </is>
      </c>
    </row>
    <row r="217">
      <c r="A217" t="inlineStr">
        <is>
          <t>li-4331060386</t>
        </is>
      </c>
      <c r="B217" t="inlineStr">
        <is>
          <t>Senior Technical Program Manager, Security Operations</t>
        </is>
      </c>
      <c r="C217" t="inlineStr">
        <is>
          <t>Google</t>
        </is>
      </c>
      <c r="D217" t="inlineStr">
        <is>
          <t>linkedin</t>
        </is>
      </c>
      <c r="E217">
        <f>HYPERLINK("https://www.linkedin.com/jobs/view/4331060386", "https://www.linkedin.com/jobs/view/4331060386")</f>
        <v/>
      </c>
      <c r="F217" t="inlineStr"/>
      <c r="G217" t="inlineStr">
        <is>
          <t>Sunnyvale, CA</t>
        </is>
      </c>
      <c r="H217" t="inlineStr"/>
      <c r="I217" t="inlineStr">
        <is>
          <t>Note: By applying to this position you will have an opportunity to share your preferred working location from the following:
 **Sunnyvale, CA, USA; New York, NY, USA** 
 .
 **Minimum qualifications:**
* Bachelor's degree in a a technical field, or equivalent practical experience.
* 10 years of experience in program management.
* 10 years of customer\-facing experience in an enterprise software company, interfacing with executives, and driving customer transformation programs.
* 5 years of experience driving product adoption for enterprise customers by identifying patterns and executing growth strategies.
* 5 years of experience leading enterprise\-level change management programs and influencing executive\-level stakeholders within IaaS, PaaS, or SaaS environments.
**Preferred qualifications:**
* 10 years of experience managing complex cross\-functional or cross\-team end\-to\-end customer experience programs.
* Experience using data and creativity to drive consumption\-based business decisions and long\-term customer value.
* Understanding of security operations (SecOps), threat intelligence, or cloud security analytics.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Security Operations (SecOps) by Google Cloud is advancing cyber security for enterprises of all sizes. We are dedicated to helping organizations detect and stop cyber attacks before they cause harm. By leveraging Google’s global\-scale threat intelligence, massive cloud computing power, and big data expertise, we help our customers solve their most significant security challenges. Our platform analyzes exabytes of data to resolve the most pertinent threats, delivering a comprehensive suite of products—from security analytics and incident response to exceptional threat intelligence.
 In this role, you will partner closely with Engineering, Product, Sales, and Customer Success to influence the full product life\-cycle and drive customer value. You will lead critical work streams focused on customer health, streamline the renewal and expansion process, and help shape our partner strategy to ensure long\-term success for our users.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end\-to\-end strategy for customer success and value realization across the Google Security portfolio, ensuring high product adoption and measurable business outcomes.
* Develop and execute a comprehensive goal and roadmap for post\-sales services, establishing global standards for deployment quality, technical documentation, and customer support.
* Orchestrate large\-scale, enterprise\-level change programs and define key success metrics to track progress against joint business goals and long\-term security objectives.
* Collaborate with Sales, Support, Professional Services, and Customer Engineering to design and implement strategies that maximize product growth, and account expansion.
* Act as a critical partner to Product leadership by taking ownership of "post\-commit" growth activities, translating customer feedback into product improvements and driving continued technology consumption.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8">
      <c r="A218" t="inlineStr">
        <is>
          <t>li-4365115834</t>
        </is>
      </c>
      <c r="B218" t="inlineStr">
        <is>
          <t>Material Program Manager (MPM)</t>
        </is>
      </c>
      <c r="C218" t="inlineStr">
        <is>
          <t>Raytheon</t>
        </is>
      </c>
      <c r="D218" t="inlineStr">
        <is>
          <t>linkedin</t>
        </is>
      </c>
      <c r="E218">
        <f>HYPERLINK("https://www.linkedin.com/jobs/view/4365115834", "https://www.linkedin.com/jobs/view/4365115834")</f>
        <v/>
      </c>
      <c r="F218">
        <f>HYPERLINK("https://careers.rtx.com/global/en/job/RAYTGLOBAL01817959EXTERNALENGLOBAL/Material-Program-Manager-MPM?utm_source=linkedin&amp;utm_medium=phenom-feeds&amp;urlHash=PlGf", "https://careers.rtx.com/global/en/job/RAYTGLOBAL01817959EXTERNALENGLOBAL/Material-Program-Manager-MPM?utm_source=linkedin&amp;utm_medium=phenom-feeds&amp;urlHash=PlGf")</f>
        <v/>
      </c>
      <c r="G218" t="inlineStr">
        <is>
          <t>Tucson, AZ</t>
        </is>
      </c>
      <c r="H218" t="inlineStr"/>
      <c r="I218" t="inlineStr">
        <is>
          <t>**Date Posted:**
 2026\-01\-21
**Country:**
 United States of America
**Location:**
 US\-AZ\-TUCSON\-M09 \~ 3350 E Hemisphere Loop \~ BLDG M09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an experienced Material Program Manager (MPM) professional to support the LADS SBU and PF\&amp;M SSBU for a program located in Tucson, AZ. Candidates must be able to succeed in a fast paced development environment and possess excellent time management/prioritization skills. Strong communication skills (written, verbal, and presentation), leadership abilities, and the ability to work well in a matrixed IPT environment are also important. Must be a self\-starter, capable of achieving organizational and program objectives, and able to interface with all levels of internal and supplier management. The successful candidate will be directly accountable for ensuring overall program execution of materials management including cost/schedule/quality, and management of supplier performance.
 In this role, you will leverage Supply Chain, technical knowledge, and process capability expertise to improve supplier performance and support. You will work closely with Engineering, Operations, Quality, and the broader Supply Chain organization to drive Raytheon requirements for manufacturing and quality capabilities of suppliers, and improvement of supplier hardware for schedule and affordability. You will be the catalyst for program execution of Supplier Engagement Strategy activities including ensuring appropriate budget, resource, schedule, and execution.
***THIS IS AN ONSITE ROLE IN TUCSON, AZ.***
**What You Will Do:**
* Drive Purchase Requisition generation \&amp; Purchase Order placement/management by working closely with Production Control, Purchasing, and Finance.
* Report program status and communicate critical issues to external and internal customers, as well as offer solutions and assist in implementing corrective action(s).
* Drive successful completion of material deliveries with potentially aggressive schedules.
* Support CAM(s) in managing material budgets and EACs for the program(s).
* Support lead make/buy/where process.
* Assist with generation of Supplier Statement of Work (SSOW).
* Monitor performance metrics to proactively manage supplier performance and communicate larger concerns to functional leadership.
* Up to 25% domestic travel may be required.
**Qualifications You Must Have:**
* Typically requires a University Degree or equivalent experience and minimum 5 years prior relevant experience, or An Advanced Degree in a related field and minimum 3 years experience
* Previous Supply Chain experience
* The ability to obtain and maintain a U.S. government issued security clearance is required. U.S. citizenship is required, as only U.S. citizens are eligible for a security clearance
**Qualifications We Prefer:**
* 3\+ years in a supply chain focused role
* EVMS certification
* Experience managing suppliers or projects
* Financial acumen
* Strong supplier negotiation skills with the ability to identify and execute cost reduction opportunities
* Experience in manufacturing operations and/or production control
* Experience leading or participating in cross\-functional teams
* Experience in desktop computing tools (MS Excel, MS Word, MS PowerPoint, and MS Projects
**What We Offer:**
*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(Select the one that fits the role type of the req)
*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19">
      <c r="A219" t="inlineStr">
        <is>
          <t>li-4365119125</t>
        </is>
      </c>
      <c r="B219" t="inlineStr">
        <is>
          <t>Program Manager, Law Enforcement (LE) Operations</t>
        </is>
      </c>
      <c r="C219" t="inlineStr">
        <is>
          <t>Draganfly Inc.</t>
        </is>
      </c>
      <c r="D219" t="inlineStr">
        <is>
          <t>linkedin</t>
        </is>
      </c>
      <c r="E219">
        <f>HYPERLINK("https://www.linkedin.com/jobs/view/4365119125", "https://www.linkedin.com/jobs/view/4365119125")</f>
        <v/>
      </c>
      <c r="F219" t="inlineStr"/>
      <c r="G219" t="inlineStr"/>
      <c r="H219" t="inlineStr"/>
      <c r="I219" t="inlineStr">
        <is>
          <t>**About Draganfly:** 
 Draganfly Inc. (the “Company”) has been a recognized technology leader in the commercial UAV space for over two decades. We helped establish the commercial market and adoption of multi‑rotor helicopters for public safety, agriculture, aerial imaging, and more. As a leader that helped shape the industry, Draganfly focuses on drone products and services, contract engineering, custom integration, and health monitoring technologies.
**About the Role:** 
 The Program Manager, Law Enforcement (LE) Operations leads our Law Enforcement Field Application teams and drives strategy for how Draganfly products are deployed within the LE market. This role spans presales support, product testing, customer engagement, operational execution, and market feedback into product development.
 As Draganfly’s primary SME for LE use cases, you will ensure our programs, workflows, and deployments integrate cleanly into real‑world missions. This is a high‑impact role at a pivotal moment in our growth, with the opportunity to shape scalable operational processes and influence product direction.
**Responsibilities:** 
 Leadership
* Lead and support Senior Field Application Specialists, with a focus on field execution and developing future leaders.
* Ensure team alignment with market strategy, product knowledge, and brand standards.
* Coordinate daily operations with ground teams and PMO.
* Gather insights from field teams to inform customer needs, product improvements, and operational priorities.
* Delegate tasks and ensure successful execution of LE\-related engagements.
 Operations
* Coordinate demos, trainings, product testing, and special projects to ensure smooth and effective field operations.
* Maintain high operational standards that deliver exceptional customer experiences.
* Develop SOPs, workflows, and processes to support scalability and consistency across deployments.
* Manage equipment, documentation, and playbooks specific to the LE market.
* Collaborate cross‑functionally to support organizational success within public safety.
* Complete required documentation to meet county and state LE compliance standards.
* Lead or assist in developing technical proposals and customer\-facing documentation.
* Support the creation of market‑specific training and programs for LE and public safety agencies.
 Market Strategy
* Build and maintain strategic relationships within the LE market to inform product capabilities and support offerings.
* Stay current with LE market trends and ensure Draganfly focuses on the highest‑impact mission sets.
* Represent Draganfly with key clients to support program adoption and operational integration.
* Act as the internal SME for how LE organizations utilize UAS systems.
* Guide partner strategies to expand relevant features and mission capabilities.
* Convert lessons learned into scalable SOPs and repeatable processes.
* Provide structured feedback to product teams for mission‑specific improvements.
* Capture field insights in the CRM and contribute SME support to strategic internal discussions.
**Qualifications** 
* FAA Part 107 Remote Pilot Certificate (required).
* 6\+ years of experience in UAS operations or UAS product application (military, public safety, enterprise preferred).
* Experience delivering customer\-facing training or presentations.
* Familiarity with LE\-relevant payloads, mission planning, and troubleshooting UAS systems.
* Experience in one or more of the following areas:
* Law Enforcement
* Short\-Range Reconnaissance
* Drone as First Responder (DFR)
* Accident Reconstruction
* Tactical Indoor Flights
* Search and Rescue
* Disaster Response
* Strong interpersonal communication skills for technical and non‑technical audiences.
* Experience integrating UAS systems in LE workflows; familiarity with MAVLink\-based UAS.
* Ability to travel 30–50% for field operations and customer engagements.
* Proficiency with CRM tools (HubSpot) and collaboration platforms (Teams, SharePoint).
**Physical Requirements** 
* Ability to lift and transport UAS equipment (up to 55 lbs).
* Comfortable working outdoors in varied weather conditions.
* Able to operate in austere field environments for short periods.
* Ability to pass background checks for government engagements.
**Who Are You Really?** 
* Flexible, adaptable, and comfortable wearing many hats in a fast\-paced environment.
* Dependable, with strong follow‑through and the ability to manage multiple projects.
* Detail‑oriented and analytical, with a talent for solving operational challenges.
* Organized, able to plan and prioritize effectively.
* A collaborative communicator who builds strong working relationships across teams.
**Compensation Package** 
* Competitive salary: USD90,000 \- USD105,000
* Comprehensive medical and dental benefits, including a Health Spending Account
* Generous time‑off program, including vacation, wellness days, and paid holiday closure between Christmas and New Year’s
**Why Join Us** 
 At Draganfly Innovations, you’ll join a collaborative team that values innovation, curiosity, and continuous improvement. We’re in an exciting growth phase, scaling our technologies, product lines, and teams as we continue to shape the future of UAV innovation. Joining us now means becoming part of a company with deep roots in the industry — and bold ambitions for what comes next.
 You’ll have the opportunity to make a meaningful impact, work on diverse and cutting‑edge projects, and grow your skills alongside passionate experts. Here, you won’t just join a company — you’ll help build what comes next.
**As part of our hiring process, all candidates must successfully complete reference checks and a criminal background check.**</t>
        </is>
      </c>
    </row>
    <row r="220">
      <c r="A220" t="inlineStr">
        <is>
          <t>li-4362079459</t>
        </is>
      </c>
      <c r="B220" t="inlineStr">
        <is>
          <t>Supervisory DLA G-Invoicing Program Manager</t>
        </is>
      </c>
      <c r="C220" t="inlineStr">
        <is>
          <t>DLA Careers</t>
        </is>
      </c>
      <c r="D220" t="inlineStr">
        <is>
          <t>linkedin</t>
        </is>
      </c>
      <c r="E220">
        <f>HYPERLINK("https://www.linkedin.com/jobs/view/4362079459", "https://www.linkedin.com/jobs/view/4362079459")</f>
        <v/>
      </c>
      <c r="F220">
        <f>HYPERLINK("https://www.usajobs.gov:443/job/855063500&amp;urlHash=u4AD", "https://www.usajobs.gov:443/job/855063500&amp;urlHash=u4AD")</f>
        <v/>
      </c>
      <c r="G220" t="inlineStr">
        <is>
          <t>Fort Belvoir, VA</t>
        </is>
      </c>
      <c r="H220" t="inlineStr"/>
      <c r="I220" t="inlineStr">
        <is>
          <t>**Summary**
 See below for important information regarding this job.
 Battle Creek, MI: $147,945 \-$192,331
 Whitehall, OH: $154,378 \- $197,200
 Richmond, VA: $154,542 \- $197,200
 Philadelphia, PA: $163,023 \- $197,200
 Fort Belvoir, VA: $169,279 \- $197,200
 New Cumberland, PA: $169,279 \- $197,200
 Duties
 Help
* Serves as the Staff Director for the DLA G\-lnvoicing Program Management Office within the DLA Finance (J8\).
* Serves as an advocate for DLA and its stakeholders, DoD, and Federal trading partners in overseeing and executing the coordination, integration, and synchronization of G\-lnvoicing implementation.
* Manage the implementation of cross process Intra\-Governmental Transaction (IGT) requirements to achieve and sustain legislative requirements and regulatory mandates directed by US Treasury and OUSD.
* Responsible for improving the quality of intragovernmental Transactions (IGT) \- Buy/Sell data and reporting challenges.
* Translating the requirements, policies, procedures, and systems for both inbound and outbound reimbursable agreements into auditable, financially compliant transactions.
**Requirements**
 Help
 Conditions of employment
* Must be a U.S. citizen
* Tour of Duty: Flexible
* Security Requirements: Non\-Critical Sensitive with Secret Access
* Appointment is subject to the completion of a favorable suitability or fitness determination, where reciprocity cannot be applied; unfavorably adjudicated background checks will be grounds for removal.
* Fair Labor Standards Act (FLSA): Exempt
* Selective Service Requirement: Males born after 12\-31\-59 must be registered or exempt from Selective Service.
* Recruitment Incentives: Not Authorized
* Supervisory Probation: Required
* Completion of Supervisory Certification Program: Required
* Bargaining Unit Status: No
* Selectees are required to have a REAL ID or other acceptable identification documents to access certain federal facilities. See https://www.tsa.gov/real\-id for more information.
* This position requires DoD Financial Management Level 3 certification within 2 years in accordance with DoD Instruction 1300\.26, DoD Directive 5118\.03 and section 1599d of Title 10, U.S.C. Once obtained, you must maintain and improve proficiency.
**Qualifications**
 To qualify for a Supervisory Financial Analyst, your resume and supporting documentation must support: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Specialized Experience: One year of specialized experience that equipped you with the particular competencies to successfully perform the duties of the position and is directly in or related to this position. To qualify at the GS\-15 level, applicants must possess one year of specialized experience equivalent to the GS\-14 level or equivalent under other pay systems in the Federal service, military, or private sector. Applicants must meet eligibility requirements including time\-in\-grade (General Schedule (GS) positions only), time\-after\-competitive appointment, minimum qualifications, and any other regulatory requirements by the cut\-off/closing date of the announcement. Creditable specialized experience includes:
* Overseeing and executing the coordination, integration, and synchronization of G\-lnvoicing implementation.
* Developing and leading the implementation of a communication and change management strategy.
* Coordinating presentations for discussion and raising awareness of the G\-lnvoicing program amongst leadership through outreach.
* Implement intergovernmental transactions flow through G\-lnvoicing process for both inbound and outbound reimbursable agreements
 Education
 Substitution of education may not be used in lieu of specialized experience for this grade level.
 Additional information
**For Important General Applicant Information and Definitions go to:** 
 http://www.dla.mil/portals/104/documents/careers/GenAppInfoDef.pdf
**Reemployed Annuitants:** 
 This position does not meet criteria for appointment of Reemployed Annuitants. The DoD criteria for hiring Reemployed Annuitants can be found at: https://www.esd.whs.mil/Portals/54/Documents/DD/issuances/140025/140025\_vol300\.PDF
**Information for Veterans** 
 is available at: https://www.dla.mil/Careers/Programs/. As of 23 December 2016, Military retirees seeking to enter federal service in the Department of Defense now require a waiver if they would be appointed within 180 days following their official date of retirement.
**Drug\-Free Workplace Policy**
 The Defense Logistics Agency (DLA) is committed to maintaining a safe, drug\-free workplace. All DLA employees are required to refrain from illegal drug use on and off duty. DLA conducts pre\-employment, reasonable suspicion, post\-accident, and random drug testing.
 Applicants tentatively selected for employment in testing designated positions will undergo a urinalysis to screen for illegal drug use prior to appointment. Refusal to undergo testing or testing positive for illegal drugs will result in withdrawal of the tentative job offer and a six\-month denial of employment with DLA from the date of the drug test. Employees in drug testing designated positions are subject to random drug testing.
 The DLA drug testing panel tests for the following substances: marijuana, cocaine, opiates, heroin, phencyclidine, amphetamines, methamphetamines, fentanyl, norfentanyl, methylenedioxymethamphetamine (MDMA), methylenedioxyamphetamine (MDA), and opioids.
**ADVISORY: Use of cannabidiol (CBD) products may result in a positive drug test for marijuana. DLA employees are subject to Federal law and under Federal law, Marijuana is a Schedule I drug and is illegal.**
 Additional guidance on writing a federal resume can be found at: USAJOBS Help Center \- How do I write a resume for a federal job? The resume builder can help you create a resume using these recommendations and uses the information in your USAJOBS profile to help you get started.
 Candidates should be committed to improving the efficiency of the Federal government, passionate about the ideals of our American republic, and committed to upholding the rule of law and the United States Constitution.
 Help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t>
        </is>
      </c>
    </row>
    <row r="221">
      <c r="A221" t="inlineStr">
        <is>
          <t>li-4365122458</t>
        </is>
      </c>
      <c r="B221" t="inlineStr">
        <is>
          <t>Material Program Manager</t>
        </is>
      </c>
      <c r="C221" t="inlineStr">
        <is>
          <t>Bollinger Shipyards</t>
        </is>
      </c>
      <c r="D221" t="inlineStr">
        <is>
          <t>linkedin</t>
        </is>
      </c>
      <c r="E221">
        <f>HYPERLINK("https://www.linkedin.com/jobs/view/4365122458", "https://www.linkedin.com/jobs/view/4365122458")</f>
        <v/>
      </c>
      <c r="F221">
        <f>HYPERLINK("https://bollingershipyards.exacthire.com/job/191557&amp;urlHash=B8aL", "https://bollingershipyards.exacthire.com/job/191557&amp;urlHash=B8aL")</f>
        <v/>
      </c>
      <c r="G221" t="inlineStr">
        <is>
          <t>Houma, LA</t>
        </is>
      </c>
      <c r="H221" t="inlineStr"/>
      <c r="I221" t="inlineStr">
        <is>
          <t>**Job Title** 
 : Material Program Manager
**Location:** 
 Houma, LA
**Position Overview:** 
 Bollinger is seeking a Material Program Manager to manage all aspects of program material management and reporting. Has overall responsibility for program material for all programs under contract. Reports directly to the Vice President of Supply Chain Management and Pricing.
**Key Responsibilities**
* Monitor, analyze, and report on material financial health of one or more programs simultaneously.
* Develop and maintain detailed estimate at complete and risk and opportunity analysis for the program(s).
* Responsible for the establishment and performance reporting to the Material Performance Measurement Baseline and Control Account Plan.
* Develop and report detailed cost and schedule variance explanations.
* Program lead for all Cost Account Management activities of one or more programs.
* Program lead ensuring material updates are provided to internal and external stakeholders on one or more programs.
* Works cross functionally to ensure material requirements are clearly defined.
**Required Experience**
* Two (2\) to Six (6\) years of experience in subcontract\-related fields like Program Management, Contract Administration, Purchasing, or Engineering.
* Familiar material and service sourcing activities such as quoting, analyzing, negotiating, reporting and supplier rationalization
* Data analysis experience and training preferred.
**Skills And Abilities**
* Ability to analyze data and communicate analysis to internal and external stakeholders.
* Extensive knowledge of Earned Value Management practices.
* Ability to present information articulately with an understanding of details.
* Possess ability to work in a high paced environment.
* Basic knowledge of procurement practices in a Government Contracting environment.
* Strong ability to set up, model and track material program financial metrics.
* Ability to maintain effective working relationships with management, co\-workers, and external customers.
* Strategic thinker able to drive success throughout the company.
* Demonstrate strong time management skills
 Bollinger is an equal opportunity employer and is committed to providing employment opportunities to minorities, females, veterans and disabled individuals, and without regard to sexual orientation and gender identity.</t>
        </is>
      </c>
    </row>
    <row r="222">
      <c r="A222" t="inlineStr">
        <is>
          <t>li-4365157550</t>
        </is>
      </c>
      <c r="B222" t="inlineStr">
        <is>
          <t>Senior Business Program Manager</t>
        </is>
      </c>
      <c r="C222" t="inlineStr">
        <is>
          <t>ComEd</t>
        </is>
      </c>
      <c r="D222" t="inlineStr">
        <is>
          <t>linkedin</t>
        </is>
      </c>
      <c r="E222">
        <f>HYPERLINK("https://www.linkedin.com/jobs/view/4365157550", "https://www.linkedin.com/jobs/view/4365157550")</f>
        <v/>
      </c>
      <c r="F222" t="inlineStr"/>
      <c r="G222" t="inlineStr">
        <is>
          <t>Oakbrook Terrace, IL</t>
        </is>
      </c>
      <c r="H222" t="inlineStr"/>
      <c r="I222"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Develop, manage, and evaluate key projects/programs/initiatives from planning to post implementation phases as required. Develop business plans, project charters, and performance metrics in support of business objectives. Ensure organizational alignment with management models and principles and drive the integration of best practices. Perform various assignments including requests for financial and operational reports, data analysis and modeling, business planning, and/or performance measurement. Coordinate quality assurance and/or change management activities with internal and external personnel. Position may be required to work extended hours for coverage during storms or other energy delivery emergencies.
**Primary Duties**
* Lead development, implementation, and evaluation of projects, programs, and/or business initiatives. Provide requirements analysis, performance measurement, and quality assurance. Manage scope, schedule, and budget for organizational projects and programs.
* Coordinate and report on process/project/initiative assignments. Develop performance indicators and tracking mechanisms to monitor and report results. Prepare, review, and analyze reports, controls, and other financial \&amp; operational information for specific projects and initiatives.
* Coordinate work plans to implement corrective actions that are identified as a result of performance assessment.
* Support the establishment of business plans and objectives across multiple areas / departments. Coordinate with stakeholders on the development of business cases and prioritization of deliverables.
* Lead change management activities for projects, programs, and initiatives. Develop and implement training of employees and external personnel for new processes and procedures. Develop and implement effective business readiness procedures.
* Participate in process improvement task forces. Provide benchmarking analysis. Prepare status reports to leadership.
* Understand business processes and provide guidance for end users. Provide day\-to\-day client support and conduct diagnostics as necessary to ensure optimal performance. Assist and advise other personnel with responses to internal and external inquiries.
**Job Scope**
* This is an individual contributor position that works independently with only general direction, relying on knowledge skills and judgment acquired through education and relevant experience to plan and accomplish assigned tasks and goals. The position regularly mentors less experienced colleagues.
* Direct impact on budget is substantial This position has a direct impact on the Company's performance regarding several key indicators operational costs, System Average Interruption Frequency Index (SAIFI), Customer Average Interruption Duration Index (CAIDI) and Customer Satisfaction by managing scope, budget and schedule to within approved parameters, and providing structured and detailed reports to the appropriate Management team. Drives the development of key projects/programs/initiatives to ensure complete and successful implementation. Develops and tracks key milestones. Cost of failure would have a significant impact on Exelon reliability and financial goals.
* This position is also key to maintaining the company's image and good standing with customers, regulators, and shareholders in regards to developing, coordinating, and implementing projects/programs/initiatives that have a direct link to either customer experience, reliability, or the bottom line results of the organization.
* This position requires interfacing across Exelon Corporation with various levels of personnel in Customer Operations, IT, Regional Operations, Distribution Operations, Transmission Operations, Corporate Security, Communications, Regulatory, and Legal. The ability to build relationships across the organization is critical.
* Will regularly serve as lead for cross\-functional and cross company teams responsible for the integration of best practices through the organization. Supports the establishment of business plans and objectives for multiple areas / departments. Develops performance indicators and tracking mechanisms to monitor results.
**Minimum Qualifications**
* Bachelor's degree in a business or S.T.E.M. field with 4\-7 years of related business experience OR in lieu of bachelor's degree, 6\-9 years of related business experience.
* Comprehensive understanding of applicable standards, methods, processes and practices, business fundamentals, and performance metrics in the specific functional area supported by this position (e.g., electric or gas operations, customer service, transmission and substation, distribution system operations, regulatory and external affairs).
* Advanced proficiency in standard software applications (e.g., Microsoft Project, Visio, Excel, \&amp; PowerPoint), and relevant specialized business applications (e.g., project portfolio management, requirements/test management, CIS/CRM, customer self\-service, telephony, EPS, EAM, work management, \&amp; outage management) to support business needs.
* Demonstrated business acumen and ability to create value with strong problem solving, analytical/financial, negotiation, and conflict management skills and a willingness to accept increased responsibilities.
* Demonstrated ability to build consensus, establish trust, meet critical deadlines, communicate effectively, and accept accountability of multiple tasks.
* Customer driven with demonstrated excellent written and oral communication skills and ability to interact with people of all levels.
* Demonstrated ability to develop and implement process enhancements and efficiencies including new technology
**Preferred Qualifications**
* MBA or Master's degree in a business or S.T.E.M. field
* Comprehensive knowledge of the practices, procedures and principles of project management. Ability to analyze complex business processes and systems, interpret and recommend alternative courses of action, and implement intervention strategies to attain performance targets
* Certification as : Certified Associate in Project Mgmt (CAPM) OR Project Management Professional (PMP) OR Six Sigma Black Belt
* Demonstrated strong analytical skills for project evaluation including analysis of complex projects with economic, financial, risk and decision analysis. Proficient in business case development and ability to effectively present business cases to business unit leadership
**Benefits**
* Annual salary will vary based on a candidate’s skills, qualifications, experience, and other factors: $88,800\.00/Yr. – $122,100\.00/Yr.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223">
      <c r="A223" t="inlineStr">
        <is>
          <t>li-4362018617</t>
        </is>
      </c>
      <c r="B223" t="inlineStr">
        <is>
          <t>Operational Technology Technical Program Manager, Compliance, Safety and Risk Management</t>
        </is>
      </c>
      <c r="C223" t="inlineStr">
        <is>
          <t>Google</t>
        </is>
      </c>
      <c r="D223" t="inlineStr">
        <is>
          <t>linkedin</t>
        </is>
      </c>
      <c r="E223">
        <f>HYPERLINK("https://www.linkedin.com/jobs/view/4362018617", "https://www.linkedin.com/jobs/view/4362018617")</f>
        <v/>
      </c>
      <c r="F223" t="inlineStr"/>
      <c r="G223" t="inlineStr">
        <is>
          <t>Sunnyvale, CA</t>
        </is>
      </c>
      <c r="H223" t="inlineStr"/>
      <c r="I22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**Seattle, WA, USA; Austin, TX, USA; Sunnyvale, CA, USA** 
 .
 **Minimum qualifications:**
* Bachelor's degree in Computer Science, Engineering, a related technical field, or equivalent practical experience.
* 5 years of experience in program management.
* 5 years of experience in Technical Program Management within the data center, critical infrastructure, or security operations environments.
* 5 years of experience utilizing agile project management methodologies to drive engineering efficiency and project delivery.
* 5 years of experience with data warehouse design, building data pipelines, or developing vulnerability remediation tools for security applications.
* 5 years of experience with Operational Technology (OT) security, Industrial Control Systems (ICS), or safety systems.
**Preferred qualifications:**
* 5 years of experience managing cross\-functional or cross\-team projects.
* Experience with data analytics, big data, and Machine Learning technologies.
* Understanding of Operational Technology (OT) security principles, architectures, technologies, and challenges.
* Excellent portfolio of successful technical program management in fields relevant to data orchestration, visualization, and automation.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an Operational Technology Technical Program Manager, you are innovating, building, and sustaining the security and safety systems in our fast\-growing data center fleet. You will blend leadership, cross\-functional collaboration, and deep technical expertise to manage projects that are central to the operational excellence and strategic growth of Compliance, Strategy, and Risk Management (CSRM). You will have the unique opportunity to make significant contributions to Google’s data centers, pushing the boundaries of innovation to make Google data centers a safer and more efficient place to work.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design and implementation of a secure data warehouse for centralizing Operational Technology (OT) vulnerability information from sources.
* Architect and develop data pipelines to ingest, process, and transform structured, semi\-structured, and unstructured data from various OT systems and security tools.
* Architect, build, and deploy a comprehensive vulnerability remediation and dispatching tool, ensuring seamless integration with the OT vulnerability data warehouse to facilitate efficient workflows.
* Utilize agile methodologies and program management tools to enhance team effectiveness and ensure the timely delivery of security projects.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4">
      <c r="A224" t="inlineStr">
        <is>
          <t>li-4345708250</t>
        </is>
      </c>
      <c r="B224" t="inlineStr">
        <is>
          <t>Senior Staff Program Manager, AI Infrastructure Investment Planning</t>
        </is>
      </c>
      <c r="C224" t="inlineStr">
        <is>
          <t>Google</t>
        </is>
      </c>
      <c r="D224" t="inlineStr">
        <is>
          <t>linkedin</t>
        </is>
      </c>
      <c r="E224">
        <f>HYPERLINK("https://www.linkedin.com/jobs/view/4345708250", "https://www.linkedin.com/jobs/view/4345708250")</f>
        <v/>
      </c>
      <c r="F224">
        <f>HYPERLINK("https://careers.google.com/jobs/results/137127416630780614-senior-staff-program-manager/?src=Online/LinkedIn/linkedin_us&amp;utm_source=linkedin&amp;utm_medium=jobposting&amp;utm_campaign=contract&amp;urlHash=Rwm_", "https://careers.google.com/jobs/results/137127416630780614-senior-staff-program-manager/?src=Online/LinkedIn/linkedin_us&amp;utm_source=linkedin&amp;utm_medium=jobposting&amp;utm_campaign=contract&amp;urlHash=Rwm_")</f>
        <v/>
      </c>
      <c r="G224" t="inlineStr">
        <is>
          <t>Sunnyvale, CA</t>
        </is>
      </c>
      <c r="H224" t="inlineStr"/>
      <c r="I224" t="inlineStr">
        <is>
          <t>**Minimum qualifications:**
* Bachelor's degree in a a technical field, or equivalent practical experience.
* 10 years of experience in program management, with a focus on planning and quantitative analysis.
* Experience in infrastructure planning (e.g., data centers, networks, compute capacity).
* Experience influencing cross\-functional teams and executive stakeholders.
**Preferred qualifications:**
* 10 years of experience managing complex cross\-functional or cross\-team projects.
* 5 years of experience, within a hyperscale cloud or technology company.
* Strong financial acumen, including experience with cost\-benefit analysis, business case development, and long\-range capital planning.
* Expertise in data analysis, statistical modeling, optimization techniques, and simulation.
* Familiarity with the unique infrastructure requirements and challenges of AI/Machine Learning systems at scale.
* Understanding of data center technologies, power infrastructure, network architecture, and associated cost structures.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development, implementation, and refinement of sophisticated quantitative models and tools to optimize data center site selection, network planning, energy procurement, and supply chain strategies.
* Develop and prototype novel problem\-solving approaches, including decision trees and AI\-driven tools, to handle complex, multivariable problems like large\-scale infrastructure planning, build and lease analyses, joint venture investment decisions, and risk mitigation.
* Drive strategic initiatives to maximize capital efficiency, reduce overall costs, and improve the on\-time delivery of critical infrastructure.
* Influence and guide cross\-functional teams across infrastructure, finance, and network planning to adopt data\-driven decision\-making processes and enhance planning frameworks.
* Provide expert analysis, strategic counsel, and clear recommendations to executive leadership on multi\-year infrastructure asset plans, translating complex technical, financial, and operational trade\-offs.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5">
      <c r="A225" t="inlineStr">
        <is>
          <t>li-4362097235</t>
        </is>
      </c>
      <c r="B225" t="inlineStr">
        <is>
          <t>Program Manager V - Community &amp; Social Health</t>
        </is>
      </c>
      <c r="C225" t="inlineStr">
        <is>
          <t>Kaiser Permanente</t>
        </is>
      </c>
      <c r="D225" t="inlineStr">
        <is>
          <t>linkedin</t>
        </is>
      </c>
      <c r="E225">
        <f>HYPERLINK("https://www.linkedin.com/jobs/view/4362097235", "https://www.linkedin.com/jobs/view/4362097235")</f>
        <v/>
      </c>
      <c r="F225" t="inlineStr"/>
      <c r="G225" t="inlineStr">
        <is>
          <t>Oakland, CA</t>
        </is>
      </c>
      <c r="H225" t="inlineStr"/>
      <c r="I225" t="inlineStr">
        <is>
          <t>* \*Position can be located in any KP footprint \- WA, OR, CA, CO, MD, D.C. Salary is for Northern California candidates only \- pay is based on geographic location
**Department Overview**
 The national Community and Social Health team is seeking professionals who are dedicated to fostering health equity and addressing social determinants of health. This role requires innovative thinkers who can lead and contribute to outcome driven projects, enhancing the well\-being of our members and the communities we serve.
 Our team consists of individuals who can operate effectively in a fast\-paced environment, can see the broader perspective, and manage multiple projects while identifying connections among them. The ideal candidate should be collaborative and prioritize team success; adaptable and able to perform well in uncertain situations; self\-driven and willing to learn; maintain a high level of professionalism; and foster an inclusive, team\-centered culture.
 The Community and Social Health team operates in a matrixed environment; projects and portfolios may be adjusted and assigned based on the changing needs of the team and department, offering opportunities to work with and report to various leaders within the team. The team is dedicated to equity, inclusion, and diversity, and supports the diverse experiences, backgrounds, and skills present within the team.
**Job Summary**
 Manages large\-scale programs or components with multiple workstreams and strategic business goals across departments, functions, or regions with responsibility and accountability for achieving program outcomes from initiation to close\-out in an extended or open\-ended time frame. Leads the work of large program teams by leading others in coordinating and monitoring internal and/or external resources. Proactively monitors, identifies, and mitigates program risks, issues, and trigger events by developing mitigation plans and strategies. Monitors compliance of program activities by ensuring program plans and team members adhere to relevant policies and procedures. Ensures the alignment, buy\-in, engagement, and support of diverse program stakeholders. Reviews vendor performance levels, ensures service level agreements are met, and participates in contract negotiations with vendors.
**Essential Responsibilities**
* Promotes learning in others by communicating information and providing advice to drive projects forward; builds relationships with cross\-functional stakeholders. Listens, responds to, seeks, and addresses performance feedback; provides actionable feedback to others, including upward feedback to leadership and mentors junior team members. Practices self\-leadership; creates and executes plans to capitalize on strengths and improve opportunity areas; influences team members within assigned team or unit. Adapts to competing demands and new responsibilities; adapts to and learns from change, challenges, and feedback. Models team collaboration within and across teams.
* Conducts or oversees business\-specific projects by applying deep expertise in subject area; promotes adherence to all procedures and policies. Partners internally and externally to make effective business decisions; determines and carries out processes and methodologies; solves complex problems; escalates high\-priority issues or risks, as appropriate; monitors progress and results. Develops work plans to meet business priorities and deadlines; coordinates and delegates resources to accomplish organizational goals. Recognizes and capitalizes on improvement opportunities; evaluates recommendations made; influences the completion of project tasks by others.
* Manages large\-scale programs or components with multiple workstreams and strategic business goals across departments, functions, or regions with responsibility and accountability for achieving program outcomes from initiation to close\-out in an extended or open ended time frame. Develops, analyzes, and manages highly complex program plans which include scope identification and management, schedule, inter\-dependencies, and resource forecast. Manages and monitors the program financials of large\-scale programs. Monitors program performance to ensure programs effectively deliver maximum long term value or benefit to the organization, and makes adjustments as needed in an uncertain environment where scope may be fluid. Leads program activities related to organizational change management (e.g., development and execution of user adoption, implementation, and training plans) as defined by the program. Drives allocation of resources, establishes schedules, and task assignments to ensure established program management practices are in place. This role may perform project management duties in addition to program management responsibilities.
* Leads the work of large program teams by monitoring internal and external resources. Leads others in requesting and coordinating internal and/ or external resources based on the alignment of team member skills and program demands. Communicates a clear vision of program goals and objectives to the team. Delivers performance feedback to team members supervisors.
* Proactively monitors, identifies, and mitigates program risks, issues, and trigger events by developing mitigation plans and strategies; and resolving or escalating risks or issues as appropriate.
* Monitors adherence of program activities to policies and procedures by ensuring program plans and team members follow KP, departmental, and/or business line policies and procedures.
* Ensures the alignment, buy\-in, engagement and support of diverse program stakeholders by building and maintaining relationships as well as communicating appropriately with internal customers, third party vendors, senior management, and business leaders; and clarifying accountability and authority across stakeholders. Identifies and works closely with key stakeholders based on their level of influence and decision making and ensures all appropriate stakeholders are represented and included. Provides insight to key stakeholders and program sponsors by developing program goals, setting the prioritization of deliverables, discussing involvement of business processes (e.g. program change management, communication) and facilitating decisions necessary for program delivery. Communicates tough issues to stakeholders while maintaining an independent opinion, providing recommendations, delivering formal presentations, and providing reports to various senior audiences. Engages with senior stakeholders to identify long term value to the organization and define success.
* Reviews vendor performance levels and ensures service level agreements are met. Partners with Procurement and/or Legal to develop service level and/or scope of work agreements as appropriate. Participates in contract negotiations with vendors and reviews program invoices submitted by vendors for accuracy.
**Knowledge, Skills and Abilities: (Core)**
*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 Applied Data Analysis
* Change Management
* Conflict Resolution
* Financial Acumen
* Managing Diverse Relationships
* Negotiation
* Project Management
* Project Management Tools
* Quality Assurance Process
* Risk Assessment
* Service Focus
* Strategic Program Management
**Minimum Qualifications**
* Minimum three (3\) years experience in a leadership role with or without direct reports.
* Bachelors degree from an accredited college or university and minimum eight (8\) years experience in project management or a directly related field, including minimum four (4\) years program management experience OR Minimum eleven (11\) years experience in project management or a directly related field including minimum four (4\) years program management experience.
**Preferred Qualifications**
* Master's degree from an accredited college or university.
* Four (4\) years of experience working with clinical operations
* Three (3\) years inter\-regional project management experience.
* Three (3\) years experience managing vendor contracts and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2026-01-21T23:42:30Z</dcterms:created>
  <dcterms:modified xsi:type="dcterms:W3CDTF">2026-01-21T23:42:30Z</dcterms:modified>
</cp:coreProperties>
</file>