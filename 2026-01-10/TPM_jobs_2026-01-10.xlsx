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in-e5b4d2a87daf6f49</t>
        </is>
      </c>
      <c r="B2" t="inlineStr">
        <is>
          <t>Program Manager - Aerospace/Defense Programs</t>
        </is>
      </c>
      <c r="C2" t="inlineStr">
        <is>
          <t>Weckworth Manufacturing</t>
        </is>
      </c>
      <c r="D2" t="inlineStr">
        <is>
          <t>indeed</t>
        </is>
      </c>
      <c r="E2" t="inlineStr"/>
      <c r="F2" t="inlineStr"/>
      <c r="G2" t="inlineStr">
        <is>
          <t>Haysville, KS, US</t>
        </is>
      </c>
      <c r="H2" s="2" t="n">
        <v>46031</v>
      </c>
      <c r="I2" t="inlineStr">
        <is>
          <t>**Program Manager – Aerospace/Defense Programs**
**Position Overview**
We are seeking a Program Manager to oversee aerospace and defense programs with both government and commercial customers. This role is responsible for coordinating projects from contract award through delivery, ensuring scope, schedule, and budget are met. The ideal candidate is detail\-oriented, organized, and capable of bridging communication between customers and internal teams.
**Key Responsibilities**
* Serve as the primary customer point of contact for assigned programs.
* Monitor and drive program execution from award through delivery.
* Coordinate across departments (engineering, purchasing, operations, quality) to ensure successful execution.
* Actively participate in proposal development for new business opportunities, including scope definition and cost/schedule estimates.
* Monitor contract requirements and ensure compliance with customer and regulatory obligations.
* Identify risks or issues early and work with cross\-functional teams to resolve them.
* Provide regular program status updates to leadership and customers.
* Maintain program documentation, meeting minutes, and communication logs.
**Qualifications**
* Bachelor’s degree in business, engineering, or related field preferred; equivalent work experience considered.
* Ability to read blueprints, drawings, and specifications is preferred.
* 3–5 years of program or project management experience in aerospace, defense, or manufacturing.
* Familiarity with federal/government contracting processes (FAR/DFARS) as a prime or sub\-tier contractor is a plus.
* Experience with ERP systems (JobBOSS or equivalent) preferred.
* Proficient in Microsoft Office Suite (Excel, Project, PowerPoint).
* Strong organizational and time management skills.
* Excellent communication skills, both written and verbal.
* Ability to work collaboratively with internal teams and external customers.
**Job Type**: Full\-time, Mon. \- Thurs., 7:30am–5:30pm \&amp; Friday 7:30am\-11:30am.
Compensation: $70\-80K/annually DOE
Competitive wage and benefit package. Weckworth Manufacturing, Inc. is a proud Equal Opportunity Employer. We provide equal opportunity to employees and applicants without regard to race, color, religion, gender, gender identity, sexual orientation, age, national origin, ancestry, disability, veteran status, or any other protected group covered by applicable federal, state or local equal employment laws and regulations.
*Applicants with a disability that need any accommodation to complete the Weckworth Manufacturing, Inc. application process, or otherwise need assistance or accommodation in the recruiting process, should contact Human Resources at 316\-425\-2030\. All applicants must submit a resume or apply in person at 128 Baughman Ave, Haysville, KS 67060 fax\- 316\.263\.4492, HUMAN RESOURCES.*
**Texting Privacy Policy and Information:**
Message type: Informational; you will receive text messages regarding your application and potentially regarding interview scheduling.
Message frequency will vary depending on the application process.
Msg \&amp; data rates may apply.
OPT out at any time by texting “Stop”.</t>
        </is>
      </c>
    </row>
    <row r="3">
      <c r="A3" t="inlineStr">
        <is>
          <t>in-26a1a022df5748c2</t>
        </is>
      </c>
      <c r="B3" t="inlineStr">
        <is>
          <t>Lead Technical Program Manager</t>
        </is>
      </c>
      <c r="C3" t="inlineStr"/>
      <c r="D3" t="inlineStr">
        <is>
          <t>indeed</t>
        </is>
      </c>
      <c r="E3" t="inlineStr"/>
      <c r="F3" t="inlineStr"/>
      <c r="G3" t="inlineStr">
        <is>
          <t>Santa Monica, CA, US</t>
        </is>
      </c>
      <c r="H3" s="2" t="n">
        <v>46031</v>
      </c>
      <c r="I3"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The Business Operations team helps guide and articulate technology strategy and research, and is responsible for driving the day\-to\-day operation of the Product \&amp; Technology organization, including: project and portfolio management and tracking; organization\-level capital, space, and resource management and allocation; process management; technical incident management; and our administrative and workplace experience support team.
This is a **Lead Technical Program Manager** (TPM) position within the Product \&amp; Technology (P\&amp;T) Technology Enablement Alliance (TEA). The Lead TPM will play a leadership role in the delivery and enhancements of services and tools within the Cost Management engineering teams. These are a central group responsible for driving savings and efficiencies through the monitoring and investigation of cost trends, as well as the development of supportive tooling. Separately this role may support the analysis and migration of organizational chatops integrations.
Our ideal candidate is intuitive, autonomous, has a high degree of technical literacy and a desire to know more. They are proactive, detail\-oriented, and comfortable quickly switching roles from detective to executive communicator to engineering advocate.
**Qualifications :**
* 7\+ years of drive and delivery of high profile, cross org impacting efforts for multiple engineering teams
* Detail oriented and excellent communication skills; ability to follow technical discussions and absorb technical documentation; ability to develop fundamental technical understanding of the project deliverables
* Demonstrated tenacity and comfortable with ambiguity; able to drive consensus between cross\-functional stakeholder groups
* Experience playing a leadership role in highly integrated COTS implementation experience
* Experience managing senior\-level client relationships and effectively and efficiently communicating program vision and status in monthly business reviews
* Experience working with distributed teams and/or distributed organizations
* Deep understanding of SDLC; working understanding of cloud based development and a desire to know more
* Develop fundamental technical understanding of the tools and services vended by your teams
* Tools expertise including AirTable, Atlassian Suite, Google Suite, and Slack or similar
* Bachelor’s degree required
**Preferred Qualifications**
* Degree in STEM and / or experience as a software engineer
* Exposure to modern DevOps and SRE practices around CI/CD, Infrastructure as Code, Availability, etc
* Experience as a software engineer, including exposure to Java or Scala
The hiring range for this position in Santa Monica, CA is $155,700 to $208,700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
      <c r="A4" t="inlineStr">
        <is>
          <t>in-16cfa5c6567e9b85</t>
        </is>
      </c>
      <c r="B4" t="inlineStr">
        <is>
          <t>Technical Program Manager II</t>
        </is>
      </c>
      <c r="C4" t="inlineStr"/>
      <c r="D4" t="inlineStr">
        <is>
          <t>indeed</t>
        </is>
      </c>
      <c r="E4" t="inlineStr"/>
      <c r="F4" t="inlineStr"/>
      <c r="G4" t="inlineStr">
        <is>
          <t>New York, NY, US</t>
        </is>
      </c>
      <c r="H4" s="2" t="n">
        <v>46031</v>
      </c>
      <c r="I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**Job Summary:**
The Business Operations team helps guide and articulate technology strategy and research, and is responsible for driving the day\-to\-day operation of the Product \&amp; Technology organization, including: project and portfolio management and tracking; organization\-level capital, space, and resource management and allocation; process management; technical incident management; and our administrative and workplace experience support team.
The Technical Project Manager II role will be an integral part of the Production and Live Operations Program Management team supporting Media Management and Transmission Scheduling capital initiatives. DE\&amp;E Tech creates products, platforms, and innovations for The Walt Disney Company by driving the strategic development and use of technology, building scalable systems and products to empower our businesses and engage consumers. With global scale, local presence, and deep technological excellence, DE\&amp;E Tech helps The Walt Disney Company optimize technology, platforms, and resources, while bringing creative ideas to life and creating industry\-shaping approaches.
This is a full time position within the DE\&amp;E Tech Global Program Management Organization. The Project Manager is responsible for managing small through large\-scale, complex projects in the Software Engineering area from initiation through closure. These initiatives will involve daily hands\-on management of technology activities utilizing Agile and Scrum based software development practices; and may include working with other technical teams to effectively deliver business solutions. This role requires a wide range of competencies, technical (PM) experience and communications skills. Responsible for managing projects using DE\&amp;E Tech processes, tools, and methodologies, which includes the development of the scope of work and the management of time, cost, risk, and communications.
**Key Responsibilities:**
* Leverage experience with Agile and SCRUM methodologies to lead project teams on a daily basis to the successful delivery of software development projects. Plan, coordinate and direct all activities associated with creating and maintaining project plans, communication plans, risks/issues, etc.
* Collaborate with cross\-functional teams to define program scope, functional requirements, team deliverables, dependencies, time frames, and risks for the project or program.
* Estimate, manage and track the program financial forecasts and budgets.
* Lead agile ceremonies, such as daily stand\-ups, sprint plannings, backlog refinements, retrospectives, and demos for multiple teams.
* Identify and manage project dependencies and critical path.
* Track and report slippages with workable mitigation plans.
* Build strong relationships across engineering, product and stakeholder teams.
* Coach teams on Agile efficiency, support their self\-organization and agile methodology knowledge growth.
* Use data\-driven approach, tools and techniques (i.e. Jira native Burndown Charts, Epic Reports, Version Reports) to maintain metrics that provide visibility for the team and use those metrics to identify team needs.
* Communicate delivery times and scope to other software engineering teams that depend on a timely delivery.
* Identify and manage issues and risks and drive decision making.
* Ability to work with minimal direction.
**Basic Qualifications:**
* 3\+ years of experience managing software development projects
* Knowledge of Jira/Confluence supporting agile methodologies
* Hands\-on experience with the software development life cycle
* CSM / CSP Certification preferred with thorough understanding of Scrum Agile Methodologies
* Desire to learn and take on additional responsibilities as appropriate
* Proximity to Los Angeles, Houston, New York City or Bristol is a plus
* BA/BS required
The hiring range for this position in New York, NY is $112,000 to $150,100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
      <c r="A5" t="inlineStr">
        <is>
          <t>in-6d42bb87509f2429</t>
        </is>
      </c>
      <c r="B5" t="inlineStr">
        <is>
          <t>Lead Technical Program Manager</t>
        </is>
      </c>
      <c r="C5" t="inlineStr"/>
      <c r="D5" t="inlineStr">
        <is>
          <t>indeed</t>
        </is>
      </c>
      <c r="E5" t="inlineStr"/>
      <c r="F5" t="inlineStr"/>
      <c r="G5" t="inlineStr">
        <is>
          <t>Santa Monica, CA, US</t>
        </is>
      </c>
      <c r="H5" s="2" t="n">
        <v>46031</v>
      </c>
      <c r="I5" t="inlineStr">
        <is>
          <t>**Overview:**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The Business Operations team helps guide and articulate technology strategy and research, and is responsible for driving the day\-to\-day operation of the Product \&amp; Technology organization, including: project and portfolio management and tracking; organization\-level capital, space, and resource management and allocation; process management; technical incident management; and our administrative and workplace experience support team.
This is a **Lead Technical Program Manager** (TPM) position within the Product \&amp; Technology (P\&amp;T) Technology Enablement Alliance (TEA). The Lead TPM will play a leadership role in the delivery and enhancements of services and tools within the Cloud Engineering and Cloud Account Management teams. The Cloud Engineering team is an extremely technical team that provides frameworks and automation for the self\-service of cloud infrastructure within guardrails, including Infrastructure\-as\-code and Terraform Enterprise. The team also provides core utility services and tooling to facilitate the monitoring and remediation of infrastructure.
**Responsibilities:**
A Lead Technical Project Manager (TPM) within Developer Platform Engineering reports to the DPE PMO while partnering with the engineering managers for their teams; our TPMs play a critical role in structuring and executing impactful cross\-org initiatives. You will have the opportunity to refine our processes around delivery while building a sense of community and engagement within our talented group of engineers. TPMs within DPE have a high degree of technical literacy and a desire to learn more, both within their teams’ product space and across the DPE department.
**You Will Also:**
* Drive and delivery high profile, cross org impacting efforts for multiple engineering teams
* Enhance stakeholder relationships, understanding and dialogue.
* Enhance team throughput by removing roadblocks and leveraging organizational resources while helping to drive teams towards commitments
* Foster cross\-team coordination and communication
* Assist with estimation and planning of team resourcing, in conjunction with engineering team manager
* Identify, maintain, and visualize metrics to guide the project lifecycle
* Lead agile ceremonies for two teams of highly skilled engineers
* Develop fundamental technical understanding of the tools and services vended by your teams
**Qualifications:**
* 7\+ years of track record creating and growing trusting, lasting professional relationships with diverse stakeholders, maturing team’s current engagements and advocating for future work.
* Demonstrable experience managing technical projects in a fast\-paced and dynamic environment, developing and executing project plans and delivery commitments.
* Deep rooted passion and proven track record building motivated and collaborative teams
* Detail oriented and excellent communication skills; ability to follow technical discussions and absorb technical documentation
* Experience working with distributed teams and/or distributed organizations
* Working understanding of AWS and cloud based development and a desire to know more
* Bachelor’s degree required
**Preferred Qualifications**
* Exposure to modern DevOps and SRE practices around CI/CD, Infrastructure as Code, Availability, Terraform Enterprise solutions, etc.
* Experience with containers/microservices in highly scalable cloud based applications
* Kubernetes and/or AWS ECS experience
* Experience as a software engineer, including exposure to Java or Scala
The hiring range for this position in California is $152,200 to $204,100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
      <c r="A6" t="inlineStr">
        <is>
          <t>in-f87f6f4a16bcfd0d</t>
        </is>
      </c>
      <c r="B6" t="inlineStr">
        <is>
          <t>Senior Product Manager</t>
        </is>
      </c>
      <c r="C6" t="inlineStr">
        <is>
          <t>Disney Experiences</t>
        </is>
      </c>
      <c r="D6" t="inlineStr">
        <is>
          <t>indeed</t>
        </is>
      </c>
      <c r="E6" t="inlineStr"/>
      <c r="F6" t="inlineStr"/>
      <c r="G6" t="inlineStr">
        <is>
          <t>Celebration, FL, US</t>
        </is>
      </c>
      <c r="H6" s="2" t="n">
        <v>46031</v>
      </c>
      <c r="I6" t="inlineStr">
        <is>
          <t>**Department Description:**
At Disney Experiences Technology, we power the Magic! That’s our motto at Disney Parks, Experiences and Products Technology \&amp; Digital. Our team creates world\-class immersive digital experiences for the Company’s premier vacation brands including Disney’s Parks \&amp; Resorts worldwide, Disney Cruise Line, Aulani, A Disney Resort \&amp; Spa, and Disney Vacation Club.
**Team Description:**
We are responsible for the end\-to\-end digital and physical Guest and Cast experience for all technology \&amp; digital\-led initiatives across the Attractions \&amp; Entertainment, Food \&amp; Beverage, Resorts \&amp; Transportation, PhotoPass and Merchandise lines of business.
**What You'll Do:**
This Senior Product Manager role is a leader in the technology and digital segment of the Disney Cruise Line business. Reporting to the Sr. Manager of Product Management, the Senior Product Manager will drive product strategy, concept development, and delivery of initiatives in collaboration with our Product Management, Technology, and Business Operation team partners.
As a Senior Technical Product Manager, you will understand the business and technical capabilities, identify gaps, and deliver product roadmaps for new capabilities. You are collaborative, able to work successfully in a matrix organization while wearing multiple hats and are comfortable working autonomously. As a leader, you act as a resource for colleagues and may mentor others. Adept at synthesizing a variety of technologies and capabilities into high quality, simple products, and applications. Be a liaison to development, implementation, and support teams as well as support multiple projects, improvements, backlog and prioritization of features and capabilities.
**Required Qualifications \&amp; Skills:**
* Minimum of 5 years of product management experience with building and delivering quality reservation management and/or ecommerce products, services, and capabilities, or combination of 3 years of technical product management experience with additional 3 years of relevant engineering, data science, or analytic science experience, required.
* Experience and comfort solving problems in an ambiguous environment where there is regular change. Have the tenacity to thrive in a dynamic and fast\-paced environment, inspire change, and collaborate with a variety of individuals and organizational partners.
* Deep commitment to curiosity \- conducting research, gathering metrics, proactively identifying \&amp; addressing issues or opportunities during requirements gathering processes, and applying rigorous attention to detail during the creative and technical designs for high quality functionality and user experience.
* Data\-focused mindset and proven ability to use data to support and influence all aspects of impact, reach, effort, confidence, and cost when solving problems and analyze solutions.
* Highly organized and analytical with a collaborative attitude to influence strategy, optimization and feature delivery that relies on multiple cross\-team dependencies.
* Champion of Agile technical practices \&amp; testing concepts. Planning acumen and proven ability to break down work and define an MVP, as well as subsequent iterations. Proficient skills in scope intake, requirements documentation, valuation, and backlog management, through acceptance and validations.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on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data integrity and the processes to manage the migration (or transition) of current data or services without outages or critical interruption to end users.
* Familiar with A/B experimentation methods and hypothesis\-driven development. Experience in running competitive and consumer analysis.
* Systems thinker \- proactive, structured, long\-term thinker rather than reactive.
**Required Education:**
* Bachelor’s degree in a relevant field preferred and/or equivalent work experience.
* Master’s Degree in related field, MBA, or technical certifications preferred.</t>
        </is>
      </c>
    </row>
    <row r="7">
      <c r="A7" t="inlineStr">
        <is>
          <t>in-a763ab90a695b404</t>
        </is>
      </c>
      <c r="B7" t="inlineStr">
        <is>
          <t>Global Flame Retardants Product Manager</t>
        </is>
      </c>
      <c r="C7" t="inlineStr">
        <is>
          <t>LANXESS</t>
        </is>
      </c>
      <c r="D7" t="inlineStr">
        <is>
          <t>indeed</t>
        </is>
      </c>
      <c r="E7" t="inlineStr"/>
      <c r="F7" t="inlineStr"/>
      <c r="G7" t="inlineStr">
        <is>
          <t>Pittsburgh, PA, US</t>
        </is>
      </c>
      <c r="H7" s="2" t="n">
        <v>46031</v>
      </c>
      <c r="I7" t="inlineStr">
        <is>
          <t>**Job Highlights**
------------------
* **Global Marketing Strategy:** Develop and implement marketing strategies for the portfolio of plasticizers and specialty additives, ensuring strong product positioning, deep customer intimacy, and understanding of target markets and key success factors to drive market development.
* **Pricing \&amp; Profitability:** Apply and refine data\-driven pricing strategies to optimize and grow profitability, leveraging existing tools and ensuring targeted margin achievement across product lines.
* **Portfolio \&amp; Market Analysis:** Manage product portfolio strategy, conduct market analysis, and identify growth opportunities in collaboration with Sales and Application Technology, enabling innovation together with customers.
* **Contract Management \&amp; Negotiations:** Oversee contract creation, administration, and support Sales in customer negotiations to ensure effective and profitable agreements across product lines.
* **Market Presence \&amp; Customer Engagement:** Contribute to customer visits, promotional activities, trade shows, and industry associations; maintain strong relationships with key accounts and external and internal stakeholders.
* **Forecasting \&amp; Planning:** Prepare short\-, medium\-, and long\-term forecasts to ensure accurate business planning.
**Experience and Skills**
-------------------------
* Master in Business Administration or Chemistry preferred
* Minimum of 5 – 10 years of relevant experience in global organizations
* Proficiency in Microsoft Office tools, particularly Excel and PowerPoint
* Analytical thinking and acting with an entrepreneurial mindset
* Profound knowledge about financial KPI’s and adequate marketing and pricing strategies
* Excellent communication and presentation skills tailored to diverse stakeholder groups
* Ability to build strong relationships and negotiate effectively at all organizational levels
* Willingness to travel (20%)
Location: Pittsburgh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 **Compensation:** We offer competitive compensation packages, inclusive of a global bonus program and an individual performance bonus program. The established pay range for this position is $XXX to $XXX. Please note, the actual compensation may vary based on geographic location, work experience, education, and skill level.
* **Comprehensive Benefits:** We provide a variety of benefits to support your financial security, health and wellbeing including retirement plans, health programs, life insurance and medical care.
* **Work\-Life \&amp; Flexibility:** We support you in maintaining a balance between working hours and personal life. With our global “Xwork” program, we offer flexible working arrangements in all countries in which we operate.
* **Training \&amp; Development:** We are committed to your professional and personal development and encourage you in the ongoing pursuit of education, training and knowledge through both formal and informal learning.
*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is>
      </c>
    </row>
    <row r="8">
      <c r="A8" t="inlineStr">
        <is>
          <t>in-965f61d147504e43</t>
        </is>
      </c>
      <c r="B8" t="inlineStr">
        <is>
          <t>Staff Technical Program Manager – AI Foundations</t>
        </is>
      </c>
      <c r="C8" t="inlineStr">
        <is>
          <t>Intuit</t>
        </is>
      </c>
      <c r="D8" t="inlineStr">
        <is>
          <t>indeed</t>
        </is>
      </c>
      <c r="E8" t="inlineStr"/>
      <c r="F8" t="inlineStr"/>
      <c r="G8" t="inlineStr">
        <is>
          <t>Mountain View, CA, US</t>
        </is>
      </c>
      <c r="H8" s="2" t="n">
        <v>46031</v>
      </c>
      <c r="I8" t="inlineStr">
        <is>
          <t>**Overview**
------------
Come join Intuit’s AI Foundations (AIF) organization as a Staff Technical Program Manager in our Mountain View office. AI Foundations (AIF) team is responsible for empowering the democratization of AI across Intuit by building scalable, intuitive platforms, tools, and best practices that enable teams to confidently apply the right AI technologies to solve business problems.
In this role, you will operate as a Program\-level TPM, leading some of Intuit’s most complex and high\-impact AI platform initiatives. You will partner closely with engineering, product, architecture, Responsible AI, and business leaders to drive execution across GenOS, AI/ML lifecycles, agentic systems, observability, and platform adoption.
This is a highly ambiguous, fast\-moving environment. We’re looking for someone who is comfortable operating in complex, evolving AI ecosystems, can bring structure to ambiguity, and can scale execution as the AI Foundations portfolio continues to expand.  
Intuit has embraced a hybrid working model and this role requires 3 days in office per week.
 **Responsibilities**
What You’ll Do
* Own delivery of critical AI Foundations programs spanning AI/ML platforms, GenOS capabilities, agentic ecosystems, observability, Responsible AI, and platform adoption.
* Lead cross\-functional execution across 20–30\+ engineering, product, infrastructure, data, and governance teams distributed globally.
* Drive end\-to\-end AI platform initiatives, covering the full lifecycle:
* AI/ML and GenAI SDLC \&amp; MDLC
* Model experimentation, evaluation, and observability
* Agentic systems and orchestration
* Deployment, governance, and adoption at scale
* Partner with engineering and architecture leaders to translate AI strategy into executable roadmaps, milestones, and success metrics.
* Establish execution rigor: dependency management, risk identification, trade\-off decisions, and proactive mitigation in highly ambiguous environments.
* Support AI platform adoption and maturity, ensuring teams can move from experimentation to production safely and efficiently.
* Drive alignment across AI standards and Responsible AI, helping embed governance, compliance, and quality into paved roads rather than manual processes.
* Provide executive\-level visibility through clear, concise updates that synthesize technical complexity into business\-relevant insights.
* Influence without authority, building trust and alignment across senior stakeholders in Engineering, Product, Security, Legal, and Data.
 **Qualifications**
What We’re Looking For
Required Experience
* 8\+ years of Technical Program Management experience, leading large\-scale, cross\-org platform or infrastructure initiatives.
* Strong experience with AI/ML or GenAI platforms, including understanding of:
AI/ML lifecycles (experimentation evaluation deployment* iteration)
* Model training, inference, and observability concepts
* Platform enablement for developers (paved roads, tooling, standards)
* Experience operating in highly complex, ambiguous environments with rapidly evolving technology and priorities.
* Proven ability to scale execution across multiple concurrent programs with interdependencies.
* Strong technical depth across cloud, platform, and infrastructure systems (e.g., AWS, distributed systems, APIs, CI/CD).
* Demonstrated success influencing senior engineering and product leaders without direct authority.
Strongly Preferred
* Experience with AI/ML platforms, GenAI systems, or agentic architectures.
* Familiarity with concepts such as model orchestration, RAG, evaluation frameworks, observability, and Responsible AI.
* Experience driving platform adoption and capabilities across multiple teams, not just delivering platform features
* Background working on foundational platforms used by many product teams.
* Ability to reason about cost, scale, and efficiency in AI/ML systems (e.g., model usage, infrastructure trade\-offs).
How You’ll Be Successful
* You bring structure to ambiguity and clarity to complex AI initiatives.
* You operate at the portfolio level, not just individual programs.
* You balance technical depth with business impact, knowing when to go deep and when to abstract.
* You are comfortable making progress without perfect information.
* You care deeply about execution quality, developer experience, and long\-term platform sustainability.
Why AI Foundations
* AI Foundations sits at the center of Intuit’s AI strategy. This role offers the opportunity to:
* Shape how AI is built, governed, and scaled across Intuit.
* Work at the intersection of research, platform engineering, and production systems.
* Influence the future of GenOS, agentic AI, and AI\-native product development.
* Drive real impact across TurboTax, QuickBooks, Credit Karma, Mailchimp, and beyond.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$177,500 \- $240,500  
Southern California: $165,500 \- $224,000</t>
        </is>
      </c>
    </row>
    <row r="9">
      <c r="A9" t="inlineStr">
        <is>
          <t>in-be23bc5a2287d1bc</t>
        </is>
      </c>
      <c r="B9" t="inlineStr">
        <is>
          <t>Staff Technical Program Manager – AI Foundations</t>
        </is>
      </c>
      <c r="C9" t="inlineStr">
        <is>
          <t>Intuit</t>
        </is>
      </c>
      <c r="D9" t="inlineStr">
        <is>
          <t>indeed</t>
        </is>
      </c>
      <c r="E9" t="inlineStr"/>
      <c r="F9" t="inlineStr"/>
      <c r="G9" t="inlineStr">
        <is>
          <t>San Diego, CA, US</t>
        </is>
      </c>
      <c r="H9" s="2" t="n">
        <v>46031</v>
      </c>
      <c r="I9" t="inlineStr">
        <is>
          <t>**Overview**
------------
Come join Intuit’s AI Foundations (AIF) organization as a Staff Technical Program Manager in our Mountain View office. AI Foundations (AIF) team is responsible for empowering the democratization of AI across Intuit by building scalable, intuitive platforms, tools, and best practices that enable teams to confidently apply the right AI technologies to solve business problems.
In this role, you will operate as a Program\-level TPM, leading some of Intuit’s most complex and high\-impact AI platform initiatives. You will partner closely with engineering, product, architecture, Responsible AI, and business leaders to drive execution across GenOS, AI/ML lifecycles, agentic systems, observability, and platform adoption.
This is a highly ambiguous, fast\-moving environment. We’re looking for someone who is comfortable operating in complex, evolving AI ecosystems, can bring structure to ambiguity, and can scale execution as the AI Foundations portfolio continues to expand.  
Intuit has embraced a hybrid working model and this role requires 3 days in office per week.
 **Responsibilities**
What You’ll Do
* Own delivery of critical AI Foundations programs spanning AI/ML platforms, GenOS capabilities, agentic ecosystems, observability, Responsible AI, and platform adoption.
* Lead cross\-functional execution across 20–30\+ engineering, product, infrastructure, data, and governance teams distributed globally.
* Drive end\-to\-end AI platform initiatives, covering the full lifecycle:
* AI/ML and GenAI SDLC \&amp; MDLC
* Model experimentation, evaluation, and observability
* Agentic systems and orchestration
* Deployment, governance, and adoption at scale
* Partner with engineering and architecture leaders to translate AI strategy into executable roadmaps, milestones, and success metrics.
* Establish execution rigor: dependency management, risk identification, trade\-off decisions, and proactive mitigation in highly ambiguous environments.
* Support AI platform adoption and maturity, ensuring teams can move from experimentation to production safely and efficiently.
* Drive alignment across AI standards and Responsible AI, helping embed governance, compliance, and quality into paved roads rather than manual processes.
* Provide executive\-level visibility through clear, concise updates that synthesize technical complexity into business\-relevant insights.
* Influence without authority, building trust and alignment across senior stakeholders in Engineering, Product, Security, Legal, and Data.
 **Qualifications**
What We’re Looking For
Required Experience
* 8\+ years of Technical Program Management experience, leading large\-scale, cross\-org platform or infrastructure initiatives.
* Strong experience with AI/ML or GenAI platforms, including understanding of:
AI/ML lifecycles (experimentation evaluation deployment* iteration)
* Model training, inference, and observability concepts
* Platform enablement for developers (paved roads, tooling, standards)
* Experience operating in highly complex, ambiguous environments with rapidly evolving technology and priorities.
* Proven ability to scale execution across multiple concurrent programs with interdependencies.
* Strong technical depth across cloud, platform, and infrastructure systems (e.g., AWS, distributed systems, APIs, CI/CD).
* Demonstrated success influencing senior engineering and product leaders without direct authority.
Strongly Preferred
* Experience with AI/ML platforms, GenAI systems, or agentic architectures.
* Familiarity with concepts such as model orchestration, RAG, evaluation frameworks, observability, and Responsible AI.
* Experience driving platform adoption and capabilities across multiple teams, not just delivering platform features
* Background working on foundational platforms used by many product teams.
* Ability to reason about cost, scale, and efficiency in AI/ML systems (e.g., model usage, infrastructure trade\-offs).
How You’ll Be Successful
* You bring structure to ambiguity and clarity to complex AI initiatives.
* You operate at the portfolio level, not just individual programs.
* You balance technical depth with business impact, knowing when to go deep and when to abstract.
* You are comfortable making progress without perfect information.
* You care deeply about execution quality, developer experience, and long\-term platform sustainability.
Why AI Foundations
* AI Foundations sits at the center of Intuit’s AI strategy. This role offers the opportunity to:
* Shape how AI is built, governed, and scaled across Intuit.
* Work at the intersection of research, platform engineering, and production systems.
* Influence the future of GenOS, agentic AI, and AI\-native product development.
* Drive real impact across TurboTax, QuickBooks, Credit Karma, Mailchimp, and beyond.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$177,500 \- $240,500  
Southern California: $165,500 \- $224,000</t>
        </is>
      </c>
    </row>
    <row r="10">
      <c r="A10" t="inlineStr">
        <is>
          <t>in-0e00f50c3eadf720</t>
        </is>
      </c>
      <c r="B10" t="inlineStr">
        <is>
          <t>Principal Product Manager - Digital Experiences (Mailchimp)</t>
        </is>
      </c>
      <c r="C10" t="inlineStr">
        <is>
          <t>Intuit</t>
        </is>
      </c>
      <c r="D10" t="inlineStr">
        <is>
          <t>indeed</t>
        </is>
      </c>
      <c r="E10" t="inlineStr"/>
      <c r="F10" t="inlineStr"/>
      <c r="G10" t="inlineStr">
        <is>
          <t>San Diego, CA, US</t>
        </is>
      </c>
      <c r="H10" s="2" t="n">
        <v>46031</v>
      </c>
      <c r="I10" t="inlineStr">
        <is>
          <t>**Overview**
------------
Mailchimp is a global leader in marketing automation, empowering millions of small businesses to grow through smarter marketing and customer engagement  
Join Intuit’s Customer Success Digital Organization as a Principal Product Manager leading Mailchimp digital experiences. In this role you will work with a team of product and platform product management, design, and analytics professionals in a fast\-paced and collaborative environment driving experiences that answer customer questions and elevate Intuit Mailchimp offerings when and where it matters the most. **Responsibilities**
* Product Vision \&amp; Strategy: Drive a bold and innovative digital\-first vision for the future, broken down into MVP experiences to quickly learn and iterate based on data and customer feedback. Establish strategy, roadmaps, and requirements, aligning teams for execution.
* Customer Focus: Develop deep customer empathy through immersion in customer research. Transform insights into a roadmap of innovative solutions that address key customer pain points and drive business outcomes
* Cross\-functional Leadership: Align the team, executives, and stakeholders around a bold vision with a digital first strategy
* Execution Excellence: Work with the product and platform teams to align roadmaps, priorities and drive E2E experiences that deliver value to our customers. Reduce RTB leveraging platform and AI capabilities shifting efforts into high value initiatives
* Performance Monitoring: Establish and track key performance indicators (KPIs) to assess the efficacy of the work delivered. Report on business performance and make data\-driven adjustments as necessary
 **Qualifications**
* Experience: 8\+ years in Product Management with a proven track record of driving strategy, programs, projects, and requirements reimagining help and customer success experiences, in technology\-driven service environments.
* Leadership: Demonstrated ability to lead cross\-functional teams and drive transformational change. Experience partnering with teams to define, build, and deliver bold innovation through experiences that are critical to user growth, engagement, and retention. Strong partnership and influence skill \- driving prioritization and feature requirements to product and platform teams. Self\-aware with a strong desire to learn and continuously improve.
* Customer Centricity: Passionate about understanding customer needs and translating them into actionable customer\-backed digital first solutions.
* Operational Excellence: Strong operational acumen with the ability to implement processes that drive efficiency and scale. Capable of decomposing a big vision into bite\-size milestones.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AI \&amp; ML experience in product offerings/experiences a plus
* Educational Background: Bachelor's degree in Business, Technology or a related field required. MBA, MS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$213,500 \- $288,500
Bay Area California \- $236,000 \- $319,000</t>
        </is>
      </c>
    </row>
    <row r="11">
      <c r="A11" t="inlineStr">
        <is>
          <t>in-521e2e984f8d2881</t>
        </is>
      </c>
      <c r="B11" t="inlineStr">
        <is>
          <t>Principal Product Manager - Digital Experiences (Mailchimp)</t>
        </is>
      </c>
      <c r="C11" t="inlineStr">
        <is>
          <t>Intuit</t>
        </is>
      </c>
      <c r="D11" t="inlineStr">
        <is>
          <t>indeed</t>
        </is>
      </c>
      <c r="E11" t="inlineStr"/>
      <c r="F11" t="inlineStr"/>
      <c r="G11" t="inlineStr">
        <is>
          <t>Mountain View, CA, US</t>
        </is>
      </c>
      <c r="H11" s="2" t="n">
        <v>46031</v>
      </c>
      <c r="I11" t="inlineStr">
        <is>
          <t>**Overview**
------------
Mailchimp is a global leader in marketing automation, empowering millions of small businesses to grow through smarter marketing and customer engagement  
Join Intuit’s Customer Success Digital Organization as a Principal Product Manager leading Mailchimp digital experiences. In this role you will work with a team of product and platform product management, design, and analytics professionals in a fast\-paced and collaborative environment driving experiences that answer customer questions and elevate Intuit Mailchimp offerings when and where it matters the most. **Responsibilities**
* Product Vision \&amp; Strategy: Drive a bold and innovative digital\-first vision for the future, broken down into MVP experiences to quickly learn and iterate based on data and customer feedback. Establish strategy, roadmaps, and requirements, aligning teams for execution.
* Customer Focus: Develop deep customer empathy through immersion in customer research. Transform insights into a roadmap of innovative solutions that address key customer pain points and drive business outcomes
* Cross\-functional Leadership: Align the team, executives, and stakeholders around a bold vision with a digital first strategy
* Execution Excellence: Work with the product and platform teams to align roadmaps, priorities and drive E2E experiences that deliver value to our customers. Reduce RTB leveraging platform and AI capabilities shifting efforts into high value initiatives
* Performance Monitoring: Establish and track key performance indicators (KPIs) to assess the efficacy of the work delivered. Report on business performance and make data\-driven adjustments as necessary
 **Qualifications**
* Experience: 8\+ years in Product Management with a proven track record of driving strategy, programs, projects, and requirements reimagining help and customer success experiences, in technology\-driven service environments.
* Leadership: Demonstrated ability to lead cross\-functional teams and drive transformational change. Experience partnering with teams to define, build, and deliver bold innovation through experiences that are critical to user growth, engagement, and retention. Strong partnership and influence skill \- driving prioritization and feature requirements to product and platform teams. Self\-aware with a strong desire to learn and continuously improve.
* Customer Centricity: Passionate about understanding customer needs and translating them into actionable customer\-backed digital first solutions.
* Operational Excellence: Strong operational acumen with the ability to implement processes that drive efficiency and scale. Capable of decomposing a big vision into bite\-size milestones.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AI \&amp; ML experience in product offerings/experiences a plus
* Educational Background: Bachelor's degree in Business, Technology or a related field required. MBA, MS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$213,500 \- $288,500
Bay Area California \- $236,000 \- $319,000</t>
        </is>
      </c>
    </row>
    <row r="12">
      <c r="A12" t="inlineStr">
        <is>
          <t>in-dedcec5313e44e90</t>
        </is>
      </c>
      <c r="B12" t="inlineStr">
        <is>
          <t>Senior Product Manager (SPM), P2P Engagements (Remote)</t>
        </is>
      </c>
      <c r="C12" t="inlineStr">
        <is>
          <t>Takeda Pharmaceuticals</t>
        </is>
      </c>
      <c r="D12" t="inlineStr">
        <is>
          <t>indeed</t>
        </is>
      </c>
      <c r="E12" t="inlineStr"/>
      <c r="F12" t="inlineStr"/>
      <c r="G12" t="inlineStr">
        <is>
          <t>Boston, MA, US</t>
        </is>
      </c>
      <c r="H12" s="2" t="n">
        <v>46031</v>
      </c>
      <c r="I12"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
**About the role:**
The Senior Product Manager (SPM), P2P Engagements, will partner with the Dermatology Brand Marketing team to support the development and implementation of peer\-to\-peer programs and engagements. This role involves coordinating logistics, facilitating participant engagement, and ensuring alignment with strategic objectives to foster meaningful education and knowledge exchange among peers
You will report to the Associate Director, Customer Engagements and P2P Strategy
**How you will contribute:**
* Strong understanding and execution of the Dermatology Peer\-to\-Peer Engagement Strategy.
* Lead tactical pull\-through at product theaters and promotional speaker programs.
* Monitor the planning process from submission to execution of different formats, including but not limited to:
	+ Submit marketing\-led request forms, relevant documentation, content forms, and training records.
	+ Identify areas that may need exceptions, escalations, or approvals.
	+ Coordinate execution details with the field sales team and/or program owners, and close out all program activities.
* Develop Needs Assessment Forms (NAFS) for Ethics \&amp; Compliance (E\&amp;C) and Legal alignment on tactics, bureau, and consulting opportunities.
* Partner with Medical, Legal, Regulatory and Compliance to ensure all materials meet internal and external standards.
* Help identify appropriate HCP speakers who will compliantly present approved and educational content within the community, regional areas, and nation.
* Represent the brand as the 'Speaker Selector'. Understand the audience needs for each event and compliantly select speakers for programs from the bureau.
* Assist with on\-label training of speaker bureau members.
* Assist with development of educational content.
* Attend programs (minimum 1x per speaker) to observe, coach, and develop individual speakers to ensure medically accurate and compliant execution of approved content.
* Collaborate closely with program owners to help facilitate plans and execution to meet the objectives of each event and assume program performance.
* Manage the bureau with consistency and accuracy to ensure all speakers have an opportunity to reach the contractually agreed two\-event minimum per year.
* Stay abreast of industry trends and the competitive landscape to inform program types and opportunities.
* Assist program owners in identifying educational opportunities.
* Monitor and evaluate program performance and initiate recommendations and adjustments to align with strategy.
* Performance Measurement: Define key performance indicators (KPIs) and metrics to track the progress and process of program planning and execution.
* Partner with brand and franchise marketing, professional engagements, ethics \&amp; compliance, and agency partners on the execution of peer\-to\-peer and contracted activities.
* Attend routine status meetings with cross\-functional partners and the brand to review progress weekly.
* Work with the highest degree of professionalism and in accordance with Takeda’s code of ethics and business conduct.
**Minimum Requirements/Qualifications:**
* A Bachelor’s degree is required, with a focus in Biology, Marketing, Strategy, and/or Business Administration preferred.
* 5\+ years of progressively responsible marketing or sales experience within the bio\-pharmaceutical industry, with a minimum of 2 years of experience in speaker bureau management.
* Experience working with a Speaker Bureau, speaker training, content development, and execution.
* Strong leadership skills with an ability to generate commitment, identify and resolve issues, and evaluate risk.
* Equally important is the ability to collaborate and work effectively with cross\-functional teams, with a proven ability to influence without authority.
* Strong analytical, problem\-solving, and strategic thinking skills.
* Strong financial management and budgeting capabilities.
* Willingness to travel to occasional programs that could include overnight stays
* High comfort level with emerging technologies, adaptability to digital tools, and openness to AI\-enabled processes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Virtual**U.S. Base Salary Range:**
$137,000\.00 \- $215,270\.00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
Massachusetts \- Virtual**Worker Type**
---------------
Employee**Worker Sub\-Type**
--------------------
Regular**Time Type**
-------------
Full time**Job Exempt**
Yes
It is unlawful in Massachusetts to require or administer a lie detector test as a condition of employment or continued employment. An employer who violates this law shall be subject to criminal penalties and civil liability.
\#LI\-Remote</t>
        </is>
      </c>
    </row>
    <row r="13">
      <c r="A13" t="inlineStr">
        <is>
          <t>in-afaa43af6af68483</t>
        </is>
      </c>
      <c r="B13" t="inlineStr">
        <is>
          <t>SAP Principal Program Manager</t>
        </is>
      </c>
      <c r="C13" t="inlineStr">
        <is>
          <t>Pacific Gas and Electric</t>
        </is>
      </c>
      <c r="D13" t="inlineStr">
        <is>
          <t>indeed</t>
        </is>
      </c>
      <c r="E13" t="inlineStr"/>
      <c r="F13" t="inlineStr"/>
      <c r="G13" t="inlineStr">
        <is>
          <t>Oakland, CA, US</t>
        </is>
      </c>
      <c r="H13" s="2" t="n">
        <v>46031</v>
      </c>
      <c r="I13" t="inlineStr">
        <is>
          <t>Requisition ID \# 169832
**Job Category:** Project / Program Management
**Job Level:** Manager/Principal
**Business Unit:** Information Technology
**Work Type:** Hybrid
**Job Location:** Oakland
Department Overview
The Information Technology (IT) organization designs, develops, operates and maintains the technology and telecommunications systems that enable PG\&amp;E to meet its commitment to providing safe, reliable and affordable service to customers.
IT partners with the business by increasing capabilities through the development of additional functionality, implementing new technologies, reducing costs, increasing productivity, and facilitating organizational and business effectiveness through enabling technologies.
Position Summary
The SAP Principal Program Manager is a critical member of PG\&amp;E’s Propel Program’s delivery team. Propel is a major business and technology modernization program to unlock customer value by simplifying the way we work together. Propel will migrate PG\&amp;E to the new version of SAP, S/4HANA, seizing this unique opportunity for PG\&amp;E to standardize business processes, clean the technology core, and enable innovation for breakthrough change across Engineering, Operations, Finance, Supply Chain, Human Resources, and Information Technology. Scope of business processes include Design to Operate (DTO), Source to Pay (STP), Inventory to Deliver (ITD), Forecast to Plan (FTP), Record to Report (RTR) and Hire to Retire (HTR). Solutions include: SAP S/4HANA, SAP ECC, SuccessFactors, Ariba, Fieldglass, EPPM, SAC, BOBJ/BW, BTP and hundreds of non\-SAP applications.
The ideal candidate should have experience delivering SAP programs and projects and more recently have success in delivering large complex SAP S4/HANA ERP transformations.
This position is hybrid, working from your remote office and the Oakland General Office (OGO) 3 days a week and or based on business needs.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$144,000 \- $194,000\. The final decision will be made on a case\-by\-case basis related to the factors above. This job is also eligible to participate in PG\&amp;E’s discretionary incentive compensation programs.
**Bay Area Minimum:** $144,000
**Bay Area Midpoint:** $194,000
**Bay Area Maximum:** $244,000
Job Responsibilities Partner with system integrator to develop to support integrated project plan for the SAP ERP transformation, ensuring alignment with Fit\-to\-Standard and Clean Core principles across all phases—from requirements gathering to deployment. Coordinate with other Program/Project Managers in parallel workstreams Support key planning and stakeholder engagement events/ceremonies such as PI Planning, Retrospectives, backlog refinement, Daily Stand Ups/Daily Operating Reviews, Weekly Operating Reviews/Backlog Refinement Guide teams and leaders in Lean\- Agile practices Contribute to comprehensive testing cycles (SIT, UAT), data migration, and cutover planning, ensuring testing and deployment activities align with SAP best practices for clean core and sustainable extensibility. Identify potential risks to the success of projects and develop comprehensive mitigation plans to address these risks proactively Lead cross\-functional teams, fostering collaboration and effective communication among team members from different departments to achieve project objectives Regularly update stakeholders on project progress, changes, and any issues that arise, ensuring transparency and alignment with business objectives Support planning of project engagement events and other significant events with key leaders Track project milestones and assess the performance of project to ensure they meet the set objectives and deliver the expected outcomes Ensure project teams have the necessary resources, including personnel, technology, and tools, for timely and efficient execution of their tasks Maintain comprehensive project documentation, including project plans, communication plans, risk logs, and status reports, to ensure all project information is accurately recorded and accessible Drive continuous improvement and innovation in the delivery of IT programs by identifying opportunities for process enhancements and implementing best practices Support forecasting project resource, material, and costs within standard PG\&amp;E tools Exercise autonomy, independent judgment and discretion in matters of significance with broad scope and high complex.
Qualifications
**Minimum:** Bachelors Degree or equivalent experience 10 years of relevant IT Project Management experience building and leveraging solutions utilizing SAP Technologies
**Desired:** Masters Degree in job\-related discipline or equivalent experience PMI\-Project Management Institute PMP\-Project Management Professional certification Experience with large / complex SAP S4/HANA program ($MM\+ budget) with project management responsibilities. Applied experience in SAP Activate Methodology, Waterfall and/or Scaled Hybrid Agile methodologies used by system integrators. Delivered large complex SAP programs as delivery lead from Big 4 consulting firm. Experience in working in global setting where global design was established and realized. Broad technical architecture knowledge SAP S/4HANA, SAP ECC, BTP and SAP</t>
        </is>
      </c>
    </row>
    <row r="14">
      <c r="A14" t="inlineStr">
        <is>
          <t>in-d5732b53c8ff1505</t>
        </is>
      </c>
      <c r="B14" t="inlineStr">
        <is>
          <t>COG Program Manager</t>
        </is>
      </c>
      <c r="C14" t="inlineStr">
        <is>
          <t>DHL</t>
        </is>
      </c>
      <c r="D14" t="inlineStr">
        <is>
          <t>indeed</t>
        </is>
      </c>
      <c r="E14" t="inlineStr"/>
      <c r="F14" t="inlineStr"/>
      <c r="G14" t="inlineStr">
        <is>
          <t>Erlanger, KY, US</t>
        </is>
      </c>
      <c r="H14" s="2" t="n">
        <v>46031</v>
      </c>
      <c r="I14" t="inlineStr">
        <is>
          <t>**What makes DHL great?** Our People! We know each employee’s individual contributions make us the \#1 Delivery and Logistics Company in the world.
***Distinguished as No. 1 World’s Best Workplace™ by Great Place to Work and Fortune Magazine***
DHL is committed to maintaining an environment that empowers every team member to make the greatest possible impact on our business. Our culture is about personal commitment – to our business, to each other and to our global communities. DHL is dedicated to being a great place to work. In addition to competitive compensation packages, our employees enjoy a range of programs, services and benefits that bring the best to their personal lives.
**Start YOUR career with DHL today…**
We have an immediate career opportunity for a Central Manager of Customer Operations Group (COG). In this role you will be responsible for supporting requests from COG Teams around the world along with utilizing First Choice or similar methods to develop customer and operational solutions. This is an excellent opportunity for someone who is detail\-oriented, enjoys problem solving and skilled at analyzing data to establish root cause.
Key responsibilities* Coordinate customer solutions and retention to achieve FOCUS goals.
* Develop systematic approaches for high\-quality services.
* Research and recommend improvements for productivity, efficiency, and cost savings.
* Resolve customer requirements and issues by identifying root causes and collaborating with stakeholders.
* Engage stakeholders in resolving issues impacting customer service quality
* Provide guidance and training to business process improvement professionals.
* Oversee project completion and progress monitoring
* Utilize digitalization tools to support data analysis and research for identifying opportunities and making informed recommendations.
Qualification and Skills* Strong knowledge of DHL's Network Operations and workings.
* Highly developed analytical, problem\-solving, and reasoning skills.
* Excellent influencing, communication, and negotiation abilities.
* Customer\-oriented mindset with a focus on achieving results.
* Strong business acumen and commercial understanding.
* Effective planning, organization, and decision\-making competencies.
* Fluent in spoken and written English with cross\-cultural competency.
* Minimum of 5 years of relevant management experience in network operations, customer service, or commercial roles.
 *DHL is an equal opportunity employer. We evaluate qualified applicants without regard to race, color, religion, sex, sexual orientation, gender identity, national origin, disability, veteran status, or any other protected characteristic. The EEO is the Law poster is available here:* *https://www.eeoc.gov/employers/eeo\-law\-poster*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5">
      <c r="A15" t="inlineStr">
        <is>
          <t>in-ffb1f8f25cb41650</t>
        </is>
      </c>
      <c r="B15" t="inlineStr">
        <is>
          <t>Program Manager</t>
        </is>
      </c>
      <c r="C15" t="inlineStr">
        <is>
          <t>Community Resources for Justice</t>
        </is>
      </c>
      <c r="D15" t="inlineStr">
        <is>
          <t>indeed</t>
        </is>
      </c>
      <c r="E15" t="inlineStr"/>
      <c r="F15" t="inlineStr"/>
      <c r="G15" t="inlineStr">
        <is>
          <t>Westminster, MA, US</t>
        </is>
      </c>
      <c r="H15" s="2" t="n">
        <v>46031</v>
      </c>
      <c r="I15" t="inlineStr">
        <is>
          <t>**Job Summary:** Supervise the delivery of high\-quality residential services to the individuals receiving support from Community Strategies in Massachusetts. Support a culture that develops superior agency wide operations through a leadership role in Community Strategies.
**Functional Responsibilities:**  
1\. Coordinates and supervises daily residential and program activities including supervision of staff, maintenance of residence, and teaching personal care of the consumers.
2\. Ensure high quality residential services to all individuals delivered within a team management approach
3\. Able to apply all the basic tenants of Positive Behavioral Supports (PBS) in work with individuals and staff
4\. Represent CRJ/CS in meetings with stakeholders, including funders, families, guardians, regulatory and review committees and agencies
5\. Hire, train, supervise and manage the performance of program operations staff with particular focus on each of the Residential Directors.
6\. Provide on\-call support in the evening and on weekends for the group home(s) in conjunction with the Residential Director, Clinical Department and Nursing Department.
7\. Organizes and facilitates opportunities for community integration in leisure and vocational areas for all consumers as well as maintaining open communications with the consumers family, service coordinators and responsible outside Departments.
8\. Helps and supports individuals develop confidence and accountability to the rules of society and the structure of the program
9\. Ensures all the proper documentation of individual care in the HCSIS and Electronic Medical Records system as well as trains all staff on the proper handling of information.
10\. Manages program funds and supervises personal finances for each of the individuals.
11\. Implement Policies and Procedures in accordance with the regulations of the State of Massachusetts and consistent with CRJ agency practice
12\. Researches and utilizes all available means of therapy in relation to each client’s individual needs.
13\. Implement all behavior plans, ISP objectives, ADL’s, and recreational activities.
14\. Ensure all performance reviews are conducted annually and provide on\-going supervision to all staff.
15\. Insure that complete and appropriate individual records are maintained in accordance with the Department of Developmental Services and Community Resources for Justice Regulations and policies.
16\. Ensures duties and responsibilities are carried out in a supportive and professional manner and attends appropriate meetings.
17\. Performs other job\-related projects and activities as requested or directed.
**Addendum:**  
Based on the specific needs of the individuals supported in the home, the Program Manager have additional responsibilities to meet those needs. The current designations in these specific locations are Stabilization, Behavioral and Medical. Additional responsibilities will be outlined by the Residential Director in accordance with the contract or service agreement for that specific location.
**Qualifications:**  
1\. Bachelor’s Degree, preferred
2\. Two years of management experience in Human Services, preferred
3\. Three years of experience with DD or ID populations, management experience preferred
4\. Bilingual, bicultural, encouraged
5\. Prior experience in residential treatment and/or community\-based group homes, preferred
6\. Excellent writing skills, including the ability to write detailed and extensive reports
7\. Excellent expressive language skills, both in 1:1 and group settings. The ability to adjust a presentation to the receptive abilities of listeners.
8\. Excellent receptive language skills, including the ability to understand speakers of varying levels of competence and actively listen
9\. Ability to develop constructive and cooperative working relationships with others and maintain them over time.
10\. Constructively work in an agency setting with supervisors, peers, managers and staff
11\. Successfully represent CRJ when interacting with funding sources, guardians, families and other stakeholders
12\. Ability to use appropriate conflict resolution techniques
13\. Maintain awareness of the importance of diversity
14\. Ability to pass First Aid, CPR, PABC and all training required by Residential Counselors
**Core Competencies:**  
* Customer Focus
* Communication Skills
* Team Effectiveness
* Problem Solving \&amp; Decision Making
* Adaptability/Cooperation
* Continuous Development
* Initiative
* Process Improvement
Management Competencies
* Building high performance
* Commitment to results
* Financial management
* Project management
* Workforce planning
* Collaborative problem solving
* Decision making
**Technical Competencies:**  
* Use of Outlook, PowerPoint and Excel \- spreadsheets and graphing.
* Ability to use CRJ’s Electronic Medical Record System and other reporting systems
* Ability to use HCSIS effectively
* Use of the internet and electronic devices to improve work performance
**Physical Demands:**  
Sitting for extended periods, speaking, climbing stairs, periodic light lifting, and traveling throughout New England.
**Working Conditions:** The primary work is located at the individual group home location, MA with occasional travel to other programs within all parts of the state. The noise, temperature and working conditions are what you would expect in a normal home environment, but the Program Manager should be prepared to encounter individuals having behavioral episodes at any of these locations. Travel to administrative offices in Shirley is required. May require being on call and may require working various hours to cover open shifts which may include nights, evenings, weekends and holidays.</t>
        </is>
      </c>
    </row>
    <row r="16">
      <c r="A16" t="inlineStr">
        <is>
          <t>in-e48dbc916a9b187a</t>
        </is>
      </c>
      <c r="B16" t="inlineStr">
        <is>
          <t>Product Manager, Vice President – Teller Branch Operations</t>
        </is>
      </c>
      <c r="C16" t="inlineStr">
        <is>
          <t>JPMorganChase</t>
        </is>
      </c>
      <c r="D16" t="inlineStr">
        <is>
          <t>indeed</t>
        </is>
      </c>
      <c r="E16" t="inlineStr"/>
      <c r="F16" t="inlineStr"/>
      <c r="G16" t="inlineStr">
        <is>
          <t>Plano, TX, US</t>
        </is>
      </c>
      <c r="H16" s="2" t="n">
        <v>46031</v>
      </c>
      <c r="I16"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Banking – Branch Operations Modernization,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problems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in Financial Services
* Advanced knowledge of the product development life cycle, design, and data analytics
* Proven ability to lead product life cycle activities including discovery, ideation, strategic development, requirements definition, and value management
* Established knowledge of banking operations, including transactions, compliance, and risk management.
* Proficient experience with authentication protocols (e.g., MFA, SSO, biometrics) to ensure secure access to banking systems.
**Preferred qualifications, capabilities, and skills**
* Demonstrated prior experience working in a highly matrixed, complex organization
* Excellent numerical, analytical, and strategic problem\-solving skills
* Intermediate to expert level knowledge of JIRA and confluence tools, with ability to build dashboards and pull data for analysis
* Full understanding of software development lifecycle best practices
* Experience leading teams with both direct and indirect (matrix) reporting relationships.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17">
      <c r="A17" t="inlineStr">
        <is>
          <t>in-38fd213ffad69ecb</t>
        </is>
      </c>
      <c r="B17" t="inlineStr">
        <is>
          <t>Product Manager, Branch Network and One Chase Strategies</t>
        </is>
      </c>
      <c r="C17" t="inlineStr">
        <is>
          <t>JPMorganChase</t>
        </is>
      </c>
      <c r="D17" t="inlineStr">
        <is>
          <t>indeed</t>
        </is>
      </c>
      <c r="E17" t="inlineStr"/>
      <c r="F17" t="inlineStr"/>
      <c r="G17" t="inlineStr">
        <is>
          <t>Wilmington, DE, US</t>
        </is>
      </c>
      <c r="H17" s="2" t="n">
        <v>46031</v>
      </c>
      <c r="I1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Branch Network Optimization and One Chase Strategies,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You will lead the design and delivery of advanced data and product solutions, partner with cross\-functional teams to implement scalable tools and analytics, and drive process improvement initiatives that inform business decisions and operational excellence. Your expertise in automated solutions, data architecture, stakeholder engagement, and strategic leadership will be critical to delivering high\-impact outcomes for Consumer Banking.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Leads the development and implementation of data architecture, automation, and visualization solutions to support branch network optimization
* Drives end\-to\-end delivery of complex, multi\-stakeholder projects, including ideation, requirements gathering, solution design, development, rollout, and support
* Champions process improvement initiatives, leveraging analytics and stakeholder feedback to drive continuous optimization
* Delivers executive\-level presentations and communications, articulating strategic priorities and business impact
* Provides robust analytics and insights to assist the business in moving forward with data driven decisions
* Develops and implements data collection systems and other automation strategies that optimize efficiency and data quality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Advanced knowledge of data architecture, automation, web design, and analytics tools (e.g., SQL, Alteryx, Tableau, Python, JavaScript, HTML)
* Experience with business intelligence, automation, and data visualization for executive audiences
* Strong analytical, problem\-solving, and process improvement skills
* Experience with AI/automation tools and driving AI adoption
* Proven ability to lead complex, cross\-functional projects and drive change in a matrixed organization
* Demonstrated ability to manage stakeholder relationships and influence at all levels
* Excellent communication and presentation skills, with the ability to convey complex information clearly
**Preferred qualifications, capabilities, and skills**
* Demonstrated prior experience working in a highly matrixed, complex organization
* Demonstrated success in process improvement and technology adoption at scale
* Familiarity working with large and disparate relational databases such as HIVE, Impala, Teradata, Snowflake, and AWS Redshift
* Data mining skills with applied statistics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18">
      <c r="A18" t="inlineStr">
        <is>
          <t>in-49cd4c57e51e1e2d</t>
        </is>
      </c>
      <c r="B18" t="inlineStr">
        <is>
          <t>Product Manager - Global Banking Platform</t>
        </is>
      </c>
      <c r="C18" t="inlineStr">
        <is>
          <t>JPMorganChase</t>
        </is>
      </c>
      <c r="D18" t="inlineStr">
        <is>
          <t>indeed</t>
        </is>
      </c>
      <c r="E18" t="inlineStr"/>
      <c r="F18" t="inlineStr"/>
      <c r="G18" t="inlineStr">
        <is>
          <t>Columbus, OH, US</t>
        </is>
      </c>
      <c r="H18" s="2" t="n">
        <v>46031</v>
      </c>
      <c r="I18"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Global Banking Platform (GBP),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Collaborate with Area Product Owners to understand product scope, requirements, launch strategies, appropriate test environment. While working with cross\-functional teams to ensure clear communication, engage with scrum teams early during the design phase.
Consumer \&amp; Community Banking (CCB) Operations Product organization provides critical cross\-line of business support across JPMC and serves as one of the largest product portfolios in CCB, delivering value to millions of customers and over 30,000 employees. As a product team member, your problem\-solving skills will place you on the cutting edge of defining the vision, creating the strategy and building the roadmap to solutions that impact millions. Along the way, you’ll develop a deep, end\-to\-end understanding of the business and find an inclusive culture that welcomes diverse ideas and supports your individual growth and career mobility.  
**Job responsibilities***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Supports new feature requests/ enhancement to existing features from product partners
* Coordinates with upstream and downstream teams to understand the cross impacts for changes and document
* Participates in the product discovery and demonstrate strong understanding of core banking domain as well as GBP Capabilities
* Influences quarterly planning in Jira/ Jira Align including CCB agile practices to scrum teams for efficient prioritization and delivery
* Engages with Line of Business Product teams to onboard products on Global Banking Platform(GBP), Legal \&amp; Compliance and Control teams on GBP deliveries/ production issues including GBP and Financial product
* Contributes meaningful / clear updates, and ensure release notes are shared for each GBP upgrade and/or enhancements
* Acts as Point of contact for GBP common capabilities and establish appropriate communication levels across product as well as partnering applications and proactively inform product partners of new capabilities and share the implementation/ utilization of GBP capabilities with multiple products across the boar
**Required qualifications, capabilities, and skills*** Bachelor's degree in Computer Science, Software Engineering, or a related field (or equivalent experience) with deep understanding of APIs, events and event driven architecture
* 10\+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Proven 2\+ experience in core banking domain
* Exposure to cloud, event driven architecture and domain driven design
* Strong understanding of software development lifecycles and quality assurance methodologies
* Excellent analytical and problem\-solving skills, with a keen attention to detail
* Strong communication and collaboration skills, with the ability to work effectively in cross\-functional teams
* Self\-motivated and proactive, with the ability to prioritize tasks and meet deadlines
**Preferred qualifications, capabilities, and skills*** Demonstrated prior experience working in a highly matrixed, complex organization
* Proven 2\+ experience in core banking domain, preferably in product management role
* Experience working in agile/scrum teams
* Strong knowledge of banking products including deposit accounts, loans, and card reward programs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
      <c r="A19" t="inlineStr">
        <is>
          <t>in-80cd29d0057732b6</t>
        </is>
      </c>
      <c r="B19" t="inlineStr">
        <is>
          <t>Associate Director, Product Owner</t>
        </is>
      </c>
      <c r="C19" t="inlineStr">
        <is>
          <t>Gartner</t>
        </is>
      </c>
      <c r="D19" t="inlineStr">
        <is>
          <t>indeed</t>
        </is>
      </c>
      <c r="E19" t="inlineStr"/>
      <c r="F19" t="inlineStr"/>
      <c r="G19" t="inlineStr">
        <is>
          <t>Stamford, CT, US</t>
        </is>
      </c>
      <c r="H19" s="2" t="n">
        <v>46031</v>
      </c>
      <c r="I19" t="inlineStr">
        <is>
          <t>**About this role:**
We’re looking for a dynamic, tech\-savvy Product Owner to lead our Pendo platform strategy and execution—driving internal user engagement, improving UX, and integrating with our CRM platform. This role sits at the intersection of technology, user experience, and business impact, and is critical to enabling our Sales teams to operate with clarity, agility, and scale.
**What you’ll do:**
* **Own the Pendo platform** : Manage vendor relationship, roadmap, and day\-to\-day operations including guide creation, user segmentation, and platform optimization.
* **Drive user engagement** : Build and iterate in\-app communications and guides that help users discover value, take action, and build momentum.
* **Analyze user behavior** : Leverage Pendo analytics to uncover insights, identify friction points, and inform UX improvements and product strategy.
* **Improve UX across surfaces** : Collaborate with UX, product owners, and business stakeholders to enhance user journeys and drive intuitive, impactful experiences.
* **Partner on cross\-functional pilots and initiatives** : Partner with Sales Ops, IT, and Product teams to align on goals, define requirements, and deliver solutions that scale.
* **Champion agility and innovation** : Operate with a no\-limits mindset, continuously seeking new ways to improve tools, processes, and outcomes.
* **Support change management** : Drive adoption through thoughtful communication, training, and enablement programs.
**What you will need:**
* 6–8 years of experience in product management, marketing technology, or related roles
* Hands\-on experience with Pendo or similar platforms (e.g., WalkMe, Gainsight PX)
* Strong understanding of Salesforce and its capabilities
* Light development experience (e.g., HTML/CSS/JS) and comfort working with technical teams
* Proven ability to manage vendors and drive strategic partnerships
* Deep empathy for users and a passion for improving user experience
* Strong communication skills and ability to influence across functions
* Experience working in Agile/Scrum environments
* Strategic thinker with a bias for action and experimentation
* Bachelor's degree required
**What you will get:**
* Competitive salary, generous paid time off policy, charity match program, Medical, Dental \&amp; Vision Plans, Parental Leave, Employee Assistance Program (EAP), 401K matching, and more!
\#LI\-KR4
\#LI\-Hybrid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108,000 USD \- 148,000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ID:106566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0">
      <c r="A20" t="inlineStr">
        <is>
          <t>in-c8b7af368625e513</t>
        </is>
      </c>
      <c r="B20" t="inlineStr">
        <is>
          <t>Technology and Artificial Intelligence Manager (Program Manager I) - 61162693</t>
        </is>
      </c>
      <c r="C20" t="inlineStr">
        <is>
          <t>State of South Carolina</t>
        </is>
      </c>
      <c r="D20" t="inlineStr">
        <is>
          <t>indeed</t>
        </is>
      </c>
      <c r="E20" t="inlineStr"/>
      <c r="F20" t="inlineStr"/>
      <c r="G20" t="inlineStr">
        <is>
          <t>SC, US</t>
        </is>
      </c>
      <c r="H20" s="2" t="n">
        <v>46030</v>
      </c>
      <c r="I20" t="inlineStr">
        <is>
          <t>**Job Responsibilities**
------------------------
*The mission of the South Carolina Department of Education is to serve students, support teachers, empower parents, and engage the community so that every student graduates prepared to reach their full potential.*
Job Purpose:
To design and lead agency\-wide professional development initiatives that build IT workforce capacity for a modern digital workplace, while driving responsible AI adoption through training, resources, and change management—ensuring alignment with South Carolina Department of Education (SCDE) priorities, security standards, and acceptable\-use policies.
Responsibilities:* **Provide Strategic Leadership:** Design and implement a comprehensive professional learning strategy that builds practical technology, data, and AI capabilities across both IT and non\-IT teams aligned to SCDE’s technology roadmap and security priorities.
* **Create and Deliver Learning Programs:** Create clear role\-based curricula for IT and non\-IT staff to enable effective use of AI and digital tools in daily work, including collaboration in M365, cloud fundamentals, cybersecurity, data literacy and analytics, interoperability, privacy practices, and low code automation with Power Platform.
* **Design and lead an agency\-wide AI enablement program** that builds foundational\-to\-advanced AI fluency through in\-person training, virtual sessions, and role\-specific learning pathways aligned to agency priorities and acceptable\-use policy.
* **Monitor and Brief on Technology and AI Developments**: Track the AI landscape and deliver role\-specific briefings with vetted resources to staff and leadership. Highlight high\-impact opportunities, risks, and recommended actions in alignment with the technology roadmap, security posture, and acceptable\-use policy.
* **Develop and maintain an intranet\-based AI knowledge hub** featuring vetted High\-Quality Training Materials (HQTM), approved use cases, templates, guidance, and evolving best practices.
* **Establish and coordinate cross\-office AI user groups (“champions” network)** by defining structure, cadence, topics, agendas, and materials to foster peer learning, experimentation, and rapid sharing of effective practices.
* **Lead internal communication and change\-management efforts for AI adoption**, including promotion of offerings, new tools, success stories, and emerging use cases, in coordination with IT, Communications, and Information Security.
* **Create engaging agency\-wide activities to encourage experimentation and learning,** such as prompt\-a\-thons, challenges, showcases, and recognition programs that build enthusiasm while reinforcing responsible use.
* **Develop and maintain a roadmap to guide implementation**, track progress, and ensure alignment with agency priorities and evolving AI strategies.
This position is located in the Office of Information Technology.
**Minimum and Additional Requirements**
---------------------------------------
A bachelor's degree and relevant program experience.
**Preferred Qualifications**
----------------------------
* Bachelor’s degree in Information Technology, Education/Instructional Design, Organizational Development, or related field; Master’s preferred.
* Five plus (5\+) years leading technology\-focused training and enablement programs, including curriculum design and facilitation.
* Expertise in modern digital workplace technologies (Microsoft 365, Teams, SharePoint, identity, device management, collaboration, data analytics).
* Working knowledge of AI concepts and tools, responsible AI practices, and acceptable\-use policy design.
* Strong project management, stakeholder engagement, communication, and technical writing skills.
**Additional Comments**
-----------------------
As a part of a generous compensation package, we offer comprehensive benefits that include generous paid time off, preeminent health care benefits, professional development opportunities, pension, a 401(k), and a hybrid work schedule with opportunity for remote work.
The South Carolina Department of Education offers an exceptional benefits package that includes:
* Health, Dental, Vision, Long Term Disability, and Life Insurance for Employee, Spouse, and Children.
* 15 days annual (vacation) leave per year.
* 15 days sick leave per year.
* 13 paid holidays.
* State Retirement Plan and Deferred Compensation Programs.
ONLY THOSE APPLICANTS CHOSEN FOR AN INTERVIEW WILL BE NOTIFIED BY LETTER THAT THE POSITION HAS BEEN FILLED.
http://www.ed.sc.gov/jobs/human\-resources/title\-ix\-nondiscrimination/</t>
        </is>
      </c>
    </row>
    <row r="21">
      <c r="A21" t="inlineStr">
        <is>
          <t>in-05b2ce64eadca2b6</t>
        </is>
      </c>
      <c r="B21" t="inlineStr">
        <is>
          <t>Transp Engr/Transp Engr Assoc III - Engineering Senior Assistant Program Manager (61033762)</t>
        </is>
      </c>
      <c r="C21" t="inlineStr">
        <is>
          <t>State of South Carolina</t>
        </is>
      </c>
      <c r="D21" t="inlineStr">
        <is>
          <t>indeed</t>
        </is>
      </c>
      <c r="E21" t="inlineStr"/>
      <c r="F21" t="inlineStr"/>
      <c r="G21" t="inlineStr">
        <is>
          <t>SC, US</t>
        </is>
      </c>
      <c r="H21" s="2" t="n">
        <v>46030</v>
      </c>
      <c r="I21" t="inlineStr">
        <is>
          <t>**Job Responsibilities**
------------------------
For the Upstate Regional Production Group, provides day to day management of GPATS and Greenville and Pickens CTCs. Manages project delivery process for multiple projects, including scoping, schedules and budgets, for both in\-house and consultant projects. Coordinates project\-related issues with internal and external stakeholders. Evaluates options and determine appropriate path forward. Prepares correspondence and periodic (monthly) project/program updates, including monitoring and updating P2S and Internet webpage. Manages public involvement process, including conducting public information meetings and public hearings. Prepares and delivers presentations to MPO and civic organizations. Manages consultant procurement process, including selection, scoping, cost estimating and negotiation. Serves as point of contact for the consultant and provide oversight throughout project development. Acts on behalf of the Program Manager when necessary. Performs other related duties as assigned.
**Minimum and Additional Requirements**
---------------------------------------
A bachelor’s degree in Engineering, Engineering Technology, or Construction Science and Management and four (4\) years of engineering or construction management work experience; or an approved acceptable equivalence. A valid motor vehicle operator's license is required.  
The physical demands for the essential functions involves sitting or standing at a desk for extended periods of time. This position may require occasional travel. May require bending, stooping, reaching, twisting, climbing, balancing, and kneeling. Walking for extended periods, treading rough terrain, working in close proximity to motoring traffic, and in natural environmental hazards. May be required to work outside normal business hours or respond to emergency situations.
**Additional Comments**
-----------------------
The South Carolina Department of Transportation is committed to a diverse workforce and does not discriminate on the basis of race, color, religion, sex (including pregnancy), national origin, age (40 or older), disability or genetic information.</t>
        </is>
      </c>
    </row>
    <row r="22">
      <c r="A22" t="inlineStr">
        <is>
          <t>in-f6e15d791755599f</t>
        </is>
      </c>
      <c r="B22" t="inlineStr">
        <is>
          <t>CRM Program Manager I</t>
        </is>
      </c>
      <c r="C22" t="inlineStr"/>
      <c r="D22" t="inlineStr">
        <is>
          <t>indeed</t>
        </is>
      </c>
      <c r="E22" t="inlineStr"/>
      <c r="F22" t="inlineStr"/>
      <c r="G22" t="inlineStr">
        <is>
          <t>Dallas, TX, US</t>
        </is>
      </c>
      <c r="H22" s="2" t="n">
        <v>46030</v>
      </c>
      <c r="I22" t="inlineStr">
        <is>
          <t>**PROGRAM MANAGER I, CRM \&amp; LOYALTY**
(DALLAS, TX OR REMOTE)
 **WHO WE ARE**
Drumline is an independent, women\-owned professional services firm that works at the intersection of data, analytics, technology, and marketing.  
We’re an ensemble of tireless learners and creative problem\-solvers focused on helping clients tackle tough problems, make smarter decisions, and generate incremental business value. How do we do that? By helping them get into a rhythm fueled by insights. This becomes an unstoppable force that moves them forward, every day.  
Voted one of the Best Places to Work in Dallas, we care deeply about cultivating an inclusive culture, promoting flexibility, and encouraging mutual respect. We’re committed to the growth of our people, our clients, and our community. **WHAT WE’RE LOOKING FOR**
Drumline’s CRM \&amp; Loyalty team is a group of data\-driven marketers who are responsible for strategy development, creative execution, platform architecture and management, and performance measurement and optimization.  
As a member of our CRM \&amp; Loyalty team, you will actively help manage email marketing and CRM programs on behalf of our clients and will work to ensure that the programs we run maximize customer retention, loyalty, and customer lifetime value.  
Working across multiple brands and verticals, you will be tasked with creating, testing, and iterating on email plans to inspire, engage, and delight consumers with a world\-class email experience. This is a highly collaborative role that interfaces with many internal departments and external partners. You will get the chance to work alongside our decision science, digital analytics, and data intelligence teams. **WHAT YOU’LL DO**
* Assist in the development and implementation of basic marketing automation, customer data, and loyalty marketing strategies. Focus on learning and applying foundational principles to drive customer engagement and increase conversion rates.
* Support the evaluation and selection process of Email Service Providers (ESPs) under the guidance of senior team members. Assist in conducting basic audits of existing programs and contribute to recommendations for program improvement.
* Support senior team members in ensuring all email marketing activities comply with relevant laws and regulations, such as GDPR and CAN\-SPAM. Help maintain documentation and conduct basic checks under guidance.
* Assist in crafting new customer journeys from scratch. Help with briefing campaigns, validating logic, and ensuring accurate setup under guidance.
* Learn to identify where other teams' inputs are needed and assist in giving clear direction and clarifying different points of view under guidance. Support collaboration efforts when needed.
* Begin to develop expertise in evolving CRM platforms, capabilities, and technologies. Assist in tying capabilities to customer needs and learn to challenge thinking under the guidance of senior team members.
* Support the development of A/B testing plans by helping to gather data, industry trends, and observations. Learn to contribute new test ideas under the guidance of senior team members
* Collaborate with other teams under guidance to support their projects. Develop an understanding of the analysis and reports from senior members and the Data Science team. Help in developing CRM\-related reports and begin to learn how to identify actionable insights.
* Help support implement new processes aimed at improving efficiency and agility within internal teams and client relationships. Begin to grow confidence in sharing ideas and opportunities for new processes.
* Work closely with oversight from senior members to manage day\-to\-day communication with appropriate levels of management, clients, partner/vendor teams, and colleagues.
* Assist in identifying and researching potential CRM opportunities for growth on existing clients. Grow confidence in sharing ideas and raising hand for new opportunities.
* Assist in supporting annual planning, goal definition and Quarterly Business Reviews (QBRs) under the guidance of senior team members. Contribute input and help in creating and presenting materials as required.
* Be open to receiving leadership, coaching, and support from senior team members to foster a culture of innovation and continuous improvement within the team. Start flexing your own feedback muscles by asking for ongoing feedback and giving feedback to others.
* Be curious. Start developing a foundational understanding of how CRM integrates with other areas of Drumline’s services, such as Analytics Engineering, Data Science, Business Intelligence, and Data Management.
* Actively participate in company discussions, join a committee, and/or support process improvement initiatives.
 **WHAT SKILLS YOU BRING**
* A bachelor’s degree or equivalent work experience
* 1\+ years of experience in Customer Relationship Marketing
* Growing understanding of CRM MarTech technology stacks, data connectivity, email deliverability, and reputation management
* Experience with customer personalization and strong analytic skills for data\-driven customer communications
* Experience in designing and automating customer journeys based on data and behavior
* Strong written and visual communication skills
* Organized and adaptable in a fast\-paced environment.
* Embraces and implements feedback from leaders, peers and clients
* Not afraid to try new things and preserve when challenges arise.
* Strong troubleshooting and problem\-solving skills Comfortable with and able to make steady progress on ambiguous tasks, asking for guidance when needed.
* A positive, service\-oriented approach to work
* Strong project management and planning skills
 **ADDITIONAL QUALIFICATIONS AND ON\-THE\-JOB LEARNING OPPORTUNITIES**
* Become a certified Email Marketing Specialist in Salesforce
* Evidence of a technical understanding of email marketing systems, governing laws and regulations, and industry best practices
* Evidence of experience using web content or email marketing management platforms
* Knowledge of campaign management, including segmentation, reporting, and analysis
* Knowledge of SMTP protocol, DNS, ISP/domain\-specific delivery policies, and handling rules
* Understanding of relational database management practices
* Basic proficiency in HTML
* Basic proficiency in SQL and other database management/query languages
 **WHY CHOOSE US**
* Generous paid time off
	+ 13 Company Holidays
	+ 4 Floating Holidays
	+ 4 Community Service days
	+ Accrued vacation time \&amp; sick time
* 401K with company matching program
* Annual profit sharing and bonus
* A comprehensive health, dental and life insurance package for employees and dependents
	+ Healthcare premiums for employees are covered 100% by Drumline
* Strong company culture of individuals that care deeply about the work they are doing and the people around them
* Focus on career and personal development resulting in opportunities for growth
* Awarded one of the Best Places to Work by the Dallas Business Journal which determines winners based on direct employee feedback
* Encourages work/life balance with opportunities for both remote and in\-office work environments
* Diverse set of clients with interesting challenges
* Additional hard and soft benefits including, company service days that give us a chance to give back together, team building events throughout the year, and devoted time for deep work (e.g., Deep Work Wednesdays, Focus Fridays)</t>
        </is>
      </c>
    </row>
    <row r="23">
      <c r="A23" t="inlineStr">
        <is>
          <t>in-21087c750080d57f</t>
        </is>
      </c>
      <c r="B23" t="inlineStr">
        <is>
          <t>CRM Program Manager II</t>
        </is>
      </c>
      <c r="C23" t="inlineStr"/>
      <c r="D23" t="inlineStr">
        <is>
          <t>indeed</t>
        </is>
      </c>
      <c r="E23" t="inlineStr"/>
      <c r="F23" t="inlineStr"/>
      <c r="G23" t="inlineStr">
        <is>
          <t>Dallas, TX, US</t>
        </is>
      </c>
      <c r="H23" s="2" t="n">
        <v>46030</v>
      </c>
      <c r="I23" t="inlineStr">
        <is>
          <t>**PROGRAM MANAGER II, CRM \&amp; LOYALTY**
(DALLAS, TX OR REMOTE)
 **WHO WE ARE**
Drumline is an independent, women\-owned professional services firm that works at the intersection of data, analytics, technology, and marketing.  
We’re an ensemble of tireless learners and creative problem\-solvers focused on helping clients tackle tough problems, make smarter decisions, and generate incremental business value. How do we do that? By helping them get into a rhythm fueled by insights. This becomes an unstoppable force that moves them forward, every day.  
Voted one of the Best Places to Work in Dallas, we care deeply about cultivating an inclusive culture, promoting flexibility, and encouraging mutual respect. We’re committed to the growth of our people, our clients, and our community. **WHAT WE’RE LOOKING FOR**
Drumline’s CRM \&amp; Loyalty team is a group of data\-driven marketers who are responsible for strategy development, creative execution, platform architecture and management, and performance measurement and optimization.  
As a member of our CRM \&amp; Loyalty team, you will actively manage email marketing and CRM programs on behalf of our clients and will work to ensure that the programs we run maximize customer retention, loyalty, and customer lifetime value.  
Working across multiple brands and verticals, you will be tasked with creating, testing, and iterating on email plans to inspire, engage, and delight consumers with a world\-class email experience. This is a highly collaborative role that interfaces with many internal departments and external partners. You will get the chance to work alongside our decision science, digital analytics, and data intelligence teams. **WHAT YOU’LL DO**
* Help lead the evaluation and selection process of Email Service Providers (ESPs) for clients with moderate complexity. Conduct comprehensive audits of existing programs and develop actionable recommendations for the program’s evolution.
* Take responsibility for ensuring all email marketing activities comply with relevant laws and regulations, such as GDPR and CAN\-SPAM. Conduct regular audits and updates to ensure ongoing compliance, and provide guidance to junior team members.
* Take responsibility for crafting new customer journeys from scratch. This includes briefing campaigns, validating logic, and ensuring accurate setup. Collaborate with cross\-functional teams to optimize these journeys.
* Actively coordinate and collaborate with other teams to ensure cohesive and effective marketing efforts. Identify necessary inputs from different teams, provide clear direction, and effectively clarify and interpret different points of view to align team efforts.
* Grow as an SME in evolving CRM platforms, capabilities, and technologies. Actively tie capabilities to customer needs and start to challenge thinking within the team, providing insights and recommendation
* Take a more active role in developing A/B testing plans, including generating new test ideas based on reporting, industry trends, and personal observations. Work collaboratively with the team to implement and analyze tests.
* Work closely with the Data Science team to analyze customer data and develop detailed CRM\-related reports. Identify actionable insights from data and begin to influence collaborative projects with other teams and clients.
* Lead the implementation of new processes to enhance efficiency and agility across internal teams and client partnerships.
* Manage day\-to\-day communication with all levels of management, clients, partner/vendor teams, and colleagues, demonstrating increasing autonomy and decision\-making.
* Independently identify, research, and analyze potential CRM opportunities for growth on existing clients. Collaborate closely with Drumline Leadership to support New Business initiatives related to CRM \&amp; Loyalty, including offering feedback on scopes, proposals, and staffing plans.
* Take a lead role in annual planning, goal definition, Quarterly Business Reviews (QBRs), and client conferences. Provide significant input, contribute to content creation, and present materials as necessary, demonstrating increasing autonomy and decision\-making within established guidelines.
* Provide leadership, coaching, and support to junior members of the team, encouraging a culture of innovation and continuous improvement under the guidance of senior management. Actively seek feedback from those around you.
* Demonstrate a deep understanding of how CRM integrates with other areas of Drumline’s services, including Analytics Engineering, Data Science, Business Intelligence, and Data Management. Collaborate effectively across these departments to leverage synergies and enhance CRM initiatives.
* Contribute significantly to the growth and overall success of Drumline by actively sharing industry insights, contributing to company committees or efforts, and leading process improvement initiatives.
 **WHAT SKILLS YOU BRING**
* A bachelor’s degree or equivalent work experience
* 3\-4 years of experience in Customer Relationship Marketing
* Strong understanding of CRM MarTech technology stacks, data connectivity, email deliverability, and reputation management
* Strong experience with customer personalization and strong analytic skills for data\-driven customer communications
* Near expert experience in designing and automating customer journeys based on data and behavior
* Near expert written and visual communication skills
* Organized and adaptable in a fast\-paced environment. Knows how and when to ask for support with clarity.
* Embraces and implements feedback from leaders, peers and clients. Growing ability to be radically candid.
* Persistent in the face of roadblocks and can handle the 'grey' area of ambiguous tasks.
* Near expert ability to troubleshoot issues and problem\-solve. Lead updating key documentation to share knowledge.
* A positive, service\-oriented approach to work
* Near expert project management and planning skills
 **ADDITIONAL QUALIFICATIONS AND ON\-THE\-JOB LEARNING OPPORTUNITIES**
* Certified Email Marketing Specialist in Salesforce or similar certification
* Proven technical proficiency in email marketing systems, legal regulations, and industry best practices
* Experience using web content or email marketing management platforms
* Advanced knowledge of campaign management, including segmentation, reporting, and analysis
* Familiarity with SMTP protocol, DNS, ISP/domain\-specific delivery policies, and handling rules
* Understanding of relational database management practices
* Basic proficiency in HTML
* Basic proficiency in SQL and other database management/query languages
 **WHY CHOOSE US**
* Generous paid time off
	+ 13 Company Holidays
	+ 4 Floating Holidays
	+ 4 Community Service days
	+ Accrued vacation time \&amp; sick time
* 401K with company matching program
* Annual profit sharing and bonus
* A comprehensive health, dental and life insurance package for employees and dependents
	+ Healthcare premiums for employees are covered 100% by Drumline
* Strong company culture of individuals that care deeply about the work they are doing and the people around them
* Focus on career and personal development resulting in opportunities for growth
* Awarded one of the Best Places to Work by the Dallas Business Journal which determines winners based on direct employee feedback
* Encourages work/life balance with opportunities for both remote and in\-office work environments
* Diverse set of clients with interesting challenges
* Additional hard and soft benefits including, company service days that give us a chance to give back together, team building events throughout the year, and devoted time for deep work (e.g., Deep Work Wednesdays, Focus Fridays)</t>
        </is>
      </c>
    </row>
    <row r="24">
      <c r="A24" t="inlineStr">
        <is>
          <t>in-202782c4ee60106d</t>
        </is>
      </c>
      <c r="B24" t="inlineStr">
        <is>
          <t>PROGRAM MANAGER SENIOR I (EXEC ASST DIR DIV PAROLE &amp; PROB)</t>
        </is>
      </c>
      <c r="C24" t="inlineStr"/>
      <c r="D24" t="inlineStr">
        <is>
          <t>indeed</t>
        </is>
      </c>
      <c r="E24" t="inlineStr"/>
      <c r="F24" t="inlineStr"/>
      <c r="G24" t="inlineStr">
        <is>
          <t>Baltimore, MD, US</t>
        </is>
      </c>
      <c r="H24" s="2" t="n">
        <v>46030</v>
      </c>
      <c r="I24" t="inlineStr">
        <is>
          <t>**Introduction**
----------------
If you are looking for an exciting career with great benefits, pension, generous leave, competitive salary, and the opportunity for advancement and professional growth, apply to join the DPSCS team today!
The Department of Public Safety and Correctional Services (DPSCS) is seeking dedicated candidates to fill important roles within our department. We are one of the largest departments in Maryland with nearly 12,000 employees and a budget of more than $1 billion. In order to fulfill our mission of promoting safety, we have increased security at our institutions while leading the way in innovative restorative justice projects that will help offenders reintegrate into society upon release.
As a member of the DPSCS team, you can have a fulfilling career, while also enjoying a wide range of benefits such as medical and dental coverage, paid time off (i.e. vacation, sick leave), becoming vested in the State pension, supplemental retirement options, and even joining the Maryland State Employees Credit Union.
**GRADE**
---------
23
**LOCATION OF POSITION**
------------------------
6776 Reisterstown Road. Baltimore, MD 21215
**POSITION DUTIES**
-------------------
**This is a MANAGEMENT SERVICES position with the Department of Public Safety and Correctional Services. The incumbent serves at the pleasure of the appointing authority.**  
The main purpose of this position is to manage, direct, supervise, lead, and guide the activities and staff of the Program Services Branch, which supports the Division's executive and field staff activities, consistent with the Division's mission of making communities safer by providing levels of control of offenders through comprehensive case management and intervention strategies. The unit within Program Services include management information services, victim services, clinical services, policy development, and performance measures. This position serves as a key advisor to the Director, participates on the Division's Leadership Team, and handles special projects and grants.  
* Participates in vendor negotiations and collaborative agreements with vendors providing adjunct services treatment services.
* Works with auditors and Division staff to obtain data necessary for the auditors to review when auditing the Division's performance measures.
* Participate on various committees or task forces as assigned by the Director, such as the Department of Public Safety Information Technology Task Force, the Maryland Integrated Offender Management Information System (MIOMS), and the Victim Services Advisory Board.
* Oversee the Division's Managing For Results Process (MFRV As part of the MFR process, creates and manages a Performance Measures Committee within the Division that represents all Division operational units to develop performance measures within the Division.
* The Committee will meet regularly to identify appropriate performance measures at the Divisional and operational units level.
**MINIMUM QUALIFICATIONS**
--------------------------
**Education:** Master degree from an accredited college or university, in social science, behavioral science, business or public administration.  
**Experience:** Eight years of experience in a professional administrative, supervisory or management position in a parole, probation, community corrections or other correctional setting. *Two yrs. of this experience must be directly managing Parole and Probation or Correctional Administration Programs and Services to include: Policy and Program Compliance, Field Support Services, Management Information Services and Financial Budget Analysis.*
**DESIRED OR PREFERRED QUALIFICATIONS**
---------------------------------------
Preference will be given to applicants who possess the following preferred qualification(s). Include clear and specific information on your application regarding your qualifications.  
1\. Experience implementing program goals, standards and controls to meet program objectives.
2\. Experience overseeing and managing budget and financial resources.
3\. Experience preparing and providing testimony to executive and legislative officials.
4\. Experience working in a collective bargaining environment.
5\. Experience analyzing statistical data.
**LICENSES, REGISTRATIONS AND CERTIFICATIONS**
----------------------------------------------
Applicants must possess a motor vehicle operator’s license valid in the State of Maryland.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**GENERAL REQUIREMENTS**
------------------------
Specific educational and experience requirements are set by the agency based on the essential job functions assigned to the position.
**BENEFITS**
------------
**STATE OF MARYLAND BENEFITS**
**FURTHER INSTRUCTIONS**
------------------------
Online applications are highly recommended. However, if you are unable to apply online, the paper application and supplemental questionnaire may be emailed to hr.recruitmentuser@maryland.gov. Paper application materials must be received in our office by the closing date for the recruitment.  
If you are submitting additional information, the preferred method is to upload it with your application. All uploaded additional information must be received by the closing date and time. If you are unable to upload, please email the requested information to hr.recruitmentuser@maryland.gov referencing the recruitment number in the subject line. Only additional materials that are requested will be accepted for this recruitment.  
For other HR related questions, please contact the Department of Public Safety and Correctional Services, HRSD\-Recruitment Division at 410\-585\-3999\.
Wayne Davis
wayner.davis@maryland.gov
If you are having difficulties with submitting your online application, please contact the DBM Recruitment and Examination Division at Application.Help@maryland.gov or 410\-767\-4850\.  
We thank our Veterans for their service to our country.  
People with disabilities and bilingual candidates are encouraged to apply.  
As an equal opportunity employer, Maryland is committed to recruiting, retaining, and promoting employees who are reflective of the State's diversity.
TTY Users: call via Maryland Relay</t>
        </is>
      </c>
    </row>
    <row r="25">
      <c r="A25" t="inlineStr">
        <is>
          <t>in-02153b08a45ec0e5</t>
        </is>
      </c>
      <c r="B25" t="inlineStr">
        <is>
          <t>PROGRAM MANAGER SENIOR III (Fishing and Boating Services Director)</t>
        </is>
      </c>
      <c r="C25" t="inlineStr"/>
      <c r="D25" t="inlineStr">
        <is>
          <t>indeed</t>
        </is>
      </c>
      <c r="E25" t="inlineStr"/>
      <c r="F25" t="inlineStr"/>
      <c r="G25" t="inlineStr">
        <is>
          <t>Annapolis, MD, US</t>
        </is>
      </c>
      <c r="H25" s="2" t="n">
        <v>46030</v>
      </c>
      <c r="I25" t="inlineStr">
        <is>
          <t>**Introduction**
----------------
Director of Fishing and Boating Services
**GRADE**
---------
25
**LOCATION OF POSITION**
------------------------
Annapolis, Maryland (Anne Arundel County)
**Main Purpose of Job**
-----------------------
This position serves as Director of Fishing and Boating Service (Unit) and is responsible for the overall leadership, management and direction of the Unit. The mission of the Fishing and Boating Service’s unit to sustainably and safely manage Maryland’s aquatic natural resources and waterways for the benefit of present and future generations. This mission is accomplished by (1\) developing management frameworks for the conservation and equitable use of fishery resources; (2\) managing fisheries in balance with the ecosystem using best available science; (3\) monitoring and assessing the status and trends of fisheries resources; (4\) providing high quality, diverse, accessible fishing opportunities; and (5\) fostering boating safety through the removal of in\-water hazards and by marking dangers. The Fishing and Boating Services Director oversees the overall workplan necessary to meet the Unit’s mission all while ensuring sound fiscal management of a $40 million operating budget and leading a staff of approximately 200 FTEs and 40 seasonal employees. The Director leads this work through five Divisions: (1\) Tidal and Coastal Management and Science, (2\) Shellfish and Aquaculture, (3\) Freshwater, Hatcheries and Fisheries Ecosystem Assessment and Health Services, (4\) Boating Services, and (5\) Unit Operations; which are each led by an Associate Director.  
This position has broad delegated authority from the Secretary to carry out the Unit’s responsibilities. This position works closely with the Office of the Secretary in communicating the necessary strategies and policy objectives necessary to achieve management goals. The incumbent is the Department’s chief spokesperson on Fisheries science, management, aquaculture and marketing issues and represents the State, the Department, and the Unit on intrastate, interstate, federal and international governmental commissions, committees, task forces and work groups. The incumbent interacts regularly with high\-level federal officials (NOAA, DOI, USACOE, EPA, FDA, USDA), Maryland congressional representatives and staff, State and local agency leaders, academic experts, members of the State legislature, local elected officials, members of the fishing business community (i.e. fishing tackle and bait shops, charter boat industry (fishing guides), commercial fishermen, seafood dealers, and aquaculturists), environmental advocacy and other special interest groups, news media and the general public.  
The Fishing and Boating Service is responsible for facilitating, building consensus and informed consent, and making sound scientific decisions consistent with state, federal and international agreements while balancing the diverse and competing interests of 645,000 sports fishermen, 5,800 commercial fishermen, 360 fishing guides, 340 aquaculture businesses, numerous tackle 2 and bait shops and seafood dealers, and those citizens that don’t fish but value sustainable fisheries in Maryland. These decisions not only impact social and cultural values of Maryland’s citizenry, but also Maryland jobs and economy as these fisheries generate an estimated $2 billion annually.
**POSITION DUTIES**
-------------------
Develop and implement strategic plans, budgets and policies under the direction of administrative and legislative guidelines to advance fisheries related initiatives.  
* 
* Represent the Department in facilitating, developing, building consensus and informed consent, and implementing regional, national and international fisheries management, habitat conservation, aquaculture and marketing policies and related coordination activities with other jurisdictions including, but not limited to: Atlantic States Marine Fisheries Commission, NOAANMFS Mid\-Atlantic Fishery Management Council, U.S. Fish and Wildlife Service, U.S. Army Corps of Engineers, International Commission for the Conservation of Atlantic Tunas (ICAAT), Potomac River Fisheries Commission and EPA Chesapeake Bay Program Sustainable Fisheries Goal Implementation Team.
* Oversee the development of the Unit’s operating and capital budget as well as several federal grant programs to ensure that the resources are used to their utmost capacity to advance the priority resource management issues of the state.
* Represent the Department’s fisheries management, habitat conservation, aquaculture and marketing interests in interactions with Maryland’s sports fishermen, commercial fishermen, fishing guides, aqua culturists, tackle and baits hop businesses, seafood dealers, environmental advocacy groups, general public and news media.
* Provide leadership and direction to Maryland’s 5 fishery advisory bodies including: Sports Fisheries Advisory Commission, Tidal Fisheries Advisory Commission, Oyster Advisory Commission, Seafood Marketing Advisory Commission, and the Aquaculture Coordination Council.
* Represent the Department’s fisheries management, habitat conservation, aquaculture and marketing interests with Maryland’s congressional representatives and staff, and State legislature.
* Represent Fisheries Service interests to the Department’s Natural Resources Police to ensure and improve enforceability of fishing rules and develop strategic enforcement initiatives.
* Oversees the management of personnel and operating policies of the Unit.
**MINIMUM QUALIFICATIONS**
--------------------------
Education: A Bachelor’s degree from an accredited college or university in Ecology, Natural Resources, Coastal or Environmental Policy, Natural Resource Management, Biology, Environmental Science, Geography, or other environmental related field.  
Experience: Ten (10\) years of experience in aquatic natural resource management Seven (7\) years of this experience must be in the supervision of employees engaged in the management of aquatic resources that are managed for harvest, restoration and have direct economic impacts to the region through resource\-dependent business.  
Notes:
1\. Candidates may substitute a Master’s degree from an accredited college or university in Ecology, Natural Resources, Coastal or Environmental Policy, Natural Resource Management, Biology, Environmental Science, Geography, or other environmental related field for the required general experience at the rate of two years of the required general experience.
**DESIRED OR PREFERRED QUALIFICATIONS**
---------------------------------------
* Experience developing and directing statewide natural resource management programs that includes coordination with internal programs and federal, state, local, non\-profit and private sector interests.
* Experience facilitating, building consensus and informed consent, and making sound scientific decisions to implement natural resource management policies.
* Experience interacting regularly with local and federal agencies, other DNR and state agency staff and leaders, members of the General Assembly and Federal Congressional representatives.
**SELECTION PROCESS**
---------------------
Please make sure you provide sufficient information on your application to show that you meet the qualifications for this recruitment. All information concerning your minimum qualifications must be submitted by the closing date. We will not consider information submitted after this date. Successful candidates may be ranked as Best Qualified, Better Qualified, or Qualified and placed on the employment (eligible) list for at least one year. For education obtained outside the U.S., a copy of the equivalent American education as determined by a foreign credential evaluation service must be provided prior to hire.  
**EXAMINATION PROCESS**
-----------------------
Your application is part of the examination process. The examination will consist of a rating of your education, training, and experience related to the requirements of this position. The rating will be based on the information provided on your application. Therefore, it is important you provide all the experience and education related to this position completely and accurately.
**BENEFITS**
------------
**STATE OF MARYLAND BENEFITS**
**FURTHER INSTRUCTIONS**
------------------------
The online application is strongly preferred. If you are unable to apply online, you may submit a paper application and supplemental questionnaire to: Department of Natural Resources, Human Resources, 580 Taylor Avenue, C\-3 Annapolis, MD 21401\. The Human Resources unit is not responsible for applications sent to any other address.  
Faxed or e\-mailed applications will not be accepted. Resumes will not be accepted in lieu of completing the application.  
If you are having difficulty with your user account or have general questions about the online application system, please contact the MD Department of Budget and Management at Application.Help@maryland.gov ; ATTN: Recruitment and Examination Division. Please note, standard business hours for the help desk are 8:30 a.m. to 4:00 p.m. Inquiries made after hours will be reviewed the following business day.  
If you need to make adjustments to a submitted application before the announcement deadline or if you have general inquiries regarding this recruitment, please contact Alexandra Gast at Alexandra.gast@maryland.gov  
Please provide ample time to complete the application template. If you are having technical difficulties submitting an application on the day of the deadline, it is strongly advised that you complete the JobAps physical application template and hand deliver to DNR \- HRS at 580 Taylor Avenue, Annapolis, MD 21401 before 4:30 p.m. The Maryland Department of Natural Resources cannot guarantee that late submissions, as a result of technical difficulties, will be accepted.  
TTY Users: call via Maryland Relay  
Candidates with disabilities and bilingual candidates are encouraged to apply. We thank our Veterans for their service to our country, and encourage them to apply. As an equal opportunity employer, Maryland is committed to recruiting, retaining and promoting employees who are reflective of the State’s diversity.</t>
        </is>
      </c>
    </row>
    <row r="26">
      <c r="A26" t="inlineStr">
        <is>
          <t>in-2904017510980fa2</t>
        </is>
      </c>
      <c r="B26" t="inlineStr">
        <is>
          <t>Product Manager- Claims</t>
        </is>
      </c>
      <c r="C26" t="inlineStr">
        <is>
          <t>Berkley</t>
        </is>
      </c>
      <c r="D26" t="inlineStr">
        <is>
          <t>indeed</t>
        </is>
      </c>
      <c r="E26" t="inlineStr"/>
      <c r="F26" t="inlineStr"/>
      <c r="G26" t="inlineStr">
        <is>
          <t>Manassas, VA, US</t>
        </is>
      </c>
      <c r="H26" s="2" t="n">
        <v>46030</v>
      </c>
      <c r="I26" t="inlineStr">
        <is>
          <t>Company Details:  
Company URL: https://www.berkleytechnologyservices.com/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“*What’s Next*”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As a **Product Manager**, you will be responsible for building software products that delight our customers and advance our business interests. Specifically, you will own the vision, strategy, design, and execution of a technology product, while also building consensus across your stakeholders and teammates.  
Beyond that, we’re looking for someone with a high degree of ownership. And the way we tend to define ownership is in terms of your willingness to look critically at yourself and make changes. Problems are inevitable, and you are going to fail a lot. We are looking for people who will take responsibility for failures, learn from them, and reinvest that learning in their work.* *Delivering Results*. You will curate the best ideas, hypothesize their value, and implement the most promising of them. You will constantly re\-assess what we have built to make sure we are realizing actual value.
* *Focusing on the Data*. You will establish OKRs that define our goals and quantify our results. You will regularly review your indicators for actionable insights and you will host OKR Reviews to create cross\-functional alignment.
* *Understanding Our Customers*. You will keep yourself and our team highly exposed to customer feedback. You will use this exposure to anticipate customer needs and constantly improve their experiences.
* *Saying No*. You will help us choose the right problem to solve next. You will consistently weigh short and long term trade\-offs while keeping a healthy bias toward the long term.
* *Challenging Status Quo*. For various processes, you will understand what we do and why we do it. Then you will work across Business, Operations, Design, Data, and Engineering teams to reimagine how.
Qualifications:
* Experience driving product vision, go\-to\-market strategy, and design discussions
* Experience with product discovery techniques, such as A/B testing and canary releases
* Experiences setting objectives and key results
* Experience serving as the product owner for an agile team
* Demonstrated ability to empower teams with context
* Proven record building strong stakeholder relationships
* Knowledge of data structures, algorithms, and computing fundamentals (preferred)
* Bachelor’s degree with emphasis in related field or equivalent experience.
 **Behavioral Core Competencies*** Critical Thinking (E)
* Results Oriented (E)
* Personal Ownership (E)
* Business Knowledge (E)
* Customer Service Oriented (A)
* Strategic (A)
Sponsorship Details: Sponsorship not Offered for this Role</t>
        </is>
      </c>
    </row>
    <row r="27">
      <c r="A27" t="inlineStr">
        <is>
          <t>in-10afc160dba63f1b</t>
        </is>
      </c>
      <c r="B27" t="inlineStr">
        <is>
          <t>Program Manager - Physical Therapist or Occupational Therapist</t>
        </is>
      </c>
      <c r="C27" t="inlineStr">
        <is>
          <t>HealthPRO Heritage</t>
        </is>
      </c>
      <c r="D27" t="inlineStr">
        <is>
          <t>indeed</t>
        </is>
      </c>
      <c r="E27" t="inlineStr"/>
      <c r="F27" t="inlineStr"/>
      <c r="G27" t="inlineStr">
        <is>
          <t>Tarrytown, NY, US</t>
        </is>
      </c>
      <c r="H27" s="2" t="n">
        <v>46030</v>
      </c>
      <c r="I27" t="inlineStr">
        <is>
          <t>Overview:
HealthPro Heritage has a great F**ull\-time Program Manager\- Physical Therapist or Occupational Therapist** Opportunity at our assisted living community in **TAPPEN, NY**. This is a unique opportunity to combine clinical expertise with leadership in a supportive and rewarding environment.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Rates $55\-$60 hourly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8">
      <c r="A28" t="inlineStr">
        <is>
          <t>in-0376c23180510833</t>
        </is>
      </c>
      <c r="B28" t="inlineStr">
        <is>
          <t>Global Marketing Resource Program Manager</t>
        </is>
      </c>
      <c r="C28" t="inlineStr">
        <is>
          <t>Fisher Investments</t>
        </is>
      </c>
      <c r="D28" t="inlineStr">
        <is>
          <t>indeed</t>
        </is>
      </c>
      <c r="E28" t="inlineStr"/>
      <c r="F28" t="inlineStr"/>
      <c r="G28" t="inlineStr">
        <is>
          <t>Plano, TX, US</t>
        </is>
      </c>
      <c r="H28" s="2" t="n">
        <v>46030</v>
      </c>
      <c r="I28" t="inlineStr">
        <is>
          <t>Overview:
This Global Marketing Resource Program Manager works in the office and is responsible for the forecasting, allocation and management of creative resources to support Global Marketing, reporting to the Associate Vice President, Global Marketing Services. **The Opportunity:**  
Our in‑house creative agency is looking for a Resource Program Manager to orchestrate the flow of work, talent, and time across a fast‑moving multidisciplinary team. This role sits at the center of creative operations — ensuring the right people are assigned to the right projects at the right time, while maintaining visibility into capacity, forecasting, and workflow.  
You'll partner closely with creative leads, project managers, and cross‑functional stakeholders to keep the agency running efficiently. If you thrive in a dynamic environment, solving complex resourcing puzzles, and enjoy supporting creative teams so they can do their best work, this role is for you. **The Day\-to\-Day:*** Manage day\-to\-day resourcing across design, copy, and project management teams.
* Responsible for forecasting project needs and workload by collaborating with Marketing teams.
* Maintain short\- and long\-term visibility into team bandwidth, upcoming needs, and potential gaps.
* Assess project needs and assign the right team members to specific projects based on their skills, experience, and availability
* Build and maintain dashboards, reports and resourcing documentation to support operational decision\-making
* Work with management to manage workload and availability of resources
* Lead the onboarding of contractors or vendors to fill resource gaps and meet project demands
* Oversee the streamlining processes and improve workflow efficiency to maximize team productivity
* Oversee the tools and systems used for resource planning
* Collaborate closely with project management and creative leads to ensure resource needs are met, and projects are delivered successfully
**Your Qualifications:*** Bachelor's Degree or equivalent combination of education and experience required
* Minimum of 3 years of resource management, program management, or creative operations experience, ideally within a creative agency or marketing department
* Strong understanding of creative workflows across design, copy, and production
* Proficiency with resourcing tools and working with data to inform recommendations and decisions
* Excellent verbal and written communication skills
* Advanced analytical skills and a high level of attention to detail
* Ability to adapt to changes in a fast paced, team environment
* Elicit cooperation from several sources, including senior management and internal clients
* Proficient in project management software, e.g. JIRA, with experience tracking resources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29">
      <c r="A29" t="inlineStr">
        <is>
          <t>in-fa7e24210bc5238c</t>
        </is>
      </c>
      <c r="B29" t="inlineStr">
        <is>
          <t>Global Marketing Resource Program Manager</t>
        </is>
      </c>
      <c r="C29" t="inlineStr">
        <is>
          <t>Fisher Investments</t>
        </is>
      </c>
      <c r="D29" t="inlineStr">
        <is>
          <t>indeed</t>
        </is>
      </c>
      <c r="E29" t="inlineStr"/>
      <c r="F29" t="inlineStr"/>
      <c r="G29" t="inlineStr">
        <is>
          <t>Tampa, FL, US</t>
        </is>
      </c>
      <c r="H29" s="2" t="n">
        <v>46030</v>
      </c>
      <c r="I29" t="inlineStr">
        <is>
          <t>Overview:
This Global Marketing Resource Program Manager works in the office and is responsible for the forecasting, allocation and management of creative resources to support Global Marketing, reporting to the Associate Vice President, Global Marketing Services. **The Opportunity:**  
Our in‑house creative agency is looking for a Resource Program Manager to orchestrate the flow of work, talent, and time across a fast‑moving multidisciplinary team. This role sits at the center of creative operations — ensuring the right people are assigned to the right projects at the right time, while maintaining visibility into capacity, forecasting, and workflow.  
You'll partner closely with creative leads, project managers, and cross‑functional stakeholders to keep the agency running efficiently. If you thrive in a dynamic environment, solving complex resourcing puzzles, and enjoy supporting creative teams so they can do their best work, this role is for you. **The Day\-to\-Day:*** Manage day\-to\-day resourcing across design, copy, and project management teams.
* Responsible for forecasting project needs and workload by collaborating with Marketing teams.
* Maintain short\- and long\-term visibility into team bandwidth, upcoming needs, and potential gaps.
* Assess project needs and assign the right team members to specific projects based on their skills, experience, and availability
* Build and maintain dashboards, reports and resourcing documentation to support operational decision\-making
* Work with management to manage workload and availability of resources
* Lead the onboarding of contractors or vendors to fill resource gaps and meet project demands
* Oversee the streamlining processes and improve workflow efficiency to maximize team productivity
* Oversee the tools and systems used for resource planning
* Collaborate closely with project management and creative leads to ensure resource needs are met, and projects are delivered successfully
**Your Qualifications:*** Bachelor's Degree or equivalent combination of education and experience required
* Minimum of 3 years of resource management, program management, or creative operations experience, ideally within a creative agency or marketing department
* Strong understanding of creative workflows across design, copy, and production
* Proficiency with resourcing tools and working with data to inform recommendations and decisions
* Excellent verbal and written communication skills
* Advanced analytical skills and a high level of attention to detail
* Ability to adapt to changes in a fast paced, team environment
* Elicit cooperation from several sources, including senior management and internal clients
* Proficient in project management software, e.g. JIRA, with experience tracking resources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0">
      <c r="A30" t="inlineStr">
        <is>
          <t>in-13a2ffbf8fed1890</t>
        </is>
      </c>
      <c r="B30" t="inlineStr">
        <is>
          <t>Urgent Crisis Center Program Manager</t>
        </is>
      </c>
      <c r="C30" t="inlineStr"/>
      <c r="D30" t="inlineStr">
        <is>
          <t>indeed</t>
        </is>
      </c>
      <c r="E30" t="inlineStr"/>
      <c r="F30" t="inlineStr"/>
      <c r="G30" t="inlineStr">
        <is>
          <t>New London, CT, US</t>
        </is>
      </c>
      <c r="H30" s="2" t="n">
        <v>46030</v>
      </c>
      <c r="I30" t="inlineStr">
        <is>
          <t>#### **Why Work with Child and Family Agency (CFA)?**
It’s simple, our people are the heart of who we are. At Child and Family Agency, we believe our employees are our greatest strength. Every day, our dedicated team members make a difference by supporting individuals, children, and families in their homes, schools, and communities.
Founded in 1972, Child and Family Agency of Southeastern Connecticut is a non\-profit organization devoted to helping children, adolescents, and families thrive across the state. When you join us, you become part of a compassionate community that cares deeply about making a positive impact.
We are seeking a dynamic leader to oversee our Urgent Crisis Center in New London, CT. The Urgent Crisis Center provides immediate (no appointment necessary) care to children and teens experiencing a mental health or behavioral health crisis. This can look like thoughts of suicide or self\-injury, feelings of depression, anxiety, or hopelessness, out\-of\-control behaviors, substance misuse, or any other mental health crisis.
The Program Manager will provide leadership, guidance and support to the staff responsible for these services. The ideal candidate will promote positive collaboration and a healthy working culture amongst a team of multidisciplinary staff. This role involves program oversight, staff development and quality assurance. The ideal candidate will bring expertise in crisis work and a strong commitment to quality.
#### **Educational requirements include:**
Master's Degree in Social Service or related field (MSW, MFT, MA in Counseling, Psychology, etc., Mental Health / Counseling Experience (clinical internship). Must be a licensed mental health counselor (LCSW, LPC, LMFT).
Salary: $88,000\-93,000
#### **Full time benefits include:**
3 weeks paid vacation time
12 sick days
12 paid holidays
5 personal days
#### **Medical \&amp; Dental Insurance**
#### **Agency Paid Life Insurance**
403(b) and 403(b) matching
If all of the above resonates with you, we look forward to receiving your application!
For more information about CFA, visit our website at: www.childandfamilyagency.org.
#### **AA/EOE**
#### **About CFA \- Child and Family Agency of Southeastern CT Inc**
Since 1972, CFA has been at the forefront of social service development in southeastern Connecticut. We have worked to enrich the lives of local families and provide high\-quality programming. We are dedicated to ensuring that all in our community – especially those who need us most – have access to services that will enhance their lives and shape their futures. We accomplish this through our mission, vision, and values.</t>
        </is>
      </c>
    </row>
    <row r="31">
      <c r="A31" t="inlineStr">
        <is>
          <t>in-7eb6ee3a8f00689e</t>
        </is>
      </c>
      <c r="B31" t="inlineStr">
        <is>
          <t>Executive Center Director / Program Manager III (Santee-Wateree)</t>
        </is>
      </c>
      <c r="C31" t="inlineStr">
        <is>
          <t>State of South Carolina</t>
        </is>
      </c>
      <c r="D31" t="inlineStr">
        <is>
          <t>indeed</t>
        </is>
      </c>
      <c r="E31" t="inlineStr"/>
      <c r="F31" t="inlineStr"/>
      <c r="G31" t="inlineStr">
        <is>
          <t>SC, US</t>
        </is>
      </c>
      <c r="H31" s="2" t="n">
        <v>46029</v>
      </c>
      <c r="I31" t="inlineStr">
        <is>
          <t>**Job Responsibilities**
------------------------
**This position is located in Sumter, South Carolina.**
Are you passionate about making a real difference in people's lives? Join our team at the Office of Mental Health where we are dedicated to providing compassionate and accessible care to our community. We are seeking an Executive Center Director who will oversee the Santee\-Wateree Mental Health Center and its employees who are motivated to help individuals and families navigate life's challenges and achieve long\-term wellness. If you want to build a healthier, more resilient community, we encourage you to apply.
This position is located at the SC Department of Behavioral Health and Developmental Disabilities (BHDD) \- Office of Mental Health (OMH), Santee\-Wateree Mental Health, 801 N Pike W, Sumter, SC 29153\.
*Partnering with a local Board of Directors and reporting* *to the SCBHDD\-OMH Deputy Director of Community Mental Health Services, the Center* *is an outpatient facility of the Office of Mental Health. The Santee\-Wateree Mental Health Center (SWMHC)* *operates within the guidelines established by the Office of Mental Health.* *The Center serves the residents of Sumter, Lee, Kershaw and Clarendon counties and* *has a staff of**93**permanent employees and a budget of approximately $11\.5 million.*  
Santee\-Wateree Mental Health Center offers a wide range of outpatient mental health services for adults, children and their families to include assessments, individual therapy, family and group services, crisis management, case management, nursing and medication management.  
The Executive Center Director has overall strategic and operational responsibility for the clinical and administrative operations of the Center. In collaboration with the Board of Directors, the Executive Director reviews and/or revises the vision and develops a strategic plan to guide the Center's goals, priorities and activities. The position oversees the efficient and effective day\-to\-day operation of the SWMHC and requires an individual with proven leadership skills demonstrating competence in management of the Center's programs, resources, and partnerships.  
**Responsibilities for the Executive Center Director include but are not limited to****:*** Direct the Community Mental Health Center's operation to include an annual Operations Plan, a Quality Assurance Program, Records Management, a Management Information System (MIS), Corporate Compliance Program and a Financial Management Program.
* Report to the Deputy Director for CMHS and respective CMHC Board of Directors to assess needs and implement programs consistent with department priorities and local needs within capabilities of staffing resource availability.
* Ensure the preparation of the budget, grant proposals, managing grants, the supervision of funds generated and expenditures, and operate within the approved budget for the center.
* Directly supervise key management positions such as Chief Psychiatrist, Program Directors, Administrator, Human Resources Manager, QA/CARF/Corporate Compliance Director, Office of Performance Improvement and Education, and the Administrative Assistant.
* Direct appropriate implementation of personnel practices and procedures. Ensures requirements for access, staff productivity, and clinical documentation are met at all of the center's locations.
* Responsible for facilitating helpful and positive community and agency cooperation and service implementation and delivery; ensure the delivery of appropriate public information and education activities, to include the operation of Highway to Hope, mobile crisis, suicide prevention programming, etc.
* Assure the development of a behavioral system of care that is culturally competent, promoting the involvement of advocacy groups, clients, and family members.
* Perform special tasks as assigned by the Deputy Director and other related duties as necessary and required, such as ensuring that the Roads to Independence young adult program meets all of its metrics.
*Santee\-Wateree Mental Health Center serves* *Sumter, Lee, Kershaw and Clarendon* *counties. The Center is located in Sumter, the heart of South Carolina. Sumter County has a population comprised of both native South Carolinians and transplants. Here, you can enjoy mild weather, lower cost of living and friendly people. Not only is Sumter known for its agriculture but is also where Shaw Air Force Base is located. Sumter has more than 30 parks and playgrounds if you enjoy the outdoors. In fact, there are two state parks and the famous Swan Lake Iris Gardens. If you prefer to spend time indoors, Sumter has several art galleries, Patriot Hall for performances and concerts as well as the Sumter Opera House. Experience the charm of Sumter, a true hidden gem.*
**Minimum and Additional Requirements**
---------------------------------------
* A master's degree and four (4\) years of a social service program experience; two (2\) years of which have been in the mental health field.
**Preferred Qualifications**
----------------------------
Bilingual abilities in English and Spanish (or another language) are a plus.
**Additional Comments**
-----------------------
***The selected candidate must have a minimum of five (5\) years of executive experience.***  
***In this position one must have k******nowledge of the agency's mission, programs, objective, laws, regulations, policies and procedures relevant to mental health. Knowledge of the agency's organizational structure, the people who manage the work and the processes applicable to government work. Must have ability to plan, implement and administer special projects and collect relevant data for program outcomes. Ability to make presentations and prepare reports. Have basic computer and word processing skills. In addition, the selected candidate must have clinical knowledge and business management skills. Ability to plan/direct professional services and administration of activities within a clinical environment, and follows regulations, policies and standards used in rendering mental health care. Ability to supervise professional / nonprofessional staff in the care and treatment of the mentally ill. This position is considered essential and may be called back during crisis/disasters/emergencies.***
The Department of Behavioral Health and Developmental Disabilities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Department of Behavioral Health and Developmental Disabilities offers an exceptional benefits package for full time (FTE) employees:**
*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32">
      <c r="A32" t="inlineStr">
        <is>
          <t>in-9819ac8868c731cd</t>
        </is>
      </c>
      <c r="B32" t="inlineStr">
        <is>
          <t>Program Manager / Polly Best Clinic (Barnwell)</t>
        </is>
      </c>
      <c r="C32" t="inlineStr">
        <is>
          <t>State of South Carolina</t>
        </is>
      </c>
      <c r="D32" t="inlineStr">
        <is>
          <t>indeed</t>
        </is>
      </c>
      <c r="E32" t="inlineStr"/>
      <c r="F32" t="inlineStr"/>
      <c r="G32" t="inlineStr">
        <is>
          <t>SC, US</t>
        </is>
      </c>
      <c r="H32" s="2" t="n">
        <v>46029</v>
      </c>
      <c r="I32" t="inlineStr">
        <is>
          <t>**Job Responsibilities**
------------------------
Are you passionate about making a real difference in people's lives? Join our team at the Office of Mental Health where we are dedicated to providing compassionate and accessible care to our community. We are seeking a Program Manager / Polly Best Clinic who is motivated to help individuals and families navigate life's challenges and achieve long\-term wellness. If you want to use your skills to build a healthier, more resilient community, we encourage you to apply.  
This position is located at the SC Department of Behavioral Health and Developmental Disabilities (DBHDD) \- Office of Mental Health, Aiken\-Barnwell Mental Health Center, 916 Reynolds Road, Barnwell, SC 29812\. ***The Office of Mental Health’s mission is to support the recovery of people with mental illnesses. We provide a complete array of medical and support services for children, adults, and families throughout South Carolina.***  
The Program Manager / Polly Best Clinic will provide management and supervision for the clinical operations of ABMHC's satellite clinic (Polly Best Center) in Barnwell County. This includes services offered in the clinic and community. **Responsibilities for the Program Manager/Polly Best Center:*** Provide management for the Polly Best Center. Participate in the overall agency planning, agency committees and improvement processes.
* Assist with implementation of clinical initiatives and agency initiatives.
* Ensure coverage for programs/services offered via Barnwell County satellite office.
* Ensure staff are knowledgeable of and measured against patient care hours standards for clinical service.
* Provide direct services to patients as assigned. Annual patient care hour requirement of 440 hours.
* Will assist with crisis response in Barnwell County.
* Ensure all documentation and staff's documentation is completed thoroughly and according to OMH/QA/CARF/ABMHC standards. This includes but is not  
limited to the use of collaborative documentation, completing initial and updating safety plans and ensuring overall responsibility for ABMHC meeting QA/OMH  
standards.
* Ensure PB caseload is seen in accordance with their needs based on LOC and functionality. This includes but is not limited to ensuring staff completing initial and  
updating DLA\-20 and initiating discharge plan at onset of treatment as part of treatment plan.
* Engage with Barnwell Community to address mental health needs and share information about mental health in general. This includes participation in local  
committees, presentations, Barnwell MH Forum, Barnwell County Council meetings, etc.
* Recruit, develop and retain a competent, culturally diverse, motivated and productive workforce.
* Pursue professional development through collegial consultation and continuing educational opportunities.
* Comply with Corporate Compliance Policy and Risk Management Plan.
**Minimum and Additional Requirements**
---------------------------------------
* A master’s degree in social work, guidance, counseling or the social sciences.
**Additional Requirements:*** Two years of post\-graduate experience providing counseling/treatment.
* Licensed in SC. If not licensed must be seeking licensure within six months of hire.
* Two years of paid Supervisory experience.
* Ability to lift 5 pounds and operate a state vehicle.
**Preferred Qualifications**
----------------------------
* Bilingual abilities in English and Spanish (or another language) are a plus.
**Additional Comments**
-----------------------
**Post hire, employees must:**
* Have knowledge of agency's mission, programs and objectives and ability to effectively share information with community.
* Have knowledge of management principles.
* Have the ability to interpret and apply rules and regulations.
* Have the ability to manage work and provide guidance to employees.
* Have ability to make presentations and prepare reports.
* Have ability to effectively plan, coordinate and manage complex mental disorders.
* Have knowledge of psychopathology, family dynamics, family and group psychotherapy, interviewing techniques and evidence\-based practices.
* Ability to establish and maintain effective working relationships with individuals, families and community partners.
* Be an experienced manager and therapist who can independently apply relevant management principles and counseling techniques to ensure agency  
outcomes are successfully met.
* With limited supervision, Employee is subject to OMH/ABMHC/State policies and procedures.
* Be able to pass CPR and Managing Agitation in the Psychiatric Setting (MAPS) Certification.
***This position is considered essential and may be called back during crises/disasters/emergencies.***  
The Department of Behavioral Health and Developmental Disabilities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Department of Behavioral Health and Developmental Disabilities offers an exceptional benefits package for full time (FTE) employees:***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33">
      <c r="A33" t="inlineStr">
        <is>
          <t>in-b696bb78d9d5debc</t>
        </is>
      </c>
      <c r="B33" t="inlineStr">
        <is>
          <t>BabyNet Operations Manager (Program Manager I) / 61096748</t>
        </is>
      </c>
      <c r="C33" t="inlineStr">
        <is>
          <t>State of South Carolina</t>
        </is>
      </c>
      <c r="D33" t="inlineStr">
        <is>
          <t>indeed</t>
        </is>
      </c>
      <c r="E33" t="inlineStr"/>
      <c r="F33" t="inlineStr"/>
      <c r="G33" t="inlineStr">
        <is>
          <t>SC, US</t>
        </is>
      </c>
      <c r="H33" s="2" t="n">
        <v>46029</v>
      </c>
      <c r="I33" t="inlineStr">
        <is>
          <t>**Job Responsibilities**
------------------------
**The Agency's mission is to be boldly innovative in improving the health and quality of life for South Carolinians.**  
This is position is located inthe **Bureau of Quality****, Richland County.** **Are you the One?** We are looking for a **Program Manager I,** who under supervision of the Part C Director, the Statewide Operations Manager, will be primarily responsible for overseeing key operational functions that support compliance, accountability, and service quality across the Part C program. This includes the management of federal reporting, general supervision activities, provider oversight, claims processing, and quality assurance. The position provides leadership, supervision, and strategic support to a team of Claims, Data, Provider, and Quality Specialists to ensure efficient operations and continuous program improvement.  
* Oversees all aspects of provider relations for the BabyNet Part C Part C program, including provider enrollment and disenrollment, agreement oversight, recruitment, monitoring, and compliance. Supervises staff to ensure providers meet program standards and regulatory requirements, conducts audits and investigations, resolves complaints, supports billing and payment processes, and serves as the primary liaison between providers, internal teams, and statewide stakeholders.
* Performs fundamental supervisory and leadership functions in accordance with Department policies and procedures, best practices and Federal and State rules and regulations, especially with regard to Equal Employment Opportunity Commission (EEOC) standards. Maintains an effective organizational team and motivates diverse staff to accomplish mission critical operations and objectives. Promotes workforce engagement and a safe, professional, and productive work environment for all employees.
* Serves as the lead subject matter expert for all program\-level activities related to the Part C data system. Provides strategic oversight and technical guidance to ensure the system meets programmatic, regulatory, and user needs. Leads the identification and analysis of system enhancement opportunities, including assessing provider requirements and areas for system upgrades. Supports ongoing data system operations, including maintenance, enhancement planning, requirements gathering, development, and testing. Contributes to the design, implementation, and evaluation of comprehensive training plans to support effective system use by internal staff and external providers.
* Prepares required annual reports to be submitted to the Office of Special Education Programs (OSEP) at the US Department of Education. This includes the State Performance Plan/Annual Performance Report (SPP/APR) and all Section 618 Data reports.
* Attends meetings and conferences at the request of the Part C Director. Assists the Part C Director with contract and fiscal/budget management, as needed.
**The South Carolina Department of Health and Human Services offers an exceptional benefits package for FTE and TGE positions that includes****:*** Health, Dental, Vision, Long Term Disability, and Life Insurance for Employee, Spouse, and Children.
* 15 days annual (vacation) leave per year.
* 15 days sick leave per year.
* 13 paid holidays.
* State Retirement Plan and Deferred Compensation Programs.
**Minimum and Additional Requirements**
---------------------------------------
A bachelor's degree in public administration, education, early intervention, early childhood, psychology, special education or related field and a minimum of five (5\) years of in social service programs, business administration, general administrative management or relevant program experience.  
**Additional Requirements:**
* Occasional overnight travel.
**Preferred Qualifications**
----------------------------
* Knowledge of the agency's mission, programs and objectives.
* Extensive knowledge of IDEA Part C Regulations, BabyNet Policies and Procedures, BabyNet Systems of Payment, and the overall operations of the BabyNet program.
**Additional Comments**
-----------------------
Please complete the State application to include all current and previous work history and education. **A resume will not be accepted nor reviewed to determine if an applicant has met the qualifications for the position. Supplemental questions are considered part of your official application for qualification purposes.** All applicants must apply online. All correspondence from the Office of Human Resources will be through electronic mail.  
*The South Carolina Department of Health and Human Services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t>
        </is>
      </c>
    </row>
    <row r="34">
      <c r="A34" t="inlineStr">
        <is>
          <t>in-36fdba128b87bb87</t>
        </is>
      </c>
      <c r="B34" t="inlineStr">
        <is>
          <t>Program Manager I - 60020538</t>
        </is>
      </c>
      <c r="C34" t="inlineStr">
        <is>
          <t>State of South Carolina</t>
        </is>
      </c>
      <c r="D34" t="inlineStr">
        <is>
          <t>indeed</t>
        </is>
      </c>
      <c r="E34" t="inlineStr"/>
      <c r="F34" t="inlineStr"/>
      <c r="G34" t="inlineStr">
        <is>
          <t>SC, US</t>
        </is>
      </c>
      <c r="H34" s="2" t="n">
        <v>46029</v>
      </c>
      <c r="I34" t="inlineStr">
        <is>
          <t>**Job Responsibilities**
------------------------
**Program Manager I**  
The Department of Administration's (Admin) Division of Enterprise Applications is seeking a Program Manager I to join the team. We are in growth mode, and it is an exciting time to be a contributing member to SC Enterprise Information System (SCEIS)! SCEIS is the backbone of our business processes and ultimately empowers decision makers to improve government for the citizens. If you enjoy working at the intersection of people, process, and technology, and motivated by a fast paced, multi\-tasked and transforming environment, then this position could be for you! In this role, you will lead and organize cross\-functional teams as a coach, facilitator, and an agent of change. In this role you will serve as a functional resource for the enterprise enhancement and primary support on the Logistics team of the South Carolina Enterprise Information System (SCEIS), and as such implement and maintain related functionality in SAP and other software products focusing on evaluating, configuration, and maintenance of SCEIS software to manage the State's Procurement and Financial System. Work closely with SCEIS team members, management, and other outside agencies to support the on\-going development of system enhancements to include identification, testing, documentation, and training activities.  
This position is onsite in Columbia, SC.  
**Responsibilities of the Program Manger I:*** **Functional Support:**Act as a functional resource for the Logistics Team to provide operational support to SCEIS state agencies for the resolution of tickets/incidents presented to the SCEIS help desk through agency notification. Simulate or recreate user problems to resolve operating difficulties and identify problems. Assist with identifying and resolving problems for end users in day to day functions related to Logistics modules. Prepare and update all relevant documentation related to functional processes/support.
* **System Configuration:** Identify new or modified requirements including forms, reports, interfaces, conversions, and enhancements through blueprinting or agency approved requests to fulfill business needs. Collaborate with other functional teams to assure the integration and consideration of processes related to other functional areas. Work closely with consultants tasked to support configuration and development efforts.
* **Change Management/Testing:** Identify new or modified requirements for system updates based on system performance and/or agency notification. Create supporting functional team documentation for each phase of the change/release management process. Develop scripts and perform testing related to the change/release management process. Participate in relevant change/release management meetings and work closely with the Change and Release Management Team to ensure close collaboration and adherence to standards.
* **Cross\-Training:**Participate in cross\-training activities with other Logistics Team members rotating through designated module/functional processes to assure that all functional processes have back\-ups. Prepare and administer a check list of tasks that a team member must achieve during cross training to have a successful transfer of knowledge.
* **Training:**Provide support and assistance to the SCEIS Training Team in the planning and coordination activities needed to conduct instructor\-led training courses or other mediums as required. Serve as the Logistics training facilitator as required. Update Logistics reference and training material, including PowerPoint, uPerform, and supplemental documents, to accommodate new or modified functionality. Provide relevant Logistics assessment and training directly to agency users. Communicate new processes or changes in the SCEIS system to users through User Group and SCEIS Communications.
* Other duties as required to keep SCEIS applications operational and functional.
**Minimum and Additional Requirements**
---------------------------------------
* A bachelor's degree in business administration, information systems, computer science or related field and relevant experience; or equivalent work experience specific to implementing an ERP system and or relevant experience in governmental procurement.
**Additional Requirements:*** Must have strong analytical and organizational skills.
* Must be able to work with and coordinate the efforts of a diverse group of professionals.
* Must have SAP experience or experience in implementing an Enterprise Resource (ERP) system.
* Candidate must possess excellent customer service skills and approach to dealing with people at all levels by providing pleasant, professional and courteous interaction.
* Ability and willingness to learn and to maintain a high level of knowledge of SAP and related modules is essential.
* Ability to communicate verbally and in writing and to present in front of a large and small audiences.
* Must be able to work with a diverse group of professionals in any levels of an agency.
* Position may require overnight travel.
* Position may require employee to work evenings and weekends.
* Position may be required to report to work during emergency situations.
* Must have the ability to work in a team environment toward a common goal.
*Applicants indicating college credit or degree(s) on the application will be required to bring a copy of college transcript to the interview. A copy of the transcript may also be uploaded as an attachment to the application, if required by the hiring department or if desired by the applicant. Please note that some areas of the Department may require an official, certified copy of the transcript prior to hiring or within a specific timeframe required by that area, after hiring. Failure to produce an official, certified transcript may result in not being hired or termination.*
**Preferred Qualifications**
----------------------------
* Relevant experience with Ivalua is preferred.
* At least two years of ERP experience with familiarity in SAP.
**Additional Comments**
-----------------------
The Department of Administration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South Carolina Department of Administration offers an exceptional benefits package for full time (FTE) employees:****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35">
      <c r="A35" t="inlineStr">
        <is>
          <t>in-294f34fb31f53557</t>
        </is>
      </c>
      <c r="B35" t="inlineStr">
        <is>
          <t>Human Services Program Manager</t>
        </is>
      </c>
      <c r="C35" t="inlineStr">
        <is>
          <t>Prince William County Government</t>
        </is>
      </c>
      <c r="D35" t="inlineStr">
        <is>
          <t>indeed</t>
        </is>
      </c>
      <c r="E35" t="inlineStr"/>
      <c r="F35" t="inlineStr"/>
      <c r="G35" t="inlineStr">
        <is>
          <t>Woodbridge, VA, US</t>
        </is>
      </c>
      <c r="H35" s="2" t="n">
        <v>46029</v>
      </c>
      <c r="I35" t="inlineStr">
        <is>
          <t>**Introduction**
----------------
Great opportunity to Provide Essential Services to County Residents!
The Human Services Program Manager will manage staff within the Public Assistance Division who administer and support public assistance programs such as Medicaid, SNAP, and TANF. If you enjoy providing leadership and managerial oversight of multiple support programs, this full\-time position at the Prince William County Department of Social Services (DSS) is for you.
About This Role:
In this role, you will promote staff development and growth, promote the customer service perspective, represent the department at meetings, hearings, and public events while actively participating in organizational, strategic, and tactical planning for the division.
Additional duties include project and program management; monitor and evaluate staff and program performance; collect and analyze data and forecast possible outcomes; participate in policy development and revisions; participate in budget planning and management; establish methods for ensuring compliance with federal, state and local policies, procedures and guidelines; and implement actions to ensure continuous quality improvement.
Minimum Requirements:
The successful candidate will have a High School Diploma or G.E.D. and 8 years of related experience with public assistance administration and programs.
Preferences:
* Bachelor’s degree or higher in human services, social work, or a related field.
* Proficient in Microsoft Excel.
* 2 or more years of experience working in VaCMS.
* 3 or more years of:
	+ Supervisory experience in a Human Services program,
	+ Experience with public assistance programs such as Medicaid, SNAP, and TANF,
	+ Understanding policies and determining eligibility for public assistance, and
	+ Customer service experience in a fast\-paced environment.
Special Requirements:
* All DSS staff are required to provide emergency human services work, including staffing emergency shelters in the event of a community disaster.
* Candidates must pass criminal history, child protective services, and DMV background checks.
* Resource/foster parents for youth in the Prince William foster\-care program may not be employed by the Prince William Department of Social Services. Resource/foster parents for youth from other localities are welcome to apply.
* Staff in this position are eligible to telework but may be required to report to the office intermittently. Telework eligibility is subject to change as business needs warrant; there is no guarantee of telework.
 **Work Schedule:** 37\.5 hour work week; supervisor will determine specific work schedule (sometime between 8:00 and 5:00pm)
 **Hiring Salary Range**: $98,475 \- $128,017\.50
We also offer great benefits including:* Retirement from the Virginia Retirement System (VRS)
* 401a and 457 retirement savings and investment plans
* Paid Annual Leave
* Paid Personal Leave
* Paid Sick Leave
* Paid Holidays
* Optional Group Medical and Dental Health Plans
* Optional Group Life Insurance
* An Employee Assistance Program (EAP)
* Career Development Opportunities
Full time positions with Prince William County Government qualify for Public Service Loan Forgiveness.  
**NOTE:** The above position description is intended to represent only the key areas of responsibilities; specific position assignments will vary depending on the business needs of the department. To view the class description in its entirety,  
Prince William County is an Equal Opportunity Employer. In compliance with the Americans with Disabilities Act, the County will provide reasonable accommodations to qualified individuals with disabilities and encourages both prospective and current employees to discuss potential accommodations with the employer.**SEE YOURSELF HERE!**
Prince William County Government offers medical plans with corresponding pharmacy and basic vision coverage, as well as dental plans and a separate vision plan.  
Full\-time and part\-time Prince William County Government employees are eligible to participate in our plans; however, the level and cost of benefits depends on the classification of the position.   
The following positions do not accrue leave and are not eligible for holidays or other fringe benefits:* Temporary
* Provisional
* Seasonal employees</t>
        </is>
      </c>
    </row>
    <row r="36">
      <c r="A36" t="inlineStr">
        <is>
          <t>in-24091614cf552a00</t>
        </is>
      </c>
      <c r="B36" t="inlineStr">
        <is>
          <t>Real Estate Portfolio Program Manager</t>
        </is>
      </c>
      <c r="C36" t="inlineStr">
        <is>
          <t>Microsoft</t>
        </is>
      </c>
      <c r="D36" t="inlineStr">
        <is>
          <t>indeed</t>
        </is>
      </c>
      <c r="E36" t="inlineStr"/>
      <c r="F36" t="inlineStr"/>
      <c r="G36" t="inlineStr">
        <is>
          <t>Redmond, WA, US</t>
        </is>
      </c>
      <c r="H36" s="2" t="n">
        <v>46028</v>
      </c>
      <c r="I36" t="inlineStr">
        <is>
          <t>**Overview**  
Join an amazing team working at the intersection of real estate and technology to build the datacenter infrastructure that powers the Microsoft Cloud. We are seeking a Real Estate Portfolio Program Manager to support the planning and oversee execution of a program to deliver physical cloud base infrastructure across various geographies.
Cloud Operations and Innovation (CO\+I) is a growing organization within Microsoft that provides comprehensive support to procure, develop, and operate Microsoft’s physical cloud infrastructure, including datacenters. Our global network of highly secure datacenters spans 34 countries, connected by over 165,000 miles of fiber optic cables. They are the backbone of Microsoft’s Azure cloud platform and enable everything from AI infrastructure and collaboration tools to entertainment. We are looking for a passionate, high\-energy individual to join the CO\+I Cloud Infrastructure Acquisition team who will operate on both strategic and tactical levels to support the planning and delivery of entitled land, energy, and network that enables expansion of the Microsoft Cloud. This is a once in a career opportunity to make a significant contribution and impact to one of the largest datacenter portfolios worldwide.
In this role, you will contribute to the development of detailed integrated schedules including timelines and dependencies for large\-scale prepositioned and just\-in\-time projects. You will work with cross\-functional teams to ensure project milestones are met and deliverables are completed on time. You will monitor project risks and develop contingency plans to mitigate potential issues. You will continuously improve project management processes and tools to increase efficiency and effectiveness. The ideal candidate will be a strategic thinker with a technical background that enables them to successfully guide and communicate CO\+I’s vision for development. We are detail\-oriented, mission\-driven, and passionate about innovation.
 **Responsibilities**  
* Facilitate and participate in routine schedule reviews to analyze and validate progress.
* Proactively analyze project schedules by tracking float consumption, perform schedule integrity checks, carry\-out delay impact analysis, compare cost/resource curves to actuals, monitor monthly performance and carry out variance analysis supporting baseline management and change control processes throughout the project lifecycle.
* Update and continually improve program reporting to ensure real\-time progress is tracked and presented for decision\-making, health evaluations, and business opportunities.
* Identify and mitigate threats to the project schedules and initiate corrective actions through teammates.
* Support collaborative workshops to help facilitate planning, coordination, and accurate progress reporting.
* Use plain language to define complex program issues, assess various scenarios, and select the optimal execution plan to resolve issues and enable timely and predictable delivery.
* Lead the development of program tools and processes to continuously improve, as well as improve key metrics for delivery timeline predictability.
**Qualifications** **Required/Minimum Qualifications:**
* Bachelor's Degree in Business Management, Real Estate, Project Management, or related field AND 5\+ years relevant experience OR 7\+ years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While not required, we also look for the following**Preferred Qualifications:**
* Bachelor's Degree in Business Management, Real Estate, Project Management, or related field AND 7\+ years Portfolio Management, Real Estate, or Office management experience OR 10\+ years equivalent experience.
* Experience thriving within cross\-functional and/or cross\-team projects.
* Significant experience in planning medium\-to\-large sized capital projects in datacenter, oil and gas or chemicals (or related process industry).
* Demonstrated track record of a willingness and ability to consistently dive deep into project delivery, creative problem solving, and the ability to push past barriers to achieve full project execution.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in-1c47f99b7b0a6a37</t>
        </is>
      </c>
      <c r="B37" t="inlineStr">
        <is>
          <t>Lease Delivery Program Manager</t>
        </is>
      </c>
      <c r="C37" t="inlineStr">
        <is>
          <t>Microsoft</t>
        </is>
      </c>
      <c r="D37" t="inlineStr">
        <is>
          <t>indeed</t>
        </is>
      </c>
      <c r="E37" t="inlineStr"/>
      <c r="F37" t="inlineStr"/>
      <c r="G37" t="inlineStr">
        <is>
          <t>Chicago, IL, US</t>
        </is>
      </c>
      <c r="H37" s="2" t="n">
        <v>46028</v>
      </c>
      <c r="I37" t="inlineStr">
        <is>
          <t>**Overview**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Within that space, Microsoft’s Cloud Operations \&amp; Innovation (CO\+I) team is the engine that powers our cloud services. Our infrastructure is comprised of a large global portfolio of more than one hundred datacenters and one million servers. Our foundation is built upon and managed by a team of subject matter experts, who work tirelessly to support digital services for more than one billion customers and twenty million businesses in over ninety countries worldwide.
With environmental sustainability and optimization at the forefront of our datacenter design and operations, and the overarching Microsoft mission to empower every person and every organization on the planet to achieve more, we have ambitious plans to grow and evolve as we meet the ever\-changing and ever\-increasing business demands that position Microsoft as a world\-class provider. Underpinning these business imperatives, our culture is centered on embracing a growth mindset, a theme of inspiring excellence, and encouraging teams and leaders to bring their best each day.
To help us achieve our objectives, growth, and transformation, we are seeking a Lease **Delivery Program Manager** to support the **Lease \&amp;Land Team within** CO\+I.
 Within CO\+I, we are accountable for the delivery of our cloud infrastructure, which has scaled significantly in the past five years, through building our own data centers and leasing data centers through third parties. Due to the scale and pace of our growth, we are exploring new and exciting ways to manage and develop our business.
We are seeking a seasoned Program Manager to play a pivotal role in supporting our Microsoft CO\+I Lease and Land portfolio. The ideal candidate will possess in\-depth knowledge of the executed datacenter lease agreements and contracts, combined with strong expertise in datacenter construction and risk management throughout the project lifecycle. This role requires close collaboration with the datacenter lessors and internal Microsoft teams and taking ownership of project risk escalations to ensure clear communication and successful project and program delivery.
The role will also be instrumental in supporting the development and implementation of portfolio\-wide strategic initiatives and programs, with a focus on streamlining processes, enhancing development and analytics capabilities, and enabling business scalability.
 **Responsibilities**  
* Throughout project delivery, acts as the main Microsoft representative from the lease team to manage risk with lessor leadership and ensuring clear communication throughout the entire project lifecycle, including datacenter construction, fit\-out, and integration.
* Works closely with internal Microsoft teams (e.g., Construction, Engineering, Operations, E2E, Legal, Finance, Safety) to align program activities with the company's vision and goals.
* Monitors and tracks program data related to risk, schedule, KPIs, processes, and policies. Regularly reports on program progress concerning scope, risk, schedule, standards, and budget to Lease \&amp; Land leadership.
* Participates in and provides guidance during scheduled meetings with datacenter lessors and other program stakeholders. Coordinates meetings and activities to support program execution and resolve issues.
* Represents Microsoft as a safety advocate, ensuring compliance with safety standards and regulatory requirements (e.g., OSHA or equivalent).
* Analyzes safety metrics provided by lessors and communicates results to leadership to drive accountability and action.
* Assists in developing and implementing risk mitigation strategies, while tracking progress through metrics, dashboards, and scorecards.
* Leverages best practices to identify and recommend cost\-effective solutions, applying influence, strategic thinking, and negotiation skills to support successful project delivery.
* Identifies and scopes opportunities to develop new programs and improve current ones. Identifies and provides solutions to root problems, defines the program strategy, gathers program requirements, identifies resource needs, creates the project plan and targets, and works across teams to align.
* Improves operations of existing programs by applying industry methodology, defining complex program issues, assessing various scenarios, and selecting the optimal scenario to resolve issues.
**Qualifications** **Qualifications:**
* Bachelor's Degree in Business Management, Real Estate, Project Management, or related field AND 5\+ years relevant experience OR 7\+ years equivalent experience.
While not required, we also look for the following**Preferred Qualifications:**
* Bachelor's Degree in Business Management, Real Estate, Project Management, or related field AND 7\+ years Portfolio Management, Real Estate, or Office management experience OR 10\+ years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in-b22c6f984cae0890</t>
        </is>
      </c>
      <c r="B38" t="inlineStr">
        <is>
          <t>Principal Program Manager</t>
        </is>
      </c>
      <c r="C38" t="inlineStr">
        <is>
          <t>Oracle</t>
        </is>
      </c>
      <c r="D38" t="inlineStr">
        <is>
          <t>indeed</t>
        </is>
      </c>
      <c r="E38" t="inlineStr"/>
      <c r="F38" t="inlineStr"/>
      <c r="G38" t="inlineStr">
        <is>
          <t>Nashville, TN, US</t>
        </is>
      </c>
      <c r="H38" s="2" t="n">
        <v>46027</v>
      </c>
      <c r="I38" t="inlineStr">
        <is>
          <t>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 organizational/functional programs that impact both product and business.
You will partner with every team in OCI to make these programs happen. The space is fun, agile, cross cutting and complex. We work on true critical programs to the customer and that means support, help, partnership and alignment in the investment.
***Candidate Profile:***
* 8\+ years’ experience developing and implementing strategy, then executing against, large cross cutting programs.
* You display a demonstrated ability to think broadly and strategically.
* You possess a technology background that enables you to understand the complexities of cloud architecture.
* You possess and exemplify maturity, judgment, negotiation/influence skills, analytical skills, and leadership skills.
* You can work well with senior leaders within all of Oracle (from engineering to business) to drive results for core business initiatives.
* You work well in ambiguity, can work with your team to dive into a problem and create a solution
* Knowledge of Data Center architecture and operations.
* Familiarity and knowledge of AI workloads and SW stack.
* Experience in a customer facing role in a tech company. Experience with AI and HPC end customers is a big plus.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t>
        </is>
      </c>
    </row>
    <row r="39">
      <c r="A39" t="inlineStr">
        <is>
          <t>in-4a26a1440ff0039e</t>
        </is>
      </c>
      <c r="B39" t="inlineStr">
        <is>
          <t>Water and Wastewater Program Manager</t>
        </is>
      </c>
      <c r="C39" t="inlineStr">
        <is>
          <t>Microsoft</t>
        </is>
      </c>
      <c r="D39" t="inlineStr">
        <is>
          <t>indeed</t>
        </is>
      </c>
      <c r="E39" t="inlineStr"/>
      <c r="F39" t="inlineStr"/>
      <c r="G39" t="inlineStr">
        <is>
          <t>Redmond, WA, US</t>
        </is>
      </c>
      <c r="H39" s="2" t="n">
        <v>46026</v>
      </c>
      <c r="I39" t="inlineStr">
        <is>
          <t>**Overview** *The Microsoft Datacenter Development Land Development and Community (LDC) team supports the development and delivery of Microsoft’s datacenter portfolio from site selection through design, construction, and operation. The Microsoft datacenter development portfolio consists of complex, multi\-disciplinary, large scale, multi\-year datacenter construction and lease projects.*
*Within LDC the Cloud Infrastructure Water Program team is responsible for the planning and development and on\-time delivery of water and wastewater infrastructure and service capacity to support construction, commissioning and operation of Datacenters needed to build out Microsoft’s cloud infrastructure.*
*In this role the Water Program Manager will manage wet utility due diligence, water and wastewater permit planning and approvals, and support enablement of offsite water and wastewater infrastructure during site acquisition, land development, design, and construction for datacenters throughout the Americas. This role requires regular engagement with key Microsoft stakeholders, including legal, design, construction, and operations teams, regulatory agencies, and outside consultants and contractors.*
*The Water Program Manager will be a key player in both the strategy and execution of water and wastewater utility enablement for our projects. Water Program Manager is part of a team of water and wastewater program managers but works across the greater organization to drive an effective, fast and efficient water and wastewater utility development process to eliminate gaps between teams and ensure on\-time planning and delivery of various water and wastewater utility projects and agreements.*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Water Program Manager will be responsible for driving appropriate cross\-team delivery in the planning, review, coordination and enablement of water and wastewater for data centers to allow for the permitting, commissioning, construction, and operation of our critical infrastructure. Specific responsibilities will include:
* Leads the identification of requirements and strategies for water and wastewater enablement across multiple datacenter projects. Gathers requirements, identifies resource needs, creates the enablement schedule and project execution plan and targets, and works across teams to drive the successful delivery of the schedule.
* Clearly define highly complex water and wastewater program issues, assessing various scenarios, and selecting the optimal execution plan to resolve issues and enable water and wastewater delivery to the datacenter. Strives for simplification.
* Conduct comprehensive assessments during due diligence and throughout design and construction to identify water and wastewater delivery requirements and associated risks.
* Coordinate with key internal counterparts including land development, design, construction, operations and environmental team leaders to develop comprehensive and integrated water and wastewater delivery strategies
* Communicate key risks, mitigations, and policies to internal Microsoft stakeholders.
* Work with internal and external stakeholders to identify innovative solutions to resolve delays to construction or other activities due to water and wastewater delivery delays.
* Identify agency engagement strategy and represent Microsoft in key meetings with applicable Authorities Having Jurisdiction (AHJ), regulatory agencies, external stakeholders, and the public to facilitate water and wastewater delivery and datacenter development.
* Own key strategic relationships with utilities, AHJs, regulatory agencies, government officials and other key external stakeholders and act as a single point of contact for all discussions around water and wastewater approvals.
* Lead the development of program tools and processes to continuously improve the delivery of water and wastewater programs and delivery for datacenter development.
* Educate the project team on water and wastewater requirements to ensure timely approvals and compliance.
* Responsible for improving key metrics including water and wastewater delivery timeline predictability.
* Support of regulatory agency, stakeholder and community engagement activities and negotiations for new builds and existing facilities.
* Leverage technical expertise to provide support to internal Microsoft stakeholders during development of new initiatives and programs.
* Facilitate cross\-team communication of land development and wet utility requirements to diverse internal stakeholders, including legal, end\-to\-end, land acquisition, land development, energy, design, construction, operations, community development, CELA, and sustainability teams.
* Report out regularly on actions taken, strategy, and risks.
* Other: Embody our Culture and Values
**Qualifications** **Required/minimum qualifications**
* Bachelor's Degree in Business Management, Real Estate, Project Management, or related field AND 3\+ years relevant experience OR 5\+ years equivalent experience.
**Additional or preferred qualifications**
* Bachelor's Degree in Business Management, Real Estate, Project Management, or related field AND 5\+ years Portfolio Management, Real Estate, or Office Management experience OR 7\+ years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Verification: This position requires verification of US Citizenship to meet federal government security requirements.
\#COICareers \| \#EPCCareers \| \#DCDCareers
Real Estate Portfolio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in-796d4a8a40e028e4</t>
        </is>
      </c>
      <c r="B40" t="inlineStr">
        <is>
          <t>Sr. Supply Chain Program Manager</t>
        </is>
      </c>
      <c r="C40" t="inlineStr">
        <is>
          <t>Microsoft</t>
        </is>
      </c>
      <c r="D40" t="inlineStr">
        <is>
          <t>indeed</t>
        </is>
      </c>
      <c r="E40" t="inlineStr"/>
      <c r="F40" t="inlineStr"/>
      <c r="G40" t="inlineStr">
        <is>
          <t>Redmond, WA, US</t>
        </is>
      </c>
      <c r="H40" s="2" t="n">
        <v>46013</v>
      </c>
      <c r="I40"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Microsoft Cloud Planning (MCP) is the central planning function within CSCP focused on forecasting, demand planning, and supply planning for all Microsoft Cloud services and associated hardware, directly impacting the success of Microsoft's cloud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**Supply Planning \&amp; Execution**
* Develop, publish, and maintain the Supply Plan of Record (SPOR) across short‑term and long‑term planning horizons.
* Execute supply smoothing to balance capacity, demand variability, and service level requirements.
* Validate and maintain planning parameters to ensure accurate and effective supply planning output.
* Maintain high‑quality master data required for execution of the supply planning process.
**Scenario \&amp; Risk Analysis**
* Conduct scenario modeling to understand impacts of demand shifts, component constraints, supply disruptions, or portfolio changes.
* Recommend and implement mitigation strategies to ensure supply continuity and operational flexibility.
**Inventory Planning \&amp; Optimization**
* Set and maintain inventory and buffer targets aligned to supportability, financial guidelines, and service\-level objectives.
* Monitor inventory health across all supply nodes, identifying risks related to aging, excess, or obsolescence (E\&amp;O).
* Drive cross‑functional actions that reduce E\&amp;O exposure and improve inventory efficiency.
**Cross‑Functional Collaboration**
* Partner closely with Planning, Sourcing, Engineering, Operations, IBP, and Finance to ensure alignment on supply strategies, constraints, and mitigation actions.
* Contribute to development of multi‑sourcing strategies, material substitution approaches, and supply continuity plans.
**Process, Tools \&amp; Continuous Improvement**
* Identify process and system gaps; propose and implement solutions that enhance planning efficiency, standardization, and controls.
* Support process documentation and improvements aligned with operational excellence and audit requirements.
* Participate in continuous improvement initiatives to elevate planning accuracy, agility, and governance.
**Data, Reporting \&amp; Metrics**
* Extract, consolidate, and analyze supply chain data to produce actionable insights and operational reporting.
* Provide metrics on supply plan accuracy, forecast volatility, and execution performance.
* Ensure data integrity and completeness to support decision‑making and compliance.
**Qualifications** **Required Qualifications:**
* Bachelor's Degree in Engineering, Industrial Engineering, Supply Chain Management, Operations Management, Supply Chain Analytics, or related field AND 3\+ years supply planning, operations, supply chain, indirect supply planning, technology\-related supply chain, sourcing and manufacturing, Sales \&amp; Operations Planning, material requirement planning systems and tools or related experience
	+ OR Master's Degree in Engineering, Industrial Engineering, Supply Chain Management, Business, Operations Management, Supply Chain Analytics, or related field AND 1\+ year(s) supply planning, operations, supply chain, indirect supply planning, technology\-related supply chain, sourcing and manufacturing, Sales \&amp; Operations Planning, material requirement planning systems and tools or related experience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Industrial Engineering, Supply Chain, Operations Management, or related field.
* Cloud/Hyperscale or high‑tech supply chain experience.
* Proven business acumen with the ability to think and plan strategically.
* Excellent executive communication skills, including the ability to distill complex concepts and present insights clearly to senior leadership.
* Proven critical thinking skills and the ability to drive clarity in ambiguous situations.
* Demonstrated ability to influence stakeholders and lead process improvements in a matrixed environment.
* Comfortable operating in a fast‑paced, high‑growth environment.
\#CSCP \#CSCPJobs
Supply Planning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in-d4c7e309a4a998fb</t>
        </is>
      </c>
      <c r="B41" t="inlineStr">
        <is>
          <t>Sr. Program Manager - Data Science Integration</t>
        </is>
      </c>
      <c r="C41" t="inlineStr">
        <is>
          <t>Microsoft</t>
        </is>
      </c>
      <c r="D41" t="inlineStr">
        <is>
          <t>indeed</t>
        </is>
      </c>
      <c r="E41" t="inlineStr"/>
      <c r="F41" t="inlineStr"/>
      <c r="G41" t="inlineStr">
        <is>
          <t>Redmond, WA, US</t>
        </is>
      </c>
      <c r="H41" s="2" t="n">
        <v>46013</v>
      </c>
      <c r="I41"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Microsoft Cloud Planning (MCP) is the central planning function within CSCP focused on forecasting, demand planning, and supply planning for all Microsoft Cloud services and associated hardware, directly impacting the success of Microsoft's cloud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**Project Intake, Prioritization, and Resource Alignment**
	+ Integrate Data Science project intake and prioritization processes into enterprise governance.
	+ Ensure incoming requests are evaluated, sequenced, and resourced based on business priorities.
	+ Coordinate alignment across Business Operations, Transformation PM teams, and Data Science stakeholders.
	+ **Business Requirements \&amp; Scoping**
	+ Lead the initial assessment of new business inquiries by defining the problem, expected outcomes, success measures, and priority.
	+ Facilitate early discussions with Data Science partners to evaluate feasibility and clarify requirements needed for downstream planning and resourcing.
	+ **Data Science Work Enablement \&amp; Platform Development**
	+ Partner with Data Science, Engineering, Data Analytics, and Transformation PM teams to enhance systems, tooling, and data pipelines that support the end‑to‑end Data Science lifecycle, including data acquisition, experimentation, and model deployment.
	+ **Process Optimization \&amp; Cross‑Functional Integration**
	+ Evaluate and improve Data Science operating processes to ensure alignment with Business Operations workflows.
	+ Strengthen intake readiness, integration points, and responsiveness to evolving business needs.
	+ **Executive \&amp; Stakeholder Communication**
	+ Manage communication rhythms, including roadmap updates, progress reviews, risks, and impact summaries.
	+ Provide regular updates to leadership to ensure visibility, alignment, and informed decision‑making.
	+ **Cross‑Functional Program Leadership**
	+ Act as the connector between technical and business teams. Drive clarity, shared priorities, and execution alignment.
	+ Manage dependencies, risks, and deliverables across multiple workstreams.
	+ **Operational Excellence \&amp; Continuous Improvement**
	+ Develop and refine governance models, metrics, and reporting mechanisms to monitor performance and identify areas for improvement.
	+ Support continuous enhancement of Data Science execution efficiency and throughput.
**Qualifications** **Required Qualifications:**
Master's Degree in Business, Project Management, Supply Chain, Computer Science, Management Information Systems, Engineering, or related field AND 4\+ years experience in project management, operations, or engineering OR Bachelor's Degree in Business, Project Management, Supply Chain, Computer Science, Management Information Systems, Engineering, or related field AND 6\+ years experience in project management, operations, or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6\+ years driving cross functional programs across Data Science, Engineering, and Business Operations.
* 6\+ years leadership experience in Supply Chain • Experience collaborating closely with Data Science teams across the full model lifecycle, including problem framing, data acquisition, feature development, experimentation, and production deployment.
* Familiarity with common Data Science workflows, tools, and environments (e.g., Python‐based experimentation, ML pipelines, notebook workflows, feature stores).
* Proven executive communication skills for roadmaps, business reviews, and risk/impact storytelling.
* Ability to work in an ambiguous and fast\-moving environment
\#CSCP \#CSCPJobs
Technical Solution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in-17102bbe6262f9fb</t>
        </is>
      </c>
      <c r="B42" t="inlineStr">
        <is>
          <t>Product Manager II</t>
        </is>
      </c>
      <c r="C42" t="inlineStr">
        <is>
          <t>Microsoft</t>
        </is>
      </c>
      <c r="D42" t="inlineStr">
        <is>
          <t>indeed</t>
        </is>
      </c>
      <c r="E42" t="inlineStr"/>
      <c r="F42" t="inlineStr"/>
      <c r="G42" t="inlineStr">
        <is>
          <t>Redmond, WA, US</t>
        </is>
      </c>
      <c r="H42" s="2" t="n">
        <v>46012</v>
      </c>
      <c r="I42" t="inlineStr">
        <is>
          <t>**Overview**  
Are you ready to **transform collaboration in the era of agents and the frontier firm** for millions of people worldwide? Channels are where people and agents come together to get work done, breaking down organizational silos and amplifying collective insights to achieve more. Our team is at a pivotal moment in redefining collaborative productivity, and we're looking for a creative and self\-starting product leader to drive channels experiences in Microsoft Teams, the fastest growing business application in the history of Microsoft.
This role will define product experiences for how teams and organizations can collaborate more effectively in channels. We are looking for a **Product Manager II** with a focus on product thinking at the system level, high\-craft user experiences, cross\-team collaboration, and external customer engagement. Our mission is challenging and rewarding, and our team culture emphasizes growth across product leadership skills through individual opportunities and a highly collaborative team dynamic.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Understand customer needs and product goals and develop principles to guide product investments in Microsoft Teams channels experiences.
* Define product requirements and success measures for feature updates to channels experiences. Evaluate product updates through feedback and data, derive insights, improve and deliver product updates that delight customers.
* Collaborate closely with design, engineering, research, and partner teams throughout to align product outcomes.
* Communication with internal stakeholders and external customers that brings clarity and energy, fosters trust and inclusion, and builds mutual understanding.
**Qualifications** **Required Qualifications:**
* Bachelor's Degree AND 2\+ years experience in product/service/program management or software development
	+ OR equivalent experience.
**Preferred Qualifications:*** Bachelor's Degree AND 5\+ years experience in product/service/program management or software development
	+ OR equivalent experience.
* Demonstrated industry experience designing, specifying, measuring and shipping software and service product experiences
* Excellence in user experience design, customer and competitive insights, and data mindset that drives outcomes.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3">
      <c r="A43" t="inlineStr">
        <is>
          <t>in-b0f8604e99ff85e5</t>
        </is>
      </c>
      <c r="B43" t="inlineStr">
        <is>
          <t>Principal Technical Program Manager</t>
        </is>
      </c>
      <c r="C43" t="inlineStr">
        <is>
          <t>Microsoft</t>
        </is>
      </c>
      <c r="D43" t="inlineStr">
        <is>
          <t>indeed</t>
        </is>
      </c>
      <c r="E43" t="inlineStr"/>
      <c r="F43" t="inlineStr"/>
      <c r="G43" t="inlineStr">
        <is>
          <t>Redmond, WA, US</t>
        </is>
      </c>
      <c r="H43" s="2" t="n">
        <v>46012</v>
      </c>
      <c r="I43" t="inlineStr">
        <is>
          <t>**Overview**  
Microsoft Cloud Operations and Innovation (CO\+I) is the engine that powers Microsoft’s cloud. CO\+I designs, builds, and operates our global datacenters; manages demand planning and capacity utilization for Microsoft’s cloud infrastructure; and oversees end‑to‑end operations including supply chain, hardware, power, security, workflows, and data systems. Our mission centers on smart growth driven by automation, data‑driven engineering, efficient operations, and environmental sustainability.
Within CO\+I, the CO\+I Engineering organization delivers the engineering ecosystem that enables datacenter capacity delivery and operations at global scale. Inside CO\+I Engineering, the CPMD organization leads product strategy, platform development, cross\-functional delivery, and service reliability for the systems that power Microsoft’s cloud growth.
We are seeking a Principal Technical Program Manager with deep expertise in Data Management, including master data, metadata management, reference data, and document lifecycle controls, to lead high‑impact, cross\-functional programs that strengthen the integrity, usability, and compliance of CO\+I’s critical data assets. This role will drive the strategy, roadmap, and execution of enterprise\-wide initiatives that unify master data domains, align authoritative sources, modernize metadata and cataloging capabilities, and streamline document and content workflows across the CO\+I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Technical Program Manager (TPM), you will lead the definition, development, and execution of enterprise\-scale Master Data and Document Management solutions that enable end\-to\-end data center capacity delivery across the CO\+I organization. You will drive programs that modernize how CO\+I manages authoritative master data, controlled documents, and the critical information flows that support design, construction, operations, compliance, and AI readiness. In this role, you will partner closely with engineering, business stakeholders, and domain experts to lead initiatives from early strategy through execution. You will define and implement state‑of‑the‑art processes and platform capabilities for master data lifecycle management, data quality, reference data, document control, and compliance, ensuring accuracy, consistency, and trust across systems.
As a Principal TPM, you will:
* Identify complex opportunities and systemic gaps across master data domains and document lifecycle processes, then collaborate with engineering, compliance, operations, and business teams to evaluate solution options and define a unified roadmap for modernizing data and document management capabilities.
* Partner with Business and Software Engineering to design scalable, secure, and standards‑driven technical solutions across master data, metadata, taxonomy, document control, and integration feature areas. Proactively identify risks related to data quality, lineage, migration, and compliance, and drive mitigation strategies grounded in data insights.
* Define success criteria for master data accuracy, data quality uplift, document lifecycle reliability, governance maturity, and user experience improvements. Build strong cross\-functional relationships and ensure alignment on implementation plans for complex enterprise\-wide features.
* Deliver roadmap outcomes across multiple feature groups, including master data lifecycle enhancements, reference data services, controlled document workflows, and integration with platforms such as MDM Solution, Digital Asset Solution, SharePoint, and Microsoft Purview. Track schedules, manage program governance, oversee release planning, and drive execution across engineering and business functions.
* Drive continuous improvements by validating use cases and writing test cases. You’ll also lead teams to partner with other departments to collect performance metrics, drive customer support, and lead direct customer / user engagements.
* Embody our Microsoft One culture and values.
**Qualifications** **Required Qualifications:**
* Bachelor’s Degree and 6\+ years' experience in engineering, product/technical program management, or product development OR equivalent experience.
* 3\+ years of experience managing cross\-functional and/or cross\-team projects.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engineering, product/technical program management, data analysis, or product development OR equivalent experience.
* 8\+ years of experience managing cross\-functional and/or cross\-team projects.
* 5\+ years experience and delivering end\-to\-end distributed systems.
* Experience in cloud infrastructure management
* Analytical skills to analyze data, identify trends, and make data\-driven decisions. Ability to diagnose and guide teams to troubleshoot issues, solve complex problems, and propose innovative solutions.
* Experience leading complex data management, document management, MDM, or data platform initiatives.
* Demonstrate proficiency in interpersonal, communication and presentation skills.
\#COICareers \| \#EPCCareers \| \#DCDCareers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4">
      <c r="A44" t="inlineStr">
        <is>
          <t>in-20b91af0ee91afc8</t>
        </is>
      </c>
      <c r="B44" t="inlineStr">
        <is>
          <t>Senior Technical Program Manager</t>
        </is>
      </c>
      <c r="C44" t="inlineStr">
        <is>
          <t>Microsoft</t>
        </is>
      </c>
      <c r="D44" t="inlineStr">
        <is>
          <t>indeed</t>
        </is>
      </c>
      <c r="E44" t="inlineStr"/>
      <c r="F44" t="inlineStr"/>
      <c r="G44" t="inlineStr">
        <is>
          <t>Redmond, WA, US</t>
        </is>
      </c>
      <c r="H44" s="2" t="n">
        <v>46012</v>
      </c>
      <c r="I44" t="inlineStr">
        <is>
          <t>**Overview**  
The Excel team is building an AI agent that enables every customer to work with spreadsheets like an expert, combining their understanding of their domain and task with Copilot's ability to build powerful workbooks that are tailored to their exact needs and preferences, solving real world problems that once took hours in minutes.
Excel is critical to customers in myriad industries and in myriad contexts, and our agent must support a wide range of domains, tailored to the needs of the diverse users.
In this role as a **Senior Technical Program Manager**, you'll enable us to work with customers and partners to acquire the necessary tools and data to tailor our agent to each of those scenarios, working hand\-in\-hand with users to understand exactly what high quality spreadsheets look like, and translating that knowledge into rapid improvements in the agent and its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our efforts to acquire the data needed to tailor the agentic capabilities in Excel to specific use cases / industries / etc.
* Help us transform that data and the corresponding user insights into actionable forms that can be used to improve our AI models
* Scale our approach to the breadth of tasks that users leverage Excel to complete every day.
* Embody Microsoft’s Culture and Values in daily work and team collaboration
**Qualifications** **Required Qualifications:**
* Bachelor's Degree AND 4\+ years experience in engineering, product/technical program management, data analysis, or product development OR equivalent experience with 2\+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in-565d325ce467adfc</t>
        </is>
      </c>
      <c r="B45" t="inlineStr">
        <is>
          <t>Principal Partner Enablement Program Manager- Windows IoT</t>
        </is>
      </c>
      <c r="C45" t="inlineStr">
        <is>
          <t>Microsoft</t>
        </is>
      </c>
      <c r="D45" t="inlineStr">
        <is>
          <t>indeed</t>
        </is>
      </c>
      <c r="E45" t="inlineStr"/>
      <c r="F45" t="inlineStr"/>
      <c r="G45" t="inlineStr">
        <is>
          <t>Redmond, WA, US</t>
        </is>
      </c>
      <c r="H45" s="2" t="n">
        <v>46009</v>
      </c>
      <c r="I45" t="inlineStr">
        <is>
          <t>**Overview**  
Windows IoT powers mission‑critical devices across industries—from retail POS and kiosks to healthcare, manufacturing, and edge solutions. We’re looking for a **Principal Partner Enablement Manager** to lead our Windows IoT product strategy and partner ecosystem, enabling OEMs, silicon partners, and internal product teams to build durable, secure, and scalable solutions on Windows IoT.
We are part of **Windows Servicing and Delivery (WSD)**, the team that ensures Windows and Windows Server remain secure, reliable, and continuously improving for billions of devices globally. In this high‑impact role, you’ll shape the future of Windows IoT platforms, simplify partner enablement, and strengthen security for customers everywhere—while driving an AI‑forward approach to product strategy and operations.
Ask yourself:
* Do you thrive at the intersection of technology, business strategy, and partner engagement?
* Are you passionate about shaping the future of IoT while leveraging AI to accelerate impact?
* Do you want to influence products that power billions of devices globally and drive innovation across industries?
If these questions inspire you,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IoT business strategy and growth: Define and execute IoT business plans aligned to company objectives, identify new opportunities, and manage financial forecasting with Business Planning and Finance.
* Shape product lifecycle and roadmap: Own LTSC and edition strategy, partner on lifecycle management, and develop a multi\-release roadmap informed by customer insights, competitive analysis, and AI\-driven data.
* Lead partner ecosystem engagement: Build and maintain strategic relationships with silicon vendors (Intel, AMD, Qualcomm), OEM partners, and internal stakeholders to align roadmaps and deliver joint success. Act as the Voice of Partner (VOP) throughout Engineering rhythm, you will coordinate with partners when they come across issues and areas for improvement in their products/services.
* Enable sales and partner readiness: Create compelling value propositions, reference architectures, and enablement materials; leverage AI tools to accelerate content creation and improve pipeline development.
* Drive innovation and AI adoption: Embed AI\-driven insights into decision\-making, lifecycle planning, and partner initiatives to keep Microsoft at the forefront of IoT and edge innovation.
**Qualifications** **Required Qualifications:**
* Bachelor's Degree in Engineering, Computer Science, or related field AND 8\+ years experience in relevant technical domain (e.g., cloud services, security), technical sales, marketing, product management, customer support, or cross\-group/cross\-functional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Engineering, Computer Science, or related field AND 12\+ years experience in relevant technical domain (e.g., cloud services, security), technical sales, marketing, product management, customer support, or cross\-group/cross\-functional engineering
	+ OR equivalent experience.
* 3\+ years of experience managing cross\-functional or cross\-team projects.
* Demonstrated success engaging silicon vendors and OEMs to deliver co\-engineered solutions and go\-to\-market strategies.
* Experience with IoT solutions or the IoT market—on Windows or other OS platforms (Linux, Android, RTOS, etc.)
* Strategic leadership \&amp; execution: Proven ability to drive product strategy, make tradeoffs, and deliver durable outcomes across multi\-team, multi\-year investments.
* Business \&amp; technical fluency: Strong business acumen (forecasting, pricing/packaging, investment cases) combined with expertise in Windows/edge or embedded scenarios and OEM/silicon alignment (x86/ARM).
* Executive communication \&amp; collaboration: Skilled at creating clarity, building alignment, and energizing internal and external stakeholders; experience working with device programs (e.g., Teams Rooms, Xbox, Surface).
* AI\-forward mindset: Comfortable using AI tools for analysis, decision support, and operational efficiency, with evidence of embedding AI into partner/customer experiences or product workflows.
* MBA or equivalent strategy experience is a plus.
\#wsdjobs \#wsdcfe  
Partner Enablement Program Mgmt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in-df1982cf2abf637b</t>
        </is>
      </c>
      <c r="B46" t="inlineStr">
        <is>
          <t>Senior Product Manager</t>
        </is>
      </c>
      <c r="C46" t="inlineStr">
        <is>
          <t>Microsoft</t>
        </is>
      </c>
      <c r="D46" t="inlineStr">
        <is>
          <t>indeed</t>
        </is>
      </c>
      <c r="E46" t="inlineStr"/>
      <c r="F46" t="inlineStr"/>
      <c r="G46" t="inlineStr">
        <is>
          <t>Redmond, WA, US</t>
        </is>
      </c>
      <c r="H46" s="2" t="n">
        <v>46009</v>
      </c>
      <c r="I46" t="inlineStr">
        <is>
          <t>**Overview**  
As a Senior Product Manager focused on Windows Commercial User Experiences, you will own strategy and execution for features that empower IT administrators to manage Windows devices effectively and maximize user productivity in commercial environments. This role demands customer obsession, the ability to navigate ambiguity across multiple teams, and a passion for delivering impactful solutions that improve productivity and satisfaction across diverse commercial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Strategy and Vision: Define and lead the roadmap for commercial user experiences in Windows ensuring alignment with organizational priorities and customer needs.
* Own Product Areas: Take end\-to\-end ownership of medium\-to\-large feature areas, including framing problems, defining OKRs/KPIs, and setting design direction.
* Cross\-Team Leadership: Collaborate with engineering, design, security, and partner teams to deliver multi\-release strategies and ensure customer\-perceivable value.
* Customer Engagement: Gather insights through telemetry, feedback loops, and direct engagement with enterprise customers to inform decisions and prioritize investments.
* Data\-Driven Decisions: Use data and AI tools to synthesize insights, validate hypotheses, and shape roadmap decisions.
Mentorship and Influence: Mentor eary in career PMs and contribute to building a culture of clarity, inclusion, and excellence across the team.  
* 
**Qualifications** **Required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experience working on user experience features.
* Experience in Windows or enterprise software ecosystems.
* Knowledge of commercial IT administration scenarios and tools.
* Proven experience in product management with ownership of medium\-to\-large feature areas.
* Demonstrated ability to use generative AI in all phases of product management from research to prototyping.
* Demonstrated fundamental skills: framing, storytelling, cross\-team partnerships, and design direction.
* Proven ability to independently define strategy, scope, and success metrics.
* Demonstrated communication skills and executive maturity to represent the team effectively
\#W\+DJOBS \#wsdjobs \#wsdcfe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in-5587d08ea5400c13</t>
        </is>
      </c>
      <c r="B47" t="inlineStr">
        <is>
          <t>Datacenter Business Operations Program Manager II</t>
        </is>
      </c>
      <c r="C47" t="inlineStr">
        <is>
          <t>Microsoft</t>
        </is>
      </c>
      <c r="D47" t="inlineStr">
        <is>
          <t>indeed</t>
        </is>
      </c>
      <c r="E47" t="inlineStr"/>
      <c r="F47" t="inlineStr"/>
      <c r="G47" t="inlineStr">
        <is>
          <t>Atlanta, GA, US</t>
        </is>
      </c>
      <c r="H47" s="2" t="n">
        <v>45980</v>
      </c>
      <c r="I47" t="inlineStr">
        <is>
          <t>**Overview**  
In alignment with our Microsoft values, we are committed to cultivating an inclusive work environment for all employees to positively impact our culture every day and we need you as a **Datacenter Business Operations Program Manager II** with the primary focus at reducing stranded capacity by being a key member of the local team in the deployment planning and optimization of the IT capacity, working closely with Electrical Engineers and Critical Environment Field Service Engineer.
Microsoft’s Cloud Operations \&amp; Innovation (CO\+I) is the engine that powers our cloud services. As a CO\+I Business Operations Program Manager, you will perform a key role in delivering the core infrastructure and foundational technologies for Microsoft's online services including Bing, Office 365, Xbox, OneDrive, and the Microsoft Azure platform. By enabling data center capacity through increased Infrastructure Utilization Effectiveness (IUE) and Power Harvesting (PH), you will lead the retrofit efforts to upgrade legacy datacenters and harvest capacity in our existing fleet.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**As a Datacenter Operations Business Program Manager II, your performance objectives include:**
* **Be accountable to provide program governance, leadership, and direction for all projects** at the campus level to ensure projects are planned and executed on budget and schedule
* **Support the DC Project Manager’s with project estimation, budget management, ROI calculations, formulate project delivery strategies** while establishing milestones and schedules
* **Maintain and report project status, monitor progress, and act as an escalation point** ensuring achievement of intended outcomes
* **Support the Campus Director with Field Employee communications** including townhalls, organizing listening sessions, and local campus level communications
* **Liaise with the Data Center Operational Efficiencies team** to ensure campus level financial planning and performance reviews are conducted in accordance to the rhythm of business fiscal calendars and objectives
* **Support the field operations leadership teams** to operationalize all strategic initiatives consistently and effectively at the campus level
* **Identify and manage scheduling conflicts** working with stakeholders to negotiate implementation dates and schedules across IT, CE, and Facilities teams
**Capabilities important to success include:**
* **Operational Planning \&amp; Project Management:** Show structured thinking, planning, and the ability to execute by working through others, influencing without authority, and dealing with ambiguity
* **Exceptional written and Interpersonal skills:** Communicate effectively and concisely with stakeholders, senior managers, and leaders about our programs and objectives
* **Customer/Stakeholder Focus:** Gather stakeholder impressions of services and programs, integrating this feedback into decision making. Allocate and align resources to optimize the stakeholder and partner experience.
* **Performance Goal and Standards Setting:** Develop and communicate to realistic timelines via plans that consider potential obstacles and immediate \+ long\-term consequences
* **Understand datacenter business objectives:** Critically review multiple plans and adjust as needed. Proactively communicate and address necessary trade\-offs
* **Process and Technology:** Demonstrate a solid understanding of IT and CE environments including operational processes and industry best practices
* **Flexibility and Adaptability:** Regularly scan the environment to help anticipate changes that could affect key programs and projects. Effectively changes plans, goals, actions or priorities to respond to changing situations.
* **Team Player:** Ability to both contribute strategically to this relatively new team and support strategic decisions once debate is over.
* **Execute the change management governance process** at the Campus/Metro level that ties back to Global and Regional DC Operations Change Management standards
* **Manage the daily Change Management functions at the Campus/Metro level** including maintaining and documenting change management procedures, stakeholder management, technical and business impact assessment
* **Lead the daily Campus/Metro Change Review meetings** with local team members and stakeholders
* Monitor to ensure **only approved and validated changes are executed**
* **Identify and manage scheduling conflicts** working with stakeholders to negotiate implementation dates and schedules across IT, CE, and Facilities teams
**Qualifications** **Required Qualifications:**
* High School Qualification or equivalent AND 3\+ years experience supporting IT equipment or related technology or delivering server and network deployment projects in large\-scale environments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Background in continuous, around‑the‑clock production or service operations (24x7x365\).
* Familiarity with datacenter operations tools, procedures, or comparable technical environments.
* Demonstrated ability to adhere to standardized change control or change management practices.
* ITIL Foundation Certification
* Technical College degree or certification in Computer Science, Math, Telecommunications, Electrical\- or Mechanical Engineering or equivalent work experience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in-bf242278a63eb101</t>
        </is>
      </c>
      <c r="B48" t="inlineStr">
        <is>
          <t>Product Manager</t>
        </is>
      </c>
      <c r="C48" t="inlineStr">
        <is>
          <t>New Walton Services</t>
        </is>
      </c>
      <c r="D48" t="inlineStr">
        <is>
          <t>indeed</t>
        </is>
      </c>
      <c r="E48" t="inlineStr"/>
      <c r="F48" t="inlineStr"/>
      <c r="G48" t="inlineStr">
        <is>
          <t>Remote, US</t>
        </is>
      </c>
      <c r="H48" s="2" t="n">
        <v>46032</v>
      </c>
      <c r="I48" t="inlineStr">
        <is>
          <t>**PLEASE READ FULL JOB DESCRIPTION BEFORE APPLYING.** 
**About Us**
We’re building a modern invoicing and payments platform for service businesses, contractors, and freelancers. Our product is already in beta and preparing for release, so you’ll be joining at a critical stage where you’ll own product direction, execution, and delivery for core invoicing and Stripe\-powered payment experiences.
**What You’ll Do**
* Own the product roadmap for invoicing, payments, and related financial workflows from beta through launch
* Translate business goals and customer needs into clear product requirements, user stories, and acceptance criteria
* Partner closely with engineering, design, and operations to deliver high\-quality, production\-ready features
* Lead discovery efforts including customer interviews, feedback analysis, and usability testing
* Define and prioritize features related to invoicing, subscriptions, payouts, and payment integrations
* Collaborate with engineering on technical tradeoffs, scope decisions, and delivery timelines
* Ensure seamless Stripe integrations across Payments, Invoicing, Webhooks, and Connect from a product perspective
* Monitor product performance using KPIs, user behavior, and feedback to drive continuous improvement
* Act as the primary internal advocate for the customer and the product vision
**What We’re Looking For**
* 5\+ years of product management experience, preferably in fintech, SaaS, or payments
* Proven ability to ship and iterate on products in fast\-moving, early\-stage environments
* Strong understanding of invoicing, payments, or financial workflows (Stripe experience strongly preferred)
* Experience working closely with engineering teams on API\-driven and backend\-heavy products
* Ability to write clear PRDs, user stories, and roadmap documentation
* Strong analytical, communication, and prioritization skills
* Bonus: experience with marketplaces, payouts, or multi\-party payment flows
**Compensation \&amp; Work Environment**
* Early\-stage startup role with meaningful equity participation as part of team ownership
* No salary at this stage; compensation will evolve as the company grows and revenue ramps
* Fully remote, flexible work environment
* High autonomy with direct ownership over core product areas
* Immediate impact shaping a live, production\-bound payments platform
**Apply today. We’re looking forward to building the future of invoicing and payments together.**
Job Type: Contract
Benefits:
* Flexible schedule
Application Question(s):
* Email?
Experience:
* Product management: 5 years (Required)
Work Location: Remote</t>
        </is>
      </c>
    </row>
    <row r="49">
      <c r="A49" t="inlineStr">
        <is>
          <t>in-5b9adf932aa2a7e9</t>
        </is>
      </c>
      <c r="B49" t="inlineStr">
        <is>
          <t>Vehicle Exchange Program Manager (Service Drive Acquisition Sales)</t>
        </is>
      </c>
      <c r="C49" t="inlineStr">
        <is>
          <t>Courtesy Jeep of Superstition Springs</t>
        </is>
      </c>
      <c r="D49" t="inlineStr">
        <is>
          <t>indeed</t>
        </is>
      </c>
      <c r="E49" t="inlineStr"/>
      <c r="F49" t="inlineStr"/>
      <c r="G49" t="inlineStr">
        <is>
          <t>Mesa, AZ, US</t>
        </is>
      </c>
      <c r="H49" s="2" t="n">
        <v>46032</v>
      </c>
      <c r="I49" t="inlineStr">
        <is>
          <t>**Vehicle Exchange Program Manager**
**Courtesy Chrysler Dodge Jeep Ram (CJDR) – Mesa, AZ**
**Compensation:** $5,000–$8,000 per month (performance\-based)
Courtesy CJDR is looking for a driven, people\-focused **Vehicle Exchange Program Manager** to lead and grow our in\-house vehicle exchange operation. This is a high\-impact role for a proven automotive professional who thrives on customer engagement, leadership, and results.
What You’ll Do:
* Manage and operate the Vehicle Exchange Program from lead to delivery
* Engage current customers with equity, upgrade, and vehicle exchange opportunities
* Lead a Team of VEP consultants focused on value, transparency, and trust
* Work closely with sales, finance, and management to ensure smooth transactions
* Track performance metrics and continuously improve program results
* Deliver an exceptional customer experience aligned with *The Courtesy Way*
What We’re Looking For:
* Automotive sales or management experience preferred
* Strong communication, closing, and relationship\-building skills
* Self\-motivated, organized, and results\-driven
* Ability to manage multiple customers and priorities in a fast\-paced environment
* Professional appearance and positive attitude
* Valid driver’s license and clean driving record
Compensation \&amp; Benefits:
* **$7,000–$10,000 per month** based on performance
* Uncapped earning potential for top performers
* Ongoing training and development
* Opportunity for long\-term career growth within the organization
Benefits:
* Medical
* Dental
* Vision
* 401k
* Vacation
* Career Path \&amp; Growth Opportunities
Why Courtesy CJDR?
* **Arizona’s largest automotive dealer**
* **Family\-owned and operated since 1955**
* **Proven, customer\-first sales culture —** ***The Courtesy Way***
* **Located in Mesa at the Metro AutoPlex**, one of Arizona’s busiest auto hubs
At Courtesy CJDR, we don’t just sell vehicles — we build careers. If you’re ready to take ownership of a high\-earning program with a company that invests in its people, we want to hear from you.
**Apply today and drive your career forward with Courtesy CJDR.**
**Interviews are by appointment only, apply to receive a call to set up an appointment to interview\- No walks \-in.** 
Pay: $5,000\.00 \- $8,000\.00 per month
Benefits:
* 401(k)
* Dental insurance
* Employee discount
* Health insurance
* Opportunities for advancement
* Paid time off
* Professional development assistance
* Vision insurance
Work Location: In person</t>
        </is>
      </c>
    </row>
    <row r="50">
      <c r="A50" t="inlineStr">
        <is>
          <t>in-fc7482086f6a2819</t>
        </is>
      </c>
      <c r="B50" t="inlineStr">
        <is>
          <t>Product Manager</t>
        </is>
      </c>
      <c r="C50" t="inlineStr">
        <is>
          <t>LOFTY INC.</t>
        </is>
      </c>
      <c r="D50" t="inlineStr">
        <is>
          <t>indeed</t>
        </is>
      </c>
      <c r="E50" t="inlineStr"/>
      <c r="F50" t="inlineStr"/>
      <c r="G50" t="inlineStr">
        <is>
          <t>Phoenix, AZ, US</t>
        </is>
      </c>
      <c r="H50" s="2" t="n">
        <v>46031</v>
      </c>
      <c r="I50" t="inlineStr">
        <is>
          <t>Description:
**Description**
Lofty is a high\-growth, global SaaS company serving the residential real estate market. Our suite of tools addresses the daily pain points faced by agents, empowering them to launch effective marketing campaigns, track leads' activities, build lasting customer relationships, and efficiently manage teams. As a leader in our industry, we are seeking a highly motivated Sales Administrator to join our team and drive growth within the industry. Join us on our exciting journey and help shape the future of technology within the real estate space!
**What’s the job?**
Lofty is looking for a product\-driven, data\-informed **Product Manager** to join our growing product team. In this role, you’ll own the end\-to\-end product lifecycle — from discovery and prototyping through launch and iteration — while using data to inform prioritization, measure impact, and support decision\-making.
You’ll work closely with engineering, design, and QA to deliver thoughtful, scalable CRM and AI\-powered features that solve real customer problems and drive meaningful business outcomes.
**Product Discovery \&amp; Delivery**
* Conduct product discovery to deeply understand user needs, workflows, market trends, and the competitive landscape.
* Translate insights into clear product requirements, user stories, wireframes, and prototypes using Figma.
* Own and manage the product backlog, prioritizing initiatives and aligning roadmap decisions with business goals.
* Partner closely with engineering, design, and QA throughout development to ensure high\-quality, timely delivery.
* Lead product launches, monitor adoption, and iterate based on user feedback and performance metrics.
**Data\-Informed Product Decisions**
* Use product and usage data to validate assumptions, prioritize features, and evaluate outcomes.
* Analyze user behavior and feature adoption to identify friction points and opportunities for improvement.
* Partner with data and engineering teams to define, track, and maintain core product metrics, dashboards, and reporting.
**What’s the work location?**
You’ll be based out of our stunning, light\-filled headquarters in the Warehouse District of Downtown Phoenix—a 17,000\-square\-foot space designed for collaboration, creativity, and connection. You'll work in the office five (5\) days per week for hands\-on learning and connection with your team.
**What’s the earning potential ($$$)?**
First\-year earnings? This role offers a competitive base salary range starting at $90,000 and a 20% bonus with opportunities for growth based on performance.
Requirements:
**What are we looking for?**
* 2–3 years of experience as a Product Manager, preferably within a SaaS or CRM platform environment.
* Strong foundation in product discovery, roadmap planning, and agile execution.
* Hands\-on experience using Figma for prototyping and collaboration with design teams.
* Analytical mindset with the ability to interpret data and translate insights into product decisions.
* Strong communication skills and comfort working cross\-functionally in a fast\-paced environment.
**Anything else? Absolutely! Benefits and Perks:**
This is a place where every day we are inspired by our teammates, encouraging each other to be our best. The environment is friendly and supportive! And we feel it’s important to reward our team with competitive pay and benefits. Here are some of the highlights:
* **Health Insurance:** FREE medical coverage for employees for one of our plan options! And the ability to add dependents or choose an alternative plan and still receive a credit to keep costs down.
* **Paid Time Off:** Work hard, play hard! In addition to 10 holidays, we offer three weeks of paid time off so that you can achieve a healthy work\-life balance.
* **Paternity Leave:** We support our team members as they grow their families! Once you qualify for FMLA, you are eligible to receive up to 6 weeks of paid paternity time to bond with a new child.
* **Employee Assistance Program:** We are proud to offer free access to SupportLinc, a global platform that provides on\-demand care as you navigate personal or professional challenges. This confidential and compassionate support system is available to you and your family members anytime you need help.
* **Team Building:** We may work across time zones and countries, but we’re still united. We host a monthly schedule of team activities, quarterly town halls, open Q\&amp;A sessions, and other special events…so many fun ways for us to connect and support one another.
* **Growth Opportunities:** When our people grow…we grow! We offer leadership training, development journeys for core teams, and coaching/mentoring opportunities. Constant growth and development are inherent in our culture.
* **Tools To Do The Job:** We ensure you are hooked up with the tools, equipment, and systems you need. We begin the process prior to your start date, so you are ready to rock ‘n roll on your first day.
* **What Else?** We provide a 401(k) company match and 100% company\-paid life/AD\&amp;D insurance/short\-term disability. Our ultimate goal is to support you and your overall wellness.
**Join our growing team and let’s have fun building this business together!**</t>
        </is>
      </c>
    </row>
    <row r="51">
      <c r="A51" t="inlineStr">
        <is>
          <t>in-be8af51d4af40eb5</t>
        </is>
      </c>
      <c r="B51" t="inlineStr">
        <is>
          <t>Program Manager - M&amp;O</t>
        </is>
      </c>
      <c r="C51" t="inlineStr"/>
      <c r="D51" t="inlineStr">
        <is>
          <t>indeed</t>
        </is>
      </c>
      <c r="E51" t="inlineStr"/>
      <c r="F51" t="inlineStr"/>
      <c r="G51" t="inlineStr">
        <is>
          <t>Los Angeles, CA, US</t>
        </is>
      </c>
      <c r="H51" s="2" t="n">
        <v>46031</v>
      </c>
      <c r="I51" t="inlineStr">
        <is>
          <t>**About Us**
Triangle DeCon Services Inc. is a boutique full service real estate advisory firm with a focus on project development and construction management for our valued private developers and public organizations in Southern California. We are a young, energetic, ethical, professional, knowledgeable, customer\-centric and multilingual team looking to deliver the most value to our clients and build/promote trust with them. Our team consists of licensed Professional Engineers (PE), certified Project Management Professionals (PMP), certified professional with Design Build Institute of America (DBIA), licensed General Building Contractor and other industry designations. We can provide entitlement, development, design, procurement, construction management, project management, expert witness and litigation support services on a variety of building types. Our experienced team have provided these services to successfully deliver various facilities for public school districts, college districts, universities, commercial developers, hospitality owners, multinational CM/PM consultants and other valued clients.
**Job Summary**
Are you looking to apply your skills and utilize your experience to make a difference in our community? Are you motivated to collaborate with a diverse team of professionals to deliver new projects for our clients? Triangle is waiting for you to join our team!
**This is a full\-time position with Los Angeles Unified School District.**
The ideal candidate is an experienced program management professional with a strong background overseeing complex capital programs within a public or educational agency environment. They bring proven expertise in scope development, budgeting, scheduling, funding strategies, and financial closeout while managing multiple projects under a single program.
This individual is analytical, collaborative, and solutions\-oriented, with the ability to guide project teams, resolve complex technical and financial issues, communicate effectively with stakeholders and the community, and ensure programs are delivered in compliance with funding, policy, and performance requirements.
**Responsibilities**
* Manages all aspects of project planning and development in programs, including Engineering and Construction; Technical Support; Bidding Strategy; Schedules; Budget; Funding source and allocations; Grants Management; Prioritization of Work; and Finalization and Closeout.
* Reviews, analyzes, and interprets complex project design and construction budgets, schedules, and costs to ensure conformance with authorized scope, time and dollar requirements.
* Supervises project planners in developing projects scope, schedule, and budget making sure that the goals and vision of the stakeholders are reflected.
* Develops funding strategies for each of the projects within a program, including leveraging funds with state match grants, private grants, and identifying non\-profit partners, etc.
* Resolves or reduces cost overruns by performing value engineering.
* Reviews project data and develops executive reports for stakeholders and proposes new projects in specific programs as required.
* Manages the financial closeout of programs by ensuring project documents are finalized and financial reports have been reviewed and in accordance with the guidelines of the funding sources, following substantial completion.
* Acts as liaison and provides necessary documentation for closed\-out projects under litigation and participates in depositions whenever necessary.
* Reviews and assess program strengths and limitations and makes recommendations for areas requiring improvement, including program reporting and process.
* Resolves technically complex issues for architects, engineers, and/or other lower\-level project managers.
* Coordinates the formulation of policies and procedures related to Construction Programs, including the development of funding policies, requests for appropriation, and alterations and improvements to new programs.
* Coordinates and recommends updates to construction specification guidelines.
* Engages in community and stakeholder meetings regarding high profile projects, summarizes meeting agenda and prepares reports related to project progress for distribution.
* Participates in job meetings and job walks and reviews project documentation to ensure compliance with program requirements
* Maintains lessons learned in all programs and participates in providing training to staff for
program and project improvements.
* Mediates conflicts between project staff with regards to scope, materials and other
requirements and offers solutions; assists with dispute mediation between various project staff.
* Participates in change order negotiations and assists with contract review process.
**Required Experience:**
* Ten (10\) years full time paid professional experience in the management and administration of various programs and projects under programs to include, scope development, planning and design, budget and funding allocation and close\-out.
* Minimum four years experience in managing programs in a public or educational agency, with full responsibility for coordinating complex activities.
* Experience in managing multiple education or public agency programs concurrently is preferred
**Required Education:**
* Graduation from a recognized college or university with a bachelors degree, preferably in
architecture, engineering or construction management.
* Candidates who do not meet the education requirements may substitute experience on a year\-for\-year basis
**Preferred Licenses and Certificates:**
* A valid Certificate of Registration as an Architect by the California State Architectural Board or
Professional Engineer by the State Board for Professional Engineers and Land Surveyors
* A valid Construction Manager (CCM) credential by the Construction Manager Certification
Institute (CMCI)
* LEED Professional Accreditation</t>
        </is>
      </c>
    </row>
    <row r="52">
      <c r="A52" t="inlineStr">
        <is>
          <t>in-85fa25fc0f821650</t>
        </is>
      </c>
      <c r="B52" t="inlineStr">
        <is>
          <t>Senior Product Manager, Agentic Commerce</t>
        </is>
      </c>
      <c r="C52" t="inlineStr">
        <is>
          <t>Apple</t>
        </is>
      </c>
      <c r="D52" t="inlineStr">
        <is>
          <t>indeed</t>
        </is>
      </c>
      <c r="E52" t="inlineStr"/>
      <c r="F52" t="inlineStr"/>
      <c r="G52" t="inlineStr">
        <is>
          <t>Cupertino, CA, US</t>
        </is>
      </c>
      <c r="H52" s="2" t="n">
        <v>46031</v>
      </c>
      <c r="I52"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This role will develop product strategies, identify opportunities, and design solutions to enable agentic commerce experiences that uphold Apple’s privacy values. You will lead a cross\-functional team including business, marketing, design, data science, and engineering to deliver on the strategies that you create.","responsibilities":"Assess the agentic commerce landscape and define new shopping experience opportunities.  
Develop capability roadmaps and requirements to deliver new agentic experiences.  
Align ideas, plans, and technical design with engineering leaders.  
Contribute to an inclusive environment through respecting each others' differences and having the curiosity to learn.  
**Preferred Qualifications**  
Experience working in technology consulting, technology strategy, and/or a product development role  
Track record of designing and delivering personalized experiences, incorporating the latest generative AI capabilities and user experience standards.  
Experience with Apple OS frameworks, AI toolkits, and Human Interface Guidelines.  
Ability to lead significant digital transformations, including adopting new technology platforms and defining operational processes.  
Capable of moving from high\-level conceptual ideas to detailed, systematically organized plans and implementations.  
Proven ability to translate complex information into concise, and compelling narratives appropriate for different stakeholders, fostering alignment across all organizational levels.  
Demonstrates Apple’s values of inclusion and diversity in daily activities, helping create an environment by respecting differences and having a curiosity to learn.  
**Minimum Qualifications**  
10\+ years Product Management experience driving e\-commerce or consumer digital experiences in a revenue\-driven organization.  
Proficient in web technologies, large\-scale service architectures, and app platforms.  
Experience leveraging data and insights to deliver customer\-facing digital products and capabilities globally.  
BA/BS in Computer Science or a technical degree, or 10\+ years of relevant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in-e9b30418af1603db</t>
        </is>
      </c>
      <c r="B53" t="inlineStr">
        <is>
          <t>WW Sales BPR Program Manager, Salesforce PMO &amp; Release</t>
        </is>
      </c>
      <c r="C53" t="inlineStr">
        <is>
          <t>Apple</t>
        </is>
      </c>
      <c r="D53" t="inlineStr">
        <is>
          <t>indeed</t>
        </is>
      </c>
      <c r="E53" t="inlineStr"/>
      <c r="F53" t="inlineStr"/>
      <c r="G53" t="inlineStr">
        <is>
          <t>Cupertino, CA, US</t>
        </is>
      </c>
      <c r="H53" s="2" t="n">
        <v>46031</v>
      </c>
      <c r="I53" t="inlineStr">
        <is>
          <t>Imagine what you could do here. At Apple, great ideas have a way of becoming great products, services, and customer experiences very quickly. Bring passion and dedication to your job and there's no telling what you could accomplish.  
Are you a strategic thinker who excels at tactical execution? Do you love to solve problems and have an uncanny knack for analytics? As part of our World Wide Sales Business Process Re\-engineering (BPR) group, you and your team will be responsible for implementing strategies, programs, tools, and processes that enable the business to drive sales, improve customer experience, and innovate the way we lead and support one of the largest channel operations in the world. These solutions are typically new technical capabilities and/or the transformation of business processes to support continuously evolving sales motions, expanding Geo coverage and routes\-to\-market, and growing complexity of sales plays.  
As a WW Sales BPR Program Manager, you will lead one of the largest and most complex programs within Apple’s Sales ecosystem, overseeing multiple interconnected projects and coordinating across diverse teams. You will leverage your strong collaboration skills and leadership capabilities to manage vertically and laterally across the organization, build meaningful relationships with business partners, and influence program direction. Through your ownership, forward\-thinking influence, and passion for creating solutions, you will make an impact on Apple’s business for years to come.  
**Description**  
In this role, you will:  
* Drive the end\-to\-end delivery of multiple projects through the complete life cycle (Discovery, Design, Development, Testing, Technical Deployment)
* Engage with leadership, business partners, and engineering teams to develop project timelines and communication plans
* Own and administer internal ticket management tools and processes
* Manage program cadence with weekly rhythms and regular check\-ins and milestones across teams
* Secure commitments and ensure adherence to established schedules
* Partner with leadership teams to manage budgets for projects and any changes to those budgets
* Coordinate resource allocation across multiple projects
* Recommend process innovations and efficiencies through analysis, observations, industry trends, and standard methodologies (e.g.: Design Thinking, Agile) for the program
* Leverage leading\-edge technology (e.g. AI) and process improvement ideas to optimize program planning and delivery
* Reduce complexity, remove unnecessary steps and streamline operational workflows
* Build for scale by designing holistically with focus on flexibility and operational efficiency of the program
* Create better tools and systems; train teams to use them effectively and enable faster, more efficient work
* Define and enforce program standards, methodologies, and best practices across all projects to ensure consistency in deliverables
* Lead project execution think strategically, connect dots in the bigger picture, while remaining comfortable with detailed deliverables
* Influence decisions through collaboration, leadership, and customer\-focused approach
* Mentor and develop project managers and team leads within the program
* Foster a culture of innovation, collaboration, and continuous improvement
* Negotiate with cross\-functional teams and business partners to remove barriers and achieve results without compromising quality of end deliverables
* Effectively influence partners, experts, leaders through excellent written and verbal communication
* Keep management updated and escalate issues as needed
* Map and manage dependencies between projects within the program; ensure integration points are identified and coordinated across project teams
* Identify, assess, and mitigate program\-level risks and dependencies across multiple projects
* Establish and maintain program governance frameworks and decision\-making processes
* Create executive dashboards and status reports showing program health, milestones
* Conduct program\-level retrospectives and capture lessons learned
**Preferred Qualifications**  
Experience with promotions, back margin, pricing, and incentives programs is preferred  
Solid understanding of Agile/Scrum delivery models; PMP or equivalent program management certification is a plus  
Experience with portfolio management tools  
Proven analytical skills with the ability to investigate data, business, or systems problems to expose root causes and identify solution options  
Passion for continuous improvement with the curiosity to uncover gaps, resilience to manage ambiguity, and drive to optimize processes and create solutions  
Forward\-thinking approach and tenacity to anticipate risks/opportunities and proactively drive towards a solution  
Expert organizational skills and attention to detail  
Master's Degree is a plus  
**Minimum Qualifications**  
Typically requires a minimum of 8 years of related experience  
Background in program management, business analysis, or similar role leading complex, cross\-functional business transformation projects  
Proven track record of delivering large\-scale programs on time and within budget, including leading simultaneous projects with competing priorities, strategies, and timescales  
Experience with Consumer and B2B sales processes (e.g., account plans, forecasting, deal registration, pipeline management, partner incentives, etc.)  
Familiarity with Salesforce platform functionality and best practices, native capabilities, customization, and integrations with external systems  
Outstanding communication skills with the ability to simplify complex ideas and tailor messaging to technical and non\-technical audiences  
Experience creating high\-impact presentations and "storytelling through data”  
Strong collaboration and relationship building skills with the ability to establish trust, and influence across cross\-functional and multi\-directional partners  
Bachelor's degree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4">
      <c r="A54" t="inlineStr">
        <is>
          <t>in-ccbd8a755734e00a</t>
        </is>
      </c>
      <c r="B54" t="inlineStr">
        <is>
          <t>AIML - Sr Engineering Program Manager, Search</t>
        </is>
      </c>
      <c r="C54" t="inlineStr">
        <is>
          <t>Apple</t>
        </is>
      </c>
      <c r="D54" t="inlineStr">
        <is>
          <t>indeed</t>
        </is>
      </c>
      <c r="E54" t="inlineStr"/>
      <c r="F54" t="inlineStr"/>
      <c r="G54" t="inlineStr">
        <is>
          <t>Cupertino, CA, US</t>
        </is>
      </c>
      <c r="H54" s="2" t="n">
        <v>46031</v>
      </c>
      <c r="I5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We’re looking for an experienced Program Manager to lead groundbreaking Search initiatives that play a meaningful role in the future of Siri Search and Apple. This is an opportunity to join a team developing novel capabilities across Apple products to transform the way people search on their devices and interact with their surroundings. You will be part of a fast paced, innovative team where your expertise will help launch delightful experiences for over 1 billion customers.","responsibilities":"Build and run project timelines with clear dependencies, critical path and systematic methodology to communicate status. Handle risks and mitigations, and re\-plan as events warrant. Drive alignment across the organization and between teams  
Drive consensus across multiple groups with varying opinions \&amp; needs. Influence entire teams around a common purpose and drive conference on the plan of execution  
Proactively identify and manage risks, close gaps with the ability to switch gears on projects in an agile manner  
Keep teams on critical path with efforts to minimize distractions  
Provide clear, timely and objective communication, including regular program status updates and one\-off reviews as needed to executive team  
**Preferred Qualifications**  
Prior program management or engineering experience in search, computer vision, and/or natural language understanding  
**Minimum Qualifications**  
8\+ years of experience in driving large scale program building machine learning powered products  
3\+ years experience bringing a product from concept to completion, ideally working on machine\-learning features and/or sophisticated backend and front\-end systems  
Deep understanding of software development for machine\-learned products and services, and how analytics and evaluation data can help improve those products  
Self\-motivated and proactive, with demonstrated critical thinking capabilities  
Strong desire to learn, aptitude for problem solving, and the ability to make sophisticated trade\-offs  
Strong verbal and written communication skills, including negotiation, presentation and ability to influence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5">
      <c r="A55" t="inlineStr">
        <is>
          <t>in-bf7d086c490344e1</t>
        </is>
      </c>
      <c r="B55" t="inlineStr">
        <is>
          <t>Operations Engineering Program Manager - AppleCare</t>
        </is>
      </c>
      <c r="C55" t="inlineStr">
        <is>
          <t>Apple</t>
        </is>
      </c>
      <c r="D55" t="inlineStr">
        <is>
          <t>indeed</t>
        </is>
      </c>
      <c r="E55" t="inlineStr"/>
      <c r="F55" t="inlineStr"/>
      <c r="G55" t="inlineStr">
        <is>
          <t>Austin, TX, US</t>
        </is>
      </c>
      <c r="H55" s="2" t="n">
        <v>46031</v>
      </c>
      <c r="I55" t="inlineStr">
        <is>
          <t>Imagine what you could do here. At Apple, great ideas have a way of becoming great products, services, and customer experiences very quickly. Bring passion and dedication to your job, and there is no telling what you could accomplish.  
Apple is seeking an experienced Program Manager to support AppleCare’s Quality, Operations, and Engineering (ACQOE) service channel globally, with a focus on capacity planning, operations management, and PMO activities. This position will be part of the global PMO office supporting all mail in service.  
The ideal candidate has a demonstrated track record of managing multiple projects of varying complexity across both technical and business domains, working with cross functional teams. The role requires excellent planning and operational execution skills, along with sustained high performance as measured by key performance indicators. Successful candidates are equally capable of supporting both tactical and strategic initiatives, with a strong focus on driving a world class customer experience while providing clear and effective status updates to peers, executive leadership, and third party partners.  
**Description**  
The ACQOE Program Manager will be responsible for executing complex projects across Service Operations, Engineering, and Quality. This role will serve as the lead Program Manager and will frequently present project updates to senior executives. The Program Manager will act as the architect of ACQOE PMO processes and will work with established tools and frameworks to prepare and present ACQOE PMO updates. The role requires familiarity with procurement processes, including creating and managing purchase requisitions to support business needs. This Program Manager will be a champion of cost savings and cost avoidance, acting as the lead PM to track ACQOE spend, identify optimization opportunities, and drive initiatives to minimize overall costs.  
","responsibilities":"Lead strategic and tactical project planning and execution to optimize ACQOE  
Lead PMO for ACQOE (Tableau, Wrike, RAPID BI skills)  
Architect reporting framework for repair center PMO and scale to the wider organization (Tableau, Wrike, SQL, RAPID BI skills)  
Champion Budgeting, Spend Tracking and spend reduction ACQOE  
Perform Data analytics on large set of data and drive actions to optimize service business  
Be AI(Artificial Intelligence) Initiatives representative from ACQOE for wider AppleCare Org  
Drive strategic efforts to support the service business  
Engage with cross functional teams to prioritize ACQOE projects  
Identify enhancements to drive improvements in customer satisfaction and service operations  
Become the authority, leading collaborative initiatives in support of the organizational goals  
**Preferred Qualifications**  
MBA or Masters with a specialization in Supply Chain  
Degree in Engineering or Physics  
Proficiency in working with Snowflake  
Ability to code in Python  
Project management certification such as PMP, PRINCE2, or Certified Scrum Master  
Certification in Data Science or LLM  
**Minimum Qualifications**  
5\+ years experience in a program management in service business  
Advanced level familiarity with reporting tools (Tableau, Wrike, SQL and RAPID BI)  
2\+ years operational capacity planning and operations management experience  
2\+ years of managing PMO for a large organization  
Proficiency in data analytics  
Proven track record of successfully supporting service operation with both technical and business responsibilities  
Strong analytical data driven capabilities and purchasing skills  
Excellent verbal and written communication skills  
Demonstrated cross functional leadership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6">
      <c r="A56" t="inlineStr">
        <is>
          <t>in-00d5168e1de529be</t>
        </is>
      </c>
      <c r="B56" t="inlineStr">
        <is>
          <t>Operations Engineering Program Manager - AppleCare</t>
        </is>
      </c>
      <c r="C56" t="inlineStr">
        <is>
          <t>Apple</t>
        </is>
      </c>
      <c r="D56" t="inlineStr">
        <is>
          <t>indeed</t>
        </is>
      </c>
      <c r="E56" t="inlineStr"/>
      <c r="F56" t="inlineStr"/>
      <c r="G56" t="inlineStr">
        <is>
          <t>Austin, TX, US</t>
        </is>
      </c>
      <c r="H56" s="2" t="n">
        <v>46031</v>
      </c>
      <c r="I56" t="inlineStr">
        <is>
          <t>Imagine what you could do here. At Apple, great ideas have a way of becoming great products, services, and customer experiences very quickly. Bring passion and dedication to your job, and there is no telling what you could accomplish.  
Apple is seeking an experienced Program Manager to support AppleCare’s Quality, Operations, and Engineering (ACQOE) service channel globally, with a focus on capacity planning, operations management, and PMO activities. This position will be part of the global PMO office supporting all mail in service.  
The ideal candidate has a demonstrated track record of managing multiple projects of varying complexity across both technical and business domains, working with cross functional teams. The role requires excellent planning and operational execution skills, along with sustained high performance as measured by key performance indicators. Successful candidates are equally capable of supporting both tactical and strategic initiatives, with a strong focus on driving a world class customer experience while providing clear and effective status updates to peers, executive leadership, and third party partners.  
**Description**  
The ACQOE Program Manager will be responsible for executing complex projects across Service Operations, Engineering, and Quality. This role will serve as the lead Program Manager and will frequently present project updates to senior executives. The Program Manager will act as the architect of ACQOE PMO processes and will work with established tools and frameworks to prepare and present ACQOE PMO updates. The role requires familiarity with procurement processes, including creating and managing purchase requisitions to support business needs. This Program Manager will be a champion of cost savings and cost avoidance, acting as the lead PM to track ACQOE spend, identify optimization opportunities, and drive initiatives to minimize overall costs.  
","responsibilities":"Lead strategic and tactical project planning and execution to optimize ACQOE  
Lead PMO for ACQOE (Tableau, Wrike, RAPID BI skills)  
Architect reporting framework for repair center PMO and scale to the wider organization (Tableau, Wrike, SQL, RAPID BI skills)  
Champion Budgeting, Spend Tracking and spend reduction ACQOE  
Perform Data analytics on large set of data and drive actions to optimize service business  
Be AI(Artificial Intelligence) Initiatives representative from ACQOE for wider AppleCare Org  
Drive strategic efforts to support the service business  
Engage with cross functional teams to prioritize ACQOE projects  
Identify enhancements to drive improvements in customer satisfaction and service operations  
Become the authority, leading collaborative initiatives in support of the organizational goals  
**Preferred Qualifications**  
MBA or Masters with a specialization in Supply Chain  
Degree in Engineering or Physics  
Proficiency in working with Snowflake  
Ability to code in Python  
Project management certification such as PMP, PRINCE2, or Certified Scrum Master  
Certification in Data Science or LLM  
**Minimum Qualifications**  
5\+ years experience in a program management in service business  
Advanced level familiarity with reporting tools (Tableau, Wrike, SQL and RAPID BI)  
2\+ years operational capacity planning and operations management experience  
2\+ years of managing PMO for a large organization  
Proficiency in data analytics  
Proven track record of successfully supporting service operation with both technical and business responsibilities  
Strong analytical data driven capabilities and purchasing skills  
Excellent verbal and written communication skills  
Demonstrated cross functional leadership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7">
      <c r="A57" t="inlineStr">
        <is>
          <t>in-8301c377b97fa211</t>
        </is>
      </c>
      <c r="B57" t="inlineStr">
        <is>
          <t>New Product Operations Program Manager, Mac</t>
        </is>
      </c>
      <c r="C57" t="inlineStr">
        <is>
          <t>Apple</t>
        </is>
      </c>
      <c r="D57" t="inlineStr">
        <is>
          <t>indeed</t>
        </is>
      </c>
      <c r="E57" t="inlineStr"/>
      <c r="F57" t="inlineStr"/>
      <c r="G57" t="inlineStr">
        <is>
          <t>Austin, TX, US</t>
        </is>
      </c>
      <c r="H57" s="2" t="n">
        <v>46031</v>
      </c>
      <c r="I57"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The Mac NPI PM organization role will lead the team within WW Operations and be the primary operations interface to the core product development team and other functional organizations within Apple. As the owner of the product, the NPI PM will ensure the successful launch products towards meeting it’s stated cost, quality, schedule, availability and customer experience goals.  
The NPI PM is responsible for all facets of the project launch which includes:  
* Leading ramp availability for all product modules with Materials, Quality, Engineering and other internal and external teams.
* Ensuring security, materials, equipment, fixtures, staffing, training, documentation plans are in place at our partners.
* Drives responsive supply chains that optimize lowest costs, operational flexibility and high quality.
* Assesses, analyzes, consolidates, and communicates risk and status clearly and succinctly to management, calling out key issues and presenting options for resolution to the cross\-functional executive team through the new product reviews and other executive forums.
* Provides links from the Ops \&amp; Engineering Teams to the Factory teams from various development builds through new product introduction, including product hand\-off to Sustaining Operations Management.
* Ability to travel internationally up to 20\-25%
**Preferred Qualifications**  
Experience working with off\-shore manufacturers and traveling to manufacturing sites  
Strong interpersonal skills and ability to present to management  
Extraordinary ability to build relationships  
Clear, consistent communication  
Use data to drive decisions and be willing to take action  
Enthusiastic and motivated  
High level of detail while running several work\-streams  
Technical expertise and prior OEM management experience  
Master's degree or MBA a plus  
**Minimum Qualifications**  
8\+ years experience in manufacturing, process engineering or product development  
BS degree in engineering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8">
      <c r="A58" t="inlineStr">
        <is>
          <t>in-d6900eee66f7a1db</t>
        </is>
      </c>
      <c r="B58" t="inlineStr">
        <is>
          <t>Senior Product Manager - Apple Cloud Infrastructure</t>
        </is>
      </c>
      <c r="C58" t="inlineStr">
        <is>
          <t>Apple</t>
        </is>
      </c>
      <c r="D58" t="inlineStr">
        <is>
          <t>indeed</t>
        </is>
      </c>
      <c r="E58" t="inlineStr"/>
      <c r="F58" t="inlineStr"/>
      <c r="G58" t="inlineStr">
        <is>
          <t>Seattle, WA, US</t>
        </is>
      </c>
      <c r="H58" s="2" t="n">
        <v>46031</v>
      </c>
      <c r="I58" t="inlineStr">
        <is>
          <t>Imagine what you could do here. At Apple, great ideas have a way of becoming great products, services, and customer experiences very quickly. Bring passion and dedication to your job and there's no telling what you could accomplish. We are building out a multi\-cloud platform that will power Apple's key services ranging from Music, TV\+, Sports, and AI/ML offerings. Apple's Cloud infrastructure has core platform services and managed services required for public cloud development, deployment and wide\-scale adoption. We are seeking experienced Product Managers to work closely with internal customer teams across Apple to understand product needs, and collaborate with engineering teams to drive the product roadmap for a secure, scalable and automated cloud platform. The ideal candidate has a proven understanding of public cloud platforms with experience in one or more domains including cloud computing, AI/ML infrastructure, data platforms, storage, cloud security and networking concepts. The successful candidate should have experience working with public cloud technologies in a large enterprise environment.  
**Description**  
We are building a multi\-cloud platform that powers every service at Apple and enables us to delight consumers around the world. We are looking for technical product managers who understand cloud services, data and AI platforms, and are passionate about working with engineering teams to build scalable cloud technologies and working closely with customers to co\-develop solutions. We are looking for self\-starters, go\-getters, and strategic problem solvers!  
**Preferred Qualifications**  
Strong technical understanding of infrastructure services and / or cloud technologies.  
Able to identify and explain challenges to both technical and non\-technical personnel.  
Experience communicating engineering technical challenges that may affect business timelines.  
Strong verbal and written communicator with the ability to influence and build consensus in a collaborative way.  
Comfortable dealing with challenging priorities spread across multiple customers.  
**Minimum Qualifications**  
At least 10\+ years product management experience in enterprise products, preferably cloud\-based.  
Bachelor's degree in Computer Science, Electrical Engineering, Math or related field. Master's degree preferred.  
Experience building product roadmaps from conception to launch, driving the product vision, defining go\-to\-market strategy, and leading design discussions.  
Working knowledge of public cloud technologies (AWS/GCP/others) and awareness of current service offerings.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9">
      <c r="A59" t="inlineStr">
        <is>
          <t>in-7e94c0f9a8e976d7</t>
        </is>
      </c>
      <c r="B59" t="inlineStr">
        <is>
          <t>Senior Product Manager - Apple Cloud Infrastructure</t>
        </is>
      </c>
      <c r="C59" t="inlineStr">
        <is>
          <t>Apple</t>
        </is>
      </c>
      <c r="D59" t="inlineStr">
        <is>
          <t>indeed</t>
        </is>
      </c>
      <c r="E59" t="inlineStr"/>
      <c r="F59" t="inlineStr"/>
      <c r="G59" t="inlineStr">
        <is>
          <t>Cupertino, CA, US</t>
        </is>
      </c>
      <c r="H59" s="2" t="n">
        <v>46031</v>
      </c>
      <c r="I59" t="inlineStr">
        <is>
          <t>Imagine what you could do here. At Apple, great ideas have a way of becoming great products, services, and customer experiences very quickly. Bring passion and dedication to your job and there's no telling what you could accomplish. We are building out a multi\-cloud platform that will power Apple's key services ranging from Music, TV\+, Sports, and AI/ML offerings. Apple's Cloud infrastructure has core platform services and managed services required for public cloud development, deployment and wide\-scale adoption. We are seeking experienced Product Managers to work closely with internal customer teams across Apple to understand product needs, and collaborate with engineering teams to drive the product roadmap for a secure, scalable and automated cloud platform. The ideal candidate has a proven understanding of public cloud platforms with experience in one or more domains including cloud computing, AI/ML infrastructure, data platforms, storage, cloud security and networking concepts. The successful candidate should have experience working with public cloud technologies in a large enterprise environment.  
**Description**  
We are building a multi\-cloud platform that powers every service at Apple and enables us to delight consumers around the world. We are looking for technical product managers who understand cloud technologies, data and AI platforms, and are passionate about working with engineering teams to build scalable cloud services and working closely with customers to co\-develop solutions. We are looking for self\-starters, go\-getters, and strategic problem solvers!  
**Preferred Qualifications**  
Strong technical understanding of infrastructure services and / or cloud technologies.  
Able to identify and explain challenges to both technical and non\-technical personnel.  
Experience communicating engineering technical challenges that may affect business timelines.  
Strong verbal and written communicator with the ability to influence and build consensus in a collaborative way.  
Comfortable dealing with challenging priorities spread across multiple customers.  
**Minimum Qualifications**  
At least 10\+ years product management experience in enterprise products, preferably cloud\-based.  
Bachelor's degree in Computer Science, Electrical Engineering, Math or related field. Master's degree preferred.  
Experience building product roadmaps from conception to launch, driving the product vision, defining go\-to\-market strategy, and leading design discussions.  
Working knowledge of public cloud technologies (AWS/GCP/others) and awareness of current service offerings.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0">
      <c r="A60" t="inlineStr">
        <is>
          <t>in-96bf04cbb494e038</t>
        </is>
      </c>
      <c r="B60" t="inlineStr">
        <is>
          <t>MES Program Manager-2</t>
        </is>
      </c>
      <c r="C60" t="inlineStr">
        <is>
          <t>Realign</t>
        </is>
      </c>
      <c r="D60" t="inlineStr">
        <is>
          <t>indeed</t>
        </is>
      </c>
      <c r="E60" t="inlineStr"/>
      <c r="F60" t="inlineStr"/>
      <c r="G60" t="inlineStr">
        <is>
          <t>Raritan, NJ, US</t>
        </is>
      </c>
      <c r="H60" s="2" t="n">
        <v>46031</v>
      </c>
      <c r="I60" t="inlineStr">
        <is>
          <t>Job Type: Contract
Job Category: IT
Job Description
**Job Title : MES Program Manager****Location : Raritan, NJ** **Job Summary**
The MES Program Manager is responsible for leading the planning, execution, and delivery of Manufacturing Execution System (MES) programs across multiple sites or projects. This role ensures alignment between business objectives, manufacturing operations, IT, and automation teams while delivering MES solutions on time, within scope, and on budget.
The role requires strong program management skills, deep understanding of manufacturing processes, and hands\-on experience with MES platforms. **Key Responsibilities**  
Lead end\-to\-end MES program delivery, including scope definition, planning, execution, monitoring, and closure
Manage multiple MES projects across plants, regions, or business units
Develop and maintain program roadmaps, schedules, budgets, and resource plans
Track risks, dependencies, and issues; implement mitigation plans
Ensure adherence to program governance, standards, and best practices
Act as the primary interface between manufacturing, IT, automation, quality, and business leadership
Facilitate workshops to gather requirements and align on future\-state processes
Communicate program status, milestones, risks, and outcomes to senior stakeholders
Required Skills
TECHNICAL PROJECT MANAGER</t>
        </is>
      </c>
    </row>
    <row r="61">
      <c r="A61" t="inlineStr">
        <is>
          <t>in-bb6a58d77a5ed8ef</t>
        </is>
      </c>
      <c r="B61" t="inlineStr">
        <is>
          <t>Fircosoft Product Owner-5</t>
        </is>
      </c>
      <c r="C61" t="inlineStr">
        <is>
          <t>Realign</t>
        </is>
      </c>
      <c r="D61" t="inlineStr">
        <is>
          <t>indeed</t>
        </is>
      </c>
      <c r="E61" t="inlineStr"/>
      <c r="F61" t="inlineStr"/>
      <c r="G61" t="inlineStr">
        <is>
          <t>Phoenix, AZ, US</t>
        </is>
      </c>
      <c r="H61" s="2" t="n">
        <v>46031</v>
      </c>
      <c r="I61"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62">
      <c r="A62" t="inlineStr">
        <is>
          <t>in-010c47185b873766</t>
        </is>
      </c>
      <c r="B62" t="inlineStr">
        <is>
          <t>Fircosoft Product Owner-5</t>
        </is>
      </c>
      <c r="C62" t="inlineStr">
        <is>
          <t>Realign</t>
        </is>
      </c>
      <c r="D62" t="inlineStr">
        <is>
          <t>indeed</t>
        </is>
      </c>
      <c r="E62" t="inlineStr"/>
      <c r="F62" t="inlineStr"/>
      <c r="G62" t="inlineStr">
        <is>
          <t>Raleigh, NC, US</t>
        </is>
      </c>
      <c r="H62" s="2" t="n">
        <v>46031</v>
      </c>
      <c r="I62"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63">
      <c r="A63" t="inlineStr">
        <is>
          <t>in-8d319567a466297d</t>
        </is>
      </c>
      <c r="B63" t="inlineStr">
        <is>
          <t>Program Manager Construction (Full Time, Days)</t>
        </is>
      </c>
      <c r="C63" t="inlineStr">
        <is>
          <t>Nicklaus Children's Health System</t>
        </is>
      </c>
      <c r="D63" t="inlineStr">
        <is>
          <t>indeed</t>
        </is>
      </c>
      <c r="E63" t="inlineStr"/>
      <c r="F63" t="inlineStr"/>
      <c r="G63" t="inlineStr">
        <is>
          <t>Miami, FL, US</t>
        </is>
      </c>
      <c r="H63" s="2" t="n">
        <v>46030</v>
      </c>
      <c r="I63" t="inlineStr">
        <is>
          <t>**Description**
---------------
**Job Summary**
The Program Manager Construction plans and manages strategic programs and all related projects of significant complexity and risk including hospital and outpatient facility renovations, new construction, and/or space reallocation. Manages all phases of the project life cycle including planning, design, procurement, construction, schedule/cost management, risk management, and close\-out. Ensures projects are in full compliance with all applicable policies, procedures, codes and regulations. Provides proactive and timely leadership and management during all project phases and overall project resources and produces documentation necessary to plan, define, and implement the assigned projects. Provides proactive and timely leadership and management during all project phases and for all project resources. Ensures all key project objectives are achieved including safety, cost control, quality, schedule goals, and client satisfaction. Produces documentation necessary to plan, define, and implement the assigned projects.
**Job Specific Duties**
* Plans capital programs and monitor progress to ensure that milestones are being met across various projects.
* Develops and manages program budget and schedules.
* Defines the program controls, processes, procedures, reporting, etc., to effectively manage the program.
* Collaborates with Design/Construction Manager and Project Managers who are overseeing projects within the program. Coordinate the projects and interdependencies between the various projects in the program.
* Evaluates and monitors program and project strengths and weaknesses to mitigate potential program risks or issues throughout the program lifecycle. Implements mitigation and recovery strategies and measures as needed.
* Effectively manages Key Performance Indicators related to budget, schedule, and quality.
* Plans, designs, and executes multiple construction \&amp; renovation projects to meet program requirements, budget, safety, \&amp; time constraints. Prepares project management plans for all assigned projects.
* Coordinates projects with all impacted NCHS stakeholders and provides on\-going project communication to appropriate parties about the project’s impact and status.
* Develops move/equipment management plans and leads implementation.
* Manages the procurement process required by the project and participates in contract negotiations resulting from Request for Proposal selection.
* Obtains all required hospital approvals (e.g., legal and management) and submits required documentation to the appropriate departments for purchase order issuance.
* Documents project information in an accurate and timely manner; ensures project files and electronic records are current, complete, and accurate.
* Ensures compliance with AHCA, ADA, NFPA, OSHA and local building codes. Follows up on issues and concerns, and takes corrective measures as needed.
* Reviews progress/status of all projects and identifies specific activities to be performed to ensure project deliverables, milestones, and required tasks are completed according to project deadline.
**Qualifications**
------------------
**Minimum Job Requirements**
* Bachelor's Degree in Architecture, Engineering, Interior Design, Construction Management or a related field (OR) 12 years of related work experience
* More than 10 years of experience in healthcare project management, commercial construction or facilities planning/capital project management
**Knowledge, Skills, and Abilities**
* Project Management Professional (PMP) certification is preferred.
* Ability to implement NCHS procedures to ensure safety and security.
* Well organized with strong planning, project management, and leadership skills.
* Excellent written and verbal communication and interpersonal skills.
* Ability to prepare accurate project scope documents, budget estimates, and schedules.
* Prior experience developing conceptual plans, budgets, and schedules.
* Highly skilled at monitoring and managing all aspects of a turnkey project delivery process.
* Familiarity with construction contracts and construction delivery strategies.
* Proficient in Microsoft Office (Word, Excel, PowerPoint).
* Proficient in Microsoft Project or Primavera scheduling software.
* Proficient in AutoCAD.
**Job:**
--------
Professional  
**Department:**
---------------
CONSTRUCTION\-1000\-944900  
**Job Status:**
---------------
Full Time</t>
        </is>
      </c>
    </row>
    <row r="64">
      <c r="A64" t="inlineStr">
        <is>
          <t>in-2a54b45d2770ffac</t>
        </is>
      </c>
      <c r="B64" t="inlineStr">
        <is>
          <t>Product Manager</t>
        </is>
      </c>
      <c r="C64" t="inlineStr">
        <is>
          <t>Adapt</t>
        </is>
      </c>
      <c r="D64" t="inlineStr">
        <is>
          <t>indeed</t>
        </is>
      </c>
      <c r="E64">
        <f>HYPERLINK("https://www.indeed.com/viewjob?jk=2a54b45d2770ffac", "https://www.indeed.com/viewjob?jk=2a54b45d2770ffac")</f>
        <v/>
      </c>
      <c r="F64">
        <f>HYPERLINK("https://ats.rippling.com/adapt/jobs/8eb67544-b53d-4a82-b1b8-1d4a3f1e4d4f?jobSite=Indeed", "https://ats.rippling.com/adapt/jobs/8eb67544-b53d-4a82-b1b8-1d4a3f1e4d4f?jobSite=Indeed")</f>
        <v/>
      </c>
      <c r="G64" t="inlineStr">
        <is>
          <t>San Francisco, CA, US</t>
        </is>
      </c>
      <c r="H64" s="3" t="n">
        <v>46032</v>
      </c>
      <c r="I64" t="inlineStr">
        <is>
          <t>**About Adapt**
Adapt is the AI copilot for every data\-driven organization—sitting atop your databases, SaaS tools, docs, tickets, and finances to surface the right insights at the right time. Behind a simple chat interface, autonomous AI agents continuously monitor every KPI, flag anomalies, diagnose root causes, and recommend next steps. We believe in integration and our strength is unifying existing data sources and semantic models into a seamless conversational experience that executives actually use.
 **About the role**
* As Adapt’s Product Manager, you’ll own the vision, strategy, and execution of our core analytics platform. You’ll translate customer needs and market trends into a prioritized roadmap, shepherd features from conception through launch, and partner with engineering, design, and GTM teams to deliver an intuitive, high\-value experience.
**What you'll do**
* **Define \&amp; Prioritize Roadmap**
* + Own the product backlog: write clear PRDs, user stories, and acceptance criteria
	+ Balance quick wins (bug fixes, UI polish) with strategic bets (agent orchestration enhancements, semantic\-layer support)
* **Drive Discovery \&amp; Validation**
* + Conduct user research: interviews, surveys, and in\-app analytics to uncover unmet needs among execs, analysts, and implementers
	+ Run rapid prototypes and A/B tests to validate hypotheses before full\-scale development
* **Collaborate Across Teams**
* + Partner with Engineering to scope features, unblock technical challenges, and ensure on\-time delivery
	+ Work with Design to craft intuitive flows for conversational queries, anomaly alerts, and scheduled reporting
	+ Align with Sales \&amp; Customer Success on pilot feedback, competitive gaps, and launch plans
* **Measure \&amp; Optimize**
* + Define KPIs (DAU/MAU, query success rate, time\-to\-insight) and build dashboards to track feature performance
	+ Analyze usage data and customer feedback to iterate on existing capabilities—improving clarity, speed, and adoption
* **Launch \&amp; Evangelize**
* + Lead go\-to\-market planning for major releases: feature announcements, internal training, and sales enablement collateral
	+ Train internal teams and present at webinars or customer workshops to drive awareness and best practices
 **Qualifications**
* 4\+ years in B2B SaaS product management—analytics, AI, or data\-heavy applications a plus
* Proven track record defining and shipping complex features end\-to\-end
* Strong analytical chops: comfortable with SQL, A/B testing frameworks, and product analytics tools (Mixpanel, Amplitude, etc.)
* Excellent communicator: can distill technical concepts into clear business benefits and rally cross\-functional teams
* Customer\-obsessed: you balance quantitative insights with empathy for user workflows and pain points</t>
        </is>
      </c>
    </row>
    <row r="65">
      <c r="A65" t="inlineStr">
        <is>
          <t>in-7d6401cd3679f6a5</t>
        </is>
      </c>
      <c r="B65" t="inlineStr">
        <is>
          <t>Senior Program Manager</t>
        </is>
      </c>
      <c r="C65" t="inlineStr">
        <is>
          <t>Astrion</t>
        </is>
      </c>
      <c r="D65" t="inlineStr">
        <is>
          <t>indeed</t>
        </is>
      </c>
      <c r="E65">
        <f>HYPERLINK("https://www.indeed.com/viewjob?jk=7d6401cd3679f6a5", "https://www.indeed.com/viewjob?jk=7d6401cd3679f6a5")</f>
        <v/>
      </c>
      <c r="F65">
        <f>HYPERLINK("https://careers.astrion.us/jobs/22899/job?utm_source=indeed_integration&amp;iis=Job%20Board&amp;iisn=Indeed&amp;indeed-apply-token=73a2d2b2a8d6d5c0a62696875eaebd669103652d3f0c2cd5445d3e66b1592b0f", "https://careers.astrion.us/jobs/22899/job?utm_source=indeed_integration&amp;iis=Job%20Board&amp;iisn=Indeed&amp;indeed-apply-token=73a2d2b2a8d6d5c0a62696875eaebd669103652d3f0c2cd5445d3e66b1592b0f")</f>
        <v/>
      </c>
      <c r="G65" t="inlineStr">
        <is>
          <t>Hanscom AFB, MA, US</t>
        </is>
      </c>
      <c r="H65" s="3" t="n">
        <v>46031</v>
      </c>
      <c r="I65" t="inlineStr">
        <is>
          <t>Overview:
**Senior Program Manager** **WORK LOCATION:** Hanscom AFB, MA **Salary Range:** $125\-$145,000 annually* ***depending on experience, certifications, and qualifications***
 **JOB STATUS:** Full\-time; salaried**CLEARANCE: MUST** have an active US Secret clearance**TRAVEL:** Limited, as needed  
Astrion has an exciting opportunity for a **Senior Program Manager** to directly support the USAF Mission Planning Division (AFLCMC/HBM), which is within the USAF Digital Directorate and located at **Hanscom AFB, MA.** **Duties include, but not limited to:***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**Education:** Bachelor’s degree in a professional engineering discipline from an ABET\-accredited program, and minimum of 12 years of experience in the respective technical/professional discipline, including at least 5 years supporting DoD programs*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Familiarity with Electronic Warfare and/or Air Combat operations, including live aircrew training, development of tactics, techniques, and procedures, and Range Infrastructure architectures and systems</t>
        </is>
      </c>
    </row>
    <row r="66">
      <c r="A66" t="inlineStr">
        <is>
          <t>in-d9139fbb243828d9</t>
        </is>
      </c>
      <c r="B66" t="inlineStr">
        <is>
          <t>Sr Principal Technical Program Manager - Engineering Architecture</t>
        </is>
      </c>
      <c r="C66" t="inlineStr">
        <is>
          <t>Oracle</t>
        </is>
      </c>
      <c r="D66" t="inlineStr">
        <is>
          <t>indeed</t>
        </is>
      </c>
      <c r="E66">
        <f>HYPERLINK("https://www.indeed.com/viewjob?jk=d9139fbb243828d9", "https://www.indeed.com/viewjob?jk=d9139fbb243828d9")</f>
        <v/>
      </c>
      <c r="F66">
        <f>HYPERLINK("https://eeho.fa.us2.oraclecloud.com/hcmUI/CandidateExperience/en/sites/CX_1/job/322075", "https://eeho.fa.us2.oraclecloud.com/hcmUI/CandidateExperience/en/sites/CX_1/job/322075")</f>
        <v/>
      </c>
      <c r="G66" t="inlineStr">
        <is>
          <t>US</t>
        </is>
      </c>
      <c r="H66" s="3" t="n">
        <v>46031</v>
      </c>
      <c r="I66"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rare opportunities for creative, hands\-on technical program owners with the expertise and passion to seek hard problems in distributed, highly available cloud services and virtualized infrastructure. Our TPMs have a significant business impact crafting and building new systems to power our customers business critical applications.
In this Sr Principal Technical Program Management role, you will be working across multiple functional teams and lead us through planning and designing technical solutions on software development and GPU Data Center Infrastructure to solve the business\-critical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our technical architects,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in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with cross\-functional teams to establish and maintain roadmaps, setting appropriate expectations while maintaining standards.
* Thrive and succeed in an innovative and fast\-paced environment and not be hindered by ambiguity or conflicting priorities.
* Work as a lead contributor individually, and as a team member, providing direction and mentoring others as needed/requested.
* Drive other obligations management duties, as needed.
**Minimum Qualifications**
* Bachelor's degree in computer sciences, software engineering, technology management, business management, or similar.
* 5\+ years of experience as a member of a software development or product development team in cloud technologies
* 10\+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 Highly analytical, technically proficient, and able to learn about new tools, software, and market opportunities quickly.
**Preferred Qualifications**
* 10\+ years of program/project management, product design or related experience
* Bachelor’s degree in computer science or relevant technical field or equivalent work experience
* Thorough understanding of public cloud infrastructure services, such as Compute, Storage, Identity and Networking
* Demonstrated knowledge of either OCI, AWS, Azure or Google IaaS, SaaS and PaaS services.
* Exposure working on GPU, GPU Infrastructure and Data Center design.</t>
        </is>
      </c>
    </row>
    <row r="67">
      <c r="A67" t="inlineStr">
        <is>
          <t>in-1ac02c88a8112ed0</t>
        </is>
      </c>
      <c r="B67" t="inlineStr">
        <is>
          <t>Founding Hardware Operations / Technical Program Manager</t>
        </is>
      </c>
      <c r="C67" t="inlineStr"/>
      <c r="D67" t="inlineStr">
        <is>
          <t>indeed</t>
        </is>
      </c>
      <c r="E67">
        <f>HYPERLINK("https://www.indeed.com/viewjob?jk=1ac02c88a8112ed0", "https://www.indeed.com/viewjob?jk=1ac02c88a8112ed0")</f>
        <v/>
      </c>
      <c r="F67">
        <f>HYPERLINK("https://jobs.ashbyhq.com/bracket-bot/0eeb4765-3a0a-424a-8aa8-8fe0e85d440c?utm_source=DZVmV9RXQq", "https://jobs.ashbyhq.com/bracket-bot/0eeb4765-3a0a-424a-8aa8-8fe0e85d440c?utm_source=DZVmV9RXQq")</f>
        <v/>
      </c>
      <c r="G67" t="inlineStr">
        <is>
          <t>San Francisco, CA, US</t>
        </is>
      </c>
      <c r="H67" s="3" t="n">
        <v>46031</v>
      </c>
      <c r="I67" t="inlineStr">
        <is>
          <t>**Founding Hardware Operations / Technical Program Manager**
============================================================
**Location:** San Francisco / Hybrid
**Type:** Full\-time · Founding Team
**About Bracket Bot**
---------------------
**Bracket Bot is building low\-cost, general\-purpose robots that developers can program and deploy in days.**
We’re transforming the world’s \~50 million software engineers into robotics engineers by building a full\-stack platform—hardware, software, and ML—designed from first principles for performance, usability, and cost. Low expense is a design goal, not a constraint.
By transforming commodity, mass\-manufactured components through disciplined engineering, we deliver robots that are reliable, high\-performance, and inexpensive to build and operate. We believe fewer than 1,000 engineers globally can reason about robotics as a true full\-stack system, and we’re assembling a small team of them to build an accessible, developer\-first robotics platform.
We’re backed by an amazing group of investors, **co\-led by Fifty Years (Scott Phoenix)** and **BoxGroup**, with participation from **Betaworks** and **Pace Capital**, plus standout angels including **Logan Kilpatrick** (Google AI), **Mohith Mothukuri** (Physical Intelligence), and **Guillermo Rauch** (CEO of Vercel).
Bracket Bot is building a low\-expense, high\-performance robotics platform ready for real\-world deployment.
**About the role**
------------------
As our hardware effort scales, we need a **Founding Hardware Operations** to build the operational backbone behind our robot.
This role is about **making hardware real**: sourcing, vendors, procurement, build readiness, and manufacturing execution — while keeping engineering moving fast **without adding process theater**.
You’ll partner closely with mechanical and electrical engineers to translate designs into **parts delivered on time**, **builds that stay on schedule**, and a supply chain that supports rapid iteration.  
**What you’ll do**
------------------
### **Supplier sourcing \+ vendor management (core)**
* Own sourcing across BOM categories (mechanical, electrical, harnessing, motors/actuators, machining, plastics, sheet metal)
* Drive supplier discovery, RFQs, quoting, negotiation, and supplier selection
* Manage vendor relationships (especially **APAC / China**) and ensure delivery against cost, lead time, and quality targets
* Create a repeatable process for vendor tracking, quoting history, and preferred supplier lists
### **Procurement \+ build operations**
* Own procurement execution: PO flows, lead time tracking, expediting, shipment tracking
* Coordinate build readiness: parts arriving, kitting, shortages, substitutions, and reorders
* Own build logistics: revisions, part changes, ECO\-style updates, and ensuring the right versions show up
### **Hardware execution / technical program management**
* Maintain hardware schedules: dependencies, risks, critical path, and iteration loops
* Translate engineering reality into clear execution plans (what’s real / what’s blocked / what ships next)
* Run tight cross\-functional coordination with Mech / EE / SWE so builds don’t stall
**What we’re looking for**
--------------------------
* Strong technical background (you can reason about hardware design tradeoffs)
* Demonstrated ability to run sourcing \+ ops across complex electromechanical systems
* Supplier / manufacturing fluency:
	+ quoting, lead times, MOQ, quality, substitutions
* Extremely organized; high ownership; low ego
* EVT DVT PVT familiarity
* Experience with CM/JDM partners
* Robotics / electromechanical background
**Nice to Have**
----------------
* APAC sourcing experience (China vendors)
* EVT DVT PVT familiarity
* Experience with CM/JDM partners
* Experience working with robotics or electromechanical BOMs
**Important notes**
-------------------
* This role is the operational backbone of the hardware team — done well, it unlocks engineering velocity.
* We’re not looking for a paperwork TPM. We’re looking for someone who can **source parts, move vendors, and ship builds**.
* You’ll be expected to operate close to the metal: lead times, shortages, substitutions, supplier issues, build readiness.
* Comfort with ambiguity is required — priorities shift as hardware evolves.
* High\-leverage founding role: you’ll define how hardware operations works at Bracket Bot.
 **Equal Opportunity Employer**
Bracket Bot is an equal opportunity employer. We’re building a diverse team and welcome applicants from all backgrounds.</t>
        </is>
      </c>
    </row>
    <row r="68">
      <c r="A68" t="inlineStr">
        <is>
          <t>in-07b4875f6d2717b0</t>
        </is>
      </c>
      <c r="B68" t="inlineStr">
        <is>
          <t>Group Product Manager, Enterprise Admin</t>
        </is>
      </c>
      <c r="C68" t="inlineStr">
        <is>
          <t>Box</t>
        </is>
      </c>
      <c r="D68" t="inlineStr">
        <is>
          <t>indeed</t>
        </is>
      </c>
      <c r="E68">
        <f>HYPERLINK("https://www.indeed.com/viewjob?jk=07b4875f6d2717b0", "https://www.indeed.com/viewjob?jk=07b4875f6d2717b0")</f>
        <v/>
      </c>
      <c r="F68">
        <f>HYPERLINK("https://grnh.se/c693ccbx1us", "https://grnh.se/c693ccbx1us")</f>
        <v/>
      </c>
      <c r="G68" t="inlineStr">
        <is>
          <t>Redwood City, CA, US</t>
        </is>
      </c>
      <c r="H68" s="3" t="n">
        <v>46031</v>
      </c>
      <c r="I68" t="inlineStr">
        <is>
          <t>**WHAT IS BOX?**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Enterprise Admins are at the heart of how customers deploy, secure, and scale Box. We're looking for a Group Product Manager to lead our Enterprise Administration portfolio—users and groups, reporting and insights, and the core admin experience. You'll drive strategy and execution that reduce churn, increase adoption, and make admins love managing Box.
In this role, you'll manage a team of Product Managers while staying close to the work. You'll set priorities across planned and unplanned initiatives, partner cross‑functionally to deliver outcomes, and help steer key initiatives like Project Centurion that deepen admin engagement across our largest customers.
**WHAT YOU'LL DO**
* **Define a strategic vision and roadmap for enterprise administration features**, encompassing user management, reporting and insights, and overall Admin experience to meet the complex governance and compliance needs of large organizations.
* **Lead a team of product managers** to deliver scalable, intuitive solutions that streamline administrative workflows while aligning with the platform's overall product strategy and enhancing operational efficiency for administrators.
* **Collaborate closely with enterprise customers and internal stakeholders** (such as GTM, customer success, and security teams) to deeply understand pain points, gather requirements, and prioritize initiatives that drive enterprise adoption and retention.
* **Identify key metrics, objectives, and results** that will define success.
**WHO YOU ARE**
We are an AI\-first company. This means you approach your work with a growth mindset and find ways to leverage AI to help make faster, smarter decisions that will 10X your impact at Box.
* 6\+ years of product management experience building enterprise SaaS products; track record in admin, governance, security, or platform experiences is a plus.
* People leadership experience hiring, mentoring, and leading Product Managers with a focus on outcomes and craft.
* Proven success owning end\-to\-end product lifecycle, including discovery, launch, and scaling of enterprise\-grade features.
* Strong collaborator who drives cross\-functional alignment with Product, Engineering, Design, Security, Legal, Support, and GTM.
* Comfortable setting a multi\-year vision and translating it into clear strategies, roadmaps, and measurable goals.
* Customer advocate with excellent discovery skills and the ability to turn complex needs into simple, usable solutions.
* Bachelor's degree in a relevant field (Business, Computer Science, Engineering) or equivalent practical experience.
* Nice to have:
	+ Experience in content management, collaboration platforms, or security/governance domains.
	+ Familiarity with admin analytics, telemetry, and reporting frameworks.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t>
        </is>
      </c>
    </row>
    <row r="69">
      <c r="A69" t="inlineStr">
        <is>
          <t>in-dec19fb760900b31</t>
        </is>
      </c>
      <c r="B69" t="inlineStr">
        <is>
          <t>Product Owner</t>
        </is>
      </c>
      <c r="C69" t="inlineStr">
        <is>
          <t>Novir</t>
        </is>
      </c>
      <c r="D69" t="inlineStr">
        <is>
          <t>indeed</t>
        </is>
      </c>
      <c r="E69">
        <f>HYPERLINK("https://www.indeed.com/viewjob?jk=dec19fb760900b31", "https://www.indeed.com/viewjob?jk=dec19fb760900b31")</f>
        <v/>
      </c>
      <c r="F69">
        <f>HYPERLINK("https://jobs.lever.co/novir/41068fc9-a09d-47d8-a831-ee3aafa1f205?lever-source=Indeed", "https://jobs.lever.co/novir/41068fc9-a09d-47d8-a831-ee3aafa1f205?lever-source=Indeed")</f>
        <v/>
      </c>
      <c r="G69" t="inlineStr">
        <is>
          <t>Milwaukee, WI, US</t>
        </is>
      </c>
      <c r="H69" s="3" t="n">
        <v>46031</v>
      </c>
      <c r="I69" t="inlineStr">
        <is>
          <t>**Who We Are**
Novir is an emerging diagnostic biotechnology company with an unmatched team of professionals and trusted partners delivering smart, fast and flexible testing solutions supported by reliable, cost\-effective screening products and best\-in\-class technology. **Our Values****Care for Tomorrow.** Create a lasting, positive difference in the lives of others. Serve people with compassion and understanding. Recognize what truly matters and center every action around meeting the needs of our community both now and into the future.**Delight our Customers.** Appreciate every interaction with our customers and find ways to bring them joy. See through the Customer’s eyes, understand and anticipate their needs to consistently deliver solutions exceeding their expectations.**Be Bold – Say It.** Be direct and open. Speak with honesty and courage, and respect others for doing the same. Say what you think, embrace passionate debate, and always bring the issue to the table. Communicate with confidence.**Bring Your Best Self.** Show up and be authentic. Utilize your greatest strengths and stay true to who you are. Bring positive energy, be genuine in your approach, and continually seek ways to grow. Be uncompromisingly you.**Innovate Relentlessly.** Explore new possibilities and be willing to take a risk. Challenge status quo. Try new ideas, learn from mistakes, and rally the team to raise the bar. **What We Do**
We offer a variety of on demand health screening services. Most recently, we have successfully scaled our first offering of rapid COVID\-19 screening solutions with on\-site delivery, Insta OnSite (do\-it\-yourself testing) and Virtual Proctoring enabled by our own proprietary Track platform. We are taking the capabilities we have built and applying them to revolutionize preventative screening in the digital health space to launch and scale our offerings in our pipeline including: lead\-testing at schools, vaccinations in schools and senior living, virtual drug testing, and preventative health screenings. **About This Role:**
We’re looking for an experienced Product Owner to join our team. In this role you will lead and manage a custom\-built software platform for Novir. In this role, you will be the voice of the customer while gathering requirements, designing, and delivering new product features to development teams. We drive innovation, and you as the Product Owner will be an integral part in creating our core platform as we continue to evolve and launch our future offerings. You will breakdown feature requests, prioritize work, and coordinate sprints with our engineering development team. *This position requires onsite attendance at Novir Headquarters a minimum of 3 days per week.*
### **What You'll Do:**
* Gather and prioritize requirements to build new features for our platform
* Lead weekly standups and check\-ins with engineering development team
* Provide direction to development team, consistently ensuring they are aligned with the needs of the business
* Meet with business stakeholders regularly to gather, analyze and document requirements throughout the lifecycle of a project
* Provide the business updates on features and projects
* Manage backlog according to business priority features, enhancement, and bug fixes
* Use agile methodologies to manage full lifecycle development on the platform
* Interview and observe use of features in the field to ensure usability and customer delight
* Test new features while identifying bugs and documenting needed adjustments
### **Key Experience We’re Looking For:**
* 3\-5 years recent experience as a Product Owner working with development teams to build new offerings, features, integrations that drive business growth
* 5 years' experience working in a digital healthcare environment
* Deep experience with small scrappy start\-up team waring multiple hats with a growing development team
* A strong understanding of coding including a technical background with fingers to keyboard and the possibilities as they relate to building new features
* Strong experience in writing clear and concise user stories and acceptance criteria and aligning priorities
* Flexible, fast\-paced, independent thinker that can work in a flat, unstructured environment and bring order to chaos and weed through priorities to gain consensus to drive development priorities
* Ability to test against acceptance criteria across devices and Operating Systems and develop and execute testcases with support from the business
* Build and own strategic roadmap of epics and integrations to align with business goals and strategy on an annual planning basis
* Experience with best practice project management tools and experience managing an AGILE process (Jira or other backlog management tools) using a Kan Ban or Sprint methodology
* Weekly management processes with stakeholders and daily stand\-ups with developers
* A bachelor's degree from an accredited university
### **Who You Are:**
* **You’re Customer Focused:** The customer journey is at the core of everything you do, and you keep it top of mind while designing features
* **You’re Organized:** You havestrong attention to detail, never miss the little things, and have focused productivity and accuracy
* **You’re A Strong Communicator:** You are comfortable communicating with engineers, and business stakeholders clearly and concisely
* **You’re Analytical:** You consider multiple factors when making decisions, and use data when and where possible to inform your decisions
* **You’re Open\-Minded:** You are comfortable giving and receiving feedback
### **Perks of Working @ Novir:**
* Competitive total compensation offerings
* Generous paid time off policy
* Medical, dental and vision insurance, some of which is covered by the company
* Company provided Disability and Life Insurance
* Flexible schedule and work from home policy
* A friendly office atmosphere in our office space in the heart of Milwaukee’s Third Ward
* Opportunity to build something incredible while being surrounded by intelligent, hardworking and motivated coworkers
Novir is a fast\-growing startup with a work hard, play hard attitude. We look for smart, motivated individuals who are excited to build something incredible from the ground up!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in-59467b1c14a38560</t>
        </is>
      </c>
      <c r="B70" t="inlineStr">
        <is>
          <t>Associate Product Manager</t>
        </is>
      </c>
      <c r="C70" t="inlineStr">
        <is>
          <t>Paramount</t>
        </is>
      </c>
      <c r="D70" t="inlineStr">
        <is>
          <t>indeed</t>
        </is>
      </c>
      <c r="E70">
        <f>HYPERLINK("https://www.indeed.com/viewjob?jk=59467b1c14a38560", "https://www.indeed.com/viewjob?jk=59467b1c14a38560")</f>
        <v/>
      </c>
      <c r="F70">
        <f>HYPERLINK("https://careers.paramount.com/job/Nashville-Associate-Product-Manager-TN-37201/1342114600/?feedId=341000&amp;utm_source=Indeed&amp;utm_campaign=Paramount_Indeed", "https://careers.paramount.com/job/Nashville-Associate-Product-Manager-TN-37201/1342114600/?feedId=341000&amp;utm_source=Indeed&amp;utm_campaign=Paramount_Indeed")</f>
        <v/>
      </c>
      <c r="G70" t="inlineStr">
        <is>
          <t>Nashville, TN, US</t>
        </is>
      </c>
      <c r="H70" s="3" t="n">
        <v>46031</v>
      </c>
      <c r="I70" t="inlineStr">
        <is>
          <t>**\#WeAreParamount on a mission to unleash the power of content… you in?**  
We’ve got the brands, we’ve got the stars, we’ve got thepowerto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SportsLine is a leading sports analysis and prediction platform, providing expert insights, data\-driven analysis, and betting recommendations to sports enthusiasts and bettors. As a part of CBS Sports, we are at the forefront of the rapidly growing sports betting industry. We are seeking a highly motivated Associate Product Manager to join our dynamic team and contribute to the continued success and growth of SportsLine and CBS Sports Betting Services.
Job Description: As an Associate Product Manager for SportsLine and CBS Sports Betting Services, you will play a crucial role in shaping and optimizing our product offerings in the sports betting space. You will collaborate closely with cross\-functional teams, including product managers, data scientists, engineers, and marketers, to drive the development and enhancement of our sports betting products. This position offers an exciting opportunity to work at the intersection of sports, technology, and data analysis.
**Key Responsibilities:**
-------------------------
* Collaborate with product managers to define and prioritize product features and improvements.
* Conduct market research and competitive analysis to identify opportunities and trends in the sports betting industry.
* Analyze user behavior, customer feedback, and performance metrics to inform product decisions.
* Assist in crafting product roadmaps and development plans.
* Work closely with engineering teams to ensure the timely and successful delivery of product features.
* Develop and maintain product documentation, user stories, and requirements.
* Assist in testing and quality assurance of product releases.
* Monitor and report on the performance of key product indicators.
* Stay updated on industry regulations and compliance requirements related to sports betting.
* Provide support to marketing and sales teams in promoting and explaining product features to customers.
**Job Requirements:**
---------------------
* Bachelor's degree in Business, Marketing, Computer Science, or a related field. MBA or advanced degree is a plus (or equivalent experience).
* 2\+ years of experience in product management, product analysis, or similar role, preferably in the sports betting or sports analytics industry.
* Strong analytical skills and the ability to interpret data to drive product decisions.
* Excellent communication skills, both written and verbal.
* Familiarity with sports betting platforms and a strong knowledge of sports betting regulations and compliance.
* Proficiency in using analytical tools and software, such as Google Analytics, Tableau, or similar.
* Experience with agile development methodologies is a plus.
* A passion for sports and an understanding of sports analytics and betting trends.
* Ability to work collaboratively in a fast\-paced, cross\-functional team environment.
* Strong problem\-solving skills and attention to detail.
* Flexibility and adaptability to evolving priorities and market dynamics.
CBS Sports, a year\-round leader in cross\-platform sports coverage, broadcasts a portfolio of events on the CBS Television Network, including THE NFL ON CBS; college football, including the Big Ten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ADDITIONAL INFORMATION
Hiring Salary Range: $70,000\.00 \- 84,000\.00\.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71">
      <c r="A71" t="inlineStr">
        <is>
          <t>in-52f9955817921349</t>
        </is>
      </c>
      <c r="B71" t="inlineStr">
        <is>
          <t>Senior NPI Program Manager</t>
        </is>
      </c>
      <c r="C71" t="inlineStr">
        <is>
          <t>NVIDIA</t>
        </is>
      </c>
      <c r="D71" t="inlineStr">
        <is>
          <t>indeed</t>
        </is>
      </c>
      <c r="E71">
        <f>HYPERLINK("https://www.indeed.com/viewjob?jk=52f9955817921349", "https://www.indeed.com/viewjob?jk=52f9955817921349")</f>
        <v/>
      </c>
      <c r="F71">
        <f>HYPERLINK("https://click.appcast.io/t/BwUFV0JEbkU0eUshpq5oU2cnTvQCzR62SDnZp4pcn9o=", "https://click.appcast.io/t/BwUFV0JEbkU0eUshpq5oU2cnTvQCzR62SDnZp4pcn9o=")</f>
        <v/>
      </c>
      <c r="G71" t="inlineStr">
        <is>
          <t>Santa Clara, CA, US</t>
        </is>
      </c>
      <c r="H71" s="3" t="n">
        <v>46031</v>
      </c>
      <c r="I71" t="inlineStr">
        <is>
          <t>NVIDIA has been redefining computer graphics, PC gaming, and accelerated computing for more than 25 years. It’s an outstanding legacy of innovation that’s motivated by great technology—and outstanding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Be immersed in a diverse, encouraging environment where everyone is encouraged to do their best work. Come join the team and see how you can make a lasting impact on the world.
**What You'll Be Doing:**
* Help deliver extraordinary products on time by leading new product build readiness and cross\-functional alignment
* Ensure continuous process improvement by tracking and publishing Key Performance Indicators (KPIs) and helping to implement process improvements when critical metric results are below target
* Run a checklist of cross\-functional results for your programs and ensure that team members are completing assignments on time
* Lead and attend cross\-functional NPI meetings related to your products and highlight key Operations issues, handle them to closure to ensure the product is ready for production
* Suggest process improvements, work to get cross\-functional alignment for your suggestions and detail the revised processes to help the entire team become more efficient
**What We Need to See:**
* Minimum of 8\+ years Program Management experience in a similar role
* Bachelor's Degree or equivalent experience
* Strong verbal and written communications skills
* Strong work ethic, an ability to work independently and navigate ambiguous situations
* Previous experience leading Printed Circuit Board Assembly (PCBA) and system builds
**Ways to Stand Out from the Crowd:**
* Technical major strongly preferred
* NPI Programs experience
With competitive salaries and a generous benefits package, NVIDIA is widely considered to be one of the technology world’s most desirable employers. We have some of the most forward\-thinking and hardworking people in the world working for us. This role presents an opportunity to have a wide impact at NVIDIA by improving the factory planning function. Are you creative, hard\-working, dedicated, and determined? Do you love a challenge? If so, we want to hear from you!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72">
      <c r="A72" t="inlineStr">
        <is>
          <t>in-5eb25cd8c712a2f6</t>
        </is>
      </c>
      <c r="B72" t="inlineStr">
        <is>
          <t>Senior NPI Program Manager</t>
        </is>
      </c>
      <c r="C72" t="inlineStr">
        <is>
          <t>NVIDIA</t>
        </is>
      </c>
      <c r="D72" t="inlineStr">
        <is>
          <t>indeed</t>
        </is>
      </c>
      <c r="E72">
        <f>HYPERLINK("https://www.indeed.com/viewjob?jk=5eb25cd8c712a2f6", "https://www.indeed.com/viewjob?jk=5eb25cd8c712a2f6")</f>
        <v/>
      </c>
      <c r="F72">
        <f>HYPERLINK("https://click.appcast.io/t/Ozlq3a3XAKXvdKvbdqKkMiy9-qgOWo2EbTi8hFP3JAg=", "https://click.appcast.io/t/Ozlq3a3XAKXvdKvbdqKkMiy9-qgOWo2EbTi8hFP3JAg=")</f>
        <v/>
      </c>
      <c r="G72" t="inlineStr">
        <is>
          <t>Santa Clara, CA, US</t>
        </is>
      </c>
      <c r="H72" s="3" t="n">
        <v>46031</v>
      </c>
      <c r="I72" t="inlineStr">
        <is>
          <t>NVIDIA has been transforming computer graphics, PC gaming, and accelerated computing for more than 25 years. It’s a unique legacy of innovation that’s fueled by great technology—and amazing people. Lead the manufacturing support for Data Center AI accelerator boards, solving complex problems. Assist in delivering advanced AI accelerators across various industries in collaboration with Technical Program Managers.
**What you'll be doing:**
* Driving OPS Readiness Meeting
* Planning, coordinating, and tracking manufacturing progress to the stated quarterly manufacturing goals.
* Collaborating with Engineering and Diagnostics teams to coordinate product Firmware and test diagnostics upgrades.
* Devise and implement an NPI handover strategy for ramping new designs into mass production,
* Using strong communication and influencing skills to drive regular alignment and succinct updates to the factory network.
* Ensuring continuous alignment between the factory and key collaborators on production execution strategy and engineering work progress.
* Leading and coordinating teams to proactively minimize production risks and swiftly resolve day\-to\-day issues.
* Driving systemic process improvement, owning technology issue resolution, and developing risk mitigation strategies.
* Coordinating the supply chain and manufacturing plan of record for revenue products.
**What we need to see:**
* 12\+ years of experience in hardware\-related program management/production within the server industry.
* Leadership – ability to influence and drive the correct behaviors, negotiate your position, and make and defend solid data\-driven decisions.
* Excellent communication skills, with the ability to detail and clearly articulate the status and final project deliveries at all levels of the organization.
* Prior work involvement in technical program, project, or product management position within the server domain is favored.
* Pragmatic problem\-solving skills, comfortable with making informed decisions or escalating, as necessary.
* BS degree or equivalent experience in Electrical or Mechanical Engineering preferred.
* Fast issue resolution through out\-of\-the\-box thinking.
* Ability to thrive and adapt in a fast\-paced environment.
**Ways to stand out from the crowd:**
* Project Management Professional Certification a plus.
* Technical depth in hardware and software development techniques.
* In\-depth knowledge of factory production techniques and test strategies.
* Direct experience delivering complex products to cloud\-based customers.
With competitive salaries and a generous benefits package, NVIDIA is widely considered to be one of the technology world’s most desirable employers. We have some of the most forward\-thinking and hardworking people in the world working for us. This role presents an opportunity to have a wide impact at NVIDIA by improving the factory planning function. Are you creative, hard\-working, dedicated, and determined? Do you love a challenge? If so, we want to hear from you!
Your base salary will be determined based on your location, experience, and the pay of employees in similar positions. The base salary range is 200,000 USD \- 322,000 USD.
You will also be eligible for equity and benefits.
Applications for this job will be accepted at least until January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73">
      <c r="A73" t="inlineStr">
        <is>
          <t>in-322e2b343a09f4df</t>
        </is>
      </c>
      <c r="B73" t="inlineStr">
        <is>
          <t>Principal Program Manager, Join OCI</t>
        </is>
      </c>
      <c r="C73" t="inlineStr">
        <is>
          <t>Oracle</t>
        </is>
      </c>
      <c r="D73" t="inlineStr">
        <is>
          <t>indeed</t>
        </is>
      </c>
      <c r="E73">
        <f>HYPERLINK("https://www.indeed.com/viewjob?jk=322e2b343a09f4df", "https://www.indeed.com/viewjob?jk=322e2b343a09f4df")</f>
        <v/>
      </c>
      <c r="F73">
        <f>HYPERLINK("https://eeho.fa.us2.oraclecloud.com/hcmUI/CandidateExperience/en/sites/CX_1/job/322021", "https://eeho.fa.us2.oraclecloud.com/hcmUI/CandidateExperience/en/sites/CX_1/job/322021")</f>
        <v/>
      </c>
      <c r="G73" t="inlineStr">
        <is>
          <t>Nashville, TN, US</t>
        </is>
      </c>
      <c r="H73" s="3" t="n">
        <v>46030</v>
      </c>
      <c r="I73" t="inlineStr">
        <is>
          <t>Are you passionate about cloud technology and proficient at transforming complex business processes? Join the Oracle Cloud Transformation \&amp; Delivery team as a Principal Program Manager at our Nashville HQ. As Oracle continues its rapid growth, our team is focused on optimizing and streamlining key business processes to drive efficiency and scalability across the organization.
In this high\-impact role, you’ll identify, scope, and deliver improvement initiatives leveraging Oracle’s internal AI capabilities. You’ll collaborate closely with Oracle product management teams, service teams, global business practices, and corporate functions to transform how we approach problems and operate. Further, this position is part of a new function, with opportunity to define, establish, and implement innovative approaches.
Key responsibilities include:
* Defining and implementing business process improvements, including establishing baseline KPIs and driving continuous improvement.
* Partner with cross\-functional teams to analyze complex cloud\-based processes, gather key inputs, and set effective delivery timelines.
* Apply business acumen to assess enterprise risks and design actionable plans with clear, measurable outcomes.
* Communicate recommendations, decisions, and priorities succinctly to stakeholders at all levels, including executive leadership.
Additional responsibilities, as assigned.  
* 
Basic Qualifications:
* BS or MS in Business Administration, Economics, Project Management, or equivalent degree
* 5–10 years in project management, program management, portfolio management, and/or business analysis
* Experience working with cloud computing services
Proven success in business process implementation, transformation, or strategic delivery  
* 
Preferred Qualifications:
* Experience with generative AI capabilities, including knowledge base augmentation
* Strong independent decision\-making and sound judgment skills
* Exceptional written, verbal, interpersonal, and analytical communication abilities
* Ability to manage multiple projects, stakeholders, and priorities concurrently
* High degree of technical proficiency and a quick learner with new processes and technologies</t>
        </is>
      </c>
    </row>
    <row r="74">
      <c r="A74" t="inlineStr">
        <is>
          <t>in-0682d2aa6a0e06df</t>
        </is>
      </c>
      <c r="B74" t="inlineStr">
        <is>
          <t>Product Manager/Strategy 4-ProdDev</t>
        </is>
      </c>
      <c r="C74" t="inlineStr">
        <is>
          <t>Oracle</t>
        </is>
      </c>
      <c r="D74" t="inlineStr">
        <is>
          <t>indeed</t>
        </is>
      </c>
      <c r="E74">
        <f>HYPERLINK("https://www.indeed.com/viewjob?jk=0682d2aa6a0e06df", "https://www.indeed.com/viewjob?jk=0682d2aa6a0e06df")</f>
        <v/>
      </c>
      <c r="F74">
        <f>HYPERLINK("https://eeho.fa.us2.oraclecloud.com/hcmUI/CandidateExperience/en/sites/CX_1/job/321919", "https://eeho.fa.us2.oraclecloud.com/hcmUI/CandidateExperience/en/sites/CX_1/job/321919")</f>
        <v/>
      </c>
      <c r="G74" t="inlineStr">
        <is>
          <t>US</t>
        </is>
      </c>
      <c r="H74" s="3" t="n">
        <v>46029</v>
      </c>
      <c r="I74" t="inlineStr">
        <is>
          <t>Oracle Database Cloud is one of the fastest\-growing Oracle cloud product portfolios which includes Autonomous Database, Exadata Database, NoSQL Database, Blockchain, GoldenGate and more. We are seeking a dynamic and creative addition to the Global Strategy and Outbound Product Management (PM) team for Oracle Database Cloud offerings, whose primary goal will be to help accelerate the growth of database cloud services across all the worldwide regions. This person will focus on implementing business development activities, defining and refining the GTM programs, commercializing products and services, and working cross\-functionally to grow Database Cloud products and services as dictated by priorities. The priorities may change from quarter to quarter.
At a strategic level, this individual needs to cross\-functionally define and execute the growth strategy of Oracle Database Cloud offerings, including seeking out market segments and partners that represent the growth opportunity.
At a tactical level, this individual needs to enthusiastically interact with various internal business groups, operations units, product release teams, and test and development teams to manage the entire life cycle process of the services and products within the Mission Critical Database Technologies group. Furthermore, this individual also needs to actively
engage with the sales and business development teams to understand, prioritize, and progressively eliminate roadblocks to the growth of Oracle Database Cloud, wherever they exist.
Among other items, potential responsibilities may include:
* Working with the technology\-focused Product Management team to understand and develop key differentiation and
success factors for Oracle Database Cloud offerings.
* Working with various stakeholders to commercialize and launch service updates.
* Working with the marketing teams to align the messages to the core product value proposition, with the aim of developing the market and enhancing the pipeline.
* Working with the regional sales and business development teams to structure the sale plays, sale programs, and GTM market models, specifically tuned to the dynamics of each global region, as well as providing periodic training \&amp; support to the regional sales ecosystem.
* Working with partner teams to develop and enhance partner ecosystems. Activities involve aligning Oracle Database Cloud value proposition with partner’s GTM frameworks, evangelization, product positioning, vertical alignment, roadmap updates, solution support, and training.
* Working with the regional sale and business development teams to perform win\-loss analysis, create Point\-of\-View on regional success factors, and provide routine feedback to the executive management and technology\-focused product teams.
* Helping to build credible references, as well as create success stories, white papers, and field training material. We seek someone with a very can\-do attitude, who thinks creatively, is capable of creating independent Points\-of\-View, can build support/consensus in a large multi\-functional organization, and is aggressive at introducing new and evolving cloud concepts across all global regions.</t>
        </is>
      </c>
    </row>
    <row r="75">
      <c r="A75" t="inlineStr">
        <is>
          <t>in-fb670106a907e5bf</t>
        </is>
      </c>
      <c r="B75" t="inlineStr">
        <is>
          <t>Sr. Product Manager</t>
        </is>
      </c>
      <c r="C75" t="inlineStr">
        <is>
          <t>Amazon.com</t>
        </is>
      </c>
      <c r="D75" t="inlineStr">
        <is>
          <t>indeed</t>
        </is>
      </c>
      <c r="E75">
        <f>HYPERLINK("https://www.indeed.com/viewjob?jk=fb670106a907e5bf", "https://www.indeed.com/viewjob?jk=fb670106a907e5bf")</f>
        <v/>
      </c>
      <c r="F75">
        <f>HYPERLINK("https://www.amazon.jobs/jobs/3129468/sr-product-manager?cmpid=DA_INAD200785B", "https://www.amazon.jobs/jobs/3129468/sr-product-manager?cmpid=DA_INAD200785B")</f>
        <v/>
      </c>
      <c r="G75" t="inlineStr">
        <is>
          <t>San Francisco, CA, US</t>
        </is>
      </c>
      <c r="H75" s="3" t="n">
        <v>45979</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in-9e5a04f402499473</t>
        </is>
      </c>
      <c r="B76" t="inlineStr">
        <is>
          <t>Sr. Product Manager, AWS Server Supply Chain</t>
        </is>
      </c>
      <c r="C76" t="inlineStr">
        <is>
          <t>Amazon.com</t>
        </is>
      </c>
      <c r="D76" t="inlineStr">
        <is>
          <t>indeed</t>
        </is>
      </c>
      <c r="E76">
        <f>HYPERLINK("https://www.indeed.com/viewjob?jk=9e5a04f402499473", "https://www.indeed.com/viewjob?jk=9e5a04f402499473")</f>
        <v/>
      </c>
      <c r="F76">
        <f>HYPERLINK("https://www.amazon.jobs/jobs/3117342/sr-product-manager-aws-server-supply-chain?cmpid=DA_INAD200785B", "https://www.amazon.jobs/jobs/3117342/sr-product-manager-aws-server-supply-chain?cmpid=DA_INAD200785B")</f>
        <v/>
      </c>
      <c r="G76" t="inlineStr">
        <is>
          <t>Seattle, WA, US</t>
        </is>
      </c>
      <c r="H76" s="3" t="n">
        <v>45956</v>
      </c>
      <c r="I7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in-df6ca66ee4966550</t>
        </is>
      </c>
      <c r="B77" t="inlineStr">
        <is>
          <t>Sr. Product Manager, AWS Server Supply Chain</t>
        </is>
      </c>
      <c r="C77" t="inlineStr">
        <is>
          <t>Amazon.com</t>
        </is>
      </c>
      <c r="D77" t="inlineStr">
        <is>
          <t>indeed</t>
        </is>
      </c>
      <c r="E77">
        <f>HYPERLINK("https://www.indeed.com/viewjob?jk=df6ca66ee4966550", "https://www.indeed.com/viewjob?jk=df6ca66ee4966550")</f>
        <v/>
      </c>
      <c r="F77">
        <f>HYPERLINK("https://www.amazon.jobs/jobs/3117342/sr-product-manager-aws-server-supply-chain?cmpid=DA_INAD200785B", "https://www.amazon.jobs/jobs/3117342/sr-product-manager-aws-server-supply-chain?cmpid=DA_INAD200785B")</f>
        <v/>
      </c>
      <c r="G77" t="inlineStr">
        <is>
          <t>Austin, TX, US</t>
        </is>
      </c>
      <c r="H77" s="3" t="n">
        <v>45956</v>
      </c>
      <c r="I7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in-8372025165b3213b</t>
        </is>
      </c>
      <c r="B78" t="inlineStr">
        <is>
          <t>Sr. Product Manager, AWS Server Supply Chain</t>
        </is>
      </c>
      <c r="C78" t="inlineStr">
        <is>
          <t>Amazon.com</t>
        </is>
      </c>
      <c r="D78" t="inlineStr">
        <is>
          <t>indeed</t>
        </is>
      </c>
      <c r="E78">
        <f>HYPERLINK("https://www.indeed.com/viewjob?jk=8372025165b3213b", "https://www.indeed.com/viewjob?jk=8372025165b3213b")</f>
        <v/>
      </c>
      <c r="F78">
        <f>HYPERLINK("https://www.amazon.jobs/jobs/3117342/sr-product-manager-aws-server-supply-chain?cmpid=DA_INAD200785B", "https://www.amazon.jobs/jobs/3117342/sr-product-manager-aws-server-supply-chain?cmpid=DA_INAD200785B")</f>
        <v/>
      </c>
      <c r="G78" t="inlineStr">
        <is>
          <t>Cupertino, CA, US</t>
        </is>
      </c>
      <c r="H78" s="3" t="n">
        <v>45956</v>
      </c>
      <c r="I7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in-0889523977eb82d0</t>
        </is>
      </c>
      <c r="B79" t="inlineStr">
        <is>
          <t>Principal Product Manager Technical, Creative X - RAPID</t>
        </is>
      </c>
      <c r="C79" t="inlineStr">
        <is>
          <t>Amazon.com</t>
        </is>
      </c>
      <c r="D79" t="inlineStr">
        <is>
          <t>indeed</t>
        </is>
      </c>
      <c r="E79">
        <f>HYPERLINK("https://www.indeed.com/viewjob?jk=0889523977eb82d0", "https://www.indeed.com/viewjob?jk=0889523977eb82d0")</f>
        <v/>
      </c>
      <c r="F79">
        <f>HYPERLINK("https://www.amazon.jobs/jobs/3112224/principal-product-manager-technical-creative-x--rapid?cmpid=DA_INAD200785B", "https://www.amazon.jobs/jobs/3112224/principal-product-manager-technical-creative-x--rapid?cmpid=DA_INAD200785B")</f>
        <v/>
      </c>
      <c r="G79" t="inlineStr">
        <is>
          <t>New York, NY, US</t>
        </is>
      </c>
      <c r="H79" s="3" t="n">
        <v>45939</v>
      </c>
      <c r="I7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in-48d8678f3966ce54</t>
        </is>
      </c>
      <c r="B80" t="inlineStr">
        <is>
          <t>Principal Product Manager Technical, Creative X - RAPID</t>
        </is>
      </c>
      <c r="C80" t="inlineStr">
        <is>
          <t>Amazon.com</t>
        </is>
      </c>
      <c r="D80" t="inlineStr">
        <is>
          <t>indeed</t>
        </is>
      </c>
      <c r="E80">
        <f>HYPERLINK("https://www.indeed.com/viewjob?jk=48d8678f3966ce54", "https://www.indeed.com/viewjob?jk=48d8678f3966ce54")</f>
        <v/>
      </c>
      <c r="F80">
        <f>HYPERLINK("https://www.amazon.jobs/jobs/3112224/principal-product-manager-technical-creative-x--rapid?cmpid=DA_INAD200785B", "https://www.amazon.jobs/jobs/3112224/principal-product-manager-technical-creative-x--rapid?cmpid=DA_INAD200785B")</f>
        <v/>
      </c>
      <c r="G80" t="inlineStr">
        <is>
          <t>Seattle, WA, US</t>
        </is>
      </c>
      <c r="H80" s="3" t="n">
        <v>45939</v>
      </c>
      <c r="I8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in-a573a8dbf32d3101</t>
        </is>
      </c>
      <c r="B81" t="inlineStr">
        <is>
          <t>Senior Program Manager III, Planning, Amazon Leo, Global Service Compliance</t>
        </is>
      </c>
      <c r="C81" t="inlineStr">
        <is>
          <t>Amazon.com</t>
        </is>
      </c>
      <c r="D81" t="inlineStr">
        <is>
          <t>indeed</t>
        </is>
      </c>
      <c r="E81">
        <f>HYPERLINK("https://www.indeed.com/viewjob?jk=a573a8dbf32d3101", "https://www.indeed.com/viewjob?jk=a573a8dbf32d3101")</f>
        <v/>
      </c>
      <c r="F81">
        <f>HYPERLINK("https://www.amazon.jobs/jobs/3106118/senior-program-manager-iii-planning-amazon-leo-global-service-compliance?cmpid=DA_INAD200785B", "https://www.amazon.jobs/jobs/3106118/senior-program-manager-iii-planning-amazon-leo-global-service-compliance?cmpid=DA_INAD200785B")</f>
        <v/>
      </c>
      <c r="G81" t="inlineStr">
        <is>
          <t>Arlington, VA, US</t>
        </is>
      </c>
      <c r="H81" s="3" t="n">
        <v>45939</v>
      </c>
      <c r="I81"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in-13cd0105f42a773c</t>
        </is>
      </c>
      <c r="B82" t="inlineStr">
        <is>
          <t>Senior Program Manager III, Planning, Amazon Leo, Global Service Compliance</t>
        </is>
      </c>
      <c r="C82" t="inlineStr">
        <is>
          <t>Amazon.com</t>
        </is>
      </c>
      <c r="D82" t="inlineStr">
        <is>
          <t>indeed</t>
        </is>
      </c>
      <c r="E82">
        <f>HYPERLINK("https://www.indeed.com/viewjob?jk=13cd0105f42a773c", "https://www.indeed.com/viewjob?jk=13cd0105f42a773c")</f>
        <v/>
      </c>
      <c r="F82">
        <f>HYPERLINK("https://www.amazon.jobs/jobs/3106118/senior-program-manager-iii-planning-amazon-leo-global-service-compliance?cmpid=DA_INAD200785B", "https://www.amazon.jobs/jobs/3106118/senior-program-manager-iii-planning-amazon-leo-global-service-compliance?cmpid=DA_INAD200785B")</f>
        <v/>
      </c>
      <c r="G82" t="inlineStr">
        <is>
          <t>Bellevue, WA, US</t>
        </is>
      </c>
      <c r="H82" s="3" t="n">
        <v>45939</v>
      </c>
      <c r="I82"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in-9f39fb0b25e6e3a2</t>
        </is>
      </c>
      <c r="B83" t="inlineStr">
        <is>
          <t>Principal Product Manager, Ship with Amazon</t>
        </is>
      </c>
      <c r="C83" t="inlineStr">
        <is>
          <t>Amazon.com</t>
        </is>
      </c>
      <c r="D83" t="inlineStr">
        <is>
          <t>indeed</t>
        </is>
      </c>
      <c r="E83">
        <f>HYPERLINK("https://www.indeed.com/viewjob?jk=9f39fb0b25e6e3a2", "https://www.indeed.com/viewjob?jk=9f39fb0b25e6e3a2")</f>
        <v/>
      </c>
      <c r="F83">
        <f>HYPERLINK("https://www.amazon.jobs/jobs/3107449/principal-product-manager-ship-with-amazon?cmpid=DA_INAD200785B", "https://www.amazon.jobs/jobs/3107449/principal-product-manager-ship-with-amazon?cmpid=DA_INAD200785B")</f>
        <v/>
      </c>
      <c r="G83" t="inlineStr">
        <is>
          <t>Bellevue, WA, US</t>
        </is>
      </c>
      <c r="H83" s="3" t="n">
        <v>45938</v>
      </c>
      <c r="I83"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in-5ddfbddfbbf5b625</t>
        </is>
      </c>
      <c r="B84" t="inlineStr">
        <is>
          <t>Principal Product Manager, Ship with Amazon</t>
        </is>
      </c>
      <c r="C84" t="inlineStr">
        <is>
          <t>Amazon.com</t>
        </is>
      </c>
      <c r="D84" t="inlineStr">
        <is>
          <t>indeed</t>
        </is>
      </c>
      <c r="E84">
        <f>HYPERLINK("https://www.indeed.com/viewjob?jk=5ddfbddfbbf5b625", "https://www.indeed.com/viewjob?jk=5ddfbddfbbf5b625")</f>
        <v/>
      </c>
      <c r="F84">
        <f>HYPERLINK("https://www.amazon.jobs/jobs/3107447/principal-product-manager-ship-with-amazon?cmpid=DA_INAD200785B", "https://www.amazon.jobs/jobs/3107447/principal-product-manager-ship-with-amazon?cmpid=DA_INAD200785B")</f>
        <v/>
      </c>
      <c r="G84" t="inlineStr">
        <is>
          <t>Arlington, VA, US</t>
        </is>
      </c>
      <c r="H84" s="3" t="n">
        <v>45936</v>
      </c>
      <c r="I84"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in-f291ea7dac5cb228</t>
        </is>
      </c>
      <c r="B85" t="inlineStr">
        <is>
          <t>Principal Product Manager, Ship with Amazon</t>
        </is>
      </c>
      <c r="C85" t="inlineStr">
        <is>
          <t>Amazon.com</t>
        </is>
      </c>
      <c r="D85" t="inlineStr">
        <is>
          <t>indeed</t>
        </is>
      </c>
      <c r="E85">
        <f>HYPERLINK("https://www.indeed.com/viewjob?jk=f291ea7dac5cb228", "https://www.indeed.com/viewjob?jk=f291ea7dac5cb228")</f>
        <v/>
      </c>
      <c r="F85">
        <f>HYPERLINK("https://www.amazon.jobs/jobs/3107447/principal-product-manager-ship-with-amazon?cmpid=DA_INAD200785B", "https://www.amazon.jobs/jobs/3107447/principal-product-manager-ship-with-amazon?cmpid=DA_INAD200785B")</f>
        <v/>
      </c>
      <c r="G85" t="inlineStr">
        <is>
          <t>Bellevue, WA, US</t>
        </is>
      </c>
      <c r="H85" s="3" t="n">
        <v>45936</v>
      </c>
      <c r="I85"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in-eed2786a80739e36</t>
        </is>
      </c>
      <c r="B86" t="inlineStr">
        <is>
          <t>Principal Product Manager, Ship with Amazon</t>
        </is>
      </c>
      <c r="C86" t="inlineStr">
        <is>
          <t>Amazon.com</t>
        </is>
      </c>
      <c r="D86" t="inlineStr">
        <is>
          <t>indeed</t>
        </is>
      </c>
      <c r="E86">
        <f>HYPERLINK("https://www.indeed.com/viewjob?jk=eed2786a80739e36", "https://www.indeed.com/viewjob?jk=eed2786a80739e36")</f>
        <v/>
      </c>
      <c r="F86">
        <f>HYPERLINK("https://www.amazon.jobs/jobs/3107447/principal-product-manager-ship-with-amazon?cmpid=DA_INAD200785B", "https://www.amazon.jobs/jobs/3107447/principal-product-manager-ship-with-amazon?cmpid=DA_INAD200785B")</f>
        <v/>
      </c>
      <c r="G86" t="inlineStr">
        <is>
          <t>Nashville, TN, US</t>
        </is>
      </c>
      <c r="H86" s="3" t="n">
        <v>45936</v>
      </c>
      <c r="I8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in-9cdd9ff36e3dfa8f</t>
        </is>
      </c>
      <c r="B87" t="inlineStr">
        <is>
          <t>Sr. Supply Chain Product Manager, Amazon Custom Modules</t>
        </is>
      </c>
      <c r="C87" t="inlineStr">
        <is>
          <t>Amazon.com</t>
        </is>
      </c>
      <c r="D87" t="inlineStr">
        <is>
          <t>indeed</t>
        </is>
      </c>
      <c r="E87">
        <f>HYPERLINK("https://www.indeed.com/viewjob?jk=9cdd9ff36e3dfa8f", "https://www.indeed.com/viewjob?jk=9cdd9ff36e3dfa8f")</f>
        <v/>
      </c>
      <c r="F87">
        <f>HYPERLINK("https://www.amazon.jobs/jobs/3109372/sr-supply-chain-product-manager-amazon-custom-modules?cmpid=DA_INAD200785B", "https://www.amazon.jobs/jobs/3109372/sr-supply-chain-product-manager-amazon-custom-modules?cmpid=DA_INAD200785B")</f>
        <v/>
      </c>
      <c r="G87" t="inlineStr">
        <is>
          <t>Cupertino, CA, US</t>
        </is>
      </c>
      <c r="H87" s="3" t="n">
        <v>45935</v>
      </c>
      <c r="I8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in-fba9d838a46e6842</t>
        </is>
      </c>
      <c r="B88" t="inlineStr">
        <is>
          <t>Sr. Supply Chain Product Manager, Amazon Custom Modules</t>
        </is>
      </c>
      <c r="C88" t="inlineStr">
        <is>
          <t>Amazon.com</t>
        </is>
      </c>
      <c r="D88" t="inlineStr">
        <is>
          <t>indeed</t>
        </is>
      </c>
      <c r="E88">
        <f>HYPERLINK("https://www.indeed.com/viewjob?jk=fba9d838a46e6842", "https://www.indeed.com/viewjob?jk=fba9d838a46e6842")</f>
        <v/>
      </c>
      <c r="F88">
        <f>HYPERLINK("https://www.amazon.jobs/jobs/3109372/sr-supply-chain-product-manager-amazon-custom-modules?cmpid=DA_INAD200785B", "https://www.amazon.jobs/jobs/3109372/sr-supply-chain-product-manager-amazon-custom-modules?cmpid=DA_INAD200785B")</f>
        <v/>
      </c>
      <c r="G88" t="inlineStr">
        <is>
          <t>Austin, TX, US</t>
        </is>
      </c>
      <c r="H88" s="3" t="n">
        <v>45935</v>
      </c>
      <c r="I8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in-940ba742360f6b6b</t>
        </is>
      </c>
      <c r="B89" t="inlineStr">
        <is>
          <t>Sr. Supply Chain Product Manager, Amazon Custom Modules</t>
        </is>
      </c>
      <c r="C89" t="inlineStr">
        <is>
          <t>Amazon.com</t>
        </is>
      </c>
      <c r="D89" t="inlineStr">
        <is>
          <t>indeed</t>
        </is>
      </c>
      <c r="E89">
        <f>HYPERLINK("https://www.indeed.com/viewjob?jk=940ba742360f6b6b", "https://www.indeed.com/viewjob?jk=940ba742360f6b6b")</f>
        <v/>
      </c>
      <c r="F89">
        <f>HYPERLINK("https://www.amazon.jobs/jobs/3109372/sr-supply-chain-product-manager-amazon-custom-modules?cmpid=DA_INAD200785B", "https://www.amazon.jobs/jobs/3109372/sr-supply-chain-product-manager-amazon-custom-modules?cmpid=DA_INAD200785B")</f>
        <v/>
      </c>
      <c r="G89" t="inlineStr">
        <is>
          <t>Seattle, WA, US</t>
        </is>
      </c>
      <c r="H89" s="3" t="n">
        <v>45935</v>
      </c>
      <c r="I8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in-74d7e4a1a4eb917e</t>
        </is>
      </c>
      <c r="B90" t="inlineStr">
        <is>
          <t>SR. Technical Program Manager, Connectivity, Connectivity SW DeviceOS</t>
        </is>
      </c>
      <c r="C90" t="inlineStr">
        <is>
          <t>Amazon.com</t>
        </is>
      </c>
      <c r="D90" t="inlineStr">
        <is>
          <t>indeed</t>
        </is>
      </c>
      <c r="E90">
        <f>HYPERLINK("https://www.indeed.com/viewjob?jk=74d7e4a1a4eb917e", "https://www.indeed.com/viewjob?jk=74d7e4a1a4eb917e")</f>
        <v/>
      </c>
      <c r="F90">
        <f>HYPERLINK("https://www.amazon.jobs/jobs/3102471/sr-technical-program-manager-connectivity-connectivity-sw-deviceos?cmpid=DA_INAD200785B", "https://www.amazon.jobs/jobs/3102471/sr-technical-program-manager-connectivity-connectivity-sw-deviceos?cmpid=DA_INAD200785B")</f>
        <v/>
      </c>
      <c r="G90" t="inlineStr">
        <is>
          <t>Irvine, CA, US</t>
        </is>
      </c>
      <c r="H90" s="3" t="n">
        <v>45932</v>
      </c>
      <c r="I90"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in-58ac5ebc211d6653</t>
        </is>
      </c>
      <c r="B91" t="inlineStr">
        <is>
          <t>SR. Technical Program Manager, Connectivity, Connectivity SW DeviceOS</t>
        </is>
      </c>
      <c r="C91" t="inlineStr">
        <is>
          <t>Amazon.com</t>
        </is>
      </c>
      <c r="D91" t="inlineStr">
        <is>
          <t>indeed</t>
        </is>
      </c>
      <c r="E91">
        <f>HYPERLINK("https://www.indeed.com/viewjob?jk=58ac5ebc211d6653", "https://www.indeed.com/viewjob?jk=58ac5ebc211d6653")</f>
        <v/>
      </c>
      <c r="F91">
        <f>HYPERLINK("https://www.amazon.jobs/jobs/3102471/sr-technical-program-manager-connectivity-connectivity-sw-deviceos?cmpid=DA_INAD200785B", "https://www.amazon.jobs/jobs/3102471/sr-technical-program-manager-connectivity-connectivity-sw-deviceos?cmpid=DA_INAD200785B")</f>
        <v/>
      </c>
      <c r="G91" t="inlineStr">
        <is>
          <t>Austin, TX, US</t>
        </is>
      </c>
      <c r="H91" s="3" t="n">
        <v>45932</v>
      </c>
      <c r="I9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in-bbf89810fe65d702</t>
        </is>
      </c>
      <c r="B92" t="inlineStr">
        <is>
          <t>SR. Technical Program Manager, Connectivity, Connectivity SW DeviceOS</t>
        </is>
      </c>
      <c r="C92" t="inlineStr">
        <is>
          <t>Amazon.com</t>
        </is>
      </c>
      <c r="D92" t="inlineStr">
        <is>
          <t>indeed</t>
        </is>
      </c>
      <c r="E92">
        <f>HYPERLINK("https://www.indeed.com/viewjob?jk=bbf89810fe65d702", "https://www.indeed.com/viewjob?jk=bbf89810fe65d702")</f>
        <v/>
      </c>
      <c r="F92">
        <f>HYPERLINK("https://www.amazon.jobs/jobs/3102471/sr-technical-program-manager-connectivity-connectivity-sw-deviceos?cmpid=DA_INAD200785B", "https://www.amazon.jobs/jobs/3102471/sr-technical-program-manager-connectivity-connectivity-sw-deviceos?cmpid=DA_INAD200785B")</f>
        <v/>
      </c>
      <c r="G92" t="inlineStr">
        <is>
          <t>Sunnyvale, CA, US</t>
        </is>
      </c>
      <c r="H92" s="3" t="n">
        <v>45932</v>
      </c>
      <c r="I9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in-80eb1d6d72004cf8</t>
        </is>
      </c>
      <c r="B93" t="inlineStr">
        <is>
          <t>Sr. Program Manager, Same Day Programs,</t>
        </is>
      </c>
      <c r="C93" t="inlineStr">
        <is>
          <t>Amazon.com</t>
        </is>
      </c>
      <c r="D93" t="inlineStr">
        <is>
          <t>indeed</t>
        </is>
      </c>
      <c r="E93">
        <f>HYPERLINK("https://www.indeed.com/viewjob?jk=80eb1d6d72004cf8", "https://www.indeed.com/viewjob?jk=80eb1d6d72004cf8")</f>
        <v/>
      </c>
      <c r="F93">
        <f>HYPERLINK("https://www.amazon.jobs/jobs/3106368/sr-program-manager-same-day-programs--?cmpid=DA_INAD200785B", "https://www.amazon.jobs/jobs/3106368/sr-program-manager-same-day-programs--?cmpid=DA_INAD200785B")</f>
        <v/>
      </c>
      <c r="G93" t="inlineStr">
        <is>
          <t>Bellevue, WA, US</t>
        </is>
      </c>
      <c r="H93" s="3" t="n">
        <v>45931</v>
      </c>
      <c r="I9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in-8dbfc82a0ab45bc3</t>
        </is>
      </c>
      <c r="B94" t="inlineStr">
        <is>
          <t>Sr. Program Manager, Same Day Programs</t>
        </is>
      </c>
      <c r="C94" t="inlineStr">
        <is>
          <t>Amazon.com</t>
        </is>
      </c>
      <c r="D94" t="inlineStr">
        <is>
          <t>indeed</t>
        </is>
      </c>
      <c r="E94">
        <f>HYPERLINK("https://www.indeed.com/viewjob?jk=8dbfc82a0ab45bc3", "https://www.indeed.com/viewjob?jk=8dbfc82a0ab45bc3")</f>
        <v/>
      </c>
      <c r="F94">
        <f>HYPERLINK("https://www.amazon.jobs/jobs/3106355/sr-program-manager-same-day-programs?cmpid=DA_INAD200785B", "https://www.amazon.jobs/jobs/3106355/sr-program-manager-same-day-programs?cmpid=DA_INAD200785B")</f>
        <v/>
      </c>
      <c r="G94" t="inlineStr">
        <is>
          <t>Bellevue, WA, US</t>
        </is>
      </c>
      <c r="H94" s="3" t="n">
        <v>45931</v>
      </c>
      <c r="I9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in-b7b0ec0e361b1bce</t>
        </is>
      </c>
      <c r="B95" t="inlineStr">
        <is>
          <t>Sr. Program Manager, Same Day Programs</t>
        </is>
      </c>
      <c r="C95" t="inlineStr">
        <is>
          <t>Amazon.com</t>
        </is>
      </c>
      <c r="D95" t="inlineStr">
        <is>
          <t>indeed</t>
        </is>
      </c>
      <c r="E95">
        <f>HYPERLINK("https://www.indeed.com/viewjob?jk=b7b0ec0e361b1bce", "https://www.indeed.com/viewjob?jk=b7b0ec0e361b1bce")</f>
        <v/>
      </c>
      <c r="F95">
        <f>HYPERLINK("https://www.amazon.jobs/jobs/3106355/sr-program-manager-same-day-programs?cmpid=DA_INAD200785B", "https://www.amazon.jobs/jobs/3106355/sr-program-manager-same-day-programs?cmpid=DA_INAD200785B")</f>
        <v/>
      </c>
      <c r="G95" t="inlineStr">
        <is>
          <t>Nashville, TN, US</t>
        </is>
      </c>
      <c r="H95" s="3" t="n">
        <v>45931</v>
      </c>
      <c r="I9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in-ccc7eb2f1d03206b</t>
        </is>
      </c>
      <c r="B96" t="inlineStr">
        <is>
          <t>Sr. Program Manager, Same Day Programs,</t>
        </is>
      </c>
      <c r="C96" t="inlineStr">
        <is>
          <t>Amazon.com</t>
        </is>
      </c>
      <c r="D96" t="inlineStr">
        <is>
          <t>indeed</t>
        </is>
      </c>
      <c r="E96">
        <f>HYPERLINK("https://www.indeed.com/viewjob?jk=ccc7eb2f1d03206b", "https://www.indeed.com/viewjob?jk=ccc7eb2f1d03206b")</f>
        <v/>
      </c>
      <c r="F96">
        <f>HYPERLINK("https://www.amazon.jobs/jobs/3106368/sr-program-manager-same-day-programs--?cmpid=DA_INAD200785B", "https://www.amazon.jobs/jobs/3106368/sr-program-manager-same-day-programs--?cmpid=DA_INAD200785B")</f>
        <v/>
      </c>
      <c r="G96" t="inlineStr">
        <is>
          <t>Nashville, TN, US</t>
        </is>
      </c>
      <c r="H96" s="3" t="n">
        <v>45931</v>
      </c>
      <c r="I9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in-24c29574a92e23a6</t>
        </is>
      </c>
      <c r="B97" t="inlineStr">
        <is>
          <t>Sr. Product Manager - Tech , AFX - Sales Planning Tools</t>
        </is>
      </c>
      <c r="C97" t="inlineStr">
        <is>
          <t>Amazon Web Services</t>
        </is>
      </c>
      <c r="D97" t="inlineStr">
        <is>
          <t>indeed</t>
        </is>
      </c>
      <c r="E97">
        <f>HYPERLINK("https://www.indeed.com/viewjob?jk=24c29574a92e23a6", "https://www.indeed.com/viewjob?jk=24c29574a92e23a6")</f>
        <v/>
      </c>
      <c r="F97">
        <f>HYPERLINK("https://www.amazon.jobs/jobs/3104992/sr-product-manager--tech--afx--sales-planning-tools?cmpid=DA_INAD200785B", "https://www.amazon.jobs/jobs/3104992/sr-product-manager--tech--afx--sales-planning-tools?cmpid=DA_INAD200785B")</f>
        <v/>
      </c>
      <c r="G97" t="inlineStr">
        <is>
          <t>Dallas, TX, US</t>
        </is>
      </c>
      <c r="H97" s="3" t="n">
        <v>45923</v>
      </c>
      <c r="I97"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in-8c95102b914cc557</t>
        </is>
      </c>
      <c r="B98" t="inlineStr">
        <is>
          <t>Sr. Product Manager - Tech , AFX - Sales Planning Tools</t>
        </is>
      </c>
      <c r="C98" t="inlineStr">
        <is>
          <t>Amazon Web Services</t>
        </is>
      </c>
      <c r="D98" t="inlineStr">
        <is>
          <t>indeed</t>
        </is>
      </c>
      <c r="E98">
        <f>HYPERLINK("https://www.indeed.com/viewjob?jk=8c95102b914cc557", "https://www.indeed.com/viewjob?jk=8c95102b914cc557")</f>
        <v/>
      </c>
      <c r="F98">
        <f>HYPERLINK("https://www.amazon.jobs/jobs/3104992/sr-product-manager--tech--afx--sales-planning-tools?cmpid=DA_INAD200785B", "https://www.amazon.jobs/jobs/3104992/sr-product-manager--tech--afx--sales-planning-tools?cmpid=DA_INAD200785B")</f>
        <v/>
      </c>
      <c r="G98" t="inlineStr">
        <is>
          <t>Seattle, WA, US</t>
        </is>
      </c>
      <c r="H98" s="3" t="n">
        <v>45923</v>
      </c>
      <c r="I9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in-77a353fd521a67ea</t>
        </is>
      </c>
      <c r="B99" t="inlineStr">
        <is>
          <t>Amazon Last Mile Fleet Program Manager, In Life Services-Recalls, Retrofits, and Tires</t>
        </is>
      </c>
      <c r="C99" t="inlineStr">
        <is>
          <t>Amazon.com</t>
        </is>
      </c>
      <c r="D99" t="inlineStr">
        <is>
          <t>indeed</t>
        </is>
      </c>
      <c r="E99">
        <f>HYPERLINK("https://www.indeed.com/viewjob?jk=77a353fd521a67ea", "https://www.indeed.com/viewjob?jk=77a353fd521a67ea")</f>
        <v/>
      </c>
      <c r="F99">
        <f>HYPERLINK("https://www.amazon.jobs/jobs/3083275/amazon-last-mile-fleet-program-manager-in-life-servicesrecalls-retrofits-and-tires?cmpid=DA_INAD200785B", "https://www.amazon.jobs/jobs/3083275/amazon-last-mile-fleet-program-manager-in-life-servicesrecalls-retrofits-and-tires?cmpid=DA_INAD200785B")</f>
        <v/>
      </c>
      <c r="G99" t="inlineStr">
        <is>
          <t>Arlington, VA, US</t>
        </is>
      </c>
      <c r="H99" s="3" t="n">
        <v>45911</v>
      </c>
      <c r="I9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in-3925d0a2a0f153a9</t>
        </is>
      </c>
      <c r="B100" t="inlineStr">
        <is>
          <t>Amazon Last Mile Fleet Program Manager, In Life Services-Recalls, Retrofits, and Tires</t>
        </is>
      </c>
      <c r="C100" t="inlineStr">
        <is>
          <t>Amazon.com</t>
        </is>
      </c>
      <c r="D100" t="inlineStr">
        <is>
          <t>indeed</t>
        </is>
      </c>
      <c r="E100">
        <f>HYPERLINK("https://www.indeed.com/viewjob?jk=3925d0a2a0f153a9", "https://www.indeed.com/viewjob?jk=3925d0a2a0f153a9")</f>
        <v/>
      </c>
      <c r="F100">
        <f>HYPERLINK("https://www.amazon.jobs/jobs/3083275/amazon-last-mile-fleet-program-manager-in-life-servicesrecalls-retrofits-and-tires?cmpid=DA_INAD200785B", "https://www.amazon.jobs/jobs/3083275/amazon-last-mile-fleet-program-manager-in-life-servicesrecalls-retrofits-and-tires?cmpid=DA_INAD200785B")</f>
        <v/>
      </c>
      <c r="G100" t="inlineStr">
        <is>
          <t>Nashville, TN, US</t>
        </is>
      </c>
      <c r="H100" s="3" t="n">
        <v>45911</v>
      </c>
      <c r="I10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in-849217bce67cd8c1</t>
        </is>
      </c>
      <c r="B101" t="inlineStr">
        <is>
          <t>Amazon Last Mile Fleet Program Manager, In Life Services-Recalls, Retrofits, and Tires</t>
        </is>
      </c>
      <c r="C101" t="inlineStr">
        <is>
          <t>Amazon.com</t>
        </is>
      </c>
      <c r="D101" t="inlineStr">
        <is>
          <t>indeed</t>
        </is>
      </c>
      <c r="E101">
        <f>HYPERLINK("https://www.indeed.com/viewjob?jk=849217bce67cd8c1", "https://www.indeed.com/viewjob?jk=849217bce67cd8c1")</f>
        <v/>
      </c>
      <c r="F101">
        <f>HYPERLINK("https://www.amazon.jobs/jobs/3083275/amazon-last-mile-fleet-program-manager-in-life-servicesrecalls-retrofits-and-tires?cmpid=DA_INAD200785B", "https://www.amazon.jobs/jobs/3083275/amazon-last-mile-fleet-program-manager-in-life-servicesrecalls-retrofits-and-tires?cmpid=DA_INAD200785B")</f>
        <v/>
      </c>
      <c r="G101" t="inlineStr">
        <is>
          <t>Bellevue, WA, US</t>
        </is>
      </c>
      <c r="H101" s="3" t="n">
        <v>45911</v>
      </c>
      <c r="I10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in-26647fd86441906d</t>
        </is>
      </c>
      <c r="B102" t="inlineStr">
        <is>
          <t>Sr Materials Program Manager, Ring Supply Chain and Operations</t>
        </is>
      </c>
      <c r="C102" t="inlineStr">
        <is>
          <t>Amazon.com</t>
        </is>
      </c>
      <c r="D102" t="inlineStr">
        <is>
          <t>indeed</t>
        </is>
      </c>
      <c r="E102">
        <f>HYPERLINK("https://www.indeed.com/viewjob?jk=26647fd86441906d", "https://www.indeed.com/viewjob?jk=26647fd86441906d")</f>
        <v/>
      </c>
      <c r="F102">
        <f>HYPERLINK("https://www.amazon.jobs/jobs/3076487/sr-materials-program-manager-ring-supply-chain-and-operations?cmpid=DA_INAD200785B", "https://www.amazon.jobs/jobs/3076487/sr-materials-program-manager-ring-supply-chain-and-operations?cmpid=DA_INAD200785B")</f>
        <v/>
      </c>
      <c r="G102" t="inlineStr">
        <is>
          <t>Sunnyvale, CA, US</t>
        </is>
      </c>
      <c r="H102" s="3" t="n">
        <v>45898</v>
      </c>
      <c r="I10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in-f6c07d801e549c68</t>
        </is>
      </c>
      <c r="B103" t="inlineStr">
        <is>
          <t>Sr Materials Program Manager, Ring Supply Chain and Operations</t>
        </is>
      </c>
      <c r="C103" t="inlineStr">
        <is>
          <t>Amazon.com</t>
        </is>
      </c>
      <c r="D103" t="inlineStr">
        <is>
          <t>indeed</t>
        </is>
      </c>
      <c r="E103">
        <f>HYPERLINK("https://www.indeed.com/viewjob?jk=f6c07d801e549c68", "https://www.indeed.com/viewjob?jk=f6c07d801e549c68")</f>
        <v/>
      </c>
      <c r="F103">
        <f>HYPERLINK("https://www.amazon.jobs/jobs/3076487/sr-materials-program-manager-ring-supply-chain-and-operations?cmpid=DA_INAD200785B", "https://www.amazon.jobs/jobs/3076487/sr-materials-program-manager-ring-supply-chain-and-operations?cmpid=DA_INAD200785B")</f>
        <v/>
      </c>
      <c r="G103" t="inlineStr">
        <is>
          <t>Hawthorne, CA, US</t>
        </is>
      </c>
      <c r="H103" s="3" t="n">
        <v>45898</v>
      </c>
      <c r="I10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in-5c1c853d9633b8d4</t>
        </is>
      </c>
      <c r="B104" t="inlineStr">
        <is>
          <t>Sr. Product Manager, Sub-Same Day (SSD) - DOT, SSD Delivery Ops Tech</t>
        </is>
      </c>
      <c r="C104" t="inlineStr">
        <is>
          <t>Amazon.com</t>
        </is>
      </c>
      <c r="D104" t="inlineStr">
        <is>
          <t>indeed</t>
        </is>
      </c>
      <c r="E104">
        <f>HYPERLINK("https://www.indeed.com/viewjob?jk=5c1c853d9633b8d4", "https://www.indeed.com/viewjob?jk=5c1c853d9633b8d4")</f>
        <v/>
      </c>
      <c r="F104">
        <f>HYPERLINK("https://www.amazon.jobs/jobs/3063966/sr-product-manager-subsame-day-ssd--dot-ssd-delivery-ops-tech?cmpid=DA_INAD200785B", "https://www.amazon.jobs/jobs/3063966/sr-product-manager-subsame-day-ssd--dot-ssd-delivery-ops-tech?cmpid=DA_INAD200785B")</f>
        <v/>
      </c>
      <c r="G104" t="inlineStr">
        <is>
          <t>Bellevue, WA, US</t>
        </is>
      </c>
      <c r="H104" s="3" t="n">
        <v>45876</v>
      </c>
      <c r="I10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in-b1f47697b39fa55f</t>
        </is>
      </c>
      <c r="B105" t="inlineStr">
        <is>
          <t>Sr. Product Manager, Sub-Same Day (SSD) - DOT, SSD Delivery Ops Tech</t>
        </is>
      </c>
      <c r="C105" t="inlineStr">
        <is>
          <t>Amazon.com</t>
        </is>
      </c>
      <c r="D105" t="inlineStr">
        <is>
          <t>indeed</t>
        </is>
      </c>
      <c r="E105">
        <f>HYPERLINK("https://www.indeed.com/viewjob?jk=b1f47697b39fa55f", "https://www.indeed.com/viewjob?jk=b1f47697b39fa55f")</f>
        <v/>
      </c>
      <c r="F105">
        <f>HYPERLINK("https://www.amazon.jobs/jobs/3063966/sr-product-manager-subsame-day-ssd--dot-ssd-delivery-ops-tech?cmpid=DA_INAD200785B", "https://www.amazon.jobs/jobs/3063966/sr-product-manager-subsame-day-ssd--dot-ssd-delivery-ops-tech?cmpid=DA_INAD200785B")</f>
        <v/>
      </c>
      <c r="G105" t="inlineStr">
        <is>
          <t>New York, NY, US</t>
        </is>
      </c>
      <c r="H105" s="3" t="n">
        <v>45876</v>
      </c>
      <c r="I10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in-ff93455c35edf605</t>
        </is>
      </c>
      <c r="B106" t="inlineStr">
        <is>
          <t>Sr. Product Manager, Sub-Same Day (SSD) - DOT, SSD Delivery Ops Tech</t>
        </is>
      </c>
      <c r="C106" t="inlineStr">
        <is>
          <t>Amazon.com</t>
        </is>
      </c>
      <c r="D106" t="inlineStr">
        <is>
          <t>indeed</t>
        </is>
      </c>
      <c r="E106">
        <f>HYPERLINK("https://www.indeed.com/viewjob?jk=ff93455c35edf605", "https://www.indeed.com/viewjob?jk=ff93455c35edf605")</f>
        <v/>
      </c>
      <c r="F106">
        <f>HYPERLINK("https://www.amazon.jobs/jobs/3063966/sr-product-manager-subsame-day-ssd--dot-ssd-delivery-ops-tech?cmpid=DA_INAD200785B", "https://www.amazon.jobs/jobs/3063966/sr-product-manager-subsame-day-ssd--dot-ssd-delivery-ops-tech?cmpid=DA_INAD200785B")</f>
        <v/>
      </c>
      <c r="G106" t="inlineStr">
        <is>
          <t>Nashville, TN, US</t>
        </is>
      </c>
      <c r="H106" s="3" t="n">
        <v>45876</v>
      </c>
      <c r="I10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in-b1ce127371de2cea</t>
        </is>
      </c>
      <c r="B107" t="inlineStr">
        <is>
          <t>Sr. Product Manager, Sub-Same Day (SSD) Delivery</t>
        </is>
      </c>
      <c r="C107" t="inlineStr">
        <is>
          <t>Amazon.com</t>
        </is>
      </c>
      <c r="D107" t="inlineStr">
        <is>
          <t>indeed</t>
        </is>
      </c>
      <c r="E107">
        <f>HYPERLINK("https://www.indeed.com/viewjob?jk=b1ce127371de2cea", "https://www.indeed.com/viewjob?jk=b1ce127371de2cea")</f>
        <v/>
      </c>
      <c r="F107">
        <f>HYPERLINK("https://www.amazon.jobs/jobs/3062157/sr-product-manager-subsame-day-ssd-delivery?cmpid=DA_INAD200785B", "https://www.amazon.jobs/jobs/3062157/sr-product-manager-subsame-day-ssd-delivery?cmpid=DA_INAD200785B")</f>
        <v/>
      </c>
      <c r="G107" t="inlineStr">
        <is>
          <t>Nashville, TN, US</t>
        </is>
      </c>
      <c r="H107" s="3" t="n">
        <v>45874</v>
      </c>
      <c r="I10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in-aadaf551b0b2e0cf</t>
        </is>
      </c>
      <c r="B108" t="inlineStr">
        <is>
          <t>Sr. Product Manager, Sub-Same Day (SSD) Delivery</t>
        </is>
      </c>
      <c r="C108" t="inlineStr">
        <is>
          <t>Amazon.com</t>
        </is>
      </c>
      <c r="D108" t="inlineStr">
        <is>
          <t>indeed</t>
        </is>
      </c>
      <c r="E108">
        <f>HYPERLINK("https://www.indeed.com/viewjob?jk=aadaf551b0b2e0cf", "https://www.indeed.com/viewjob?jk=aadaf551b0b2e0cf")</f>
        <v/>
      </c>
      <c r="F108">
        <f>HYPERLINK("https://www.amazon.jobs/jobs/3062157/sr-product-manager-subsame-day-ssd-delivery?cmpid=DA_INAD200785B", "https://www.amazon.jobs/jobs/3062157/sr-product-manager-subsame-day-ssd-delivery?cmpid=DA_INAD200785B")</f>
        <v/>
      </c>
      <c r="G108" t="inlineStr">
        <is>
          <t>New York, NY, US</t>
        </is>
      </c>
      <c r="H108" s="3" t="n">
        <v>45874</v>
      </c>
      <c r="I10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in-c6c45a791eabc820</t>
        </is>
      </c>
      <c r="B109" t="inlineStr">
        <is>
          <t>Sr. Product Manager, Sub-Same Day (SSD) Delivery</t>
        </is>
      </c>
      <c r="C109" t="inlineStr">
        <is>
          <t>Amazon.com</t>
        </is>
      </c>
      <c r="D109" t="inlineStr">
        <is>
          <t>indeed</t>
        </is>
      </c>
      <c r="E109">
        <f>HYPERLINK("https://www.indeed.com/viewjob?jk=c6c45a791eabc820", "https://www.indeed.com/viewjob?jk=c6c45a791eabc820")</f>
        <v/>
      </c>
      <c r="F109">
        <f>HYPERLINK("https://www.amazon.jobs/jobs/3062157/sr-product-manager-subsame-day-ssd-delivery?cmpid=DA_INAD200785B", "https://www.amazon.jobs/jobs/3062157/sr-product-manager-subsame-day-ssd-delivery?cmpid=DA_INAD200785B")</f>
        <v/>
      </c>
      <c r="G109" t="inlineStr">
        <is>
          <t>Bellevue, WA, US</t>
        </is>
      </c>
      <c r="H109" s="3" t="n">
        <v>45874</v>
      </c>
      <c r="I10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in-72891551a32db7e0</t>
        </is>
      </c>
      <c r="B110" t="inlineStr">
        <is>
          <t>Senior Product Manager - Tech, Fire TV</t>
        </is>
      </c>
      <c r="C110" t="inlineStr">
        <is>
          <t>Amazon.com</t>
        </is>
      </c>
      <c r="D110" t="inlineStr">
        <is>
          <t>indeed</t>
        </is>
      </c>
      <c r="E110">
        <f>HYPERLINK("https://www.indeed.com/viewjob?jk=72891551a32db7e0", "https://www.indeed.com/viewjob?jk=72891551a32db7e0")</f>
        <v/>
      </c>
      <c r="F110">
        <f>HYPERLINK("https://www.amazon.jobs/jobs/3058473/senior-product-manager--tech-fire-tv?cmpid=DA_INAD200785B", "https://www.amazon.jobs/jobs/3058473/senior-product-manager--tech-fire-tv?cmpid=DA_INAD200785B")</f>
        <v/>
      </c>
      <c r="G110" t="inlineStr">
        <is>
          <t>Sunnyvale, CA, US</t>
        </is>
      </c>
      <c r="H110" s="3" t="n">
        <v>45855</v>
      </c>
      <c r="I11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in-da35fae63c8815a7</t>
        </is>
      </c>
      <c r="B111" t="inlineStr">
        <is>
          <t>Senior Product Manager - Tech, Fire TV</t>
        </is>
      </c>
      <c r="C111" t="inlineStr">
        <is>
          <t>Amazon.com</t>
        </is>
      </c>
      <c r="D111" t="inlineStr">
        <is>
          <t>indeed</t>
        </is>
      </c>
      <c r="E111">
        <f>HYPERLINK("https://www.indeed.com/viewjob?jk=da35fae63c8815a7", "https://www.indeed.com/viewjob?jk=da35fae63c8815a7")</f>
        <v/>
      </c>
      <c r="F111">
        <f>HYPERLINK("https://www.amazon.jobs/jobs/3058473/senior-product-manager--tech-fire-tv?cmpid=DA_INAD200785B", "https://www.amazon.jobs/jobs/3058473/senior-product-manager--tech-fire-tv?cmpid=DA_INAD200785B")</f>
        <v/>
      </c>
      <c r="G111" t="inlineStr">
        <is>
          <t>Seattle, WA, US</t>
        </is>
      </c>
      <c r="H111" s="3" t="n">
        <v>45855</v>
      </c>
      <c r="I11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in-9a0760138405ba94</t>
        </is>
      </c>
      <c r="B112" t="inlineStr">
        <is>
          <t>Senior Product Manager Technical, Alexa AI</t>
        </is>
      </c>
      <c r="C112" t="inlineStr">
        <is>
          <t>Amazon.com</t>
        </is>
      </c>
      <c r="D112" t="inlineStr">
        <is>
          <t>indeed</t>
        </is>
      </c>
      <c r="E112">
        <f>HYPERLINK("https://www.indeed.com/viewjob?jk=9a0760138405ba94", "https://www.indeed.com/viewjob?jk=9a0760138405ba94")</f>
        <v/>
      </c>
      <c r="F112">
        <f>HYPERLINK("https://www.amazon.jobs/jobs/3036664/senior-product-manager-technical-alexa-ai?cmpid=DA_INAD200785B", "https://www.amazon.jobs/jobs/3036664/senior-product-manager-technical-alexa-ai?cmpid=DA_INAD200785B")</f>
        <v/>
      </c>
      <c r="G112" t="inlineStr">
        <is>
          <t>Bellevue, WA, US</t>
        </is>
      </c>
      <c r="H112" s="3" t="n">
        <v>45852</v>
      </c>
      <c r="I112"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in-ff06c52f6cf4c47b</t>
        </is>
      </c>
      <c r="B113" t="inlineStr">
        <is>
          <t>Senior Product Manager Technical, Alexa AI</t>
        </is>
      </c>
      <c r="C113" t="inlineStr">
        <is>
          <t>Amazon.com</t>
        </is>
      </c>
      <c r="D113" t="inlineStr">
        <is>
          <t>indeed</t>
        </is>
      </c>
      <c r="E113">
        <f>HYPERLINK("https://www.indeed.com/viewjob?jk=ff06c52f6cf4c47b", "https://www.indeed.com/viewjob?jk=ff06c52f6cf4c47b")</f>
        <v/>
      </c>
      <c r="F113">
        <f>HYPERLINK("https://www.amazon.jobs/jobs/3036664/senior-product-manager-technical-alexa-ai?cmpid=DA_INAD200785B", "https://www.amazon.jobs/jobs/3036664/senior-product-manager-technical-alexa-ai?cmpid=DA_INAD200785B")</f>
        <v/>
      </c>
      <c r="G113" t="inlineStr">
        <is>
          <t>Boston, MA, US</t>
        </is>
      </c>
      <c r="H113" s="3" t="n">
        <v>45852</v>
      </c>
      <c r="I113"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in-cbca6bb192664dec</t>
        </is>
      </c>
      <c r="B114" t="inlineStr">
        <is>
          <t>Senior Product Manager Technical, Alexa AI</t>
        </is>
      </c>
      <c r="C114" t="inlineStr">
        <is>
          <t>Amazon.com</t>
        </is>
      </c>
      <c r="D114" t="inlineStr">
        <is>
          <t>indeed</t>
        </is>
      </c>
      <c r="E114">
        <f>HYPERLINK("https://www.indeed.com/viewjob?jk=cbca6bb192664dec", "https://www.indeed.com/viewjob?jk=cbca6bb192664dec")</f>
        <v/>
      </c>
      <c r="F114">
        <f>HYPERLINK("https://www.amazon.jobs/jobs/3036664/senior-product-manager-technical-alexa-ai?cmpid=DA_INAD200785B", "https://www.amazon.jobs/jobs/3036664/senior-product-manager-technical-alexa-ai?cmpid=DA_INAD200785B")</f>
        <v/>
      </c>
      <c r="G114" t="inlineStr">
        <is>
          <t>Seattle, WA, US</t>
        </is>
      </c>
      <c r="H114" s="3" t="n">
        <v>45852</v>
      </c>
      <c r="I114"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in-a4155fec0f212aa5</t>
        </is>
      </c>
      <c r="B115" t="inlineStr">
        <is>
          <t>Senior Product Manager Technical, Alexa AI</t>
        </is>
      </c>
      <c r="C115" t="inlineStr">
        <is>
          <t>Amazon.com</t>
        </is>
      </c>
      <c r="D115" t="inlineStr">
        <is>
          <t>indeed</t>
        </is>
      </c>
      <c r="E115">
        <f>HYPERLINK("https://www.indeed.com/viewjob?jk=a4155fec0f212aa5", "https://www.indeed.com/viewjob?jk=a4155fec0f212aa5")</f>
        <v/>
      </c>
      <c r="F115">
        <f>HYPERLINK("https://www.amazon.jobs/jobs/3036664/senior-product-manager-technical-alexa-ai?cmpid=DA_INAD200785B", "https://www.amazon.jobs/jobs/3036664/senior-product-manager-technical-alexa-ai?cmpid=DA_INAD200785B")</f>
        <v/>
      </c>
      <c r="G115" t="inlineStr">
        <is>
          <t>Sunnyvale, CA, US</t>
        </is>
      </c>
      <c r="H115" s="3" t="n">
        <v>45852</v>
      </c>
      <c r="I115"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in-daa63d17abce2807</t>
        </is>
      </c>
      <c r="B116" t="inlineStr">
        <is>
          <t>Senior Product Manager - Technical, Alexa Communications</t>
        </is>
      </c>
      <c r="C116" t="inlineStr">
        <is>
          <t>Amazon.com</t>
        </is>
      </c>
      <c r="D116" t="inlineStr">
        <is>
          <t>indeed</t>
        </is>
      </c>
      <c r="E116">
        <f>HYPERLINK("https://www.indeed.com/viewjob?jk=daa63d17abce2807", "https://www.indeed.com/viewjob?jk=daa63d17abce2807")</f>
        <v/>
      </c>
      <c r="F116">
        <f>HYPERLINK("https://www.amazon.jobs/jobs/3034220/senior-product-manager--technical-alexa-communications?cmpid=DA_INAD200785B", "https://www.amazon.jobs/jobs/3034220/senior-product-manager--technical-alexa-communications?cmpid=DA_INAD200785B")</f>
        <v/>
      </c>
      <c r="G116" t="inlineStr">
        <is>
          <t>Seattle, WA, US</t>
        </is>
      </c>
      <c r="H116" s="3" t="n">
        <v>45851</v>
      </c>
      <c r="I11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in-654b2a724a2aace3</t>
        </is>
      </c>
      <c r="B117" t="inlineStr">
        <is>
          <t>Senior Product Manager - Technical, Alexa Communications</t>
        </is>
      </c>
      <c r="C117" t="inlineStr">
        <is>
          <t>Amazon.com</t>
        </is>
      </c>
      <c r="D117" t="inlineStr">
        <is>
          <t>indeed</t>
        </is>
      </c>
      <c r="E117">
        <f>HYPERLINK("https://www.indeed.com/viewjob?jk=654b2a724a2aace3", "https://www.indeed.com/viewjob?jk=654b2a724a2aace3")</f>
        <v/>
      </c>
      <c r="F117">
        <f>HYPERLINK("https://www.amazon.jobs/jobs/3034220/senior-product-manager--technical-alexa-communications?cmpid=DA_INAD200785B", "https://www.amazon.jobs/jobs/3034220/senior-product-manager--technical-alexa-communications?cmpid=DA_INAD200785B")</f>
        <v/>
      </c>
      <c r="G117" t="inlineStr">
        <is>
          <t>Sunnyvale, CA, US</t>
        </is>
      </c>
      <c r="H117" s="3" t="n">
        <v>45851</v>
      </c>
      <c r="I11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in-8e818df9b230d4d9</t>
        </is>
      </c>
      <c r="B118" t="inlineStr">
        <is>
          <t>Principal Product Manager Tech - Devices, Fire TV Devices</t>
        </is>
      </c>
      <c r="C118" t="inlineStr">
        <is>
          <t>Amazon.com</t>
        </is>
      </c>
      <c r="D118" t="inlineStr">
        <is>
          <t>indeed</t>
        </is>
      </c>
      <c r="E118">
        <f>HYPERLINK("https://www.indeed.com/viewjob?jk=8e818df9b230d4d9", "https://www.indeed.com/viewjob?jk=8e818df9b230d4d9")</f>
        <v/>
      </c>
      <c r="F118">
        <f>HYPERLINK("https://www.amazon.jobs/jobs/3029783/principal-product-manager-tech--devices-fire-tv-devices?cmpid=DA_INAD200785B", "https://www.amazon.jobs/jobs/3029783/principal-product-manager-tech--devices-fire-tv-devices?cmpid=DA_INAD200785B")</f>
        <v/>
      </c>
      <c r="G118" t="inlineStr">
        <is>
          <t>Seattle, WA, US</t>
        </is>
      </c>
      <c r="H118" s="3" t="n">
        <v>45844</v>
      </c>
      <c r="I11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in-67bb99a764f7020b</t>
        </is>
      </c>
      <c r="B119" t="inlineStr">
        <is>
          <t>Principal Product Manager Tech - Devices, Fire TV Devices</t>
        </is>
      </c>
      <c r="C119" t="inlineStr">
        <is>
          <t>Amazon.com</t>
        </is>
      </c>
      <c r="D119" t="inlineStr">
        <is>
          <t>indeed</t>
        </is>
      </c>
      <c r="E119">
        <f>HYPERLINK("https://www.indeed.com/viewjob?jk=67bb99a764f7020b", "https://www.indeed.com/viewjob?jk=67bb99a764f7020b")</f>
        <v/>
      </c>
      <c r="F119">
        <f>HYPERLINK("https://www.amazon.jobs/jobs/3029783/principal-product-manager-tech--devices-fire-tv-devices?cmpid=DA_INAD200785B", "https://www.amazon.jobs/jobs/3029783/principal-product-manager-tech--devices-fire-tv-devices?cmpid=DA_INAD200785B")</f>
        <v/>
      </c>
      <c r="G119" t="inlineStr">
        <is>
          <t>Sunnyvale, CA, US</t>
        </is>
      </c>
      <c r="H119" s="3" t="n">
        <v>45844</v>
      </c>
      <c r="I11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in-f27b6d1481ab8e1f</t>
        </is>
      </c>
      <c r="B120" t="inlineStr">
        <is>
          <t>Last Mile Program Manager, Global Fleet &amp; Product</t>
        </is>
      </c>
      <c r="C120" t="inlineStr">
        <is>
          <t>Amazon.com</t>
        </is>
      </c>
      <c r="D120" t="inlineStr">
        <is>
          <t>indeed</t>
        </is>
      </c>
      <c r="E120">
        <f>HYPERLINK("https://www.indeed.com/viewjob?jk=f27b6d1481ab8e1f", "https://www.indeed.com/viewjob?jk=f27b6d1481ab8e1f")</f>
        <v/>
      </c>
      <c r="F120">
        <f>HYPERLINK("https://www.amazon.jobs/jobs/3113848/last-mile-program-manager-global-fleet--product?cmpid=DA_INAD200785B", "https://www.amazon.jobs/jobs/3113848/last-mile-program-manager-global-fleet--product?cmpid=DA_INAD200785B")</f>
        <v/>
      </c>
      <c r="G120" t="inlineStr">
        <is>
          <t>Arlington, VA, US</t>
        </is>
      </c>
      <c r="H120" s="3" t="n">
        <v>45844</v>
      </c>
      <c r="I120"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in-157093bdb8e399a5</t>
        </is>
      </c>
      <c r="B121" t="inlineStr">
        <is>
          <t>Last Mile Program Manager, Global Fleet &amp; Product</t>
        </is>
      </c>
      <c r="C121" t="inlineStr">
        <is>
          <t>Amazon.com</t>
        </is>
      </c>
      <c r="D121" t="inlineStr">
        <is>
          <t>indeed</t>
        </is>
      </c>
      <c r="E121">
        <f>HYPERLINK("https://www.indeed.com/viewjob?jk=157093bdb8e399a5", "https://www.indeed.com/viewjob?jk=157093bdb8e399a5")</f>
        <v/>
      </c>
      <c r="F121">
        <f>HYPERLINK("https://www.amazon.jobs/jobs/3113848/last-mile-program-manager-global-fleet--product?cmpid=DA_INAD200785B", "https://www.amazon.jobs/jobs/3113848/last-mile-program-manager-global-fleet--product?cmpid=DA_INAD200785B")</f>
        <v/>
      </c>
      <c r="G121" t="inlineStr">
        <is>
          <t>Bellevue, WA, US</t>
        </is>
      </c>
      <c r="H121" s="3" t="n">
        <v>45844</v>
      </c>
      <c r="I12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in-441a017f5dec2a50</t>
        </is>
      </c>
      <c r="B122" t="inlineStr">
        <is>
          <t>Last Mile Program Manager, Global Fleet &amp; Product</t>
        </is>
      </c>
      <c r="C122" t="inlineStr">
        <is>
          <t>Amazon.com</t>
        </is>
      </c>
      <c r="D122" t="inlineStr">
        <is>
          <t>indeed</t>
        </is>
      </c>
      <c r="E122">
        <f>HYPERLINK("https://www.indeed.com/viewjob?jk=441a017f5dec2a50", "https://www.indeed.com/viewjob?jk=441a017f5dec2a50")</f>
        <v/>
      </c>
      <c r="F122">
        <f>HYPERLINK("https://www.amazon.jobs/jobs/3113848/last-mile-program-manager-global-fleet--product?cmpid=DA_INAD200785B", "https://www.amazon.jobs/jobs/3113848/last-mile-program-manager-global-fleet--product?cmpid=DA_INAD200785B")</f>
        <v/>
      </c>
      <c r="G122" t="inlineStr">
        <is>
          <t>Nashville, TN, US</t>
        </is>
      </c>
      <c r="H122" s="3" t="n">
        <v>45844</v>
      </c>
      <c r="I12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in-3206cc229fc4bac5</t>
        </is>
      </c>
      <c r="B123" t="inlineStr">
        <is>
          <t>Principal Product Manager-Technical, AGI, Artificial General Intellgence</t>
        </is>
      </c>
      <c r="C123" t="inlineStr">
        <is>
          <t>Amazon.com</t>
        </is>
      </c>
      <c r="D123" t="inlineStr">
        <is>
          <t>indeed</t>
        </is>
      </c>
      <c r="E123">
        <f>HYPERLINK("https://www.indeed.com/viewjob?jk=3206cc229fc4bac5", "https://www.indeed.com/viewjob?jk=3206cc229fc4bac5")</f>
        <v/>
      </c>
      <c r="F123">
        <f>HYPERLINK("https://www.amazon.jobs/jobs/3017572/principal-product-managertechnical-agi-artificial-general-intellgence?cmpid=DA_INAD200785B", "https://www.amazon.jobs/jobs/3017572/principal-product-managertechnical-agi-artificial-general-intellgence?cmpid=DA_INAD200785B")</f>
        <v/>
      </c>
      <c r="G123" t="inlineStr">
        <is>
          <t>Boston, MA, US</t>
        </is>
      </c>
      <c r="H123" s="3" t="n">
        <v>45824</v>
      </c>
      <c r="I12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in-78466f1496ea0c5b</t>
        </is>
      </c>
      <c r="B124" t="inlineStr">
        <is>
          <t>Principal Product Manager-Technical, AGI, Artificial General Intellgence</t>
        </is>
      </c>
      <c r="C124" t="inlineStr">
        <is>
          <t>Amazon.com</t>
        </is>
      </c>
      <c r="D124" t="inlineStr">
        <is>
          <t>indeed</t>
        </is>
      </c>
      <c r="E124">
        <f>HYPERLINK("https://www.indeed.com/viewjob?jk=78466f1496ea0c5b", "https://www.indeed.com/viewjob?jk=78466f1496ea0c5b")</f>
        <v/>
      </c>
      <c r="F124">
        <f>HYPERLINK("https://www.amazon.jobs/jobs/3017572/principal-product-managertechnical-agi-artificial-general-intellgence?cmpid=DA_INAD200785B", "https://www.amazon.jobs/jobs/3017572/principal-product-managertechnical-agi-artificial-general-intellgence?cmpid=DA_INAD200785B")</f>
        <v/>
      </c>
      <c r="G124" t="inlineStr">
        <is>
          <t>Bellevue, WA, US</t>
        </is>
      </c>
      <c r="H124" s="3" t="n">
        <v>45824</v>
      </c>
      <c r="I12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in-a5efbc927fac94ab</t>
        </is>
      </c>
      <c r="B125" t="inlineStr">
        <is>
          <t>Principal Product Manager-Technical, AGI, Artificial General Intellgence</t>
        </is>
      </c>
      <c r="C125" t="inlineStr">
        <is>
          <t>Amazon.com</t>
        </is>
      </c>
      <c r="D125" t="inlineStr">
        <is>
          <t>indeed</t>
        </is>
      </c>
      <c r="E125">
        <f>HYPERLINK("https://www.indeed.com/viewjob?jk=a5efbc927fac94ab", "https://www.indeed.com/viewjob?jk=a5efbc927fac94ab")</f>
        <v/>
      </c>
      <c r="F125">
        <f>HYPERLINK("https://www.amazon.jobs/jobs/3017572/principal-product-managertechnical-agi-artificial-general-intellgence?cmpid=DA_INAD200785B", "https://www.amazon.jobs/jobs/3017572/principal-product-managertechnical-agi-artificial-general-intellgence?cmpid=DA_INAD200785B")</f>
        <v/>
      </c>
      <c r="G125" t="inlineStr">
        <is>
          <t>Sunnyvale, CA, US</t>
        </is>
      </c>
      <c r="H125" s="3" t="n">
        <v>45824</v>
      </c>
      <c r="I12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in-5d9f631a419c1852</t>
        </is>
      </c>
      <c r="B126" t="inlineStr">
        <is>
          <t>Sr. Product Manager – Tech, Tablets</t>
        </is>
      </c>
      <c r="C126" t="inlineStr">
        <is>
          <t>Amazon.com</t>
        </is>
      </c>
      <c r="D126" t="inlineStr">
        <is>
          <t>indeed</t>
        </is>
      </c>
      <c r="E126">
        <f>HYPERLINK("https://www.indeed.com/viewjob?jk=5d9f631a419c1852", "https://www.indeed.com/viewjob?jk=5d9f631a419c1852")</f>
        <v/>
      </c>
      <c r="F126">
        <f>HYPERLINK("https://www.amazon.jobs/jobs/2938877/sr-product-manager--tech-tablets?cmpid=DA_INAD200785B", "https://www.amazon.jobs/jobs/2938877/sr-product-manager--tech-tablets?cmpid=DA_INAD200785B")</f>
        <v/>
      </c>
      <c r="G126" t="inlineStr">
        <is>
          <t>Sunnyvale, CA, US</t>
        </is>
      </c>
      <c r="H126" s="3" t="n">
        <v>45665</v>
      </c>
      <c r="I12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in-f45ff953fb2484b2</t>
        </is>
      </c>
      <c r="B127" t="inlineStr">
        <is>
          <t>Sr. Product Manager – Tech, Tablets</t>
        </is>
      </c>
      <c r="C127" t="inlineStr">
        <is>
          <t>Amazon.com</t>
        </is>
      </c>
      <c r="D127" t="inlineStr">
        <is>
          <t>indeed</t>
        </is>
      </c>
      <c r="E127">
        <f>HYPERLINK("https://www.indeed.com/viewjob?jk=f45ff953fb2484b2", "https://www.indeed.com/viewjob?jk=f45ff953fb2484b2")</f>
        <v/>
      </c>
      <c r="F127">
        <f>HYPERLINK("https://www.amazon.jobs/jobs/2938877/sr-product-manager--tech-tablets?cmpid=DA_INAD200785B", "https://www.amazon.jobs/jobs/2938877/sr-product-manager--tech-tablets?cmpid=DA_INAD200785B")</f>
        <v/>
      </c>
      <c r="G127" t="inlineStr">
        <is>
          <t>Seattle, WA, US</t>
        </is>
      </c>
      <c r="H127" s="3" t="n">
        <v>45665</v>
      </c>
      <c r="I127"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in-f2b2c1c1b66debbd</t>
        </is>
      </c>
      <c r="B128" t="inlineStr">
        <is>
          <t>Sr. Product Manager Technical, Deal Tooling &amp; Insights, Strategic Customer Engagements</t>
        </is>
      </c>
      <c r="C128" t="inlineStr">
        <is>
          <t>Amazon Web Services</t>
        </is>
      </c>
      <c r="D128" t="inlineStr">
        <is>
          <t>indeed</t>
        </is>
      </c>
      <c r="E128">
        <f>HYPERLINK("https://www.indeed.com/viewjob?jk=f2b2c1c1b66debbd", "https://www.indeed.com/viewjob?jk=f2b2c1c1b66debbd")</f>
        <v/>
      </c>
      <c r="F128">
        <f>HYPERLINK("https://www.amazon.jobs/jobs/3138889/sr-product-manager-technical-deal-tooling--insights-strategic-customer-engagements?cmpid=DA_INAD200785B", "https://www.amazon.jobs/jobs/3138889/sr-product-manager-technical-deal-tooling--insights-strategic-customer-engagements?cmpid=DA_INAD200785B")</f>
        <v/>
      </c>
      <c r="G128" t="inlineStr">
        <is>
          <t>New York, NY, US</t>
        </is>
      </c>
      <c r="H128" s="3" t="n">
        <v>45994</v>
      </c>
      <c r="I1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29">
      <c r="A129" t="inlineStr">
        <is>
          <t>in-8e48c6c83b2cdd92</t>
        </is>
      </c>
      <c r="B129" t="inlineStr">
        <is>
          <t>Sr. Product Manager Technical, Deal Tooling &amp; Insights, Strategic Customer Engagements</t>
        </is>
      </c>
      <c r="C129" t="inlineStr">
        <is>
          <t>Amazon Web Services</t>
        </is>
      </c>
      <c r="D129" t="inlineStr">
        <is>
          <t>indeed</t>
        </is>
      </c>
      <c r="E129">
        <f>HYPERLINK("https://www.indeed.com/viewjob?jk=8e48c6c83b2cdd92", "https://www.indeed.com/viewjob?jk=8e48c6c83b2cdd92")</f>
        <v/>
      </c>
      <c r="F129">
        <f>HYPERLINK("https://www.amazon.jobs/jobs/3138889/sr-product-manager-technical-deal-tooling--insights-strategic-customer-engagements?cmpid=DA_INAD200785B", "https://www.amazon.jobs/jobs/3138889/sr-product-manager-technical-deal-tooling--insights-strategic-customer-engagements?cmpid=DA_INAD200785B")</f>
        <v/>
      </c>
      <c r="G129" t="inlineStr">
        <is>
          <t>Dallas, TX, US</t>
        </is>
      </c>
      <c r="H129" s="3" t="n">
        <v>45994</v>
      </c>
      <c r="I12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0">
      <c r="A130" t="inlineStr">
        <is>
          <t>in-36437d1f0ba75d4a</t>
        </is>
      </c>
      <c r="B130" t="inlineStr">
        <is>
          <t>Sr. Product Manager Technical, Deal Tooling &amp; Insights, Strategic Customer Engagements</t>
        </is>
      </c>
      <c r="C130" t="inlineStr">
        <is>
          <t>Amazon Web Services</t>
        </is>
      </c>
      <c r="D130" t="inlineStr">
        <is>
          <t>indeed</t>
        </is>
      </c>
      <c r="E130">
        <f>HYPERLINK("https://www.indeed.com/viewjob?jk=36437d1f0ba75d4a", "https://www.indeed.com/viewjob?jk=36437d1f0ba75d4a")</f>
        <v/>
      </c>
      <c r="F130">
        <f>HYPERLINK("https://www.amazon.jobs/jobs/3138889/sr-product-manager-technical-deal-tooling--insights-strategic-customer-engagements?cmpid=DA_INAD200785B", "https://www.amazon.jobs/jobs/3138889/sr-product-manager-technical-deal-tooling--insights-strategic-customer-engagements?cmpid=DA_INAD200785B")</f>
        <v/>
      </c>
      <c r="G130" t="inlineStr">
        <is>
          <t>Herndon, VA, US</t>
        </is>
      </c>
      <c r="H130" s="3" t="n">
        <v>45994</v>
      </c>
      <c r="I13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1">
      <c r="A131" t="inlineStr">
        <is>
          <t>in-c03a3f96791e72b4</t>
        </is>
      </c>
      <c r="B131" t="inlineStr">
        <is>
          <t>Sr. Product Manager Technical, Deal Tooling &amp; Insights, Strategic Customer Engagements</t>
        </is>
      </c>
      <c r="C131" t="inlineStr">
        <is>
          <t>Amazon Web Services</t>
        </is>
      </c>
      <c r="D131" t="inlineStr">
        <is>
          <t>indeed</t>
        </is>
      </c>
      <c r="E131">
        <f>HYPERLINK("https://www.indeed.com/viewjob?jk=c03a3f96791e72b4", "https://www.indeed.com/viewjob?jk=c03a3f96791e72b4")</f>
        <v/>
      </c>
      <c r="F131">
        <f>HYPERLINK("https://www.amazon.jobs/jobs/3138889/sr-product-manager-technical-deal-tooling--insights-strategic-customer-engagements?cmpid=DA_INAD200785B", "https://www.amazon.jobs/jobs/3138889/sr-product-manager-technical-deal-tooling--insights-strategic-customer-engagements?cmpid=DA_INAD200785B")</f>
        <v/>
      </c>
      <c r="G131" t="inlineStr">
        <is>
          <t>Seattle, WA, US</t>
        </is>
      </c>
      <c r="H131" s="3" t="n">
        <v>45994</v>
      </c>
      <c r="I13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2">
      <c r="A132" t="inlineStr">
        <is>
          <t>in-5ff5600e6cac19e3</t>
        </is>
      </c>
      <c r="B132" t="inlineStr">
        <is>
          <t>Sr. Product Manager Technical, Deal Tooling &amp; Insights, Strategic Customer Engagements</t>
        </is>
      </c>
      <c r="C132" t="inlineStr">
        <is>
          <t>Amazon Web Services</t>
        </is>
      </c>
      <c r="D132" t="inlineStr">
        <is>
          <t>indeed</t>
        </is>
      </c>
      <c r="E132">
        <f>HYPERLINK("https://www.indeed.com/viewjob?jk=5ff5600e6cac19e3", "https://www.indeed.com/viewjob?jk=5ff5600e6cac19e3")</f>
        <v/>
      </c>
      <c r="F132">
        <f>HYPERLINK("https://www.amazon.jobs/jobs/3138889/sr-product-manager-technical-deal-tooling--insights-strategic-customer-engagements?cmpid=DA_INAD200785B", "https://www.amazon.jobs/jobs/3138889/sr-product-manager-technical-deal-tooling--insights-strategic-customer-engagements?cmpid=DA_INAD200785B")</f>
        <v/>
      </c>
      <c r="G132" t="inlineStr">
        <is>
          <t>Arlington, VA, US</t>
        </is>
      </c>
      <c r="H132" s="3" t="n">
        <v>45994</v>
      </c>
      <c r="I13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3">
      <c r="A133" t="inlineStr">
        <is>
          <t>in-b8481c7af6e03182</t>
        </is>
      </c>
      <c r="B133" t="inlineStr">
        <is>
          <t>Sr. Product Manager Technical, Deal Tooling &amp; Insights, Strategic Customer Engagements</t>
        </is>
      </c>
      <c r="C133" t="inlineStr">
        <is>
          <t>Amazon Web Services</t>
        </is>
      </c>
      <c r="D133" t="inlineStr">
        <is>
          <t>indeed</t>
        </is>
      </c>
      <c r="E133">
        <f>HYPERLINK("https://www.indeed.com/viewjob?jk=b8481c7af6e03182", "https://www.indeed.com/viewjob?jk=b8481c7af6e03182")</f>
        <v/>
      </c>
      <c r="F133">
        <f>HYPERLINK("https://www.amazon.jobs/jobs/3138889/sr-product-manager-technical-deal-tooling--insights-strategic-customer-engagements?cmpid=DA_INAD200785B", "https://www.amazon.jobs/jobs/3138889/sr-product-manager-technical-deal-tooling--insights-strategic-customer-engagements?cmpid=DA_INAD200785B")</f>
        <v/>
      </c>
      <c r="G133" t="inlineStr">
        <is>
          <t>Austin, TX, US</t>
        </is>
      </c>
      <c r="H133" s="3" t="n">
        <v>45994</v>
      </c>
      <c r="I13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4">
      <c r="A134" t="inlineStr">
        <is>
          <t>in-84470b9f6680660c</t>
        </is>
      </c>
      <c r="B134" t="inlineStr">
        <is>
          <t>Principal Product Manager - Tech, Recommender Systems, Prime Video Personalization &amp; Discovery</t>
        </is>
      </c>
      <c r="C134" t="inlineStr">
        <is>
          <t>Amazon.com</t>
        </is>
      </c>
      <c r="D134" t="inlineStr">
        <is>
          <t>indeed</t>
        </is>
      </c>
      <c r="E134">
        <f>HYPERLINK("https://www.indeed.com/viewjob?jk=84470b9f6680660c", "https://www.indeed.com/viewjob?jk=84470b9f6680660c")</f>
        <v/>
      </c>
      <c r="F134">
        <f>HYPERLINK("https://www.amazon.jobs/jobs/2956622/principal-product-manager--tech-recommender-systems-prime-video-personalization--discovery-?cmpid=DA_INAD200785B", "https://www.amazon.jobs/jobs/2956622/principal-product-manager--tech-recommender-systems-prime-video-personalization--discovery-?cmpid=DA_INAD200785B")</f>
        <v/>
      </c>
      <c r="G134" t="inlineStr">
        <is>
          <t>Seattle, WA, US</t>
        </is>
      </c>
      <c r="H134" s="3" t="n">
        <v>45753</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in-d640da8f93c359d6</t>
        </is>
      </c>
      <c r="B135" t="inlineStr">
        <is>
          <t>Principal Product Manager - Tech, Recommender Systems, Prime Video Personalization &amp; Discovery</t>
        </is>
      </c>
      <c r="C135" t="inlineStr">
        <is>
          <t>Amazon.com</t>
        </is>
      </c>
      <c r="D135" t="inlineStr">
        <is>
          <t>indeed</t>
        </is>
      </c>
      <c r="E135">
        <f>HYPERLINK("https://www.indeed.com/viewjob?jk=d640da8f93c359d6", "https://www.indeed.com/viewjob?jk=d640da8f93c359d6")</f>
        <v/>
      </c>
      <c r="F135">
        <f>HYPERLINK("https://www.amazon.jobs/jobs/2956622/principal-product-manager--tech-recommender-systems-prime-video-personalization--discovery-?cmpid=DA_INAD200785B", "https://www.amazon.jobs/jobs/2956622/principal-product-manager--tech-recommender-systems-prime-video-personalization--discovery-?cmpid=DA_INAD200785B")</f>
        <v/>
      </c>
      <c r="G135" t="inlineStr">
        <is>
          <t>Washington, DC, US</t>
        </is>
      </c>
      <c r="H135" s="3" t="n">
        <v>45753</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li-4350297974</t>
        </is>
      </c>
      <c r="B2" t="inlineStr">
        <is>
          <t>Product Manager</t>
        </is>
      </c>
      <c r="C2" t="inlineStr">
        <is>
          <t>Ralph Lauren</t>
        </is>
      </c>
      <c r="D2" t="inlineStr">
        <is>
          <t>linkedin</t>
        </is>
      </c>
      <c r="E2" t="inlineStr"/>
      <c r="F2" t="inlineStr"/>
      <c r="G2" t="inlineStr">
        <is>
          <t>New York, NY</t>
        </is>
      </c>
      <c r="H2" t="inlineStr"/>
      <c r="I2"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Ralph Lauren is seeking an experienced, customer\-centric Product Manager to oversee the strategy and roadmap of critical initiatives relating to the purchasing experience on RalphLauren.com. This role will be responsible for driving growth, loyalty and innovation via initiating, defining, and managing best\-in\-class products that encompass customer facing experiences, internal tools, and business intelligence needs. Collaborating with cross\-functional global stakeholders across technology and business teams, this role will partner closely to develop optimal customer experience solutions that will propel our business.
 This position requires great vision, technical depth, communication, and partnership skills. A high degree of comfort in leveraging data to influence decisions is critical as well as a proven track record of driving results via internal and external relationship management. The optimal candidate will be passionate about driving our next generation of customer experiences, and focused on delivering significant, measurable business and customer impacts.
**This position is located in the NY Metro area.**
 ,
* Lead the strategic vision and roadmap for Ralph Lauren's purchase experience including cart, checkout, shipping and fulfillment capabilities across global markets (NA, EMEA, APAC)
* Combine a strong understanding of user and business needs with a deep comprehension of technical dependencies to ideate and champion solutions that solve for unique and complex challenges
* Guide a global cross\-functional team to drive improvements to critial purchase touchpoints such as cart abandonment reduction, checkout flow optimization, delivery date estimation accuracy, payment method integrations and shipping options and fulfillment capabilities
* Manage a robust backlog of ideas and define a product roadmap of both foundational and innovative feature sets, executing against specific goals and timelines
* Translate roadmap into detailed requirements that provide clarity to complex problems and work with user experience/design, engineering and QA teams to execute and deliver high\-quality products
* Establish clear objectives and monitor key results against goals in order to define and measure the success of initiatives
* Identify and lead efforts to analyze results, creating a feedback loop to continuously learn, improve performance, and discover opportunities for growth
* Create insights to guide the strategy and corresponding product roadmap through understanding customer’s needs and behaviors, competition and emerging technologies
* Develop relationships and partner closely with key business partners to gain strong internal alignment and maintain tight communication around expectations and status
* Communicate with executive level stakeholders globally, including leading facilitated discovery and vision sessions, presenting findings and priorities, and negotiating tradeoffs
* Understand the complex and shifting ecommerce landscape, consumer trends, and available 3rd party products to apply insights to roadmaps that deliver added value
 Salary range: $69,850 \- $125,525 annually,
* Deep experience working on both digital consumer\-facing experiences and backend system optimization with proven success in defining and executing successful business strategies
* General understanding of fulfillment operations, distribution center workflows, and delivery optimization
* Ecommerce and global product management experience required
* Strong project management skills managing multiple large projects with agile product management experience
* Effective at communicating with and presenting to business partners and executive management while maintaining alignment at all levels
* Comfortable in a highly matrixed, iterative development environment and good at balancing collaboration and advocacy
* High level of intellectual curiosity and comfort with bringing definition and structure to ambiguity</t>
        </is>
      </c>
    </row>
    <row r="3">
      <c r="A3" t="inlineStr">
        <is>
          <t>li-4328136685</t>
        </is>
      </c>
      <c r="B3" t="inlineStr">
        <is>
          <t>Product Manager</t>
        </is>
      </c>
      <c r="C3" t="inlineStr">
        <is>
          <t>DigiCert</t>
        </is>
      </c>
      <c r="D3" t="inlineStr">
        <is>
          <t>linkedin</t>
        </is>
      </c>
      <c r="E3" t="inlineStr"/>
      <c r="F3" t="inlineStr"/>
      <c r="G3" t="inlineStr">
        <is>
          <t>Sunnyvale, CA</t>
        </is>
      </c>
      <c r="H3" t="inlineStr"/>
      <c r="I3" t="inlineStr">
        <is>
          <t>**Who we are** 
 We're a leading, global security authority that's disrupting our own category.  Our encryption is trusted by the major ecommerce brands, the world's largest companies, the major cloud providers, entire country financial systems, entire internets of things and even down to the little things like surgically embedded pacemakers.  We help companies put trust \- an abstract idea \- to work. That's digital trust for the real world.
**Job summary** 
 We’re looking for a highly technical, execution\-driven Product Manager to help advance our Trust Lifecycle Manager platform across cloud, Kubernetes, and emerging identity\-security ecosystems. This role is ideal for a product professional who enjoys rolling up their sleeves—diving into cloud services, validating technical workflows hands\-on, partnering closely with engineers, and driving early\-stage concepts into impactful customer\-facing capabilities.
 You’ll operate at the intersection of PKI, cloud\-native architectures, digital identity, and certificate automation—translating complex technical needs into scalable, intuitive solutions that accelerate customer trust workloads. 
**What you will do** 
 Cloud, Kubernetes \&amp; Platform Enablement
* Implement and iterate on integrations with AWS, Azure, and GCP services—including KMS, Key Vault, CloudHSM, ACM, and CAS.
* Partner with engineering to build, test, and validate Kubernetes certificate automation flows (cert\-manager, SPIFFE/SPIRE, service meshes, mTLS workflows).
* Drive hands\-on prototyping within cloud\-native environments, microservices, and containerized deployment architectures.
* Support design and documentation for CLM integrations across hybrid and multi\-cloud environments.
 Technical Execution \&amp; Roadmap Delivery
* Translate customer requirements into technical specifications, user stories, and acceptance criteria.
* Manage and prioritize backlogs for engineering squads in an Agile development structure.
* Build quick proofs\-of\-concept to evaluate feasibility, integration complexity, and customer value.
* Assist with release planning, validation, and rollout of new features.
 Customer Discovery \&amp; Validation
* Conduct structured interviews with practitioners (DevOps, CloudOps, Security, Platform Engineering).
* Present concepts, prototypes, and early builds for targeted feedback loops.
* Synthesize insights into actionable product improvements and roadmap proposals.
* Support technical enablement for customers evaluating or adopting new integrations.
 Cross\-functional Technical Collaboration
* Work with Architecture and Engineering to align on design patterns, scalability needs, and cloud\-native security controls.
* Engage with Solutions Architects and Sales Engineers to analyze customer environments and identify use cases.
* Collaborate with Marketing to support technical messaging, diagrams, and solution narratives.
**What you will have** 
* 3\+ years of hands\-on experience in product management, technical program management, DevOps, cloud engineering, or a related role.
* Practical experience with at least one major public cloud ecosystem (AWS, Azure, or GCP), especially in security or identity workloads.
* Working knowledge of Kubernetes fundamentals, certificate issuance flows, mTLS, and cloud\-native security practices.
* Familiarity with CI/CD tools, container orchestration, and automation frameworks.
* Exposure to PKI, certificate lifecycle management, cryptographic protocols, or related security domains.
* Ability to collaborate effectively with engineers and communicate technical concepts clearly to stakeholders.
* Experience building prototypes or working closely with engineering on proof\-of\-concepts.
* Strong analytical skills, with comfort using data to guide prioritization and validate decisions.
* Bachelor’s degree in Computer Science, Engineering, or a related technical field (or equivalent practical experience).
* Understanding of cryptography and security protocols.
* Familiarity with API design and integration patterns.
* Experience with prototyping tools and methodologies.
* Knowledge of agile development practices.
* Comfort with data analysis and experimentation frameworks.
**Nice to have** 
* Experience with Terraform, Helm, or other IaC tooling.
* Understanding of Zero Trust, workload identity, service mesh technology, and secure connectivity patterns.
* Background in software development, SRE/DevOps, or cloud solution architecture.
* Exposure to certificate automation ecosystems (cert\-manager, SPIRE/SPIFFE, Vault PKI).
* Experience supporting marketplace readiness or product listings on AWS, Azure, or GCP.
* Familiarity with design thinking and rapid experimentation methodologies.
**Benefits** 
* Generous time off policies
* Top shelf benefits
* Education, wellness and lifestyle support</t>
        </is>
      </c>
    </row>
    <row r="4">
      <c r="A4" t="inlineStr">
        <is>
          <t>li-4324849199</t>
        </is>
      </c>
      <c r="B4" t="inlineStr">
        <is>
          <t>Product Manager</t>
        </is>
      </c>
      <c r="C4" t="inlineStr">
        <is>
          <t>Whatnot</t>
        </is>
      </c>
      <c r="D4" t="inlineStr">
        <is>
          <t>linkedin</t>
        </is>
      </c>
      <c r="E4" t="inlineStr"/>
      <c r="F4" t="inlineStr"/>
      <c r="G4" t="inlineStr">
        <is>
          <t>New York, NY</t>
        </is>
      </c>
      <c r="H4" t="inlineStr"/>
      <c r="I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5">
      <c r="A5" t="inlineStr">
        <is>
          <t>li-4315287663</t>
        </is>
      </c>
      <c r="B5" t="inlineStr">
        <is>
          <t>Senior Product Manager - Enterprise / Commerce (100% Remote)</t>
        </is>
      </c>
      <c r="C5" t="inlineStr">
        <is>
          <t>Hopper</t>
        </is>
      </c>
      <c r="D5" t="inlineStr">
        <is>
          <t>linkedin</t>
        </is>
      </c>
      <c r="E5" t="inlineStr"/>
      <c r="F5" t="inlineStr"/>
      <c r="G5" t="inlineStr">
        <is>
          <t>San Francisco, CA</t>
        </is>
      </c>
      <c r="H5" t="inlineStr"/>
      <c r="I5"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6">
      <c r="A6" t="inlineStr">
        <is>
          <t>li-4359782800</t>
        </is>
      </c>
      <c r="B6" t="inlineStr">
        <is>
          <t>Product Manager</t>
        </is>
      </c>
      <c r="C6" t="inlineStr">
        <is>
          <t>Gong</t>
        </is>
      </c>
      <c r="D6" t="inlineStr">
        <is>
          <t>linkedin</t>
        </is>
      </c>
      <c r="E6" t="inlineStr"/>
      <c r="F6" t="inlineStr"/>
      <c r="G6" t="inlineStr"/>
      <c r="H6" t="inlineStr"/>
      <c r="I6" t="inlineStr">
        <is>
          <t>**About The Company**
 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**About The Role**
 At Gong, you will join a company built on innovative products, ambitious goals, and passionate people. We are shaping the future of revenue intelligence and seek individuals eager to build what comes next. As a Staff Product Manager for Industry Expansion, your primary focus will be to drive Gong's growth by extending Revenue AI capabilities across various industries. This strategic role involves working closely with industry\-specific customers and the go\-to\-market team to accelerate revenue, facilitate new logo acquisition, enhance product stickiness, and lay the groundwork for significant company growth. You will serve as a vital link between customer needs and product development, aligning our roadmap with industry requirements and executing on high\-priority features. This position demands significant customer interaction, strategic thinking, and the ability to coordinate across multiple stakeholders to deliver impactful results.
**Qualifications**
* 8\+ years of experience in B2B product management roles or relevant entrepreneurial experience
* Strong technical and product acumen to define strategic vision and detailed feature requirements
* Proven ability to engage confidently with executive\-level customer stakeholders
* Excellent internal communication and influencing skills for effective advocacy
* Ability to independently create professional presentations, roadmaps, and documentation
* Willingness to travel regularly for customer meetings and on\-site visits
* Ability to quickly learn and establish credibility within new industry domains
* Prior experience in finance or healthcare industries is considered a plus
**Responsibilities**
* Develop a firsthand understanding of customer needs within priority industries through customer calls, on\-site visits, and independent market research
* Collaborate closely with the industry expansion GTM team, providing product expertise as an integral team member
* Guide the GTM team in comprehensive discovery to understand broader customer solution requirements, including use cases, workflows, and technical environments
* Formulate a point\-of\-view on Gong’s product positioning within the ecosystem for target industries
* Own and manage industry\-specific overlay roadmaps, ensuring alignment with core product teams and identifying benefits of planned features for industries
* Review and prioritize feature requests from industry segments, synthesizing common themes to identify new product opportunities
* Lead execution on high\-priority industry\-focused projects as the product lead for relevant features
* Partner with Enablement to ensure the GTM team understands the roadmap implications for their segments
**Benefits**
* Comprehensive medical, dental, and vision plans tailored to individual and family needs
* Wellbeing Fund offering flexible wellness stipends to support a healthy lifestyle
* Mental health benefits, including covered therapy and coaching sessions
* 401(k) retirement savings plan to help secure your financial future
* Education and learning stipends for personal growth and professional development
* Flexible vacation policy promoting work\-life balance
* Paid parental leave to support family needs
* Quarterly company\-wide recharge days to foster team well\-being
* Work from home stipend to support remote work environment
 Equal Opportunity
 Gong is an equal\-opportunity employer. We celebrate diversity and are committed to creating an inclusive environment for all employees. We do not discriminate based on race, color, religion, age, sex, sexual orientation, gender identity, national origin, disability, military status, genetic information, or any other protected characteristic under applicable law. We believe that diverse teams drive innovation and success, and we are dedicated to fostering a workplace where everyone can thrive.</t>
        </is>
      </c>
    </row>
    <row r="7">
      <c r="A7" t="inlineStr">
        <is>
          <t>li-4315297198</t>
        </is>
      </c>
      <c r="B7" t="inlineStr">
        <is>
          <t>Senior Product Manager - Enterprise / Commerce (100% Remote)</t>
        </is>
      </c>
      <c r="C7" t="inlineStr">
        <is>
          <t>Hopper</t>
        </is>
      </c>
      <c r="D7" t="inlineStr">
        <is>
          <t>linkedin</t>
        </is>
      </c>
      <c r="E7" t="inlineStr"/>
      <c r="F7" t="inlineStr"/>
      <c r="G7" t="inlineStr">
        <is>
          <t>Boston, MA</t>
        </is>
      </c>
      <c r="H7" t="inlineStr"/>
      <c r="I7"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8">
      <c r="A8" t="inlineStr">
        <is>
          <t>li-4315280949</t>
        </is>
      </c>
      <c r="B8" t="inlineStr">
        <is>
          <t>Senior Product Manager - Enterprise / Commerce (100% Remote)</t>
        </is>
      </c>
      <c r="C8" t="inlineStr">
        <is>
          <t>Hopper</t>
        </is>
      </c>
      <c r="D8" t="inlineStr">
        <is>
          <t>linkedin</t>
        </is>
      </c>
      <c r="E8" t="inlineStr"/>
      <c r="F8" t="inlineStr"/>
      <c r="G8" t="inlineStr">
        <is>
          <t>Seattle, WA</t>
        </is>
      </c>
      <c r="H8" t="inlineStr"/>
      <c r="I8"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9">
      <c r="A9" t="inlineStr">
        <is>
          <t>li-4345341431</t>
        </is>
      </c>
      <c r="B9" t="inlineStr">
        <is>
          <t>Senior Product Manager</t>
        </is>
      </c>
      <c r="C9" t="inlineStr">
        <is>
          <t>The Walt Disney Company</t>
        </is>
      </c>
      <c r="D9" t="inlineStr">
        <is>
          <t>linkedin</t>
        </is>
      </c>
      <c r="E9" t="inlineStr"/>
      <c r="F9" t="inlineStr"/>
      <c r="G9" t="inlineStr">
        <is>
          <t>Celebration, FL</t>
        </is>
      </c>
      <c r="H9" t="inlineStr"/>
      <c r="I9" t="inlineStr">
        <is>
          <t>**Department Description**
 At Disney Experiences Technology, we power the Magic! That’s our motto at Disney Parks, Experiences and Products Technology \&amp; Digital. Our team creates world\-class immersive digital experiences for the Company’s premier vacation brands including Disney’s Parks \&amp; Resorts worldwide, Disney Cruise Line, Aulani, A Disney Resort \&amp; Spa, and Disney Vacation Club.
**Team Description**
 We are responsible for the end\-to\-end digital and physical Guest and Cast experience for all technology \&amp; digital\-led initiatives across the Attractions \&amp; Entertainment, Food \&amp; Beverage, Resorts \&amp; Transportation, PhotoPass and Merchandise lines of business.
**What You'll Do**
 This Senior Product Manager role is a leader in the technology and digital segment of the Disney Cruise Line business. Reporting to the Sr. Manager of Product Management, the Senior Product Manager will drive product strategy, concept development, and delivery of initiatives in collaboration with our Product Management, Technology, and Business Operation team partners.
 As a Senior Technical Product Manager, you will understand the business and technical capabilities, identify gaps, and deliver product roadmaps for new capabilities. You are collaborative, able to work successfully in a matrix organization while wearing multiple hats and are comfortable working autonomously. As a leader, you act as a resource for colleagues and may mentor others. Adept at synthesizing a variety of technologies and capabilities into high quality, simple products, and applications. Be a liaison to development, implementation, and support teams as well as support multiple projects, improvements, backlog and prioritization of features and capabilities.
**Required Qualifications \&amp; Skills**
* Minimum of 5 years of product management experience with building and delivering quality reservation management and/or ecommerce products, services, and capabilities, or combination of 3 years of technical product management experience with additional 3 years of relevant engineering, data science, or analytic science experience, required.
* Experience and comfort solving problems in an ambiguous environment where there is regular change. Have the tenacity to thrive in a dynamic and fast\-paced environment, inspire change, and collaborate with a variety of individuals and organizational partners.
* Deep commitment to curiosity \- conducting research, gathering metrics, proactively identifying \&amp; addressing issues or opportunities during requirements gathering processes, and applying rigorous attention to detail during the creative and technical designs for high quality functionality and user experience.
* Data\-focused mindset and proven ability to use data to support and influence all aspects of impact, reach, effort, confidence, and cost when solving problems and analyze solutions.
* Highly organized and analytical with a collaborative attitude to influence strategy, optimization and feature delivery that relies on multiple cross\-team dependencies.
* Champion of Agile technical practices \&amp; testing concepts. Planning acumen and proven ability to break down work and define an MVP, as well as subsequent iterations. Proficient skills in scope intake, requirements documentation, valuation, and backlog management, through acceptance and validations.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on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data integrity and the processes to manage the migration (or transition) of current data or services without outages or critical interruption to end users.
* Familiar with A/B experimentation methods and hypothesis\-driven development. Experience in running competitive and consumer analysis.
* Systems thinker \- proactive, structured, long\-term thinker rather than reactive.
**Required Education**
* Bachelor’s degree in a relevant field preferred and/or equivalent work experience.
* Master’s Degree in related field, MBA, or technical certifications preferred.</t>
        </is>
      </c>
    </row>
    <row r="10">
      <c r="A10" t="inlineStr">
        <is>
          <t>li-4303423248</t>
        </is>
      </c>
      <c r="B10" t="inlineStr">
        <is>
          <t>Product Manager, Machine Learning Architecture (Ads Platform)</t>
        </is>
      </c>
      <c r="C10" t="inlineStr">
        <is>
          <t>Netflix</t>
        </is>
      </c>
      <c r="D10" t="inlineStr">
        <is>
          <t>linkedin</t>
        </is>
      </c>
      <c r="E10" t="inlineStr"/>
      <c r="F10" t="inlineStr"/>
      <c r="G10" t="inlineStr">
        <is>
          <t>Los Angeles, CA</t>
        </is>
      </c>
      <c r="H10" t="inlineStr"/>
      <c r="I1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a new foundational technology that connects systems across Netflix Ads. We are seeking a visionary to lead the development and management of our composable machine learning infrastructure. This role is crucial in enabling our customers and colleagues to interact with modern ML systems seamlessly throughout their work. This means building for other builders; laying the foundations for our stunning colleagues across engineering, product, data science, sales, and operations.
**This PM Will**
* Define and own the end\-to\-end product vision for a shared ML architecture that spans every Netflix Ad Suite surface.
* Deliver a platform (APIs, SDKs, UI) that our product teams can plug into without reinventing infrastructure.
* Establish governance, privacy, and safety standards working closely with Legal, and Privacy to prevent “patchy ML” and ensure responsible outcomes.
* Partner with Experience Design to invent next\-gen workflows and agents that dramatically reduce task time and eliminate repetitive context switching.
* Serve as the connective tissue across PMs in targeting, creatives, reporting, insights, and more; aligning roadmaps and eliminating duplicative work.
* Integrate third\-party applications and so that customers can interface with Netflix Ad Suite through systems they already know.
* Define and track success metrics such as workflow time reductions, platform adoption, and partner satisfaction, iterating quickly based on data and feedback.
* You will orchestrate both the strategy and the shared platform that deliver uniform, intuitive, and high\-impact experiences for every stakeholder.
**We’re Seeking a Candidate Who Has**
* Experience: 10\+ years of Product Management experience with a proven track record of launching and scaling foundational tech infrastructures.
* Visionary Leadership: Ability to deliver a comprehensive roadmap and vision for the future of machine learning supported workflows, catering to varied customer groups.
* Technical Acumen: Deep understanding of the software and components that powers modern advertising, and machine learning.
* Collaborative Skills: Proven experience working with cross\-functional teams, including operations teams, design, engineering, data foundations, privacy, legal, and external technology providers.
* Regulatory Knowledge: Familiarity with legal compliance and the evolving landscape of data privacy regulations worldwide.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1">
      <c r="A11" t="inlineStr">
        <is>
          <t>li-4324908933</t>
        </is>
      </c>
      <c r="B11" t="inlineStr">
        <is>
          <t>Product Manager</t>
        </is>
      </c>
      <c r="C11" t="inlineStr">
        <is>
          <t>Whatnot</t>
        </is>
      </c>
      <c r="D11" t="inlineStr">
        <is>
          <t>linkedin</t>
        </is>
      </c>
      <c r="E11" t="inlineStr"/>
      <c r="F11" t="inlineStr"/>
      <c r="G11" t="inlineStr">
        <is>
          <t>Seattle, WA</t>
        </is>
      </c>
      <c r="H11" t="inlineStr"/>
      <c r="I1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12">
      <c r="A12" t="inlineStr">
        <is>
          <t>li-4345175737</t>
        </is>
      </c>
      <c r="B12" t="inlineStr">
        <is>
          <t>Principal Product Manager, US</t>
        </is>
      </c>
      <c r="C12" t="inlineStr">
        <is>
          <t>West Monroe</t>
        </is>
      </c>
      <c r="D12" t="inlineStr">
        <is>
          <t>linkedin</t>
        </is>
      </c>
      <c r="E12" t="inlineStr"/>
      <c r="F12" t="inlineStr"/>
      <c r="G12" t="inlineStr">
        <is>
          <t>Los Angeles County, CA</t>
        </is>
      </c>
      <c r="H12" t="inlineStr"/>
      <c r="I12" t="inlineStr">
        <is>
          <t>**Are you ready to make an impact?**
**Principal Product Manager**
 West Monroe is seeking a Principal Product Manager to join the Technology and Experience practice in one of our US offices.
 This role will involve collaborating with executive\-level client stakeholders across a variety of industries to understand and define strategic business goals, translate them into functional requirements, and lead the delivery of impactful, innovative solutions. You will oversee end\-to\-end product management, from initial scoping and requirements gathering to deployment and validation of solutions, including AI\-driven capabilities.
 As a Principal Product Manager, you will act as a trusted advisor to clients, helping them navigate complex challenges, identify opportunities for leveraging AI and emerging technologies, and deliver measurable business value. You will lead cross\-functional teams, drive product strategy, and ensure solutions align with both client objectives and West Monroe's high standards of delivery.
**Responsibilities**
* Partner with senior client stakeholders to define and translate strategic business goals into actionable product roadmaps, with a focus on incorporating AI and advanced analytics to drive innovation.
* Lead the development of user stories, process flows, and product requirements that support the design and delivery of enterprise\-grade software solutions, including AI\-powered features such as machine learning models, natural language processing (NLP), and predictive analytics.
* Collaborate with client executives, business/technology teams, and West Monroe consultants to identify opportunities for AI\-driven transformation and deliver solutions that address complex business challenges.
* Facilitate prioritization discussions with stakeholders, balancing business value, development effort, and the potential impact of AI\-enabled functionalities.
* Drive the deployment of solutions, ensuring AI models and tools are effectively integrated into client workflows and deliver measurable outcomes.
* Identify inefficiencies and pain points in client processes, leveraging AI and automation to streamline workflows and enhance decision\-making.
* Oversee and continuously refine product backlogs within an Agile/Scrum team environment, ensuring alignment with strategic goals and AI\-related initiatives.
* Mentor and guide product managers and teams, fostering a culture of innovation, collaboration, and excellence in product delivery.
* Track and measure the success of deployed solutions, including monitoring the performance of AI models and ensuring alignment with client KPIs and business objectives.
**Qualifications**
* Bachelor’s degree in a relevant field preferred, or equivalent experience required; advanced degree (MBA, MS) is a plus.
* 10\+ years of experience in product management, business analysis, or a related field, with a proven track record of delivering complex, enterprise\-grade solutions.
* Consulting firm/industry experience required, with a focus on managing client relationships and delivering measurable business outcomes.
* Deep expertise in authoring business/technical requirements and high\-quality user stories, with the ability to analyze, understand, and prioritize complex business problems, including those involving AI and data\-driven solutions.
* Strong experience working in Agile/Scrum environments, with a demonstrated ability to lead cross\-functional teams and manage product lifecycles.
* Proficiency in PM tools like Jira for managing and tracking projects, including AI\-related tasks and performance metrics.
* Strong understanding of AI technologies, frameworks, and tools such as TensorFlow, PyTorch, Azure AI, AWS AI, or Google Cloud AI.
* Knowledge of key AI concepts, including supervised/unsupervised learning, NLP, computer vision, and predictive analytics, and the ability to collaborate with data scientists and engineers to define and deliver AI\-powered solutions.
* Exceptional leadership, communication, and stakeholder management skills, with the ability to influence and drive alignment among senior executives and cross\-functional teams.
* Strong business acumen, with the ability to articulate the value of AI and emerging technologies to both technical and non\-technical audiences.
* Demonstrated ability to mentor and develop junior team members, fostering a culture of innovation and continuous improvement.
* Passion for staying ahead of industry trends, particularly in AI, data science, and product management best practices.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$154,400—$181,500 USD
 Los Angeles
 $161,700—$190,200 USD
 New York City or San Francisco
 $169,100—$198,800 USD
 A location not listed above
 $147,000—$172,900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13">
      <c r="A13" t="inlineStr">
        <is>
          <t>li-4283938006</t>
        </is>
      </c>
      <c r="B13" t="inlineStr">
        <is>
          <t>Product Manager, LATAM (Mexico City, Mexico)</t>
        </is>
      </c>
      <c r="C13" t="inlineStr">
        <is>
          <t>Airbnb</t>
        </is>
      </c>
      <c r="D13" t="inlineStr">
        <is>
          <t>linkedin</t>
        </is>
      </c>
      <c r="E13" t="inlineStr"/>
      <c r="F13" t="inlineStr"/>
      <c r="G13" t="inlineStr">
        <is>
          <t>San Francisco, CA</t>
        </is>
      </c>
      <c r="H13" t="inlineStr"/>
      <c r="I1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Mexico City, Mexico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14">
      <c r="A14" t="inlineStr">
        <is>
          <t>li-4339269485</t>
        </is>
      </c>
      <c r="B14" t="inlineStr">
        <is>
          <t>Product Manager, Growth</t>
        </is>
      </c>
      <c r="C14" t="inlineStr">
        <is>
          <t>Freed</t>
        </is>
      </c>
      <c r="D14" t="inlineStr">
        <is>
          <t>linkedin</t>
        </is>
      </c>
      <c r="E14" t="inlineStr"/>
      <c r="F14" t="inlineStr"/>
      <c r="G14" t="inlineStr">
        <is>
          <t>New York County, NY</t>
        </is>
      </c>
      <c r="H14" t="inlineStr"/>
      <c r="I14" t="inlineStr">
        <is>
          <t>**ABOUT FREED:**
 Doctors are overworked, burnt out, and are quitting in masses.
 At Freed, we combine clinician love with the latest AI tech and intense execution to create products that make clinicians happier.
 Our first product is an AI scribe that automates medical documentation.
 Since May of 2023, we have:
* Acquired 26,000 paying and loving clinicians
* Generated 100,000 patient notes daily and over 3 million monthly
* Made thousands of clinicians happier
 With the backing of Sequoia Capital and other world\-class VC’s, we are rapidly expanding our product offering. Patient\-facing assistants, patient insights, EHR integrations, and other products are being built and used by thousands of clinicians every day.
 We are looking for entrepreneurs. Fast, ambitious, and smart individuals who want to take care of the people who care for our health. Expect intense, clinician\-focused, and interesting co\-workers who want to win.
 With an office in San Francisco, we embrace a hybrid schedule that brings out the best in teamwork and innovation. Our teams come together in person
 **three days a week** 
 to collaborate, connect, and have a little fun along the way.
**About the Role:**
 We’re looking for an experience product manager to lead the activation, conversion, and retention efforts on our Growth pod. Your mission will be to bring Freed to more and more clinicians, and help them to unlock meaningful value from our products by building great early experiences and thoughtful systems to support ongoing and expanded use. This is a high\-impact role with the opportunity to shape how clinicians use AI to relieve their admin burden.
**How You’ll Have Impact:**
* Own the end\-to\-end product experience for new user onboarding, engagement, and seat expansion
* Use data, experimentation, and user research to identify high\-leverage opportunities to expand to more clinicians and group practices
* Partner with engineering, design, and analytics to design and ship features that help users quickly find value from our products
* Partner with finance, sales, and marketing to align and implement complementary product and business strategies
**What You’ll Bring:**
 5\+ Years growth experience, with a strong track record of delivering high\-impact onboarding and growth systems that drive conversion and retention
* Fluent in growth metrics, funnels, experimentation, and A/B testing
* Data analysis skills including SQL, familiarity with BI tools, and user behavior tracking
* Strong product sense, and enjoy building experiences that are intuitive and empowering
* Excel at working cross\-functionally and collaborating with design, engineering, data science, and go\-to\-market teams
**Nice to Haves:**
* Experience working within a product\-led / sales\-assisted growth model
* Experience in high\-growth startups
**What We’ll Bring:**
* Competitive salary and equity in a high\-growth company
* Opportunity to make an immediate impact
* Medical, dental, and vision coverage
* Unlimited paid time off
* Company\-sponsored annual retreats
* 401(k) plan to support your long\-term financial goals
* Commuter stipend for our San Francisco based employees
 Compensation Range: $170K \- $200K</t>
        </is>
      </c>
    </row>
    <row r="15">
      <c r="A15" t="inlineStr">
        <is>
          <t>li-4359942549</t>
        </is>
      </c>
      <c r="B15" t="inlineStr">
        <is>
          <t>Senior Product Manager</t>
        </is>
      </c>
      <c r="C15" t="inlineStr">
        <is>
          <t>Disney Experiences</t>
        </is>
      </c>
      <c r="D15" t="inlineStr">
        <is>
          <t>linkedin</t>
        </is>
      </c>
      <c r="E15" t="inlineStr"/>
      <c r="F15" t="inlineStr"/>
      <c r="G15" t="inlineStr">
        <is>
          <t>Celebration, FL</t>
        </is>
      </c>
      <c r="H15" t="inlineStr"/>
      <c r="I15" t="inlineStr">
        <is>
          <t>**Department Description:**
 At Disney Experiences Technology, we power the Magic! That’s our motto at Disney Parks, Experiences and Products Technology \&amp; Digital. Our team creates world\-class immersive digital experiences for the Company’s premier vacation brands including Disney’s Parks \&amp; Resorts worldwide, Disney Cruise Line, Aulani, A Disney Resort \&amp; Spa, and Disney Vacation Club.
**Team Description:**
 We are responsible for the end\-to\-end digital and physical Guest and Cast experience for all technology \&amp; digital\-led initiatives across the Attractions \&amp; Entertainment, Food \&amp; Beverage, Resorts \&amp; Transportation, PhotoPass and Merchandise lines of business.
**What You'll Do:**
 This Senior Product Manager role is a leader in the technology and digital segment of the Disney Cruise Line business. Reporting to the Sr. Manager of Product Management, the Senior Product Manager will drive product strategy, concept development, and delivery of initiatives in collaboration with our Product Management, Technology, and Business Operation team partners.
 As a Senior Technical Product Manager, you will understand the business and technical capabilities, identify gaps, and deliver product roadmaps for new capabilities. You are collaborative, able to work successfully in a matrix organization while wearing multiple hats and are comfortable working autonomously. As a leader, you act as a resource for colleagues and may mentor others. Adept at synthesizing a variety of technologies and capabilities into high quality, simple products, and applications. Be a liaison to development, implementation, and support teams as well as support multiple projects, improvements, backlog and prioritization of features and capabilities.
**Required Qualifications \&amp; Skills:**
* Minimum of 5 years of product management experience with building and delivering quality reservation management and/or ecommerce products, services, and capabilities, or combination of 3 years of technical product management experience with additional 3 years of relevant engineering, data science, or analytic science experience, required.
* Experience and comfort solving problems in an ambiguous environment where there is regular change. Have the tenacity to thrive in a dynamic and fast\-paced environment, inspire change, and collaborate with a variety of individuals and organizational partners.
* Deep commitment to curiosity \- conducting research, gathering metrics, proactively identifying \&amp; addressing issues or opportunities during requirements gathering processes, and applying rigorous attention to detail during the creative and technical designs for high quality functionality and user experience.
* Data\-focused mindset and proven ability to use data to support and influence all aspects of impact, reach, effort, confidence, and cost when solving problems and analyze solutions.
* Highly organized and analytical with a collaborative attitude to influence strategy, optimization and feature delivery that relies on multiple cross\-team dependencies.
* Champion of Agile technical practices \&amp; testing concepts. Planning acumen and proven ability to break down work and define an MVP, as well as subsequent iterations. Proficient skills in scope intake, requirements documentation, valuation, and backlog management, through acceptance and validations.
* Excellent presentation skills and clear, logical communication style so you can represent our product strategy and roadmap to engineering, business, and product leadership. Partner with key stakeholders to build relationships and manage scope expectations.
**Preferred Qualifications:**
* Experience working on reservation management systems and services supporting consumer\-facing products, ideally ecommerce booking, payments/general ledger/payment reconciliation, rules logic, and availability, rate, and inventory management. Fluent in industry best practices and can identify areas for optimization and innovation.
* Strong product sense for various users and what makes compelling consumer products and delightful user experiences \- ensuring new designs and enhancements can best support use cases of internal teams, agents, and direct\-to\-consumer users.
* Passionate about data integrity and the processes to manage the migration (or transition) of current data or services without outages or critical interruption to end users.
* Familiar with A/B experimentation methods and hypothesis\-driven development. Experience in running competitive and consumer analysis.
* Systems thinker \- proactive, structured, long\-term thinker rather than reactive.
**Required Education:**
* Bachelor’s degree in a relevant field preferred and/or equivalent work experience.
* Master’s Degree in related field, MBA, or technical certifications preferred.</t>
        </is>
      </c>
    </row>
    <row r="16">
      <c r="A16" t="inlineStr">
        <is>
          <t>li-4270913002</t>
        </is>
      </c>
      <c r="B16" t="inlineStr">
        <is>
          <t>Principal Product Manager – Personalization</t>
        </is>
      </c>
      <c r="C16" t="inlineStr">
        <is>
          <t>Yahoo</t>
        </is>
      </c>
      <c r="D16" t="inlineStr">
        <is>
          <t>linkedin</t>
        </is>
      </c>
      <c r="E16" t="inlineStr"/>
      <c r="F16" t="inlineStr"/>
      <c r="G16" t="inlineStr"/>
      <c r="H16" t="inlineStr"/>
      <c r="I16"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**About**
* Yahoo is a global media and tech company that connects people to their passions. We reach nearly 900M people around the world, bringing them closer to what they love—from finance and sports to shopping, gaming, and news—with the trusted products, content, and tech that fuel their day. For partners, we provide a full\-stack platform for businesses to amplify growth and drive more meaningful connections across advertising, search, and media.
* Yahoo Mail is the ultimate consumer inbox with hundreds of millions of users. It’s the best way to access your email and stay organized from a computer, phone or tablet. With its beautiful design and lightning fast speed, Yahoo Mail is embarking on the mission to create the best consumer\-focused platform for running the “business of life”.
**About The Role**
* The Mail Intelligence team is seeking a visionary and deeply technical Principal Product Manager – Personalization to architect and drive the next generation of AI\-powered personalization capabilities in Yahoo Mail. This role will be at the helm of designing a best\-in\-class recommendation engine that deeply understands user intent, context, and identity—delivering intelligent, dynamic, and personally meaningful experiences that evolve with each user over time.
* You’ll lead the end\-to\-end strategy and execution for personalization across Mail—partnering closely with research scientists, ML engineers, data scientists, and experience teams. Your work will power real\-time, multi\-surface recommendations and unlock new engagement \&amp; business opportunities across Yahoo Mail’s consumer products.
****Your Day\-to\-Day:****
* Own the personalization product strategy for Yahoo Mail, aligning with Mail Intelligence’s technical vision and business impact goals.
* Drive the definition of a multi\-layered personalization stack—identity, embeddings, retrieval, ranking—partnering with engineering, architecture, and research to build world\-class recommendation systems that unlock user value while optimizing for performance and cost.
* Lead the development of privacy\-aware, context\-rich systems that adapt to user intent, language, device, and lifecycle.
* Define experimentation and evaluation frameworks, including A/B testing, model performance, and relevance metrics.
* Partner with product managers driving experience and growth, as well as design and UXR teams, to integrate personalization seamlessly into user\-facing flows.
* Define and track KPIs around personalization lift, relevance, engagement, and downstream impact.
* Champion a culture of personalization excellence, keeping Yahoo Mail at the forefront of innovation and research.
****What Are We Looking For?****
* 8\+ years of Product Management experience in AI/ML heavy domains—recommendation systems, personalization platforms, or search/ranking.
* Demonstrated success building and scaling real\-time personalization engines or recommendation systems used by millions of users.
* Strong understanding of personalization techniques: Collaborative filtering, content\-based filtering, hybrid models, deep learning\-based approaches.
* Hands\-on experience with ML lifecycle: Data acquisition, feature engineering, offline training, online inference, experimentation \&amp; evaluation.
* Exceptional communication skills with the ability to synthesize technical detail and strategic vision across varied audiences.
* Passionate about user experience, with a sharp product sense and empathy for consumer needs.
* Proven ability to align research, engineering, and cross\-functional teams toward bold and measurable goals.
****Preferable Skills:****
* Well grounded in statistics and user intent modeling.
* Familiarity with privacy\-preserving personalization methods (e.g., on\-device inference, federated learning, differential privacy).
* Experience scaling personalization for international and multilingual user bases.
* Exposure to real\-time recommendation infrastructure and large\-scale embedding systems.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$136,125\.00 \- $283,750\.00/yr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7">
      <c r="A17" t="inlineStr">
        <is>
          <t>li-4330527991</t>
        </is>
      </c>
      <c r="B17" t="inlineStr">
        <is>
          <t>Product Manager</t>
        </is>
      </c>
      <c r="C17" t="inlineStr">
        <is>
          <t>Seat Cover Solutions</t>
        </is>
      </c>
      <c r="D17" t="inlineStr">
        <is>
          <t>linkedin</t>
        </is>
      </c>
      <c r="E17" t="inlineStr"/>
      <c r="F17" t="inlineStr"/>
      <c r="G17" t="inlineStr">
        <is>
          <t>Rogers, MN</t>
        </is>
      </c>
      <c r="H17" t="inlineStr"/>
      <c r="I17" t="inlineStr">
        <is>
          <t>Location: Rogers, MN (In\-Office Only)
 Job Type: Full\-Time
 Compensation: $90,000–$110,000 base salary \+ performance bonus opportunity
 Reports To: CEO
 About Seat Cover Solutions
 Seat Cover Solutions is a fast\-growing, direct\-to\-consumer automotive accessories brand with revenues of approximately $2M per month in sales and growing 70–80% year over year. Founded in 2023, we have quickly scaled into a national brand and are on a mission to build a $100M\+ business within the next five years.
 We are a young, high\-performance company that values ownership, speed, and continuous improvement. This is an in\-office role at our Rogers, MN headquarters and is best suited for candidates who thrive in fast\-paced, entrepreneurial environments.
 Role Overview
 We are hiring a Product Manager to take full ownership of our product line. This role is responsible for improving existing products, developing new products, and ensuring product quality and consistency across overseas factories.
 You will report directly to the CEO and work cross\-functionally with Operations, Marketing, Warehouse, and our contract factories. This role is designed to grow into a Head of Product position as the company scales.
 Key Responsibilities
* Own the product roadmap based on company vision and prioritization with guidance from the CEO
* Manage and maintain detailed tech packs for all SKUs, ensuring revision control on every production PO
* Lead product quality and QA standards across all contract factories
* Continuously improve existing products to achieve and maintain a 9\.5\+ Product NPS
* Develop and launch new products, including:
* Rear seat cover improvements
* Luxury floor mats
* Camo seat covers
* Promotional and free product offerings
* Other based on market demands and customer feedback
* Create and implement QA inspection processes in partnership with the operations team
* Ensure 1:1 product consistency across all factories
* Oversee packaging design and product presentation
* Maintain competitive analysis to assist in:
* Pricing decisions
* Market competitive positioning
* Drive SKU rationalization and product simplification initiatives (with CEO approval)
* Collaborate with Operations and Marketing on product\-related initiatives
* Travel domestically and internationally to factories and trade shows as needed
 Qualifications
 Required
* 3\+ years of product management experience
* 1\+ years working with physical products
* Experience working with overseas manufacturers or factories
* Strong organizational, communication, and problem\-solving skills
* Comfortable working in a fast\-paced, high\-accountability environment
 Preferred
* Textiles experience (strongly preferred)
* Automotive industry experience (bonus)
* Cut\-and\-sew manufacturing experience (bonus)
* D2C or Shopify brand experience (bonus)
* Experience managing high\-SKU product lines
 Who Will Succeed in This Role
* Action\-oriented and comfortable making decisions with imperfect information
* Detail\-focused with high standards for product quality
* Strong communicator who can work cross\-functionally with factories and internal teams
* Coachable, curious, and committed to continuous improvement
* Comfortable with ambiguity and rapid growth
* Willing to travel domestically and internationally
 Compensation \&amp; Growth
* Base salary: $90,000–$110,000, based on experience
* Performance\-based bonus opportunities
* Clear path to Senior Product Manager and Head of Product roles
* Opportunity to help build a $100M\+ consumer brand
 Work Location \&amp; Schedule
* In\-office role at our Rogers, MN headquarters
* Full\-time, Monday–Friday, some weekend work may be required with travel commitments, and other as necessary with a small, growing company
* Flexible start date for the right candidate</t>
        </is>
      </c>
    </row>
    <row r="18">
      <c r="A18" t="inlineStr">
        <is>
          <t>li-4278837872</t>
        </is>
      </c>
      <c r="B18" t="inlineStr">
        <is>
          <t>Principal Product Manager</t>
        </is>
      </c>
      <c r="C18" t="inlineStr">
        <is>
          <t>Curative AI, Inc.</t>
        </is>
      </c>
      <c r="D18" t="inlineStr">
        <is>
          <t>linkedin</t>
        </is>
      </c>
      <c r="E18" t="inlineStr"/>
      <c r="F18" t="inlineStr"/>
      <c r="G18" t="inlineStr">
        <is>
          <t>Bellevue, WA</t>
        </is>
      </c>
      <c r="H18" t="inlineStr"/>
      <c r="I18"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Principal Product Manager for our rapidly growing company. Our cutting\-edge AI platform and tools will transform healthcare management, leading with Revenue Cycle Management (RCM) solutions for streamlined documentation, faster claims processing, enhanced clinical decision support, and much more. As a key member of our AI product team, you will be responsible for defining product requirements, creating product roadmaps, managing product releases, and measuring product performance. You are humble, a dedicated team player, and excited for the road ahead. Come work with a CEO renowned in the AI field with a proven record of building high performing teams, fostering career growth, and creating a positive work culture. Let's make healthcare smarter together.
**Responsibilities**
* Lead end\-to\-end product lifecycle management for our SaaS AI\-powered healthcare solutions, with specific focus on RCM
* Conduct comprehensive market research and analyze healthcare provider pain points to identify high\-impact AI product opportunities and prioritize development
* Develop detailed product requirements, specifications, and user stories that balance technical feasibility with clinical and operational value
* Create and manage strategic product roadmaps with clear feature prioritization, timelines, and milestones aligned with business objectives
* Partner closely with engineering and data science teams to design, develop, and test AI products that deliver measurable improvements in healthcare operations
* Orchestrate seamless product releases with robust implementation strategies that drive rapid adoption and minimize disruption
* Establish KPIs and analytics frameworks to measure AI product performance, ROI, and clinical/operational impact
* Lead cross\-functional collaboration between engineering, design, clinical, compliance, marketing, and sales teams to ensure market fit and regulatory compliance
* Stay at the forefront of healthcare AI advancements, LLM capabilities, and RCM industry trends to guide innovation strategy
**Qualifications**
* You must currently be located in the Seattle Metro Region and able to work hybrid on\-site a minimum of three days at our Bellevue location
* 20\-25% travel will be required for this role
* Bachelor's or Master's degree in Computer Science, Engineering, related field, or equivalent experience
* 7\+ years of experience in product management, with a proven track record of success in developing and launching innovative products
* Deep expertise in artificial intelligence (AI) technologies and applications. Natural Language Processing (NLP) and/or Large Language Models (LLM) highly desired
* Strong understanding of machine learning and deep learning, particularly applications in healthcare data processing and analysis
* Demonstrated experience managing AI\-powered healthcare products from concept to market, with specific knowledge of RCM workflows and challenges
* Experience in defining and managing product roadmaps for complex platform solutions with multiple stakeholders
* Exceptional ability to translate technical AI capabilities into compelling healthcare value propositions and communicate effectively across technical, clinical, and business audiences
* 3\+ years of healthcare industry experience, with direct exposure to RCM solutions, medical coding, billing processes, and compliance requirements
* Public cloud experience (AWS, GCP, and/or Azure) with understanding of scalable architecture for healthcare AI applications
* Track record of successful collaboration with data science teams to implement and improve AI models in production environments
* Strong technical foundation—ideally from engineering or computer science backgrounds who are passionate about building scalable, AI\-native data systems in healthcare
**Compensation And Benefits**
* Base Salary Range: $185,000 \- $220,000 per year (commensurate with experience and qualifications)
* Target Annual Performance Bonus
* Equity Package: Generous equity participation in the company's future success
* Comprehensive benefits package including medical, dental, vision, Life and AD\&amp;D insurance.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19">
      <c r="A19" t="inlineStr">
        <is>
          <t>li-4360650640</t>
        </is>
      </c>
      <c r="B19" t="inlineStr">
        <is>
          <t>Group Product Manager, Uber Courier</t>
        </is>
      </c>
      <c r="C19" t="inlineStr">
        <is>
          <t>Uber</t>
        </is>
      </c>
      <c r="D19" t="inlineStr">
        <is>
          <t>linkedin</t>
        </is>
      </c>
      <c r="E19" t="inlineStr"/>
      <c r="F19" t="inlineStr"/>
      <c r="G19" t="inlineStr">
        <is>
          <t>New York, NY</t>
        </is>
      </c>
      <c r="H19" t="inlineStr"/>
      <c r="I19" t="inlineStr">
        <is>
          <t>**About The Role**
 As a Group Product Manager for Uber Courier, you will be responsible for the scaling the popular and fast\-growing C2C delivery product \-\- Uber Courier. This business was born in the pandemic and has found PMF around the globe. We've crossed the 0\-to\-1 chasm and we're looking for a rockstar product leader to grow it from 1\-to\-10\.
 This role encompasses rider and driver experience, pricing and matching optimization, and customer acquisition channels, both in\-app and out\-of\-app. This role requires someone with a founder mindset, who has past experience working on and scaling consumer products. Past management experience is a requirement. An understanding of marketplaces and pricing/matching optimization is a bonus.
**What The Candidate Will Do**
* Work with engineering, data science, design on prioritizing features and building high quality product
* Work with operations and regional teams to translate a global product into local operational contexts and nuances.
* Work with leadership on long term strategy and vision for Uber Courier.
* Constantly learn from our users about the use cases they care about and build expansion opportunities.
**Basic Qualifications**
* 8\+ years of product experience delivering successful and innovative products
* 4\+ years of experience managing PMs and building product organizations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Demonstrated a strong sense of ownership for business and product growth.
* A high bar across the board, from your own contributions to the people you work with, to the products you build
* A true passion for Uber's mission, our products, and the company's hybrid technology/operations nature
* A strong desire to grow and learn
**Preferred Qualifications**
* Founder background, either owning business lines inside larger companies or at startups
* Experience owning and leading strategy for lines of business
* Experience at a high\-growth company
* Entrepreneurial spirit, demonstrated through identifying and executing on opportunities in ambiguous problem spaces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0">
      <c r="A20" t="inlineStr">
        <is>
          <t>li-4320985708</t>
        </is>
      </c>
      <c r="B20" t="inlineStr">
        <is>
          <t>Product Manager</t>
        </is>
      </c>
      <c r="C20" t="inlineStr">
        <is>
          <t>The Hershey Company</t>
        </is>
      </c>
      <c r="D20" t="inlineStr">
        <is>
          <t>linkedin</t>
        </is>
      </c>
      <c r="E20" t="inlineStr"/>
      <c r="F20" t="inlineStr"/>
      <c r="G20" t="inlineStr">
        <is>
          <t>Dallas, TX</t>
        </is>
      </c>
      <c r="H20" t="inlineStr"/>
      <c r="I20" t="inlineStr">
        <is>
          <t>Job Location: Dallas, TX
 This position is hybrid located in our Frisco, TX office.
**ROLE OVERVIEW:**
 We are seeking a highly driven and visionary Product Manager to join our Supply Chain Procurement and Planning team. Reporting to the Senior Product Manager, this role will be instrumental in building innovative, data\-driven products that transform how we plan, procure, and optimize our supply chain operations. The ideal candidate is a strategic thinker with strong execution skills, capable of taking products from 0 to 1 with minimal oversight. You will work at the intersection of AI/ML, UX design, and supply chain domain expertise to deliver impactful solutions that drive business outcomes.
**ACCOUNTABILITIES:**
* End\-to\-End Product Ownership: Lead the full product lifecycle from ideation to launch, including discovery, roadmap development, and PRD creation. Deliver user\-centric goals that meet business goals
* AI/ML\-Driven Product Strategy: Collaborate with data science and engineering teams to integrate predictive models and intelligent automation to increase efficiency and enable smarter decision\-making
* UX Vision and Journey Mapping: Understand the business journey, define requirements, and translate requirements into UX prototypes to gain approval and drive adoption and satisfaction
* Cross\-Functional Collaboration: Partner with business, data science, and engineering to align product vision with business needs. Ensuring product relevance and stakeholder buy\-in throughout development
* Continuous Discovery and Optimization: Continuously reviewing product roadmaps and strategies to leveraging data insights to maintain product agility and responsiveness to evolving business challenges
**QUALIFICATIONS:**
* Supply Chain Expertise: Strong background in supply chain management with demonstrated ability to understand complex business processes and identify opportunities for process improvement via advanced analytics, predictive modeling, and data\-driven insights.
* AI/ML Aptitude: Proven ability to quickly master cutting\-edge analytical tools and the ability to understand appropriate use cases for machine learning, AI\-driven optimization, heuristic models, and predictive analytics applications in supply chain transformation.
* Data Analysis \&amp; Reporting: Proficiency in sophisticated value tracking methodologies, advanced reporting systems, and analytical processes required to measure and communicate the transformative business impact of next\-generation supply chain analytics and intelligent automation.
* Cross\-Functional Innovation: Experience driving analytical solutions across multiple business functions with diverse stakeholders.
* Application design \&amp; development: Experience working with developers to design business processes and manage the development and adoption of software tools.
* Strategic Value Creation: Strong analytical mindset with ability to translate problem statements into clear product requirements. Ability to prioritize against business needs
* Product Mindset: Proficiency in product discovery, journey mapping, user research, write clear, actionable PRDs.
* Agile Capability: Managing agile development cycles: sprint planning, sprint reviews, and managing the sprint against planned product roadmaps
**Experience \&amp; Education:**
**Education:** 
 Bachelor's degree in Engineering, Computer Science, Supply Chain Management, or a related field; MBA or advanced degree is a plus.
**Experience:** 
 Minimum of 5\-7 years of experience in manufacturing, supply chain, or digital transformation roles within the food and beverage or consumer packaged goods industries. Proven track record of launching products from 0 to 1 with minimal oversight. Experience working with cross\-functional teams including data science, engineering, and various business partners (from IC to VP).</t>
        </is>
      </c>
    </row>
    <row r="21">
      <c r="A21" t="inlineStr">
        <is>
          <t>li-4345165647</t>
        </is>
      </c>
      <c r="B21" t="inlineStr">
        <is>
          <t>Product Manager, Usage Based Billing</t>
        </is>
      </c>
      <c r="C21" t="inlineStr">
        <is>
          <t>Stripe</t>
        </is>
      </c>
      <c r="D21" t="inlineStr">
        <is>
          <t>linkedin</t>
        </is>
      </c>
      <c r="E21" t="inlineStr"/>
      <c r="F21" t="inlineStr"/>
      <c r="G21" t="inlineStr"/>
      <c r="H21" t="inlineStr"/>
      <c r="I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
      <c r="A22" t="inlineStr">
        <is>
          <t>li-4345216031</t>
        </is>
      </c>
      <c r="B22" t="inlineStr">
        <is>
          <t>Product Manager</t>
        </is>
      </c>
      <c r="C22" t="inlineStr">
        <is>
          <t>eSimplicity</t>
        </is>
      </c>
      <c r="D22" t="inlineStr">
        <is>
          <t>linkedin</t>
        </is>
      </c>
      <c r="E22" t="inlineStr"/>
      <c r="F22" t="inlineStr"/>
      <c r="G22" t="inlineStr">
        <is>
          <t>Columbia, MD</t>
        </is>
      </c>
      <c r="H22" t="inlineStr"/>
      <c r="I22"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**Responsibilities**
* Lead and mentor the team in SAFe Agile values, principles, and practices
* Define and prioritize the product backlog for CI/CD, security and infrastructure features. which defines product enhancements for short and long\-term releases
* Identify differences in understanding issues as they occur
* Collaborate with cross\-functional teams such as data engineering, support and external teams to ensure secure and scalable data pipelines, platforms and systems.
* Coordinate internal and external product releases including customer iteration, requirement development and comprehensive testing
* Utilize tools and reports, such as JIRA and Confluence, to collect, develop and analyze agile data and metrics while tracking and managing progress
* Align DevSecOps initiatives with business goals, HHS/CMS and other security and privacy compliance requirements, and data governance policies.
* Ensure CMS ARS controls such as encryption, access control, and secure data transmission are embedded in all stages.
* Oversee infrastructure\-as\-code (IaC) practices for provisioning secure cloud resources.
* Drive automation of security monitoring and alerting in CI/CD pipelines (e.g., vulnerability scanning, secrets detection).
* Ensure observability and logging are in place for audit and incident response.
**Requirements**
**Required Qualifications:**
*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 Bachelor's degree in information technology, Computer Science, Business Administration or related field/equivalent work experience.
* 4\-7 years of relevant experience in product management and end\-to\-end product delivery in the government or commercial healthcare industry.
* Excellent understanding of DevSecOps concepts and best practices as well as cloud security principles.
* Strong communication skills to translate technical risks into business impact for non\-technical stakeholders.
* Experience using JIRA, Confluence, Slack and other communication and delivery applications.
* Ability to work in a fast\-paced and time\-sensitive environment.
* Excellent oral and written communication skills.
* Experience in enterprise level, cross\-functional agile teams.
* Experience with software DevSecOps/DevOps pipeline processes and tools.
**Desired Qualifications**
* Certified PO/PM, or Leading SAFe certifications.
* Experience with government agencies, contractors, or public sector partners.
* Experience with vulnerability management, penetration testing, and risk assessments.
* Experience managing the integration of security scanning tools into CI/CD pipelines.
* Experience managing container security, working with AWS, Terraform, Github Actions.
**Working Environment:** 
 eSimplicity supports a
 **remote**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25%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$100,300 \- $137,000</t>
        </is>
      </c>
    </row>
    <row r="23">
      <c r="A23" t="inlineStr">
        <is>
          <t>li-4328305740</t>
        </is>
      </c>
      <c r="B23" t="inlineStr">
        <is>
          <t>Product Manager, Client Support</t>
        </is>
      </c>
      <c r="C23" t="inlineStr">
        <is>
          <t>Stitch Fix</t>
        </is>
      </c>
      <c r="D23" t="inlineStr">
        <is>
          <t>linkedin</t>
        </is>
      </c>
      <c r="E23" t="inlineStr"/>
      <c r="F23" t="inlineStr"/>
      <c r="G23" t="inlineStr"/>
      <c r="H23" t="inlineStr"/>
      <c r="I23" t="inlineStr">
        <is>
          <t>**About Stitch Fix, Inc.**
 Stitch Fix (NASDAQ: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Stitch Fix solves that problem. By pairing expert stylists with best\-in\-class AI and recommendation algorithms, the company leverages its assortment of exclusive and national brands to meet each client's individual tastes and needs, making it convenient for clients to express their personal style without having to spend hours in stores or sifting through endless choices online. Stitch Fix, which was founded in 2011, is headquartered in San Francisco.
**About The Team**
 The Client Experience Product team at Stitch Fix transforms the way people find what they love by combining human styling and state of the art algorithms. We enable agents to support clients through that experience. We build intuitive tools and intelligent systems that make support faster, easier, and more personal. You are the bridge between the Client Experience Product team and the Client Support team to deliver seamless experiences to the frontline.
**About The Role**
 We are seeking a highly motivated and data\-driven
 **Product Manager** 
 to own the vision, strategy, and execution for our core Client Support (CS) tools and channels. This role will transform the client support experience through exceptional internal tooling and cutting\-edge AI.
 You will be responsible for modernizing Stitch Fix’s best in class agent tooling to effectively serve our clients, while also optimizing the client\-facing contact channels to be faster, easier, and more scalable. You will infuse AI capabilities to create a truly frictionless client and agent experience, driving significant gains in resolution speed, client satisfaction, and operational excellence.
**You're Excited About This Opportunity Because You Will…**
* Own the Client Support Tooling Ecosystem: Define and drive the long\-term product strategy and roadmap for our agent platform, Kingmob, focusing on minimizing friction, increasing productivity, and empowering agents to resolve client issues efficiently.
* Optimize Client Contact Channels: Lead the product strategy for our customer\-facing contact surfaces, including help desk, messaging, and AI bot partners, focusing on deflection, automation, and channel integrity.
* Drive Strategic Outcomes: Translate complex operational and agent problems into clear, prioritized product requirements and measurable outcomes (OKRs) that directly impact operational excellence and client experience improvements.
* Discovery and Prioritization: Practice strong product discovery, leveraging quantitative data (contact metrics, usage analytics) and qualitative insights (agent feedback, user research) to identify the highest\-impact problems to solve.
* Cross\-Functional Readiness: Act as the primary liaison and partner between the CS Operations team and other Stitch Fix Product Managers. Ensure the CS organization is prepared with the necessary tools and information for all new external feature launches, acting as a crucial operational bridge.
* Execution Leadership: Partner closely with the Engineering team to guide the development process, write clear user stories, manage the backlog, and drive successful, on\-time product releases.
**We’re Excited About You Because You Have…**
* Experience: 5\+ years of Product Management experience, with a proven track record of owning and scaling internal tooling, third party SaaS platforms, or customer service technology (e.g., CRM, Help Desk, Bot platforms).
* Agent/Internal Tooling Expertise: Deep empathy for the agent experience and a strong understanding of how internal tools directly impact operational efficiency, labor costs, and downstream client outcomes.
* Data Fluency: Exceptional analytical skills, with the ability to interpret complex operational data (AHT, CSAT, Deflection Rate, Utilization) to define success metrics and inform prioritization decisions.
* Technical Acumen: Sufficient technical fluency to partner effectively with engineering teams, understand system architecture limitations, and manage complex integrations (e.g., APIs for contact center software, bot frameworks).
* Leadership \&amp; Communication: An exceptional communicator who can articulate a clear product vision, influence stakeholders at all levels (from agents to VPs), and manage competing priorities across a large, cross\-functional organization.
* Education: BA/BS degree or equivalent experience.
**Why you'll love working at Stitch Fix...**
* We are a group of bright, kind people who are motivated by challenge. We value integrity, innovation and trust. You’ll bring these characteristics to life in everything you do at Stitch Fix.
* We cultivate a community of diverse perspectives— all voices are heard and valued.
* We are an innovative company and leverage our strengths in fashion and tech to disrupt the future of retail.
* We win as a team, commit to our work, and celebrate grit together because we value strong relationships.
* We boldly create the future while keeping equity and sustainability at the center of all that we do.
* We are the owners of our work and are energized by solving problems through a growth mindset lens. We think broadly and creatively through every situation to create meaningful impact.
* We offer comprehensive compensation packages and inclusive health and wellness benefits.
**Compensation And Benefits**
 This role will receive a competitive salary, benefits, and equity. The salary for US\-based employees hired into this role will be aligned with the range below, which includes our three geographic areas. A variety of factors are considered when determining someone’s compensation–including a candidate’s professional background, experience, location, and performance. This position is eligible for an annual bonus, and new hire and ongoing grants of restricted stock units, depending on employee and company performance. In addition, the position is eligible for medical, dental, vision, and other benefits. Applicants should apply via our internal or external careers site.
 Salary Range
 $127,100—$212,000 USD
*This link leads to the machine readable files that are made available in response to the federal Transparency in Coverage Rule and includes negotiated service rates and out\-of\-network allowed amounts between health plans and healthcare providers. The machine\-readable files are formatted to allow researchers, regulators, and application developers to more easily access and analyze data.*
 Please review Stitch Fix's US Applicant Privacy Policy and Notice at Collection here: https://stitchfix.com/careers/workforce\-applicant\-privacy\-policy
**Recruiting Fraud Alert:**
 To all candidates: your personal information and online safety are top of mind for us. At Stitch Fix, recruiters only direct candidates to apply through our official career pages at https://www.stitchfix.com/careers/jobs or https://web.fountain.com/c/stitch\-fix.
 Recruiters will never request payments, ask for financial account information or sensitive information like social security numbers. If you are unsure if a message is from Stitch Fix, please email careers@stitchfix.com.
 You can read more about Recruiting Scam Awareness on our FAQ page here: https://support.stitchfix.com/hc/en\-us/articles/1500007169402\-Recruiting\-Scam\-Awareness</t>
        </is>
      </c>
    </row>
    <row r="24">
      <c r="A24" t="inlineStr">
        <is>
          <t>li-4305694003</t>
        </is>
      </c>
      <c r="B24" t="inlineStr">
        <is>
          <t>Product Manager</t>
        </is>
      </c>
      <c r="C24" t="inlineStr">
        <is>
          <t>Bixal</t>
        </is>
      </c>
      <c r="D24" t="inlineStr">
        <is>
          <t>linkedin</t>
        </is>
      </c>
      <c r="E24" t="inlineStr"/>
      <c r="F24" t="inlineStr"/>
      <c r="G24" t="inlineStr">
        <is>
          <t>Maryland, United States</t>
        </is>
      </c>
      <c r="H24" t="inlineStr"/>
      <c r="I24" t="inlineStr">
        <is>
          <t>**Important Notice For Applicants**
 At Bixal, we want to ensure a transparent and secure application process for all candidates. Official communication will come from an email address ending in @bixal.com or from talent@bixal.com. Messages from other sources may be fraudulent, and you should exercise care to avoid any links or attachments included.
 Bixal will ensure that individuals with disabilities are provided reasonable accommodation to participate in the job application or interview process, to perform essential job functions, and to receive other benefits and privileges of employment.
**Need Assistance or a Reasonable Accommodation?**
 If you need assistance or a reasonable accommodation to complete your application, we're here to help. Please reach out to us at talent@bixal.com and let us know how we can support you. You do not need to share personal details or disclose the nature of your request. You can expect a response from a team member within 24 hours during the regular work week and on the next operating day during the weekend or holidays.
 Why Bixal?
 Bixal is a consulting company headquartered in Fairfax, VA, working alongside governments and organizations to help them deliver better services and experiences to the communities they serve. Using evidence\-based knowledge and technology, Bixal empowers clients to deliver on their missions more effectively by fostering a culture of learning and continuous improvement.
**Our Values**
* People\-First: Emphasizing the importance of people in all aspects of work.
* Collaboration and Transparency: Valuing teamwork and open communication.
* Growth Mindset: Encouraging innovation and continuous improvement.
* Creating Lasting Impact: Focusing on meaningful outcomes and positive change.
**About The Role**
 We are seeking a Product Manager to lead the development, enhancement, and governance of digital products within the U.S. Department of State (DOS). This role focuses on the DOS data analytics environment, enterprise reporting systems, and AI/ML infrastructure supporting mission\-critical consular services globally. The ideal candidate is a strategic thinker with strong technical acumen and hands\-on experience managing product lifecycles in DevSecOps environments. The Product Manager will work closely with data scientists, platform engineers, AI/ML specialists, and government stakeholders to deliver secure, performant, and scalable data services and AI products that meet compliance standards (e.g., FISMA, Section 508, WCAG) and align with the Digital Services Playbook.
 This is a full\-time position contingent on contract award by our client, with a defined performance period of one year with two one\-year option periods. This role offers you a unique opportunity to make a meaningful impact on a project that aligns with Bixal’s mission of delivering innovative, human\-centered solutions. While the role has a fixed duration, we are committed to transparency and collaboration, keeping you informed about contract updates and new opportunities. At Bixal, we support your professional journey, ensuring your experience reflects our inclusive, purpose\-driven culture and prepares you for future success.
**Compensation**
 The salary range for this role is $115,000 – $125,000\. In the spirit of transparency, most offers tend to land near the midpoint of the range. We make compensation decisions thoughtfully, considering your experience, the skills you bring, and our commitment to internal equity. Fairness and transparency are core to how we operate.
**Responsibilities**
* Lead the implementation of the product vision, roadmap, and lifecycle for DOS\-managed digital products.
* Lead discovery and gap analysis efforts to assess toolsets, infrastructure, and data pipelines.
* Ensure alignment with Government digital strategies, AI governance frameworks, and enterprise architecture standards.
* Ensure the translation of the technical requirements into product features, stories, and backlog items in coordination with platform architects and engineers.
* Lead the deployment of secure, cloud\-native AI infrastructure optimized for high\-performance computing, scalability, and cost\-efficiency.
* Oversee the implementation of CI/CD pipelines for model lifecycle management and AI\-powered services.
* Ensure robust monitoring for AI/ML model drift, enforce retraining cycles, and integrate automated testing and deployment strategies.
* Collaborate on securing Authority to Operate (ATO) for all deployed solutions and ensure compliance with RBAC, data encryption, audit logging, and DevSecOps principles.
* Conduct weekly engagements with internal stakeholders, system owners, developers, and end users to gather feedback and manage expectations.
* Lead agile ceremonies (backlog refinement, sprint planning, demos) and ensure team adherence to agile and SAFe principles.
* Serve as the liaison between technical teams and government product owners to facilitate approvals, demos, and iterations.
* Partner with UX researchers and front\-end engineers to validate product decisions through usability testing, design artifacts, and A/B testing.
* Ensure all interfaces meet Section 508 and WCAG 2\.1 AA compliance standards for accessibility across platforms.
* Define and track OKRs and KPIs to evaluate product success, user adoption, and operational performance.
* Deliver reports and dashboards that communicate product health and business impact to government stakeholders.
* Manage and optimize the use of tools such as GitLab (CI/CD, issue tracking), JIRA, Confluence, and observability stacks (e.g., Prometheus, Grafana, Splunk).
* Evaluate and recommend open\-source and COTS tools as part of a modular tech stack strategy for analytics and AI.
* Other relevant duties as trained and qualified to perform.
**Qualifications**
* Bachelor’s degree in Computer Science, Information Systems, Engineering, or a related field.
* 5\+ years of technical product management experience, with at least 3 years managing data\-centric or AI/ML products.
* Proven experience managing full product lifecycle in cloud\-native (AWS, Azure, or GCP) DevSecOps environments.
* Familiarity with MLOps practices, data pipelines, automated testing frameworks, and secure API development.
* Strong understanding of compliance frameworks (FISMA, FedRAMP, Section 508, WCAG) and Agile delivery in federal government contexts.
* Excellent stakeholder engagement and communication skills, with a strong technical grounding.
* Experience working with the Department of State or the Department of Defense on data analytics or AI/ML efforts.
* Have an active Secret Facility Security Clearance.
**Nice To Have Skills And Experience**
* Experience with containerized infrastructure (Docker, Kubernetes), Infrastructure as Code (Terraform, Ansible), and logging/monitoring tools.
* Experience with AI/ML model governance, reproducibility, and explainability.
**How We Support Our Team**
* Flex hours
* 401K with matching incentive
* Parental Leave
* Medical/dental/vision benefits
* Flex Spending Account
* Company provided short\-term disability and life insurance
* Commuter benefits
* Paid Time Off (PTO)
* 11 Paid holidays
 Our company is committed to providing equal employment opportunities for all individuals and complies with all applicable federal, state, and local anti\-discrimination laws. Employment decisions are based on merit, qualifications, and business needs.
 We leverage technology, communications, data, and human\-centered design to help governments and leading organizations be more efficient, effective, and impactful.</t>
        </is>
      </c>
    </row>
    <row r="25">
      <c r="A25" t="inlineStr">
        <is>
          <t>li-4345252869</t>
        </is>
      </c>
      <c r="B25" t="inlineStr">
        <is>
          <t>Product Manager - AI</t>
        </is>
      </c>
      <c r="C25" t="inlineStr">
        <is>
          <t>Zelis</t>
        </is>
      </c>
      <c r="D25" t="inlineStr">
        <is>
          <t>linkedin</t>
        </is>
      </c>
      <c r="E25" t="inlineStr"/>
      <c r="F25" t="inlineStr"/>
      <c r="G25" t="inlineStr">
        <is>
          <t>New Jersey, United States</t>
        </is>
      </c>
      <c r="H25" t="inlineStr"/>
      <c r="I25"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26">
      <c r="A26" t="inlineStr">
        <is>
          <t>li-4345461653</t>
        </is>
      </c>
      <c r="B26" t="inlineStr">
        <is>
          <t>Principal Product Manager Data Platform</t>
        </is>
      </c>
      <c r="C26" t="inlineStr">
        <is>
          <t>Intuit</t>
        </is>
      </c>
      <c r="D26" t="inlineStr">
        <is>
          <t>linkedin</t>
        </is>
      </c>
      <c r="E26" t="inlineStr"/>
      <c r="F26" t="inlineStr"/>
      <c r="G26" t="inlineStr">
        <is>
          <t>Brooklyn, NY</t>
        </is>
      </c>
      <c r="H26" t="inlineStr"/>
      <c r="I26" t="inlineStr">
        <is>
          <t>**Overview**
 Intuit is a global technology platform that helps our customers and communities overcome their most important financial challenges. We help give over 50 million consumers, small business, and self\-employed customers around the world the opportunity to prosper.
 Our PDX DnA product management team is at the forefront of transforming Intuit into an AI\-driven expert platform.
 Our team is building the products, workflows, and methodologies that will be used to profoundly change the way we all manage our financial lives. To tackle this momentous initiative and achieve our ambitious goals, we are looking for a stellar Principal Product Manager.
 Our new Principal Product Manager will focus on evolving our Data Lake platform services to solve some of our biggest customer problems while strengthening security \&amp; compliance and providing our customers with delightful experiences.
**Responsibilities**
* Must have proven experience leading internal data platforms. Either in data processing, or data hosting, or data persistence, or data consumption (FGAC) or other internal data capability development.
* Deeply understand customer problems and needs leveraging follow\-me\-home research, usability studies, first\-hand interviews, customer feedback, experiments, and usage/adoption metrics.
* Demonstrate strong communication and leadership skills with engineering, architecture teams, and business stakeholders.
* Own your product. Set a clear vision, define your roadmap and share with cross functional teams
* Inspire and lead your team and others to execute and deliver your vision and solutions to solve customers’ biggest problems.
* Ruthlessly prioritize your team’s backlog to ensure your team is making maximum customer impact.
* Identify, design, experiment, and iterate on product capabilities leveraging customers/end users’ feedback, behavioral customer data, and market research.
* Define and analyze key success metrics to support and inform product decisions.
* Drive product development with cross\-functional teams to deliver high\-impact customer experiences quickly.
* Must be able to build AI Native data platforms and experiences.
**Qualifications**
 Qualifications
* 8\+ years in product management, designing and delivering world\-class products in a Product Management leadership role.
* Experience with building and leading high performing teams.
* Has a 'can do' attitude with an entrepreneurial mindset and is comfortable working in a fast\-paced, ambiguous environment.
* Demonstrable technical depth in software development \- i.e., reading code, architecture and design discussions with strong engagement with engineering and architecture teams. AI/ML expertise/experience a plus.
* Track record of working closely with customers, partners, listening and taking a customer\-focused approach to strategy and priorities \- passion for the customer
* Demonstrated success in taking a data driven approach and delivering impactful business results.
* Proven experience in defining big visions and inspiring teams to deliver new innovations and impactful products.
* Excellent collaboration skills \- leading execution across teams, influencing across organizations.
* Undergraduate degree required; focus in computer science or engineering preferrable; MBA is a plus; equivalent experience will be considered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$236,000\-319,000
 New York: $232,500\-314,500</t>
        </is>
      </c>
    </row>
    <row r="27">
      <c r="A27" t="inlineStr">
        <is>
          <t>li-4345482696</t>
        </is>
      </c>
      <c r="B27" t="inlineStr">
        <is>
          <t>Product Manager - AI</t>
        </is>
      </c>
      <c r="C27" t="inlineStr">
        <is>
          <t>Zelis</t>
        </is>
      </c>
      <c r="D27" t="inlineStr">
        <is>
          <t>linkedin</t>
        </is>
      </c>
      <c r="E27" t="inlineStr"/>
      <c r="F27" t="inlineStr"/>
      <c r="G27" t="inlineStr">
        <is>
          <t>Middlesex County, MA</t>
        </is>
      </c>
      <c r="H27" t="inlineStr"/>
      <c r="I2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28">
      <c r="A28" t="inlineStr">
        <is>
          <t>li-4359923172</t>
        </is>
      </c>
      <c r="B28" t="inlineStr">
        <is>
          <t>Product Manager</t>
        </is>
      </c>
      <c r="C28" t="inlineStr">
        <is>
          <t>Haystack</t>
        </is>
      </c>
      <c r="D28" t="inlineStr">
        <is>
          <t>linkedin</t>
        </is>
      </c>
      <c r="E28" t="inlineStr"/>
      <c r="F28" t="inlineStr"/>
      <c r="G28" t="inlineStr"/>
      <c r="H28" t="inlineStr"/>
      <c r="I28" t="inlineStr">
        <is>
          <t>**CPG Product Manager \| Irving, TX \| Hybrid**
 We're working with Goodwin Recruiting on this exciting opportunity.
 Join a thriving consumer products supplier and revolutionize their brand portfolio with innovative new products! This is your chance to lead the full CPG product lifecycle, delivering impactful strategies that drive market growth and optimize performance.
**The Role**
* Spearhead the end\-to\-end management of the CPG product lifecycle, from conception to launch and beyond.
* Conduct in\-depth market and trend research to inform strategic marketing plans and identify new opportunities.
* Seamlessly align with Sales, Customer Marketing, and eBusiness teams to achieve strategic priorities.
* Proactively drive product performance optimization to meet and exceed department P\&amp;L goals.
* Contribute to product roadmap development and execution, shaping the future of our brand portfolio.
**What You'll Need**
* Bachelor’s degree in a relevant field.
* 1\-5 years of hands\-on experience in product marketing, with a focus on consumer packaged goods.
* Proven experience managing the full product lifecycle within a fast\-paced environment.
* Strong analytical skills to uncover consumer insights and identify market potential effectively.
* Excellent communication and collaboration skills to thrive in a dynamic, team\-oriented setting.
**What's On Offer**
* Competitive salary package.
* Comprehensive health benefits and a 401k plan.
* Abundant opportunities for professional growth and development.
* A flexible and supportive work environment that values innovation.
**Apply via Haystack today!**</t>
        </is>
      </c>
    </row>
    <row r="29">
      <c r="A29" t="inlineStr">
        <is>
          <t>li-4345412779</t>
        </is>
      </c>
      <c r="B29" t="inlineStr">
        <is>
          <t>Product Manager - AI</t>
        </is>
      </c>
      <c r="C29" t="inlineStr">
        <is>
          <t>Zelis</t>
        </is>
      </c>
      <c r="D29" t="inlineStr">
        <is>
          <t>linkedin</t>
        </is>
      </c>
      <c r="E29" t="inlineStr"/>
      <c r="F29" t="inlineStr"/>
      <c r="G29" t="inlineStr">
        <is>
          <t>Boston, MA</t>
        </is>
      </c>
      <c r="H29" t="inlineStr"/>
      <c r="I29"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30">
      <c r="A30" t="inlineStr">
        <is>
          <t>li-4283948221</t>
        </is>
      </c>
      <c r="B30" t="inlineStr">
        <is>
          <t>Product Manager, Usage Based Billing</t>
        </is>
      </c>
      <c r="C30" t="inlineStr">
        <is>
          <t>Stripe</t>
        </is>
      </c>
      <c r="D30" t="inlineStr">
        <is>
          <t>linkedin</t>
        </is>
      </c>
      <c r="E30" t="inlineStr"/>
      <c r="F30" t="inlineStr"/>
      <c r="G30" t="inlineStr">
        <is>
          <t>San Francisco, CA</t>
        </is>
      </c>
      <c r="H30" t="inlineStr"/>
      <c r="I3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1">
      <c r="A31" t="inlineStr">
        <is>
          <t>li-4345181894</t>
        </is>
      </c>
      <c r="B31" t="inlineStr">
        <is>
          <t>Group Product Manager, Intuit AI Platform</t>
        </is>
      </c>
      <c r="C31" t="inlineStr">
        <is>
          <t>Intuit</t>
        </is>
      </c>
      <c r="D31" t="inlineStr">
        <is>
          <t>linkedin</t>
        </is>
      </c>
      <c r="E31" t="inlineStr"/>
      <c r="F31" t="inlineStr"/>
      <c r="G31" t="inlineStr">
        <is>
          <t>San Diego, CA</t>
        </is>
      </c>
      <c r="H31" t="inlineStr"/>
      <c r="I31" t="inlineStr">
        <is>
          <t>**Overview**
 Come join the PDX Product Team as a Head of AI Platform Product Management at Intuit. The AI Platform team in PDX is responsible for providing development teams (including data scientists, ML engineers, data analysts, software engineers, and product managers) across Intuit the means to build, train, deploy, experiment and innovate with AI and Generative AI technologies, delivering high impact AI native product experiences and and features that delight our customers and transform the industry.
 We are looking for a highly technical product management leader to shape the future of AI Platform capabilities that democratize AI development for classically trained AI experts and virtually every development team across Intuit. You will play a crucial role in accelerating access to the latest AI and Generative AI technologies for our development teams, ensuring the optimal balance of AI development velocity and quality. You will work with organizations across Intuit to understand their use cases, developer persona, and drive the transformation of AI native product development from not only product (developer tooling), but also people and process perspectives.
 In this role, you will lead a team of seasoned AI Platform product managers, covering the end to end AI model and AI application development lifecycle, including front\-end development interface, MLOPs, ML Observability, and various back\-end capabilities.
**Responsibilities**
* Define the vision, strategy, roadmap, objective, key results and success metrics for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 Represent Intuit in engagement with AI Platform industry leaders, bringing in the latest AI breakthroughs that are suitable to be adopted by Intuit.
* Hire and develop the AI Platform product management team.
**Qualifications**
* 12\+ years of product management or equivalent experience (e.g. Data
* Scientist Manager, Engineer Manager) for technical platform products in a fast
* paced, rapidly evolving environment, with 5\+ years in people management roles.
* Extensive experience working and innovating on a centralized AI/ML Platform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$237,500\- 321,500
 Southern California: $242,057\- 290,000</t>
        </is>
      </c>
    </row>
    <row r="32">
      <c r="A32" t="inlineStr">
        <is>
          <t>li-4334804662</t>
        </is>
      </c>
      <c r="B32" t="inlineStr">
        <is>
          <t>Product Owner</t>
        </is>
      </c>
      <c r="C32" t="inlineStr">
        <is>
          <t>General Dynamics Information Technology</t>
        </is>
      </c>
      <c r="D32" t="inlineStr">
        <is>
          <t>linkedin</t>
        </is>
      </c>
      <c r="E32" t="inlineStr"/>
      <c r="F32" t="inlineStr"/>
      <c r="G32" t="inlineStr"/>
      <c r="H32" t="inlineStr"/>
      <c r="I32" t="inlineStr">
        <is>
          <t>****Job Description:****
**Type of Requisition:**
 Pipeline
****Clearance Level Must Currently Possess:****
 None
****Clearance Level Must Be Able To Obtain:****
 None
**Other**
**Public Trust/Other Required:**
****Job Family:****
 Software Engineering
****Skills:****
**Job Qualifications:**
 Agile User Experience, Product Ownership, SAFe
****Certifications:****
 SAFe Product Owner/Product Manager (POPM) \| Scaled Agile \- Scaled Agile
****Experience:****
 10 \+ years of related experience
****US Citizenship Required:****
 No
****Job Description:****
 The Product Owner (PO) supports the Case Management Modernization (CMM) Program for the Administrative Office of the U.S. Courts (AO) by defining and managing the product vision, roadmap, and feature backlog for enterprise modernization. Working closely with the Release Train Engineer (RTE), Agile teams, and federal stakeholders, the PO ensures that business priorities are translated into actionable requirements that deliver measurable value. This role bridges strategy and execution—balancing modernization goals, compliance requirements, and user experience outcomes in an Agile and SAFe\-aligned environment leveraging React, NodeJS, and AWS technologies.
****Key Responsibilities:****
* Develop, refine, and communicate the product vision and roadmap to align with the CMM modernization objectives and stakeholder priorities.
* Own and manage the program and team backlogs, defining epics, features, and user stories with clear acceptance criteria.
* Collaborate with stakeholders and the RTE to plan Program Increments (PIs) and align feature delivery to business outcomes.
* Serve as the voice of the customer, representing end\-user needs and federal business requirements in backlog prioritization.
* Work closely with Scrum Masters, UI/UX teams, and developers to ensure feature intent is clearly understood and implemented.
* Define Minimum Viable Product (MVP) scopes and manage incremental delivery to ensure rapid value realization.
* Participate in system demos and inspect deliverables to validate alignment with program objectives and quality standards.
* Ensure traceability between requirements, design, development, and testing, in compliance with federal documentation mandates.
* Use metrics\-driven insights (velocity, feature cycle time, story completion rate) to inform backlog adjustments and performance improvements.
* Support Agile governance and ensure all artifacts meet program documentation and audit standards.
****Deliverable Alignment \&amp; Performance Outcomes:****
* Program Backlogs \&amp; PI Objectives: Well\-defined features, acceptance criteria, and prioritization aligned to business outcomes.
* Agile Artifacts: User stories, epics, and sprint goals reflecting modernization and compliance objectives.
* Product Roadmaps: Visualized delivery plans updated per PI cycle, aligned with strategic modernization milestones.
* Stakeholder Reports \&amp; Demos: Progress summaries, value delivery metrics, and feature validation results.
* Performance Outcomes:
* ≥95% of features aligned with stakeholder\-approved priorities per PI.
* ≤10% variance between planned and delivered story points across sprints.
* Measurable improvement in customer satisfaction or usability metrics per release.
* 100% traceability of product requirements through testing and delivery.
****Required Skills \&amp; Experience:****
* 10\+ years of professional experience in IT program delivery, including 5\+ years in Product Management or Product Ownership.
* Strong understanding of SAFe, Agile, and Lean product delivery frameworks.
* Demonstrated experience managing large\-scale backlogs and multiple Agile teams in a federal or enterprise environment.
* Ability to define business requirements, create user stories, and prioritize work for multi\-disciplinary development teams.
* Proficient in Agile lifecycle tools (Jira, Azure DevOps, Rally, Jira Align) for backlog management and reporting.
* Knowledge of DevSecOps, cloud\-native development, and modern application architectures (React, NodeJS, AWS).
* Excellent communication and stakeholder management skills, with experience engaging executive sponsors and end users.
* Bachelor’s degree in Information Systems, Computer Science, Business, or related field (Master’s preferred).
* Experience managing federal digital modernization projects or case management systems.
* Familiarity with Human\-Centered Design (HCD) and Agile UX collaboration methods.
* Understanding of FedRAMP, NIST, and Section 508 compliance requirements.
* Experience balancing product ownership and delivery responsibilities within a SAFe Agile Release Train.
****Certifications:****
* SAFe Product Owner / Product Manager (POPM) – preferred.
* Certified Scrum Product Owner (CSPO) – preferred.
* PMP, PMI\-ACP, or Lean Portfolio Management (LPM) – beneficial.
* AWS Cloud Practitioner certification – a plus.
****Tools \&amp; Technologies:****
* Jira, Azure DevOps, Rally, Confluence, Miro.
* Collaboration tools: MS Teams, SharePoint, Lucidchart.
* Reporting: Power BI, Tableau, or Jira dashboards.
****QUALIFICATIONS:****
* 10\+ years of general experience in information systems
* 8\+ years of specialized experience
* Minimum Education: MA/MS
* Experience may be considered in lieu of degree as follows: HS (16\+ years), AA/AS (14\+ years), BA/BS (12\+ years), Doctorate Degree/Ph.D. (9\+ years)
**COMMUNICATION \&amp; ORGANIZATIONAL**
* Excellent presentation and communication (oral and written) skills.
* Consultant mindset with the ability to work with high level customer stakeholders and build excellent customer relationship.
* Experience identifying and applying industry tools, solutions, methods best practices, and emerging technologies.
* Strong analytical skills and problem\-solving skills with the ability to formulate and communicate recommendations for improvement.
* Demonstrated ability to work effectively, independently, and as part of a team.
 The likely salary range for this position is $147,292 \- $199,278\.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33">
      <c r="A33" t="inlineStr">
        <is>
          <t>li-4328231281</t>
        </is>
      </c>
      <c r="B33" t="inlineStr">
        <is>
          <t>Product Manager</t>
        </is>
      </c>
      <c r="C33" t="inlineStr">
        <is>
          <t>Visa</t>
        </is>
      </c>
      <c r="D33" t="inlineStr">
        <is>
          <t>linkedin</t>
        </is>
      </c>
      <c r="E33" t="inlineStr"/>
      <c r="F33" t="inlineStr"/>
      <c r="G33" t="inlineStr">
        <is>
          <t>Austin, TX</t>
        </is>
      </c>
      <c r="H33" t="inlineStr"/>
      <c r="I3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Description
 The Artificial Intelligence and Machine Learning (AI/ML) Products \&amp; Platforms team is creating the next generation of scalable AI/ML, Data Innovations and products to solve client and consumer problems. This is a cross\-functional team of AI \&amp; data scientists, AI/ML engineers, data engineers, product managers, and program managers focused on generating value for the payment’s ecosystem.
 Visa’s AI/ML models and products are an essential part of the world’s economy, as they play a key role in preventing fraud across the payment’s ecosystem, and generate high value to clients and consumers, all within milliseconds. Our AI/ML solutions generate hundreds of millions of dollars in revenue for Visa and protect billions of dollars of payments transactions.
 You will build and enhance the AI/ML platform's core capabilities on prem and on cloud with focus on accelerating these capabilities and development of Visa's strategic flagship AI models for new revenue and payment ecosystem protection.
 This role involves understanding the needs of data scientists and translating them into an efficient, robust platform that enables the building, testing, and deploying of models and features.
 Essential Functions:
* Drive product requirement, roadmap planning, execution for new capabilities for the AIML Platform. Drive the model products onboarding and launched on the platform for various key use cases for Visa.
* Partner with technology closely to execute on AI/ML capabilities and technologies that drive product delivery of high\-profile Visa AI products that form the strategic pillars of Visa.
* Ensure product requirements are designed with scalability and long\-term vision in mind.
* Conceptualize, develop and launch new products \&amp; experiences at the intersection of payments and technology in the AI space.
* Brainstorm with internal and external teams to develop ideas and potential solutions for co\-creation by hand on building proof of concepts.
* Work closely with internal and external product and partner teams to ensure alignment on goals/scope, plan critical path and operational risks, and ensure transparent communication.
* Synthesize requirements into a common set of platforms and services capabilities, writing very clear, thorough and detailed user stories for complex features and products and building demos.
* Liaise with other data science, product leaders, engineering and other applicable groups to ensure flawless execution. Provide status, action plans and recommendations to senior leadership on an ongoing basis.
 Primary Responsibilities:
* Requirements Gathering: Work closely with data scientists, engineers, and other stakeholders to understand their needs and translate them into product requirements.
* Product Requirements:  Develop detailed product requirements for platform capabilities and models to be deployed on the AI platform. This includes working closely with the engineering team to ensure the product is built to specification and meets the needs of our users.
* User Advocacy: Advocate for the needs of our users (data scientists) throughout the product development process.
* Acceptance: Actively lead the product acceptance with clear criteria defined which meets the product and end user needs. Ensure the final product meets user needs and enhances their ability to build, test, and deploy AI models.
* Product planning and execution: Execute on the product roadmaps for platform development and ownership to launch of the key models on the platform.
* Stakeholder Communication: Regularly communicate with stakeholders across the organization, including senior leadership, to keep them informed of the product's progress and gather their input.
 Strategic and Functional Excellence:
* Strong interpersonal, leadership, verbal, and written communication skills to effectively partner, influence, and instill confidence with stakeholders across all functional teams.
* Strong technical, analytical, troubleshooting, and problem\-solving skills.
* Flexible and creative thinker with the ability to define business tradeoffs.
* Strong quantitative skills with a data first mindset. Ability to use data and metrics to back up assumptions, recommendations, and drive actions.
* A proven track record of success in fast\-paced environments with demanding timelines is required.
* Strong problem solver, with strong knowledge of industry standard AI and ML technologies with expertise to drive technology related and architecture discussions.
* Market Analysis: Stay up to date with the latest trends and advancements in AI/ML and feature engineering. Use this knowledge to keep our product competitive and innovative.
 This is a hybrid position. Expectation of days in the office will be confirmed by your Hiring Manager.
 Relocation assistance is not provided for this role.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2\+ years’ experience in developing and delivering Artificial Intelligence solutions at enterprise or organizational level to solve customer or business problems.
 2 \+ years’ of hands\-on experience on building AI models and across the Model development lifecycle on cloud and on prem
 4 years of experience in product management, with demonstrated ability to launch and manage new product releases being part of a matrixed organization in a highly technical
 Strong technical acumen on AI platforms, models, public cloud deployments with the ability to build Proof of concepts and demo technical platform capabilities.
 Understand of technical concept of data processing at scale on prem and cloud.
 Experience in and/or significant exposure to the payments industry specifically within new applications for Artificial Intelligence and Machine Learning, Data Science.
 and evolving AI/ML space.
 Proficiency with software development methodologies such as Agile and experience working with Scrum teams and matrixed organizations.
**Additional Information**
**Work Authorization:**
 Permanent Authorization to work in the U.S. is a precondition of employment for this position. Visa will not sponsor applicants for work visas in connection with this position.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190,650\.00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4">
      <c r="A34" t="inlineStr">
        <is>
          <t>li-4321124289</t>
        </is>
      </c>
      <c r="B34" t="inlineStr">
        <is>
          <t>Senior Product Manager - Digital Commerce Platform</t>
        </is>
      </c>
      <c r="C34" t="inlineStr">
        <is>
          <t>Dutchie</t>
        </is>
      </c>
      <c r="D34" t="inlineStr">
        <is>
          <t>linkedin</t>
        </is>
      </c>
      <c r="E34" t="inlineStr"/>
      <c r="F34" t="inlineStr"/>
      <c r="G34" t="inlineStr"/>
      <c r="H34" t="inlineStr"/>
      <c r="I34" t="inlineStr">
        <is>
          <t>**About Dutchie**
 Founded in 2017, Dutchie is a comprehensive technology platform powering dispensary operations, while providing consumers with safe and easy access to cannabis. Dutchie aims to further support the positive societal change the cannabis industry brings to the world through wellness benefits, social justice, and empowering local communities through tax revenue. Powering thousands of dispensaries across 40\+ markets throughout the United States and Canada, Dutchie is the leading technology company in the cannabis space and was named in Fast Company’s 10 Most Innovative Companies in North America and listed two years in a row on LinkedIn’s Top 50 Startups.
 Dutchie has raised over $600M in funding to date, backed by D1 Capital Partners, Tiger Global, Dragoneer, DFJ Growth, Thrive Capital, Howard Schultz, Snoop Dogg’s Casa Verde Capital, Gron Ventures, members of the founding team at DoorDash, Kevin Durant’s Thirty Five Ventures, and other notable angel investors.
**About This Job**
 As the Senior Product Manager for our Digital Commerce Platform, you will lead the evolution of our core digital storefront and specialized consumer\-facing channels. This is a high\-impact role within our Digital Shopping team, which oversees the shopping experience across all digital channels (e\-commerce, mobile, and kiosk), digital payments, and loyalty solutions.
 This leader must possess a deep, technical understanding of the core technologies that power modern e\-commerce. Your mandate is to lead the product's evolution by strategically leveraging cutting\-edge technology to build a highly flexible and performing shopping platform. Crucially, you will balance this technical innovation with an exceptional user experience, ensuring that every product delivered is beautiful, intuitive, and sets a new bar for digital shopping.
* Define the Consumer E\-commerce Standard: Own the vision for the holistic consumer\-facing e\-commerce technology, ensuring customers can build best\-in\-class shopping experiences across all ordering channels.
* Enable E\-commerce Flexibility \&amp; Customization: Transform the core web product into a composable, highly flexible platform that allows B2B clients (dispensaries) to customize the appearance, merchandising, and content of their digital storefronts without engineering support.
* Optimize Kiosk Shopping Experience: Define and deliver a best\-in\-class Kiosk product that is reliable, intuitive, and highly effective for in\-store ordering, driving both efficiency and revenue for our partners.
* Elevate the Branded Mobile App: Own the strategy and roadmap for the customer\-facing Branded Mobile App, ensuring it offers a personalized, sticky, and high\-performance shopping channel that maximizes retention.
* Establish Technical Excellence: Ensure the foundational e\-commerce platform incorporates modern technical best practices, including best\-in\-class SEO, web performance, and reliable web hosting architecture.
* Up\-Level Product Team Expertise: Actively mentor and share deep technical and design expertise across the Digital Shopping Product Team, establishing best practices in UX/visual design, web technology, and B2B product development.
**What You'll Do...**
* Drive Platform Modernization: Lead the product vision to decouple and modularize the e\-commerce front\-end, enabling dynamic customization capabilities for our B2B customers.
* Channel Ownership: Act as the single\-threaded owner for E\-commerce Customization, Kiosk, and the Branded Mobile App, defining KPIs, roadmaps, and feature priorities for all three areas.
* Technical Strategy: Partner deeply with engineering on technical decisions related to web architecture, data integration (e.g., CRMs), SEO implementation, and scalability, translating complex technical concepts into business outcomes.
* Design and UX Leadership: Collaborate intensely with design teams to ensure a consistent, beautiful, and highly intuitive user experience across all digital channels (web, mobile, kiosk).
* Consumer Insight \&amp; Validation: Design and execute a continuous loop of user research, A/B testing, and direct user feedback mechanisms to validate hypotheses and rapidly optimize shopping flows for conversion and usability.
**What You Bring...**
* 5\+ years of progressive experience in product management, with a proven history of owning and evolving multi\-channel digital products (web, mobile, kiosk/in\-store tech).
* B2B Software Experience (Mandatory): Significant experience building products that serve business customers, with an understanding of configuration, user roles, and enablement tools.
* Technical Depth: Strong working knowledge of web technologies and key strategic areas like SEO, web hosting infrastructure, and the role of a CMS in personalization and data flow.
* User Experience \&amp; Visual Design Expertise: A very strong background in user experience (UX) principles and a demonstrated ability to collaborate effectively with visual design teams to deliver polished, high\-fidelity products.
* Experience with QA and Testing: Demonstrated experience guiding Quality Assurance (QA) practices, defining acceptance criteria, and managing functional and non\-functional testing cycles to ensure high product reliability and performance.
* Channel Strategy: Experience delivering and managing products across web (desktop/mobile web) and native mobile (iOS/Android) environments.
* Excellent cross\-functional collaboration skills, with the ability to manage complex dependencies between product, engineering, and design to deliver holistic experiences.
**You’ll Get…**
 We are targeting a starting salary of $149,000 \- $201,000 based on the intended level for this role.
 In addition to cash compensation, our total rewards package includes:
* Full medical benefits including dental and vision plans to ensure you always have the best care.
* Equity packages in the form of stock options to all employees.
* Technology (hardware, software, reading materials, etc..) allowance
* Flexible vacation and sick days
 At Dutchie, we’re committed to providing an environment of mutual respect where equal employment opportunities are available to all applicants and teammates without regard to race, color, religion, sex, sexual orientation, gender identity or expression, pregnancy, age, national origin, disability status, genetic information, protected veteran status, or any other characteristic protected by law. Dutchie believes that diversity and inclusion among our teammates is critical to our success, and we seek to recruit, develop and retain the most talented people from a diverse candidate pool.</t>
        </is>
      </c>
    </row>
    <row r="35">
      <c r="A35" t="inlineStr">
        <is>
          <t>li-4345251881</t>
        </is>
      </c>
      <c r="B35" t="inlineStr">
        <is>
          <t>Principal Product Manager - Stablecoin</t>
        </is>
      </c>
      <c r="C35" t="inlineStr">
        <is>
          <t>Intuit</t>
        </is>
      </c>
      <c r="D35" t="inlineStr">
        <is>
          <t>linkedin</t>
        </is>
      </c>
      <c r="E35" t="inlineStr"/>
      <c r="F35" t="inlineStr"/>
      <c r="G35" t="inlineStr">
        <is>
          <t>Mountain View, CA</t>
        </is>
      </c>
      <c r="H35" t="inlineStr"/>
      <c r="I35" t="inlineStr">
        <is>
          <t>**Overview**
 Intuit’s Fintech Platform team is building the future of money movement for millions of consumers and small businesses. We already process hundreds of billions of dollars in transactions across Quickbooks, Mailchimp, TurboTax and Credit Karma.
 We are seeking a passionate and experienced Principal Product Manager to join our team. This role is critical in shaping the future of Intuit’s global financial services offerings and requires a strategic thinker who can drive our forward thinking on how crypto and stablecoins can bring prosperity to our customers. You’ll need to define and execute the integration of programmable money into both existing roadmaps, and help our platform think about new bets.
**You Will Bring**
 Passion for the future \- A genuine enthusiasm for stablecoin and blockchain technologies, with a solid understanding of stablecoins and their real\-world impact on the future of global financial services.
 Endless curiosity \- A deep understanding of the future of commerce and how stablecoins fits into commerce with wallets, agentic commerce, and money movement.
 Customer oriented \- Ensure the needs and feedback of users are central to product development, creating user\-friendly and accessible products.
 Platform Mindset \- Developing durable and reusable capabilities that solve near term objectives while also building for the future. Ensure compatibility with our existing money movement capabilities.
 Experience in Product Management \- Proven track record in product management with a history of launching successful products that meet high\-quality standards and find product market fit.
 Attention to Detail \- Exceptional attention to detail, with the ability to manage multiple priorities and deadlines.
 Fast Execution \- Demonstrated capability to ship high\-quality products quickly in a fast\-paced environment.
 Communication Skills \- Strong verbal and written communication skills to clearly articulate product vision and strategy to stakeholders.
**Responsibilities**
 Develop and Execute Product Strategy \- Lead the development and execution of our stablecoin product roadmaps, ensuring alignment with the company's overall vision and customer needs.
 Cross\-Functional Leadership \- Collaborate closely with other product teams, engineering, design, marketing, legal, compliance and other teams to ensure seamless execution and high\-impact delivery.
 Market Analysis \- Conduct market research and competitive analysis to identify customer needs and emerging trends in the crypto space.
 Innovation and Product Development \- Drive innovation by identifying new opportunities and developing features that account for changes in customer behavior, from adoption of wallets, to agentic commerce.
 Performance Metrics \- Set and analyze key performance indicators to ensure product success and iterate based on user feedback and data\-driven insights.
**Qualifications**
 8\+ years of experience in platform product management. Deep experience in crypto, blockchain, stablecoins or wallets are a must.
 Ability to speak the language of many different stakeholders – move effortlessly from technical solutions to compliance and legal.
 Experience aligning a broad set of stakeholders via strong written and verbal communication skills.
 Ability to thrive with significant autonomy and responsibility in a matrixed environment.
 Degree in a technical field. Masters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$236,000 to $319,000</t>
        </is>
      </c>
    </row>
    <row r="36">
      <c r="A36" t="inlineStr">
        <is>
          <t>li-4345544313</t>
        </is>
      </c>
      <c r="B36" t="inlineStr">
        <is>
          <t>Product Manager, Business AI</t>
        </is>
      </c>
      <c r="C36" t="inlineStr">
        <is>
          <t>Meta</t>
        </is>
      </c>
      <c r="D36" t="inlineStr">
        <is>
          <t>linkedin</t>
        </is>
      </c>
      <c r="E36" t="inlineStr"/>
      <c r="F36" t="inlineStr"/>
      <c r="G36" t="inlineStr">
        <is>
          <t>New York, NY</t>
        </is>
      </c>
      <c r="H36" t="inlineStr"/>
      <c r="I36" t="inlineStr">
        <is>
          <t>Join us in revolutionizing interactions for over 200\+ million businesses using Meta's platform through Business AI Agents. These agents operate across Meta platforms like WhatsApp, Messenger, Facebook/Instagram ads, and on third\-party platforms such as business websites. Messaging is a starting point for millions of businesses, as there are over a billion active threads every day between people and businesses across our messaging platforms.We are looking for a Product Manager to work on our Facebook Messenger product area, bringing Business AI to millions of businesses. This is an opportunity to make AI simple, accessible, and valuable for businesses using Messenger. In this high\-impact position, you'll make a real difference by streamlining how businesses discover, understand, and achieve results with our Business AI solutions.
 Product Manager, Business AI Responsibilities:
* Improve adoption and retention of Business AI experiences on Facebook Messenger
* Understand Meta’s strategic positioning and deliver products that are aligned with our mission and drive value for the 200M businesses that rely on Meta each day
* Incorporate data, research, and market analysis to inform product strategies and roadmaps
* Drive product development with teams of Industry\-leading engineers and designers, while maintaining team health
* Work closely with cross\-functional teams to drive product strategy, define product requirements, coordinate resources from other groups (design, legal, GTM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Minimum Qualifications:
* 8 \+ years product management or related industry experience with domain\-specific experience leading AI messaging products
* Bachelor's degree (or relevant degree equivalent): STEM subject ideal but not essential (Computer Science, Engineering, Information Systems, Analytics, Mathematics, Physics, Applied Sciences)
* Can navigate ambiguity of 0 to 1 and manage the time\-critical demands of a high\-priority workstream
* Experience using AI to build software products and building AI and agents in production
* Customer\-centric product and design intuition
* Can navigate through the full product life\-cycle, integrating customer feedback into product requirements, driving prioritization, and pre/post\-launch execution
* Critical thinking/analytical leadership experience
 Preferred Qualifications:
* Experience with Business\-to\-Business (B2B) customer\-focused development a plus
* Experience with Generative AI, Natural Language Processing (NLP), search, or machine learning
* Experience building for Business\-to\-Business (B2B) enterprise customers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7">
      <c r="A37" t="inlineStr">
        <is>
          <t>li-4345520357</t>
        </is>
      </c>
      <c r="B37" t="inlineStr">
        <is>
          <t>Product Manager - AI</t>
        </is>
      </c>
      <c r="C37" t="inlineStr">
        <is>
          <t>Zelis</t>
        </is>
      </c>
      <c r="D37" t="inlineStr">
        <is>
          <t>linkedin</t>
        </is>
      </c>
      <c r="E37" t="inlineStr"/>
      <c r="F37" t="inlineStr"/>
      <c r="G37" t="inlineStr">
        <is>
          <t>Jackson County, MO</t>
        </is>
      </c>
      <c r="H37" t="inlineStr"/>
      <c r="I3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**PRODUCT MANAGER, AI**
**Remote**
 Our enterprise Data and Technology team at Zelis is seeking a driven and analytical AI Product Manager to join our technical product team. As an AI Product Manager, you will be responsible for the product lifecycle of new AI solutions and use cases in close collaboration with data science and engineering leads through definition of business requirements, coordination with various technical and non\-technical teams, and facilitation of a robust pipeline for the application of AI. Together with other product managers, you’ll be responsible for delivering on our product roadmap to support the current and future needs of the business.
 We are looking for someone passionate about data, AI, and analytics with strong product management experience to join our growing technical product team.
**Responsibilities**
* Become an expert in your product areas, acting as the go to person for other stakeholders before speaking to the technical data science and software engineering teams
* Collaborate with software engineers, data engineers, data scientists and other product teams to scope new or refine existing AI solutions that increase business value, adoption, and user engagement
* Lead discussions with BU stakeholders to identify business process and underlying needs. Draft clear and concise business requirements and technical product documentation
* Interface with internal to Zelis engineering and product teams to manage the intake process for new requests
* Understand how your product areas link into the wider roadmap and be able to highlight both dependencies and opportunities for growth
* Define key performance indicators to evaluate product
* Be the voice of the customer in technical discussions and facilitate the relationship between the application teams and technical data teams for your product areas
* Work with cross\-functional teams and various stakeholders, including engineering, architecture, operations, product, marketing, partnerships, and customer success
* Collaborate with technical product analysts to support engineering teams through the delivery lifecycle
* Understand the implications of AI products to the healthcare industry, and be able to tell the story of how an individual receiving care maps to the problem you are solving.
**Experience**
* 3\+ years of technical product management with demonstrated ability to define product scope and deliver alongside technical teams
* Strong understanding of and experience with Data Science, ML, GenAI, and Data Analytics concepts and other data/product tools such as SQL, Python, R, Spark, AWS, Azure, and Snowflake
* An ability to listen to diverse audiences, identify requirements, gaps and barriers, and translate needs into AI and analytics solutions
* Understanding and experience with machine learning, data engineering, and software engineering.
* Technical depth that enables you to drive discussions about design of AI solutions (including GenAI), machine learning models, ETLs, AI infrastructure
* Possess strong communication skills, including experience being an active and expert listener, with clear verbal communication as well as explicit and mindful written communication skills
* Well\-versed in Agile frameworks and product tools such as Jira and Confluence
* Experience guiding teams through the AI lifecycle, including collecting and collating use cases and managing intake processes for new AI use cases
* Open to candidates with either B2B or B2C experience and outside the healthcare industry; critical to success in this role is being intellectually curious, a self\-starter, and experience building AI products
**EOE Committed to Diversity**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$105,000\.00 \- $140,000\.00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38">
      <c r="A38" t="inlineStr">
        <is>
          <t>li-4345331475</t>
        </is>
      </c>
      <c r="B38" t="inlineStr">
        <is>
          <t>Product Owner</t>
        </is>
      </c>
      <c r="C38" t="inlineStr">
        <is>
          <t>RemoteHunter</t>
        </is>
      </c>
      <c r="D38" t="inlineStr">
        <is>
          <t>linkedin</t>
        </is>
      </c>
      <c r="E38" t="inlineStr"/>
      <c r="F38" t="inlineStr"/>
      <c r="G38" t="inlineStr"/>
      <c r="H38" t="inlineStr"/>
      <c r="I38" t="inlineStr">
        <is>
          <t>About the Opportunity:
 The purpose of the organization is to help clients exceed their financial health goals through scalable solutions and clinical expertise across the reimbursement cycle. Leading technology and analytics guide solutions and maintain accountability for achieving goals.
 The Product Owner plays a key role in the success of the Product Management team. This role involves gathering, analyzing, and documenting customer business requirements and market drivers, serving as a liaison for functional requirements with internal and external stakeholders. The Product Owner ensures smooth coordination throughout requirements specification, design, implementation, testing, and deployment, while keeping all parties informed about solution capabilities and benefits.
 Responsibilities:
 • Gain and maintain thorough understanding of the product, its functionality, and the challenges it addresses in healthcare delivery
 • Define and maintain roadmap for designated product lines, coordinating with other roadmap owners
 • Manage and prioritize the product development backlog
 • Write user stories and acceptance criteria
 • Lead or participate in requirements specification and conceptual design teams to produce effective solutions
 • Use interviews, document analysis, workshops, surveys, site visits, use cases, scenarios, and workflow analysis to define complex market and customer needs and formulate solutions
 • Document business and end user requirements clearly and concisely
 • Track requirements status throughout projects and resolve arising issues
 • Incorporate all customer, market, and internal inputs systematically into work products
 • Ensure solutions comply with healthcare IT technical standards and conventions
 • Assist solution development and QA by researching and resolving defect questions; negotiate solutions and escalate issues as needed
 • Support account managers, documenters, and technical support by researching and providing product information to address customer issues; escalate as needed
 • Align conduct with the organization’s Code of Ethics and support the Ethics and Compliance Program
 • Comply with all internal policies and procedures
 • Participate actively in organization\-provided training and education
 • Ensure compliance with privacy and security regulations, protecting confidential information including Personal Health Information
 Requirements:
 • Bachelor’s degree in related field
 • Strong written, verbal, and interpersonal communication skills
 • 3\+ years of experience in product management, informatics, information technology, or software implementation; Healthcare Information Systems (HIS) experience preferred
 • Proven ability to manage multiple competing priorities and stakeholder interests while delivering high\-quality results on schedule in a matrix environment
 • Knowledge of HIS interoperability standards, methods, and technologies is a plus
 • Experience developing and delivering presentations effectively to internal stakeholders and clients
 Travel:
 Required: No
 Physical Demands:
 Must be able to remain stationary 80% of the time and operate a keyboard. Must communicate clearly and hear normal speech. Frequent sitting for long periods is required. Reasonable accommodations may be made for individuals with disabilities.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li-4334178456</t>
        </is>
      </c>
      <c r="B39" t="inlineStr">
        <is>
          <t>Sr Product Manager- Verticalization</t>
        </is>
      </c>
      <c r="C39" t="inlineStr">
        <is>
          <t>TCP Software</t>
        </is>
      </c>
      <c r="D39" t="inlineStr">
        <is>
          <t>linkedin</t>
        </is>
      </c>
      <c r="E39" t="inlineStr"/>
      <c r="F39" t="inlineStr"/>
      <c r="G39" t="inlineStr">
        <is>
          <t>Dallas, TX</t>
        </is>
      </c>
      <c r="H39" t="inlineStr"/>
      <c r="I39" t="inlineStr">
        <is>
          <t>*TCP is committed to cultivating a diverse and inclusive team. However, we are not able to sponsor visas for this role.*
**About TCP (TimeClock Plus):**
 For more than 30 years, TCP has helped organizations engage their people by providing flexible, mobile timekeeping and workforce management solutions. Trusted by tens of thousands of customers and millions of users, TCP delivers best\-in\-class technology and personalized support to organizations of all sizes in the public and private sector to meet their complex timekeeping, employee scheduling, leave management and other workforce needs. We recently embraced our new, refreshed brand which we feel fully embodies our commitment to innovation while also completing our first acquisition of Humanity, an industry\-leading cloud\-based scheduling platform. Growth is happening and our vision for a successful future is clear \- We'd love for you to join us on this journey! For more information on TCP, visit www.tcpsoftware.com or follow us on LinkedIn or Facebook.
**As a Sr Product Manager for verticalization, you will:**
* Develop and execute strategies to drive market penetration into key commercial verticals such as Hospitality, Retail, and Healthcare
* Identify unique industry challenges, customer needs, and opportunities for differentiation to shape vertical\-specific differentiating product strategies
* Collaborate with cross\-functional stakeholders—Sales, Marketing, Product, and GTM teams—to define and deliver vertical solutions aligned with TCP's broader business goals
* Partner with customers, industry experts, and internal teams to validate use cases, refine messaging, and identify emerging trends within target verticals
* Act as a subject matter expert on vertical market problems, earning trust across teams to influence decision\-making and prioritization
* Conduct competitive and market analysis to evaluate positioning and inform the product roadmap for targeted industries
* Work closely with Product and Engineering teams to ensure vertical\-specific needs align with core platform evolution
* Partner with leadership to strengthen TCP's market presence and brand authority as the Workforce Management solution leader across targeted industries
* Define success metrics and track performance to measure adoption, growth, and ROI for vertical initiatives
**Requirements**
* 5\+ years of Product Management experience within B2B SaaS
* Previous experience in the Workforce Management/HCM/Payroll industry within Hospitality, Retail or Healthcare
* Experience in developing and executing go\-to\-market strategies for vertical or segment\-based products
* Strong analytical and research skills with the ability to uncover and quantify industry\-specific opportunities
* Proven ability to translate customer problems into actionable roadmaps and deliver high\-quality differentiating product solutions
* Demonstrated success influencing stakeholders and driving alignment across cross\-functional teams
* Strategic and creative problem\-solving skills with a high degree of ownership and initiative
* Excellent communication skills and confidence engaging executives, customers, and sales organizations
* Passion for understanding how different industries operate—and how technology can simplify workforce management for them
***Physical Requirements:***
* Prolonged periods sitting at a desk and working on a computer
* Must be able to lift up to 15 pounds at times
**Benefits**
* Competitive salary plus uncapped commission
* 20 Days of PTO (Paid Time Off) and 13 days of companywide holidays
* 8 hours to volunteer and impact the community
* Comprehensive benefits (Health/Dental/Vision/ 401K)
* The work/life set up you need to be successful.
* Employee Choice Benefit
*TCP is an equal opportunity employer. We celebrate diversity and are committed to creating an inclusive environment for all employees.*</t>
        </is>
      </c>
    </row>
    <row r="40">
      <c r="A40" t="inlineStr">
        <is>
          <t>li-4345161925</t>
        </is>
      </c>
      <c r="B40" t="inlineStr">
        <is>
          <t>Senior Product Manager -TurboTax &amp; Credit Karma Cross Platform Growth</t>
        </is>
      </c>
      <c r="C40" t="inlineStr">
        <is>
          <t>Intuit</t>
        </is>
      </c>
      <c r="D40" t="inlineStr">
        <is>
          <t>linkedin</t>
        </is>
      </c>
      <c r="E40" t="inlineStr"/>
      <c r="F40" t="inlineStr"/>
      <c r="G40" t="inlineStr">
        <is>
          <t>Mountain View, CA</t>
        </is>
      </c>
      <c r="H40" t="inlineStr"/>
      <c r="I40" t="inlineStr">
        <is>
          <t>**Overview**
 The TurboTax Growth team is focused on our existing and prospective customers’ experience from landing pages through login and product selection. We create intuitive and engaging experiences powered by personalization algorithms that optimize the creative, offers, and onboarding flow for each visitor.
 We’re seeking a product manager to deliver delightful experiences that grow our joint TurboTax / Credit Karma customer base. In this role, you will lead onboarding and shopping experiences, ensuring Credit Karma members can seamlessly transition to TurboTax and receive a hyper\-personalized experience. You will use cutting edge AI and rich Credit Karma data to create dynamic onboarding experiences that meet members where they are in their filing journey and surface the right information, offers and next best action to get them started. This is a unique opportunity to shape the vision and lead the execution for a high\-impact, growth initiative.
**Responsibilities**
* Define and champion a compelling multi\-year vision and strategy for a frictionless, hyper\-personalized onboarding experience to TurboTax for Credit Karma members
* Drive the entire product lifecycle from discovery and experimentation to launch and iteration for onboarding experiences.
* Act as the hub in a cross\-functional team of talented partners across Design, Engineering, Data Science, AI/ML, and Marketing. You will also be the primary partner to other growth and platform teams, including core TurboTax onboarding, Commercialization, Assisted, and CRM teams, ensuring a cohesive and aligned growth strategy.
* Design, execute, and analyze experiments (A/B testing, user studies) to validate effectiveness of new onboarding experiences and impact on key metrics like conversion and revenue; drive iteration of experiences based on results
* Translate complex customer needs, technical capabilities, and business opportunities into a clear, prioritized roadmap with measurable customer and financial outcomes.
* Undergraduate degree required in business, computer science, entrepreneurship, data science/analytics, finance. or similar field; MBA is a plus (equivalent professional experience considered).
**Qualifications**
* 2\+ years designing and delivering world\-class consumer\-facing software products
* Solid track record of driving strategy and delivering products that utilize data\-driven methods and AI for personalization or dynamic user experiences at scale.
* Expertise in personalization tactics, A/B testing methodologies, and data analysis for continuous iteration.
* Strong technical acumen; able to closely engage with engineering and data science regarding system architecture, capabilities, data flows, APIs, and technical considerations.
* Deep customer obsession and strong track record delivering customer value through product innovation inspired by direct customer observations and quantitative data.
* Excellent verbal and written communication skills with the ability to communicate at all organizational levels.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$ 155,500 \- 210,500
 Southern California $ 146,500\- 198,500</t>
        </is>
      </c>
    </row>
    <row r="41">
      <c r="A41" t="inlineStr">
        <is>
          <t>li-4315345256</t>
        </is>
      </c>
      <c r="B41" t="inlineStr">
        <is>
          <t>Product Manager - WM Securities Reference Data</t>
        </is>
      </c>
      <c r="C41" t="inlineStr">
        <is>
          <t>JPMorganChase</t>
        </is>
      </c>
      <c r="D41" t="inlineStr">
        <is>
          <t>linkedin</t>
        </is>
      </c>
      <c r="E41" t="inlineStr"/>
      <c r="F41" t="inlineStr"/>
      <c r="G41" t="inlineStr">
        <is>
          <t>Brooklyn, NY</t>
        </is>
      </c>
      <c r="H41" t="inlineStr"/>
      <c r="I41" t="inlineStr">
        <is>
          <t>**Job Description**
 Be a leader committed to understanding customer needs with advanced knowledge of product development, design, and data analytics.
 As a Product Manager within the Wealth Management Data Programs Team, you will serve as the lead for the build and adoption of the strategic source of record for Wealth Management Securities Reference Data—including Instrument, Pricing, Classification, and Issuer data. You will be responsible for stakeholder management, requirements documentation, process reengineering, data rationalization, and data mining across applications to identify patterns and mitigate risks. You will act as a key liaison between Business and Technology, driving strategy, support, and adoption for Securities Reference Data, with a primary focus on Classification.
**Job Responsibilities**
* Develop and maintain comprehensive program plans, including timelines, resource allocation, and deliverables tracking.
* Establish and maintain transparent, ongoing communication with stakeholders by providing timely updates, proactively addressing concerns, and effectively managing expectations.
* Ensure product delivery and adoption are aligned with business priorities and strategic objectives.
* Collaborate with technology and business teams to gather and document requirements for new builds and enhancements.
* Initiate and lead cross\-functional working groups with technology and business partners to develop success criteria, track progress, and ensure accountability.
* Conduct in\-depth data analysis and create data transformation documentation to facilitate migration from legacy to strategic platforms.
* Design and implement operating models to support robust controls throughout the end\-to\-end data lifecycle.
* Recommend and implement tools and processes to enhance transparency and reporting capabilities.
* Document and monitor project metrics, reporting, and scorecards to measure progress and outcomes.
**Required Qualifications, Capabilities, And Skills**
* 5\+ years of experience in a major financial services organization, with a focus on data product management, business analysis, and data/system migration projects.
* Bachelor’s degree in any related field (or equivalent experience).
* Deep knowledge of data domains relevant to asset \&amp; wealth management, including listed and derivative securities, pricing, classification, and party data.
* Strong understanding of best practices for Business Requirements Documents (BRDs) and proven ability to manage large\-scale data programs.
* Thorough understanding of the financial services industry, including buy\-side and sell\-side operations, as well as related technology functions.
* Experience in large program management and deep domain knowledge of securities reference data, particularly market sector and industry classifications across all asset classes, as well as expertise in data usage within downstream systems.
* High personal and professional integrity, with a strong work ethic and background in data management practices and data quality frameworks.
**Preferred Qualifications, Capabilities, And Skills**
* Awareness of industry regulatory requirements related to data with a strong background in financial securities (both vanilla and derivatives), familiarity with vendor data sources, robust project management skills, and technical
* Proficiency in productivity tools such as PowerPoint, Excel, Visio, also SQL, or Alteryx
* Excellent business analysis skills, results\-oriented mindset, and a proactive approach to delivery.
* Ability to build and manage relationships across business functions (front office, middle office, operations, technology, risk, compliance, finance).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42">
      <c r="A42" t="inlineStr">
        <is>
          <t>li-4337978762</t>
        </is>
      </c>
      <c r="B42" t="inlineStr">
        <is>
          <t>Lead Product Manager</t>
        </is>
      </c>
      <c r="C42" t="inlineStr">
        <is>
          <t>Glu Mobile</t>
        </is>
      </c>
      <c r="D42" t="inlineStr">
        <is>
          <t>linkedin</t>
        </is>
      </c>
      <c r="E42" t="inlineStr"/>
      <c r="F42" t="inlineStr"/>
      <c r="G42" t="inlineStr">
        <is>
          <t>Los Angeles, CA</t>
        </is>
      </c>
      <c r="H42" t="inlineStr"/>
      <c r="I4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**About Design Home**
 Design Home is the world’s leading interior design mobile game, empowering millions of players to create beautiful spaces using real\-world furniture and décor. With over a billion lifetime downloads and partnerships with top lifestyle brands like West Elm, Serena \&amp; Lily, and Arhaus, Design Home sits at the intersection of gaming, creativity, and commerce.
 As we enter the next evolution of the franchise, we’re looking for a Lead Product Manager to help shape the future of design entertainment.
 The Role
 As Lead Product Manager, you will report to the Director of Product and own the product vision, roadmap, and performance outcomes for major Design Home initiatives. You’ll guide a cross\-functional team of designers, engineers, analysts, and artists to drive growth, engagement, and profitability across our live service. You’ll play a central role in defining how Design Home expands its economy, player expression systems, and novel gameplay experiences to reach new audiences.
**Responsibilities**
* Lead the forecasting, experimentation, and optimization of core performance funnels, including retention, monetization, and engagement.
* Analyze player behavior and game data to uncover insights, unmet needs, and high\-impact opportunities for growth.
* Define and prioritize features, enhancements, and live\-ops initiatives that deepen engagement and drive revenue.
* Design and oversee new features that deliver best\-in\-class user experiences and align with the franchise’s strategic vision.
* Partner with design, engineering, and art to translate product goals into clear requirements and deliver high\-quality features on schedule.
* Conduct market research and competitive analysis to inform strategy and identify emerging trends in lifestyle and simulation gaming.
* Collaborate with the analytics team to measure KPIs, synthesize learnings, and present actionable recommendations.
* Drive A/B testing and iterative development to continuously improve product performance and player satisfaction.
* Lead cross\-functional teams with clarity and accountability, fostering collaboration and data\-informed decision making.
* Communicate product vision, priorities, and outcomes to stakeholders and senior leadership.
**Requirements**
* 8\+ years of product management experience, ideally within mobile gaming or live\-service products.
* Proven track record of managing successful products with strong engagement and monetization outcomes.
* Advanced analytical capabilities, including proficiency with Excel, SQL, and data modeling.
* Strong understanding of player psychology and UX design principles.
* Ability to interpret complex data, extract insights, and translate them into actionable strategy.
* Excellent communication and collaboration skills across design, engineering, and leadership teams.
* Strategic thinker with a data\-driven, results\-oriented approach.
* Passion for gaming and deep familiarity with mobile game mechanics, player motivations, and industry trends.
 Why Join Us
 At EA Mobile and Crowdstar, you’ll help shape the future of lifestyle entertainment—blending creativity, commerce, and technology to empower a global community of design lovers. You’ll work alongside a passionate, collaborative team that’s redefining what it means to “play with design.”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This role is for a newly\-created position.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3">
      <c r="A43" t="inlineStr">
        <is>
          <t>li-4350288072</t>
        </is>
      </c>
      <c r="B43" t="inlineStr">
        <is>
          <t>Product Manager - IntelliScript (Remote)</t>
        </is>
      </c>
      <c r="C43" t="inlineStr">
        <is>
          <t>Milliman</t>
        </is>
      </c>
      <c r="D43" t="inlineStr">
        <is>
          <t>linkedin</t>
        </is>
      </c>
      <c r="E43" t="inlineStr"/>
      <c r="F43" t="inlineStr"/>
      <c r="G43" t="inlineStr">
        <is>
          <t>Brookfield, WI</t>
        </is>
      </c>
      <c r="H43" t="inlineStr"/>
      <c r="I43" t="inlineStr">
        <is>
          <t>**About Us**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At IntelliScript, solutions are tailored for our clients, so no two days are ever alike. The Product Manager will lead the strategy and execution of our Life Sciences product – Contxt as we expand beyond claims\-based pre\-screening into EHR connectivity, platform integrations and a scalable, compliance\-ready foundation for sponsors, CROs, and recruitment partners. This role is responsible for translating market needs into a clear, prioritized roadmap, driving discovery with customers and partners, and working closely with engineering to deliver high\-quality, incremental product value.
 As a product manager focused on Life Science data\-related solutions and products, you thrive in fast\-moving, early\-stage development, are deeply curious about clinical trial operations and can balance strategic thinking with hands\-on execution to help us achieve product\-market fit and scale. You will have the opportunity to help lead the early market development of new offerings, drive holistic product vision, establish business performance metrics, and align the company around game\-changing products from the business case creation to product launch.
**What You Will Be Doing**
* Lead the product roadmap activities for Contxt aligning market insights, customer feedback, strategic priorities into clear product requirements and a thoughtfully sequenced roadmap
* Conduct discovery sessions with sponsors, CROs, sites, recruitment companies and internal experts to deeply understand clinical workflows, data needs, and operational challenges
* Partner closely with engineering to scope solutions, define technical requirements, and ensure smooth, incremental delivery across modernization and new product development streams
* Lead the design and development of data integrations by applying strong knowledge of EHR systems, interoperability standards (e.g., FHIR, HL7, CCD), and clinical workflows to ensure seamless, compliant data exchange that supports accurate eligibility determination and site operations
* Define success metrics, monitor product performance, and use data to shape roadmap decisions as you rapidly iterate toward product\-market fit
* Support the product owner to craft user stories, collaborate on UX flows and ensure product experiences are intuitive, compliant and optimized for real\-world site and vendor workflows
* Support go\-to\-market activities by shaping product narratives, demo storylines and value messaging in collaboration with the GM and marketing
* Manage cross\-functional alignment and communication to understand where to leverage solutions that already exist or are being shaped to incorporate into the Contxt roadmap
* Contribute to a culture of curiosity, learning, and continuous improvement while building foundational product practices for a rapidly scaling team
* Stay abreast of regulatory plans, standards and changes related to clinical data availability and standards in order to understand the regulatory landscape from a strategic direction perspective and a defensive positioning perspective
**What We Need**
* Minimum five years of experience as a SaaS Product Manager, preferably in EHR or Life Sciences\-related software
* Advanced proficiency with Microsoft Excel and Jira or other relevant software
* Demonstrated ability to interpret data to improve outcomes or answer business questions
* Research and analytical skills
**What You Bring To The Table**
* Demonstrated ability to define and drive a product roadmap from concept through launch, balancing short\-term delivery with long\-term vision
* Strong understanding of clinical workflows, patient eligibility processes, or digital health data—experience with EHR systems, FHIR/HL7 interoperability, or data integration is highly preferred
* Possess the ability to shift communication styles for clinical, technical, or business audiences
* Experience working closely with engineering teams in an agile environment, with the ability to break complex problems into actionable requirements
* Have a strong eye toward quality and an acumen for peer review as part of the development process
* Capacity to work with and analyze data for extended periods of time
* Constructive, “can do” approach to overcoming obstacles
* Able to work independently and thrive on a growing team
* Adaptable and willing to pitch in wherever needed
* Seeks out input from others, shares insights and opportunities
* Comfort operating in a fast\-moving, ambiguous, early\-stage environment with a high degree of ownership, autonomy, and cross\-functional collaboration
* High integrity, customer empathy, and a passion for improving the speed, quality, and efficiency of clinical trial operations
**Wish list**
* Degree, diploma and/or certification in related field
* Experience with clinical informatics (e.g. data table structure, storage, relationships, maintenance, etc.) as well as in\-depth knowledge of medical claims and electronic health records (ICD\-10 codes, data management, research, etc.)
* Progressive experience in product leadership roles
* Experience presenting to C\-suite decision\-makers
* Published thought leadership articles, past speaking engagements, etc.
**Location**
 This position is open to remote work. Applicants must be willing to travel to the Milliman office in Brookfield, WI and travel to client sites, industry conferences, etc. (most often day trips, nationwide, up to 25% travel).
**Compensation**
 The overall salary range for this role is $104,900 \- $249,780\. A combination of factors will be considered, including, but not limited to, education, relevant work experience, qualifications, skills, certifications, etc.
**For Candidates Residing In**
* Alaska, California, Connecticut, Illinois, Maryland, Massachusetts, New Jersey, New York City, Pennsylvania, Virginia, Washington, or the District of Columbia:
* 
+ $120,635 \- $199,065 if overall experience is less than 10 years; and
+ $151,340 \- $249,780 for experience greater than 10 years.
* All other states:
+ $104,900 \- $173,100 if overall experience is less than 10 years; and
+ $131,600 \- $217,200 for experience greater than 10 years.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4">
      <c r="A44" t="inlineStr">
        <is>
          <t>li-4315035297</t>
        </is>
      </c>
      <c r="B44" t="inlineStr">
        <is>
          <t>Principal Product Manager</t>
        </is>
      </c>
      <c r="C44" t="inlineStr">
        <is>
          <t>Dropbox</t>
        </is>
      </c>
      <c r="D44" t="inlineStr">
        <is>
          <t>linkedin</t>
        </is>
      </c>
      <c r="E44" t="inlineStr"/>
      <c r="F44" t="inlineStr"/>
      <c r="G44" t="inlineStr"/>
      <c r="H44" t="inlineStr"/>
      <c r="I44"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Product Management Team envisions and builds the future of work while growing our business, one product at a time. We're strategic thinkers and advocates for our users, crafting solutions that make work more intuitive and joyful. Using data, research, and strategy—and a healthy dose of empathy—we guide cross\-functional teams toward the shared goal of creating transformative products that people love to use. If you're passionate about building solutions that reshape how the world works while delighting users in the process, join our Product Management team. Areas of work include Product Management, Product Strategy, User Research, Data Analytics, Product Operations, Growth Strategy, and Go\-to\-Market Planning.
**Role Description**
 Dropbox is evolving its business offering for small and medium\-sized teams—what we’re calling Dropbox Business 2\.0\. We’re seeking a portfolio PM to own the end\-to\-end strategy across multiple product swim lanes (activation, expansion, admin, collaboration surfaces, etc.), ensuring the system fits together coherently and delivers compounding value for teams.
**Responsibilities**
* Own the portfolio strategy for Dropbox’s Teams \&amp; Collaboration experience—set vision, craft a multi\-year roadmap, and align multiple product/engineering/design streams behind clear objectives.
* Evolve definition of “collaboration at Dropbox.” Lead discovery and validation to specify the MVP and evolution of collaboration and sharing features
* Ensure system coherence. Review and reconcile plans across activation, expansion, admin, and collaboration surfaces to prevent overlap, resolve conflicts, and create a unified end\-to\-end experience.
* Drive execution at scale. Translate strategy into crisp bets and milestones; set success metrics; run data\-informed prioritization; unblock teams; hold the bar on product quality and consistency.
* Champion the customer. Partner with Research, Design, Data, Support, and GTM to deeply understand SMB team needs and validate solutions through iterative testing.
* Orchestrate cross\-functional alignment. Build tight partnerships with Eng Directors/Leads and Design; coordinate with Security/Privacy, Identity, Billing, and other platform groups when changes cut across surfaces.
* Deliver growth outcomes. Work with activation/expansion owners on seamless team creation, invitations, onboarding, and collaborative “aha” moments that drive adoption and retention.
* Mentor and raise the bar. Informally coach other PMs; model high\-craft PRDs, decision memos, and strategy narratives.
**Requirements**
* 10\+ years total experience with 8\+ years in Product Management, including ownership of complex, multi\-surface products.
* Demonstrated success leading a portfolio or multi\-product area (multiple teams/squads) as a senior/principal IC—setting strategy while driving execution through influence.
* B2B SaaS experience with meaningful exposure to SMB/team products (e.g., collaboration, productivity, workflow, or communications).
* Proven ability to ship net\-new 0→1 as well as scale 1→N features in a live product with iterative learning loops.
* Strong systems thinking and product sense; adept at identifying seams and dependencies across admin, identity/permissions, sharing, notifications, and content.
* Data\-driven decision making: defines metrics, designs experiments, and blends quant \+ qual to converge on the right product outcomes.
* Exceptional written and verbal communication; can align executives and multiple teams with clear narratives and rigorous trade\-off reasoning.
* Track record working closely with Engineering and Design partners to navigate technical constraints and deliver elegant solutions.
**Preferred Qualifications**
* Built or scaled collaboration features (tasks, assignments, due dates, reminders/notifications, lightweight workflows) integrated with content or file systems.
* Experience in activation, invitations, and team formation funnels; driving expansion/retention through collaborative “moments of value.”
* Background with multi\-tenant admin needs (roles/permissions, auditability), identity \&amp; access management, and/or billing/entitlements in SaaS.
* Led cross\-org programs that touched platform teams (e.g., notifications, search, sharing, security/privacy).
* Familiarity with the SMB collaboration landscape (e.g., productivity, project/task tools) and how to position a differentiated offering.
* Prior success influencing director\+ stakeholders and presenting portfolio trade\-offs at the exec level.
**Compensation**
 US Zone 1
 This role is not available in Zone 1
 US Zone 2
 $244,800—$331,200 USD
 US Zone 3
 $217,600—$294,400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45">
      <c r="A45" t="inlineStr">
        <is>
          <t>li-4359972580</t>
        </is>
      </c>
      <c r="B45" t="inlineStr">
        <is>
          <t>Senior Product Manager</t>
        </is>
      </c>
      <c r="C45" t="inlineStr">
        <is>
          <t>Microsoft</t>
        </is>
      </c>
      <c r="D45" t="inlineStr">
        <is>
          <t>linkedin</t>
        </is>
      </c>
      <c r="E45" t="inlineStr"/>
      <c r="F45" t="inlineStr"/>
      <c r="G45" t="inlineStr">
        <is>
          <t>Redmond, WA</t>
        </is>
      </c>
      <c r="H45" t="inlineStr"/>
      <c r="I45" t="inlineStr">
        <is>
          <t>**Overview**
 As a Senior Product Manager focused on Windows Commercial User Experiences, you will own strategy and execution for features that empower IT administrators to manage Windows devices effectively and maximize user productivity in commercial environments. This role demands customer obsession, the ability to navigate ambiguity across multiple teams, and a passion for delivering impactful solutions that improve productivity and satisfaction across diverse commercial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Strategy and Vision: Define and lead the roadmap for commercial user experiences in Windows ensuring alignment with organizational priorities and customer needs.
* Own Product Areas: Take end\-to\-end ownership of medium\-to\-large feature areas, including framing problems, defining OKRs/KPIs, and setting design direction.
* Cross\-Team Leadership: Collaborate with engineering, design, security, and partner teams to deliver multi\-release strategies and ensure customer\-perceivable value.
* Customer Engagement: Gather insights through telemetry, feedback loops, and direct engagement with enterprise customers to inform decisions and prioritize investments.
* Data\-Driven Decisions: Use data and AI tools to synthesize insights, validate hypotheses, and shape roadmap decisions.
* Mentorship and Influence: Mentor eary in career PMs and contribute to building a culture of clarity, inclusion, and excellence across the team.
**Qualifications**
**Required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experience working on user experience features.
* Experience in Windows or enterprise software ecosystems.
* Knowledge of commercial IT administration scenarios and tools.
* Proven experience in product management with ownership of medium\-to\-large feature areas.
* Demonstrated ability to use generative AI in all phases of product management from research to prototyping.
* Demonstrated fundamental skills: framing, storytelling, cross\-team partnerships, and design direction.
* Proven ability to independently define strategy, scope, and success metrics.
* Demonstrated communication skills and executive maturity to represent the team effectively
 \#W\+DJOBS \#wsdjobs \#wsdcfe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li-4345291733</t>
        </is>
      </c>
      <c r="B46" t="inlineStr">
        <is>
          <t>Senior Staff Product Manager - Fintech API Platform Strategy</t>
        </is>
      </c>
      <c r="C46" t="inlineStr">
        <is>
          <t>Intuit</t>
        </is>
      </c>
      <c r="D46" t="inlineStr">
        <is>
          <t>linkedin</t>
        </is>
      </c>
      <c r="E46" t="inlineStr"/>
      <c r="F46" t="inlineStr"/>
      <c r="G46" t="inlineStr">
        <is>
          <t>Mountain View, CA</t>
        </is>
      </c>
      <c r="H46" t="inlineStr"/>
      <c r="I46" t="inlineStr">
        <is>
          <t>**Overview**
 Are you a visionary product leader passionate about the intersection of
 **Fintech, cutting\-edge Artificial Intelligence, and developer platforms** 
 ? Do you thrive on building foundational API platforms that empower innovative financial products at scale and unlock new growth opportunities?
 We're seeking a
 **Senior Staff Product Manager, Fintech API** 
 to define and execute the strategy for our core Fintech API capabilities, driving the next generation of intelligent financial services and enabling an "invisible finance" paradigm.
 In this pivotal role, you'll own the roadmap for our AI\-native API platform, enabling product teams, 3rd party developers, and AI agents to leverage Intuit's high\-value Fintech capabilities. You'll be instrumental in shaping the future of financial technology by externalizing our core intelligence, expanding our platform reach, and driving long\-term ecosystem and customer growth.
**Responsibilities**
* Strategic Leadership \&amp; Vision: Develop and champion the strategic vision and roadmap for our Fintech API platform, identifying key opportunities to leverage AI/ML to externalize high\-value financial capabilities and support AI\-initiated workflows. This includes defining short\-term deliverables and long\-term transformational goals to enable "invisible finance" for small businesses.
* Platform Product Ownership: Drive the end\-to\-end product lifecycle for core Fintech API services and infrastructure, including the Intuit Model Context Protocol (MCP) server, the Intuit Agent Toolkit, and AI\-driven automation in core APIs. You'll oversee product management processes from backlog grooming to prioritizing initiatives and features, partnering closely with engineering and architecture colleagues.
* Cross\-Functional Collaboration \&amp; Influence: Partner closely with AI/ML engineers, data scientists, product teams, design, legal, and compliance to translate complex technical concepts into clear API product requirements and deliver impactful solutions. You'll manage upstream and downstream dependency requests and timelines efficiently, influencing stakeholders and senior leadership effectively.
* Innovation \&amp; Experimentation: Foster a culture of continuous innovation and experimentation, leading rapid iteration on AI\-ready API solutions based on performance metrics, user feedback, and market trends. This includes refreshing and extending Fintech APIs and offering developer\-friendly tooling.
* Technical Depth \&amp; Quality: Possess a deep technical understanding of API design principles, AI infrastructure, and their practical applications within the fintech domain. You'll work closely with external partners, architects, and engineers to design and build secure, high\-scale integrations, ensuring high\-quality outcomes and proactively resolving issues, particularly around authentication protocols and MFA\-support for high\-stakes agent actions.
* Data\-Driven Decision Making: Implement prioritization principles using a data\-backed approach for defining priorities and making tradeoff decisions. Utilize data\-driven methods to define and measure success metrics, prioritize requirements, and communicate plans and launches, delivering impactful business results.
* Customer \&amp; Partner Obsession: Conduct thorough customer discovery with end\-users and developers to understand their challenges and derive insights on resolving significant customer issues delightfully. You'll work closely with customers and partners, adopting a customer\-focused approach to strategy and priorities, especially in enabling 3rd party developers and AI builders to integrate with Intuit's APIs.
* Communication \&amp; Documentation: Employ prolific writing skills to craft effective Product Requirements Documents, decision documents, executive summaries, and presentations for communication across various levels, from engineers and architects to senior executives. This includes ensuring clear guides on using Intuit APIs with OpenAI, LangChain, and other popular dev tools.
* Risk \&amp; Compliance: Work closely with legal and compliance teams to ensure all API initiatives adhere to financial regulations, data privacy standards, and ethical AI principles, incorporating fraud\-detection hooks and strict authentication.
* Program Management Collaboration: Collaborate with program management to ensure precise project execution and delivery by managing dependencies and plans across various services and teams, demonstrating proficiency in managing complex deliveries across multiple teams.
**Qualifications**
* 8\+ years of experience in product management or a related field.
* At least 3\+ years focused on API products within the fintech or financial services industry, with a strong understanding of AI/ML's impact on API strategy.
* Proven track record of defining, building, and launching successful, scalable API\-powered platforms or products that meet enterprise needs.
* Deep technical understanding of API design principles, AI infrastructure, and their practical applications within the fintech domain, including exposure to concepts like Model Context Protocol (MCP) and agentic toolkits.
* Strong ability to think strategically, identify market opportunities, and translate them into actionable product roadmaps, aligning long\-term transformation goals with immediate delivery milestones.
* Exceptional leadership and communication skills, with the ability to influence and align diverse stakeholders across an organization, including executive leadership.
* Demonstrated excellence in executing transformation roadmaps and delivering incremental value while addressing legacy system deprecation.
* In\-depth knowledge of product management processes and adeptness at driving consensus across diverse teams.
* Experience with Agile methodologies as a product owner, establishing clear requirements through detailed epics.
* Quick learner with minimal supervision required to become a domain expert.
* A passion for solving complex problems at the intersection of finance, artificial intelligence, and developer platforms.
* Bachelor’s degree in Engineering, Computer Science, or a related field. Master’s degree preferred.
* Domain knowledge in FinTech, Payment Standards, and FinTech Compliance is highly advantageous.
 If you're ready to make a significant impact and lead the charge in building the intelligent, API\-driven financial systems of tomorrow, we encourage you to apply!
 Pay offered is based on factors such as job\-related knowledge, skills, experience, and work location. To drive ongoing fair pay for employees, Intuit conducts regular comparisons across categories of ethnicity and gender.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Mountain View, CA: $196,500 \- $266,000</t>
        </is>
      </c>
    </row>
    <row r="47">
      <c r="A47" t="inlineStr">
        <is>
          <t>li-4345435533</t>
        </is>
      </c>
      <c r="B47" t="inlineStr">
        <is>
          <t>Product Manager - Technical, Production &amp; Post Technology</t>
        </is>
      </c>
      <c r="C47" t="inlineStr">
        <is>
          <t>Prime Video &amp; Amazon MGM Studios</t>
        </is>
      </c>
      <c r="D47" t="inlineStr">
        <is>
          <t>linkedin</t>
        </is>
      </c>
      <c r="E47" t="inlineStr"/>
      <c r="F47" t="inlineStr"/>
      <c r="G47" t="inlineStr">
        <is>
          <t>Culver City, CA</t>
        </is>
      </c>
      <c r="H47" t="inlineStr"/>
      <c r="I47" t="inlineStr">
        <is>
          <t>**Description**
 Amazon MGM Studios is seeking an experienced Product Manager \- Technical (PMT III) to drive the product vision and strategy for our Studio in the Cloud (SITC) initiative. SITC is transforming how entertainment content is created by moving all major production and post\-production workflows from traditional on\-premises infrastructure to AWS cloud\-based solutions. This initiative encompasses nine core workflows—Dailies, Editorial, VFX, Sound, Conform, Color, Mastering, QC/Delivery, and Remote Production—representing the complete content creation lifecycle from Original Camera Footage (OCF) ingestion through final delivery.
 In this role, you will own the product lifecycle for workflows that enable creative professionals, production companies, and post\-production vendors to collaborate globally using industry\-standard tools integrated on AWS. You will work with leading creative tool providers including Avid, Adobe, Colorfront, and Blackmagic, as well as major post\-production vendors such as Company 3, Fotokem, Picture Shop, and others who service the majority of high\-value productions. Your work will reduce hardware dependencies, eliminate physical media transport, enable real\-time global collaboration, and accelerate production timelines while maintaining the creative quality and flexibility that content creators demand.
 As a PMT III, you will operate independently with limited guidance, managing high ambiguity as you define product strategy, feature design, and technology approaches for a highly relationship\-driven industry. You will navigate the complex dynamics between creative trust, vendor partnerships, technical innovation, and business transformation. Your work will influence engineering organization priorities and the strategic direction of cloud\-based production across Amazon MGM Studios' International Originals and Global Originals slates, spanning over 150 productions annually across multiple regions.
 This role requires a unique blend of technical depth in distributed systems and media workflows, product management expertise, deep understanding of creative production processes, and exceptional stakeholder management. You will work backwards from the needs of directors, editors, colorists, VFX artists, and production teams to define solutions that enhance rather than disrupt their creative process. Success requires building consensus across diverse stakeholder groups including creative teams, engineering organizations, vendors, compliance teams, legal, business affairs, and executive leadership.
 Key job responsibilities
 Own product roadmap and feature priorities for SITC's nine core workflows (Dailies, Editorial, VFX, Sound, Conform, Color, Mastering, QC/Delivery, Remote Production), defining customer experience, vision, tenets, and product strategy across production and post\-production domains
 Develop differentiated adoption strategies for International Originals (flexible vendor ecosystems) versus US Global Originals (entrenched creative partnerships), prioritizing deployment based on technical readiness, creative acceptance, and business value
 Understand SITC systems including OCF ingestion pipelines, media asset management, rendering infrastructure, and real\-time collaboration—their limitations, scaling factors, and architectural decisions. Define technical requirements for latency\-sensitive creative workflows requiring near\-instantaneous response (4:4:4 10\-bit color processing, high\-resolution playback)
 Address high\-bandwidth, low\-latency challenges across regions with varying network infrastructure, determining when to use Project Kuiper satellite bandwidth, regional ingest hubs, or hybrid approaches. Ensure solutions scale to 100\+ concurrent productions
 Build strategic relationships with top\-tier post\-production vendors (Company 3, Picture Shop, Fotokem, Pivotal, Harbor, Goldcrest) and creative tool providers (Avid, Adobe, Autodesk, Blackmagic, Colorfront). Partner with Business Development, Legal, and Business Affairs to develop vendor onboarding processes, rate card structures, and technical validation frameworks
 Drive product discussions with senior creative leadership, distilling clear requirements from diverse stakeholders including directors, editors, production companies, post\-production supervisors, and Studios finance. Build consensus across competing priorities and communicate with executives across Studios, Studios Tech, Finance, Legal, and Business Affairs
 Contribute to OP1/OP2 budget narratives and influence engineering organization roadmaps. Write PR/FAQs and perform market research with directors, editors, and post\-production supervisors to validate solutions
 Develop product roadmaps with clear success criteria including workflow adoption rates by region, production satisfaction, platform reliability, and workflow cycle time reductions. Define showstoppers related to creative quality and ensure urgent bug triage
 Actively recruit, mentor, and develop others in technical product management, media production workflows, and stakeholder management. Participate in hiring loops and perform PMT assessments
**About The Team**
 Amazon MGM Studios creates and produces original films and television series for a global audience. Leveraging technology and our catalogue of original Movies and Series, AMS is uniquely positioned to succeed in providing by taking advantage of Amazon's vast scope including AWS, retail, gaming, and publishing, to create immersive entertainment experiences across multiple platforms. Our vision is to be the most technology\-advanced studio and the entertainment home for talent and customers.
 Studios Technology at AMS is at the forefront of the entertainment revolution, where Hollywood meets tech. We own the technology strategy that powers one of the world's largest entertainment studios. Based in Los Angeles, our team delivers cloud\-first solutions and modern applications that drive the entire Studios Production Lifecycle, shaping the future of entertainment delivery from content creation through distribution.
 Via tooling, automation, and AI, we support five key stages in the Studios Production Lifecycle: IP \&amp; Rights, Content Production, Sales \&amp; Distribution, Financial Management, and Studios Operations. We serve thousands of AMS employees and creative and executive partners across development, acquisition, legal, programming strategy, internal and external production, post\-production, visual effects, localization, delivery, marketing, sales, licensing, finance, accounting, and operations.
**Basic Qualifications**
* 5\+ years of technical product or program management experience
* 2\+ years of end to end product delivery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Experience with creative tool ecosystems (Avid Media Composer, Adobe Premiere Pro, DaVinci Resolve, Autodesk Maya, Nuke) and understanding of how creative professionals use these tools
* Deep understanding of media and entertainment production workflows including one or more of: dailies processing, editorial systems, color grading pipelines, VFX rendering, sound mixing, mastering, or QC/delivery processes
* Experience with virtual workstation technologies, GPU virtualization (NVIDIA GRID, AMD MxGPU), remote desktop protocols (PCoIP, Parsec, Teradici), or DCC (Digital Content Creation) tools in cloud environments
* Knowledge of media industry technical standards including codecs (ProRes, DNxHD, H.264/H.265\), color pipelines (4:4:4 color sampling, 10\-bit depth, HDR), and professional video/audio formats
* Track record of launching products in relationship\-driven industries where user trust, creative control, and quality perception are critical to adoption
* Experience managing products for highly skilled professional users (creative professionals, engineers, designers) where workflow disruption is unacceptable and change management requires careful planning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A3146654</t>
        </is>
      </c>
    </row>
    <row r="48">
      <c r="A48" t="inlineStr">
        <is>
          <t>li-4345163145</t>
        </is>
      </c>
      <c r="B48" t="inlineStr">
        <is>
          <t>Product Manager</t>
        </is>
      </c>
      <c r="C48" t="inlineStr">
        <is>
          <t>Owens Corning</t>
        </is>
      </c>
      <c r="D48" t="inlineStr">
        <is>
          <t>linkedin</t>
        </is>
      </c>
      <c r="E48" t="inlineStr"/>
      <c r="F48" t="inlineStr"/>
      <c r="G48" t="inlineStr">
        <is>
          <t>Tampa, FL</t>
        </is>
      </c>
      <c r="H48" t="inlineStr"/>
      <c r="I48" t="inlineStr">
        <is>
          <t>PURPOSE OF THE JOB
 The Product Manager is responsible for leading product strategy, execution, and performance across building industry market segments and customers. The role drives channel\-specific product planning, innovation, and lifecycle management to ensure growth, differentiation, and operational excellence in the retail or wholesale environment.
 Ideal candidate brings a strong understanding of the building materials industry, through a market back lens and creating opportunities throughout the value chain while having a technical product knowledge and the ability to lead cross\-functional teams.
**Reports to** 
 : Director, Exterior/Interior Doors
**Span of Control** 
 : Individual Contributor
**Job Responsibilities**
**PRODUCT STRATEGY and LIFECYCLE MANAGEMENT**
* Own the product portfolio of the doors business across retail or wholesale distribution channels
* Develop and execute channel\-specific product strategies, including new product introductions, line refreshes and discontinuations for select product category.
* Ensure alignment with brand positioning, customer needs, and competitive landscape that increases consumer willingness to pay to drive margin accretive plans.
**CHANNEL EXECUTION**
* Partner with sales, marketing, and operations to deliver compelling assortments that enhance shopper \&amp; customer journey and drive sales, while improving mix.
* Work with cross\-functional teams to ensure product setup, data accuracy, and content delivery across retail or wholesale distribution systems.
* Monitor performance metrics and drive actions to improve sales and margins.
**CROSS\-FUNCTIONAL COLLABORATION**
* Collaborate with engineering, supply chain, finance, and customer service to ensure product readiness and support.
* Work closely with marketing to develop product positioning, messaging, packaging, signage, and promotional materials tailored to each customer as needed.
* Serve as the voice of customer in product development and commercialization processes.
**MARKET \&amp; CUSTOMER INSIGHTS**
* Analyze market trends, consumer preferences, and competitive activity to inform product decisions.
* Conduct field visits, customer interviews, and performance reviews to identify opportunities and gaps.
* Translate insights into actional product enhancements and channel strategies.
**Job Requirements**
**MINIMUM QUALIFICATIONS** 
 :
* Bachelor’s degree in business, marketing, or related field (MBA preferred
* 5\+ years of experience in product management, building materials or home improvement retailer
* Proven success of managing product lifecycles
* Strong analytical, project management, and organizational skills
* Ability to travel as needed to customer meetings, trade shows, manufacturing locations and field visits
**Knowledge, Skills \&amp; Abilities**
* Channel Knowledge : Deep understanding of retail and/or wholesale distribution operations, systems and customer base.
* Product Management : Experience in managing product portfolios, launches, and lifecycle strategies.
* Cross\-Functional Leadership : Ability to lead and influence across sales, marketing, engineering, and operations.
* Systems and Data Knowledge: Familiarity with product information management systems, erp, and customer portals.
* Customer\-Centric Mindset : Focused on delivering value and ease of selling through retail and wholesale channels.
* Analytical Thinking : Strong skills in performance analysis and business case development.
**About Owens Corning**
 Owens Corning is a residential and commercial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
 Owens Corning is an equal opportunity employer. Except in limited circumstances such as formal apprenticeship programs, Owens Corning does not employ anyone under the age of 18\.</t>
        </is>
      </c>
    </row>
    <row r="49">
      <c r="A49" t="inlineStr">
        <is>
          <t>li-4334528940</t>
        </is>
      </c>
      <c r="B49" t="inlineStr">
        <is>
          <t>Product Systems, Product Owner</t>
        </is>
      </c>
      <c r="C49" t="inlineStr">
        <is>
          <t>Amplify</t>
        </is>
      </c>
      <c r="D49" t="inlineStr">
        <is>
          <t>linkedin</t>
        </is>
      </c>
      <c r="E49" t="inlineStr"/>
      <c r="F49" t="inlineStr"/>
      <c r="G49" t="inlineStr"/>
      <c r="H49" t="inlineStr"/>
      <c r="I49"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The Product Systems Product Owner will drive the strategic management and continuous improvement of business systems that support the optimization of product development processes and operations (e.g., product lifecycle management (PLM), digital product entitlements, product content management, development and planning systems, customer training content tracking, rights \&amp; royalties management, etc.). This role will be responsible for ensuring the key systems and applications align with business objectives, integrate effectively with other enterprise platforms (e.g., ERP, CRM, CPQ, custom solutions, etc), and support the organization’s goals for product development and commercialization.
**Essential Responsibilities**
* Serve as the subject matter expert for product development applications, researching capabilities, and developing solutions and alternatives to solve business challenges
* Identify application efficiencies and processes that drive management and operational improvements across the product development function.
* Collaborate with other stakeholders, such as IT, engineering, and business functions, to identify and implement system enhancements, integrations, and automation.
* Partner with the Product Development business leads on creating functional specifications in collaboration with product management and engineering teams.
* Ensure seamless data flow between product development systems, ERP, CRM, CPQ, data warehouse, and other downstream applications, where applicable.
* Define, document, and improve workflows for managing product content, digital entitlements, and customer training tracking by leveraging available technology.
* Partner with legal, finance, and compliance teams to manage title rights and royalties tracking to ensure contract and accounting compliance.
* Partner with IT, procurement, and third\-party vendors to evaluate and implement new system capabilities.
* Work with data analytics teams to improve reporting, KPIs and analytics on product development and commercialization efforts.
* Communicate effectively and partner with engineering and business systems developers to prioritize and refine backlogs, ensuring alignment with business strategy and system capabilities.
* In addition to large projects, manage small enhancements/projects that align with the goals of the Product Development organizations.
* Establish and monitor performance metrics, providing related reporting and statuses to product development and technology leadership, and serving as a conduit for escalations, risk mitigations, etc.
* Solidify requirements by analyzing documentation, hosting interviews and conducting research.
* Proactively identify, create, support, and sponsor projects related to improvements/enhancements in areas of ownership (both technical and business\-related). This includes creating business requirements and user stories.
* Assist with and conduct QA and user acceptance testing.
* Resolve production issues escalated by product support teams.
**Required Qualifications**
* Minimum of 3 years in the capacity of a product owner in a technology organization
* Experience working with product development\-based applications such as PLM, PIM, Configuration Lifecycle Management (CLM), content management, title and rights management, project management systems, etc.
* Bachelor's degree in information services, information technology, computer science, business or related area
* Minimum of 1 year of recent experience as a business analyst / product owner managing a SaaS application
* Extensive experience working in Agile development environments
* Strong written and verbal communication skills to interact with a wide audience: IT, development, product management, operations, account support, vendors/partners, customers, and management/leadership
* Capable of working with a mix of in person, remote and offshore team members
* Ability to work across several lines of business to achieve long\-term organizational goals
* Ability to contribute and manage effectively within a fast\-paced, fluid environment
* Ability to learn and adapt quickly in a dynamic environment
**Preferred Qualifications**
* Experience working in the education or publishing industry
* Advanced business analysis or project management experience
* Experience with data visualization tools like Tableau or Looker
**What We Offer**
 Salary is only one component of the Amplify Total Rewards package, which includes a 401(k) plan, stock options, competitive health insurance and mental health options, basic life insurance, paid time off, parental leave, and access to best\-in\-class development programs. The gross salary range for this role is $135,000 \- $145,000\.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50">
      <c r="A50" t="inlineStr">
        <is>
          <t>li-4345534391</t>
        </is>
      </c>
      <c r="B50" t="inlineStr">
        <is>
          <t>Product Manager - Advertiser Guidance</t>
        </is>
      </c>
      <c r="C50" t="inlineStr">
        <is>
          <t>Meta</t>
        </is>
      </c>
      <c r="D50" t="inlineStr">
        <is>
          <t>linkedin</t>
        </is>
      </c>
      <c r="E50" t="inlineStr"/>
      <c r="F50" t="inlineStr"/>
      <c r="G50" t="inlineStr">
        <is>
          <t>San Francisco, CA</t>
        </is>
      </c>
      <c r="H50" t="inlineStr"/>
      <c r="I50" t="inlineStr">
        <is>
          <t>We are seeking a highly experienced Product Manager with over 10 years of experience to lead and drive Opportunity score(recently launched to General Availability) model development and Guidance Ranking as part of a key monetization priority.This role will focus on defining and leading the following areas: \- Opportunity Score formulation and stability across all advertiser segments and surfaces they will interact with Meta advertising\- Guidance ranking to ensure the most relevant and impactful guidance is shown at the right time. \- Guidance measurement, experimentation framework and lifecycle management ensuring long term value to advertisers .\- Metric development for Guidance and Opportunity Score impact on advertisers and Meta
 Product Manager \- Advertiser Guidance Responsibilities:
* Strategic Leadership: Lead the development and implementation of Opportunity score as a metric supporting Sales and Advertiser use cases
* Product Development: Manage the end\-to\-end product lifecycle for guidance ranking and OS score from ideation to launch. Focusing on guidance experimentation methodologies and post adoption impact, how guidances are incorporated into OS models, ensuring OS metric and pipeline stability, robustness and long term relationship to revenue and performance
* Cross\-Functional Collaboration: Work closely with engineering, data science, design, and marketing teams to ensure seamless product delivery and alignment with strategic goals
* Metrics and Analysis: Develop and refine metrics to measure different guidance impact on Advertisers and to measure OS impact. This will include partnering with the DS team to develop and analyze proxy metrics for iRev, metrics to measure guidance impact, and OS impact
* Stakeholder Engagement: Engage with internal stakeholders, including the iRev committee, to align on strategic goals and ensure product initiatives meet business needs
* Innovation and Improvement: Drive continuous improvement in product processes and methodologies, leveraging data\-driven insights to enhance product performance and user experience
 Minimum Qualifications:
* Experience: 10\+ years of experience in product management, with a focus on strategic product development and cross\-functional leadership
* Education: Bachelor's degree in Business, Computer Science, or a related field
* Demonstrated experience in strategic thinking and problem\-solving skills
* Proven track record of great communication and collaboration
* Proven track record of managing complex projects and driving cross\-functional teams
* Familiarity with experimentation frameworks and metrics development
 Preferred Qualifications:
* Advertising Skills: Expertise in bidding, ranking, Creative and targeting within advertising technology
* Machine Learning Skills: Proficiency in ML model development, tuning, and training
* Masters degree in Business, Computer Science, or a related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1">
      <c r="A51" t="inlineStr">
        <is>
          <t>li-4332552213</t>
        </is>
      </c>
      <c r="B51" t="inlineStr">
        <is>
          <t>Growth Product Manager, Website</t>
        </is>
      </c>
      <c r="C51" t="inlineStr">
        <is>
          <t>RemoteHunter</t>
        </is>
      </c>
      <c r="D51" t="inlineStr">
        <is>
          <t>linkedin</t>
        </is>
      </c>
      <c r="E51" t="inlineStr"/>
      <c r="F51" t="inlineStr"/>
      <c r="G51" t="inlineStr"/>
      <c r="H51" t="inlineStr"/>
      <c r="I51" t="inlineStr">
        <is>
          <t>About the Opportunity:
 The organization is the creator of a leading time series platform used to collect, store, and analyze time series data at any scale. Developers can query and analyze their time\-stamped data in real\-time to discover, interpret, and share new insights. This remote\-first organization seeks an experienced and entrepreneurial Growth Product Manager to join the Marketing team. The role involves delivering website strategies to increase awareness, drive customer acquisition, and improve product adoption. The position functions as both Product Manager of the main website and driver of customer experience journeys for solution discovery.
 Responsibilities:
 • Own the website as a growth channel, including conversion rate optimization, site performance, and user experience improvements to drive developer signups and product adoption
 • Design and execute marketing experiments focused on product\-led growth and lead generation; prioritize test ideas with cross\-functional teams, run A/B tests, analyze results, and implement successful experiments
 • Develop and execute a technical SEO/GEO roadmap to improve crawlability, indexability, structured data, and discoverability in AI\-powered search results for organic growth
 • Manage the web development roadmap, balancing priorities between conversion optimization, technical improvements, and new capabilities
 • Analyze user behavior, conversion funnels, and test results to identify effective strategies and areas for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especially in a fast\-paced product\-led growth environment
 • Strong analytical skills with the ability to independently analyze data, identify growth opportunities, and make actionable decisions
 • Expertise in hypotheses\-driven website experimentation and relevant tools including Google Analytics, A/B testing platforms, design collaboration tools such as Figma, and CMS like Contentful or Sanity; knowledge of SQL/Python is a plus
 • Working knowledge of GEO/AEO principles and modern SEO tactics for AI\-powered search engines
 • Exceptional communication, relationship management, and organizational skills, with proven ability to lead complex, multi\-quarter, cross\-functional projects
 • Bias for action and ability to work autonomously; ability to identify opportunities, make quick decisions with imperfect information, and ship iteratively
 • Empathy for developers and enthusiasm for building products they will love
 Benefits \&amp; Perks:
 • Medical, dental, and vision insurance with 100% employee coverage
 • Company contribution to Flexible Spending Account (FSA)
 • Flexible Time Off policy
 • Life insurance, short\-term and long\-term disability insurance
 • 401(k) retirement plan
 • Wellness programs
 • Annual professional development budget
 • Financial planning and legal advice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li-4345171934</t>
        </is>
      </c>
      <c r="B52" t="inlineStr">
        <is>
          <t>Senior Staff Product Manager - AI Context</t>
        </is>
      </c>
      <c r="C52" t="inlineStr">
        <is>
          <t>Intuit</t>
        </is>
      </c>
      <c r="D52" t="inlineStr">
        <is>
          <t>linkedin</t>
        </is>
      </c>
      <c r="E52" t="inlineStr"/>
      <c r="F52" t="inlineStr"/>
      <c r="G52" t="inlineStr">
        <is>
          <t>San Diego, CA</t>
        </is>
      </c>
      <c r="H52" t="inlineStr"/>
      <c r="I52" t="inlineStr">
        <is>
          <t>**Overview**
 Come join the AI Foundations Product Management Team at Intuit as a Senior Staff Product Manager for our AI Context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define the future of our developer platform capabilities that provide context to the AI. You will be the driving force in bridging Data and AI Platform capabilities, recognizing that high\-quality data is the foundational pillar for high\-quality AI. You will own and innovate on key platform services, including but not limited to: Feature Management: Defining the platform for managing and serving the high\-quality data features that power our AI models. RAG (Retrieval\-Augmented Generation) as a Service: Building the platform to enable our Generative AI initiatives to leverage relevant, high\-fidelity data at scale. Agent Memory: Developing core services that provide persistent, dynamic memory capabilities for Agentic AI, ensuring personalized, context\-aware customer experiences.
 You will play a crucial role in enabling developers to create high\-quality and personalized product experiences. This involves partnering across Intuit to understand diverse use cases and workload requirements, then delivering optimal AI Context platform solutions with speed and at scale.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7\+ years of product management or equivalent experience (engineer manager, data scientist manager) for technical platform products in a fast paced, rapidly evolving environment.
* Extensive experience working and innovating on a centralized AI/ML Platform supporting diverse applications.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Familiarity with AI/ML model development lifecycle. Familiarity with Intuit’s product offerings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$196,500\-266,500
 Southern, California $179,000\-242,500</t>
        </is>
      </c>
    </row>
    <row r="53">
      <c r="A53" t="inlineStr">
        <is>
          <t>li-4328191522</t>
        </is>
      </c>
      <c r="B53" t="inlineStr">
        <is>
          <t>Product Manager, Growth Products and Partnerships</t>
        </is>
      </c>
      <c r="C53" t="inlineStr">
        <is>
          <t>Visa</t>
        </is>
      </c>
      <c r="D53" t="inlineStr">
        <is>
          <t>linkedin</t>
        </is>
      </c>
      <c r="E53" t="inlineStr"/>
      <c r="F53" t="inlineStr"/>
      <c r="G53" t="inlineStr">
        <is>
          <t>San Francisco, CA</t>
        </is>
      </c>
      <c r="H53" t="inlineStr"/>
      <c r="I5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seeking a skilled and innovative Manager of Product Management to support the development and delivery of advanced products and solutions. This role requires a good understanding of the payment infrastructure, utilizing Payment Acceptance, Tokenization, Visa Direct, and 3DS rails to create secure, PCI\-compliant products. You will be responsible for optimizing the end\-to\-end experience for issuers, acquirers, and technology platforms, ensuring that these solutions meet the needs of both developed and emerging markets.
**Key Responsibilities:**
* Product and Solution Delivery: Assist in the development and delivery of innovative card acceptance services and capabilities that enhance the overall ecosystem.
* Product Development: Utilize product\-building skills, focusing on digital payment technologies to identify efficiencies and opportunities.
* Requirement Authoring and Deployment: Assist in authoring detailed business requirements and overseeing the deployment of Solution Services, including creating go\-to\-market (GTM) collateral and processes.
* Cross\-Functional Collaboration: Collaborate with various teams across Visa to launch, commercialize, and scale business services.
* Infrastructure Establishment: Contribute to designing and establishing the infrastructure for card acceptance services to meet current and future needs.
* Sprint Management: Support sprint management, ensuring status updates and delivery align with agreed time, cost, and quality parameters.
* Issue Management: Identify potential issues early, determine resolutions, communicate status, and track and resolve issues promptly.
* Global and Regional Balance: Assist in balancing regional and global opportunities to achieve overall solution and platform objectives through collaboration across a complex, matrixed organization.
**Essential Functions:**
* Pragmatic Product Building: Synthesize requirements into a common set of platform and service capabilities, writing clear and detailed user stories and requirements for complex features and product sets.
* Cross\-Functional Liaison: Liaise with other business units, product managers, engineering, and other groups to ensure flawless execution and output enablement guides and collaterals.
* Business Problem Management: Manage business problems through hands\-on troubleshooting and analysis, essential for key global projects/programs related to the new solution.
* Technical Discussions: Participate in technical discussions with knowledge of Payments, EMV, PCI, tokenization, application requirements, customer experience, and software and payments security.
* Team Collaboration: Act as a bridge between business and technology, collaborating effectively with various teams across Visa globally.
* Core Platform Development: Support the development of the core platform along with feature sets spanning the end\-to\-end payments lifecycle.
* Product Documentation: Manage updates to product documentation and collaborate with global stakeholders on communication impacts, including developing FAQs, internal memos, and Visa Business News (VBN) articles.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Demonstrated expertise in designing and implementing payment products and services tailored for treasury banking.
* Proven track record of contributing to successful initiatives.
* Subject matter expertise in debit, credit, and digital products, with an understanding of RTP, card schemes, and Instant Payments.
* At least 5 years of industry experience in product management, product development, and payments processing, focusing on launching new products and features.
* Knowledge of Digital Payments, NFC/HCE, and QR Codes.
* Understanding of Credit/Debit/Pre\-Paid cards and the financial/payment industry.
* Ability to manage projects with multiple workstreams and demonstrate leadership across various product business challenges.
* Experience in structuring, managing, and coordinating complex workstreams and processes involving multiple stakeholders.
* Ability to collaborate and influence within a highly matrixed organization.
* Proficiency in PowerPoint, Excel, and JIRA.
* Team\-oriented, collaborative, and flexible, with excellent presentation skills and strong oral and written communication capabilities.
* Detail\-oriented and highly execution\-focused, with the ability to work effectively with counterparts across multiple functional groups.
* Organized, with a natural aptitude for both strategic and tactical planning, and the ability to translate strategy into actionable deliverables.
* Strong business acumen and an understanding of organizational issues and challenges.
* Ability to think creatively, innovate, and differentiate products, with tangible evidence of business results.
* Ability to work independently within a complex environment, driving rigorous, fact\-based recommendations and solutions.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4">
      <c r="A54" t="inlineStr">
        <is>
          <t>li-4345175511</t>
        </is>
      </c>
      <c r="B54" t="inlineStr">
        <is>
          <t>Product Owner, Billing Platform</t>
        </is>
      </c>
      <c r="C54" t="inlineStr">
        <is>
          <t>AXA XL</t>
        </is>
      </c>
      <c r="D54" t="inlineStr">
        <is>
          <t>linkedin</t>
        </is>
      </c>
      <c r="E54" t="inlineStr"/>
      <c r="F54" t="inlineStr"/>
      <c r="G54" t="inlineStr">
        <is>
          <t>New York, United States</t>
        </is>
      </c>
      <c r="H54" t="inlineStr"/>
      <c r="I54" t="inlineStr">
        <is>
          <t>As the world changes and markets become more competitive, our clients’ needs become more complex. More than ever, we are competing for time, for opportunities, for relevance. Differentiation at all levels, including how we think about and engage with our clients, is so important. Our ambition is to unlock a more sustainable and prosperous tomorrow by helping businesses navigate the world’s risks. In the Americas, we will live up to that ambition by delivering value far beyond the insurance policies we provide. We are confronting our clients’ risk management challenges by finding solutions that further their strategic goals and help them build more sustainable, thriving businesses.
 In this newly established role, you will be a part of the Americas Growth Office team and drive implementation of a new Guidewire BillingCenter Platform for Commercial Lines P\&amp;C business. Key capabilities include bill plan management, invoicing, payment collection, delinquency management and commissions. Key integrations include Payment \&amp; Banking, Core Policy Admin System, Enterprise Services, Downstream \&amp; Reporting and Customer Service. You will be instrumental in defining the roadmap, prioritizing features, and ensure successful product releases that meet the needs of the stakeholders
 What you’ll be doing
* Own the successful delivery of Core Billing Platform development, partnering with the Product Manager, other billing \&amp; integration product owners and stakeholders to understand strategic and tactical needs and translate them into product requirements
* Create and maintain a clear and visible product backlog for your aligned scrum team, ensuring well\-defined and estimated user stories aligned with the product roadmap. Work alongside other Product Owners and Business Analysts to achieve a common delivery goal.
* Partner closely with the broader product implementation and development team, participating in team ceremonies, providing clarification on user stories, and ensuring alignment with the product vision. Contribute to Program Increment (PI) planning and PI Demos.
* Partner with other product owners to facilitate User Acceptance Testing (UAT). Partner with Product Manager and business stakeholders on a roll out plan.
* Contribute to defining and communicating the product vision, strategy, and goals
* Assist in the creation of business requirement documentation
* Partner with key areas within Global Technology, Transformation \&amp; Change Delivery, Group and other teams to build, and support key integrations.
* As required, once launched, provide day to day escalation and support to end users
 The Digital Product Owner will report to the Digital Product Manager, Billing.
 What you’ll bring
 We’re looking for someone who has these abilities and skills:
* Experience in leading 1\-2 human\-centric squads (5\-10 member), user testing and data analysis to improve user experiences. Scaled Agile experience is a plus.
* Proven success in defining and delivering a billing platform, or other comparable payment/FinTech platform. Understanding of complex legacy technology environments and integrations. Guidewire Billing Center knowledge is a plus, but not required.
* Requires a combination of solid hands\-on execution and strategic thinking. Bring in a collaborative spirit, can\-do continuous improvement attitude and a Customer First mindset
* Experience developing, communicating, managing, and implementing plans related to a product backlog.
* Insurance experience is a plus, but not required. Ability to learn quickly and to ‘connect the dots’
* Ability to communicate well with leadership team, peers, teams across the globe, manage stakeholders effectively and navigate a matrixed global organization
* Experience in a Product, Digital, or related role (Transformation, Operations, Technology) supporting multiple specialty areas of Digital, Data and Analytics in a mid to large sized enterprise.
* Excellent presentation, communication (oral \&amp; written), and relationship building skills, across all levels of management and stakeholder interaction.
* Passion for digital, data and AI and experience working within a digital and data driven organization
* Adaptable to new/different strategies, programs, technologies, practices, cultures, etc. Comfortable with change, able to easily make transitions.
* Bachelor’s or master’s degree in a relevant discipline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
 With an innovative and flexible approach to risk solutions, we partner with those who move the world forward.
 Learn more at axaxl.com
 What we offer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pay range for this position is USD 95,000\- $186,500\.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
 **s** 
 , please visit US Benefits at a Glance 2025\.</t>
        </is>
      </c>
    </row>
    <row r="55">
      <c r="A55" t="inlineStr">
        <is>
          <t>li-4339802709</t>
        </is>
      </c>
      <c r="B55" t="inlineStr">
        <is>
          <t>Principal Innovation Product Owner/ Product Manager</t>
        </is>
      </c>
      <c r="C55" t="inlineStr">
        <is>
          <t>The Depository Trust &amp; Clearing Corporation (DTCC)</t>
        </is>
      </c>
      <c r="D55" t="inlineStr">
        <is>
          <t>linkedin</t>
        </is>
      </c>
      <c r="E55" t="inlineStr"/>
      <c r="F55" t="inlineStr"/>
      <c r="G55" t="inlineStr">
        <is>
          <t>Jersey City, NJ</t>
        </is>
      </c>
      <c r="H55" t="inlineStr"/>
      <c r="I55"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successful candidate will drive and support a wide breadth of activities in support of Technology Research and Innovations’ (TRI) objectives. As a result of the team’s focus on elevating DTCC’s innovative profile internally and externally, the ideal candidate has a strong technical background with a business understanding, excellent communication skills, ability to synthesize sophisticated technical topics, keen interest in learning new technologies and dive deep into how it fits into DTCC. The candidate will be adept at building relationships and collaborating across stakeholders and can effectively prioritize and efficiently implement to thrive in a quick paced environment.
 The work environment will be fast\-paced with aggressive targets and timelines, involving lean team structures and a delivery\-oriented approach with very clear and visible definitions of success and failure. Given the nature of this domain, the role will provide excellent learning opportunities on some of the latest technologies changing the business and technological landscapes. The ability to swiftly ramp up on new technologies and turn those lessons into fast\-paced delivery will be key to being successful in this role.
**Your Primary Responsibilities**
 The candidate will drive the analysis and product management activities in support of the delivery of innovative technology projects, including research and process innovation, for the TRI group. There is a strong individual\-contributor aspect to this role requiring keen analytical skills, product \&amp; project management, stakeholder management, subject matter expertise and the ability to independently conduct exercises related to research, analysis, and process optimization.
 The candidate will closely partner with functions across the enterprise to ensure alignment and successful delivery, including Product Management, Legal, Operational and Technology Risk, IT Architecture, Application Development, Infrastructure, Architecture Review Board (ARB), New Initiatives Office (NIO) and others. As such, strong collaboration and relationship building skills are a must, and a strong understanding and experience of existing DTCC processes related to project lifecycle and compliance will be a strong plus.
**Key Responsibilities Include**
* Project Leadership
 Lead large\-scale strategic projects or multiple concurrent tactical initiatives. Oversee project scope, timelines, and budgets, and provide regular updates to collaborators, senior leadership, and governance bodies. Leverage industry trends and guidelines to advise project strategies and decision\-making.
* Solution Vision
 Own and facilitate the gathering and documentation of business and technical requirements. Draft functional and non\-functional specifications, design workflows, and ensure alignment across teams on the desired end\-state vision.
* Technology Advisory
 Recommend suitable technology stacks, assess architectural and software design proposals, and ensure compliance with internal standards and policies.
* Vendor Management
 Conduct technology due diligence and evaluate vendor offerings, including tools, platforms, and services. Lead vendor onboarding processes and contractual documentation.
* Research and Innovation
 Lead market studies, technology scouting, and process optimization efforts. Stay informed on emerging technologies and disruptions to find opportunities for innovation.
* Strategic Communications
 Develop content for internal and external audiences, including town halls, strategy sessions, blogs, videos, and public showcases. Collaborate with subject matter authorities to synthesize insights and support messaging.
**Talents Needed For Success**
* 10\+ years of experience in the technology industry, preferably related to application development, architecture and / or research
* Experience in the financial services industry is highly preferred
* Proven experience managing sophisticated technology projects in a fast\-paced environment
* Ability to translate strategic goals into actionable plans and results is required
* Strong understanding of software development, architecture, and emerging technologies
* Excellent communication and stakeholder management skills, ability to communicate technical topics to a non\-technical audience
* Experience with vendor evaluation and contract management
* Experience as a Product Manager, Business Analyst or Systems Analyst
**Highly Preferred Specialized Skills**
* Artificial Intelligence \&amp; Machine Learning experience is a strong plus
* Understanding of Post Trade Workflows, including Matching, Clearing, Settlement \&amp; Securities / Asset Servicing is desired.
* Experience of various Development Languages, Infrastructures and Architecture technology implementations in financial services environments would be beneficial
* A detailed of understanding of cloud technologies (AWS or Multicloud preferably) is advantageous.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56">
      <c r="A56" t="inlineStr">
        <is>
          <t>li-4345511662</t>
        </is>
      </c>
      <c r="B56" t="inlineStr">
        <is>
          <t>Lead Product Owner</t>
        </is>
      </c>
      <c r="C56" t="inlineStr">
        <is>
          <t>Marathon Petroleum Corporation</t>
        </is>
      </c>
      <c r="D56" t="inlineStr">
        <is>
          <t>linkedin</t>
        </is>
      </c>
      <c r="E56" t="inlineStr"/>
      <c r="F56" t="inlineStr"/>
      <c r="G56" t="inlineStr">
        <is>
          <t>Findlay, OH</t>
        </is>
      </c>
      <c r="H56" t="inlineStr"/>
      <c r="I56" t="inlineStr">
        <is>
          <t>**An exciting career awaits you**
 At MPC, we’re committed to being a great place to work – one that welcomes new ideas, encourages diverse perspectives, develops our people, and fosters a collaborative team environment.
 Position Summary
 The Lead Product Owner will join the Measurement, Accounting, \&amp; Scheduling Product Team within the Midstream IT Natural Gas \&amp; NGL Digital Products Line. As a Lead Product Owner, you will play a pivotal role in driving the strategic direction and delivery of innovative IT and OT solutions driving the evolution and reimagining of the measurement, accounting, and scheduling capabilities for NG\&amp;NGL and adjacent Midstream business segments. This role will be expected to identify, collect, and evaluate new technology ideas, strategic extensions, or enhancements to existing products and/or services to determine their potential to address customer needs and to achieve goals in revenue growth and market share. The product owner manages product lifecycles, including intent, definition, design, planning, development, prototyping and testing. Applies design thinking techniques (e.g. user stories, wireframing, prototyping) to define product features. Will work with internal and external partners, vendors, and supplies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7\+ years of relevant product owner experience required.
* Experience in Natural Gas and NGL Measurements, Operations Accounting, or Scheduling preferred
* Experience leading deployment and enhancement of Quorum Software Products such as FLOWCAL, TIPS, and TESTit is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00019774
 Pay Min/Max:
 $119,900\.00 \- $179,800\.00 Salary
 Grade:
 12
 Location Address:
 539 S Main St
 Additional locations:
 Denver, Colorado, San Antonio, Texas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57">
      <c r="A57" t="inlineStr">
        <is>
          <t>li-4315611288</t>
        </is>
      </c>
      <c r="B57" t="inlineStr">
        <is>
          <t>Senior Product Manager, Unified Service Platform</t>
        </is>
      </c>
      <c r="C57" t="inlineStr">
        <is>
          <t>Gusto</t>
        </is>
      </c>
      <c r="D57" t="inlineStr">
        <is>
          <t>linkedin</t>
        </is>
      </c>
      <c r="E57" t="inlineStr"/>
      <c r="F57" t="inlineStr"/>
      <c r="G57" t="inlineStr"/>
      <c r="H57" t="inlineStr"/>
      <c r="I5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Role**
 Join our Unified Service Platform team as a Senior Product Manager and lead the strategy and execution for AI\-driven experiences that make customer support faster, more personalized, and more scalable. You’ll define the product vision and roadmap for solutions spanning smart self\-service, agent tooling, routing and escalation, and AI\-enabled insights — balancing short\-term impact with long\-term platform health. Working closely with design, engineering, data science, and CX, you’ll translate customer and business needs into clear requirements, prioritize ruthlessly, and drive end\-to\-end delivery from discovery through launch and iteration.
 You’ll own the metrics and experiments that demonstrate value — reducing resolution time, increasing containment, improving satisfaction, and lowering support cost — and use qualitative and quantitative signals to continuously refine the product. As AI becomes central to the experience, you’ll partner on model design, guardrails, and responsible usage to ensure transparency, fairness, and privacy. You’ll also influence stakeholders across the org, mentor other PMs, and build cross\-functional alignment to scale solutions that empower small businesses and support teams alike.
 This role is a chance to shape a growing product area at the intersection of AI and customer experience, making a measurable difference in how millions of small businesses get the help they need.
**About The Team**
* Gusto equips small businesses with essential tools—Payroll, Benefits, Time Tracking, and Financial Products—backed by our Unified Service Platform (USP) team, who ensure customers get maximum value.
* The USP team powers Gusto’s ability to scale while maintaining top\-tier customer satisfaction. We collaborate cross\-functionally to build loyalty and earn customer trust.
* Join us to elevate our support and service experience, empowering teams to deliver seamless, efficient, and transformative customer experiences that go beyond expectations.
**Here’s What You’ll Do Day\-to\-day**
* Ownership: Translate customer needs and market insights into a robust product strategy for differentiated services (eg priority support). Manage the entire product lifecycle, from initial concept and development to launch and continuous refinement. Drive revenue growth and improve customer engagement through strategic optimization of service offerings.
* North Star: Lead initiatives to enhance customer satisfaction and loyalty, balancing efficiency and scalability through innovative tools and AI integration.
* Collaborate: Work closely with design, engineering, data, and operations teams to develop and implement AI/ML\-powered tools that improve customer experience, efficiency, reduce response times, and enhance customer satisfaction.
* Drive Decisions: Employ a customer\-centric approach, leveraging strong analytical skills and data\-driven insights to inform product decisions. Design and execute A/B tests to optimize product features and enhance the customer experience.
**Here’s What We're Looking For**
* Experience: 5\+ years of product management experience or adjacent roles, particularly in fast\-growing companies, with a proven track record of improving customer experience (CX) and directly impacting revenue.
* Customer\-First Approach: Strong commitment to understanding customer needs and delivering solutions that increase satisfaction and revenue.
* Strategic Decision\-Making: Adept at balancing long\-term objectives with immediate successes and making informed, tough decisions that leverage both data and judgment, while inspiring and motivating teams.
* Bias for action: You combine empathy with strong organizational skills, executing projects effectively and always seeking to learn and apply first principles thinking.
* Communication and Collaboration: Proven ability to work effectively with cross\-functional teams, with an ability to build trust, foster collaboration and influence without authority to achieve shared goals.
*If you don't think you meet all of the criteria above but still are interested in the job, please apply. Nobody checks every box, and we're looking for someone excited to join the team.*
 Our cash compensation amount for this role is $152,000/yr to $190,000/yr in Denver, and $184,000/yr to $230,000/yr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and Seattle, WA. Our open roles will specify on the careers page and in the job description where the position is eligible for work.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58">
      <c r="A58" t="inlineStr">
        <is>
          <t>li-4260299800</t>
        </is>
      </c>
      <c r="B58" t="inlineStr">
        <is>
          <t>Product Manager</t>
        </is>
      </c>
      <c r="C58" t="inlineStr">
        <is>
          <t>Dometic</t>
        </is>
      </c>
      <c r="D58" t="inlineStr">
        <is>
          <t>linkedin</t>
        </is>
      </c>
      <c r="E58" t="inlineStr"/>
      <c r="F58" t="inlineStr"/>
      <c r="G58" t="inlineStr">
        <is>
          <t>Stuart, FL</t>
        </is>
      </c>
      <c r="H58" t="inlineStr"/>
      <c r="I58" t="inlineStr">
        <is>
          <t>Dometic is a global market leader in the mobile living industry. Millions of people around the world use Dometic products in outdoor, residential, and professional applications.
 Our Marine organization is a trusted provider of innovative solutions for the worldwide boating and boat building industry, and we recently expanded our scope to lead the boating industry into an electrified future. Dometic has won numerous NMMA Innovation Awards over the years and we are always striving for new ways to make boating easier, safer, and more enjoyable.
 We are a journey of continuous growth – now looking for our next star – a passionate
 **Product Manager** 
 . This position reports to the Senior Product Manager and will work in Stuart, Florida.
**About The Position**
**As a Product Manager** 
 on the Stuart team, you will be involved in driving our connected products portfolio. Will be working with our existing digital switching and connectivity products improving customer journey with Global Dometic Marine product portfolio while working with other Product Managers managing products such as air conditioning, steering, trim tabs, refrigeration, power management, Jackplates. This position will help develop and deliver cohesive, integrated solutions that bring together Dometic products across multiple segments to meet the unique needs of the marine industry.
**Your Main Responsibilities**
* Own the portfolio of digital switching and telematics marine products
* Manage product competitiveness and complexity by ensuring right distance between SKUs (Stock Keeping Units), managing product life cycle, proposing end\-of\-life, and driving modularization
* Maintain a deep understanding of the markets, customer experiences, needs, segmentation, and competitor offerings
* Support product development prioritization based on input from the market, develop end\-to\-end product business plan, and identify needs for investment to ensure right products are built correctly
* Identify and fill product gaps and generate innovative ideas that grow market share
* Deeply understand current and future electrical system architectures, including both Dometic and third\-party components, to design and deliver custom integrated solutions tailored to OEM builder needs
* Support sales and marketing function in defining product positioning, USPs (Unique Selling Points), product branding, selling content, and value\-based selling
* Develop strong working relationship with key customers
* Develop and manage product vision white papers, roadmaps, presentations, and formal business cases
* Create buy\-in for the product vision internally and externally with key customers
* Define mechanical, electrical, and UI/UX product requirements
* Develop and set strategic pricing guardrails per segment to ensure appropriate product prices
* Drive product price positioning, product pricing lifecycle, and annual pricing updates
* Conduct margin analysis, industry/market research, and in\-life performance measurement to determine product demand, positioning, viability, and profitability
* Act as an internal voice of the customer for the development team
* Drive product launch priorities including working with public relations team, executives, and other product management team members
* Evaluate promotional plans to ensure that they are consistent with product line strategy and that the message is effectively conveyed
* Build awareness and understanding of products to clients (internal and external)
* Represent the company by visiting customers to solicit feedback on products and services
* Look for field feedback and warranty information and drive for product continuous improvement
* Pre\-empt potential problems and provide effective solutions in reaction to the application of concepts, techniques, knowledge, or processes developed to support the new product or product change
**What do we offer?**
 You are offered an interesting role in a dynamic, fast paced and global environment with great opportunities to grow and take on new challenges. The growth at Dometic is continuous – which gives you great possibilities to evolve with the company.
* Medical/Dental/Vision Insurance
* Employee Assistance Program (EAP)
* Disability insurance (STD/LTD)
* 401 (k) with company match
* PTO
* Company defined holidays and two floating holidays for you to use as you choose
* Paid maternity/paternity leave
* Tuition assistance
* Membership reimbursement (wholesale club and gym)
* Employee discounts on our incredible products
* Opportunities to make an impact
 ,
**A suitable background would be a** 
 solid experience within Electrical Engineering and Product Management – as well as the following qualifications and experiences:
* Degree from an accredited college/university in electrical engineering preferred
* Strong technical knowledge of software and hardware development
* Minimum 5 years of experience as an electrical engineer or product manager of electrical systems preferred
* Fundamental understanding of electrical concepts (e.g. voltage, current, power, wiring, circuit protection)
* Strong proficiency with MS Office Suite and the ability to learn other applications quickly
* Proficient at merchandizing and promoting products to target markets
* Able to analyze target markets and develop forecasts based on the data
* Ability to summarize data for a broader audience
**To be successful in this role, we believe that you possess the following skills, competencies \&amp; characteristics:**
 An interest or passion for the Marine industry and outdoor living, recreational boating
* Strong problem solving and decision\-making ability
* Excellent customer management skills and experience
* Ability to work well independently and as part of a cohesive team
* Strong written and verbal communication skills
* Exemplary standards of ethics, integrity, and accountability
* High attention to detail and strong organizational skills
* Prior experience in a startup environment or the marine industry – particularly in boat building or system integration – is a strong plus
* Be a self\-motivated individual contributor who thrives in a fast\-paced, hands\-on environment
* Be able to manage multiple responsibilities and prioritize effectively across shifting demands
**Dometic's Core Values**
 To thrive and succeed in this role, you understand the importance of our core values – Together We build our future, We play to win, We embrace change and We walk the talk; these values reflect the heart and soul of Dometic and they define what it takes to work here and how we do things.
**Are you our next star?** 
 Then we would love to see your application.
*Dometic is passionate about building together an inclusive and equitable working environment, that respects individual strengths, views, and experiences. We believe that diversity enables us to thrive across our differences. Be yourself and join us!*
*Dometic is proud to be an equal opportunity employer. Dometic evaluates qualified applicants without regard to race, color, religion, age, gender, national origin, disability status, protected veteran status, sexual orientation, gender identity or expression, or any other characteristic protected by federal, state, or local laws.*</t>
        </is>
      </c>
    </row>
    <row r="59">
      <c r="A59" t="inlineStr">
        <is>
          <t>li-4339454577</t>
        </is>
      </c>
      <c r="B59" t="inlineStr">
        <is>
          <t>Principal Product Manager - Technical</t>
        </is>
      </c>
      <c r="C59" t="inlineStr">
        <is>
          <t>IDC</t>
        </is>
      </c>
      <c r="D59" t="inlineStr">
        <is>
          <t>linkedin</t>
        </is>
      </c>
      <c r="E59" t="inlineStr"/>
      <c r="F59" t="inlineStr"/>
      <c r="G59" t="inlineStr"/>
      <c r="H59" t="inlineStr"/>
      <c r="I59" t="inlineStr">
        <is>
          <t>**About The Role \&amp; Team**
 IDC is building the next generation of intelligent, AI\-powered platforms that transform how technology decisions get made. This confidential initiative re\-imagines the way decision\-makers discover and interact with trusted research and data—and will be foundational to IDC’s future.
 We are looking for a remote
 **Principal Product Manager – Technical** 
 (PM\-T) to lead the product strategy, architecture, and execution for a core pillar of this new platform. You will operate as the single\-threaded owner for a critical domain, working across engineering, AI/ML, research, and design to deliver a seamless and scalable product experience.
 This role is a rare opportunity to define the strategy for a zero\-to\-one system—shaping how content is modeled, how user intents are recognized, and how insights flow across the IDC ecosystem. The right candidate will bring deep technical fluency, customer obsession, and a track record of delivering high\-impact platform products in fast\-paced environments.
**Responsibilities**
**What You’ll Do**
* Own the product vision, long\-term strategy, and roadmap for a foundational capability within IDC’s next\-gen discovery platform.
* Define the data models, technical architecture, and platform interfaces that power intelligent, context\-aware product experiences.
* Partner with engineering to design and deliver scalable APIs, system components, and observability layers that enable extensibility and reuse.
* Collaborate with AI/ML teams to integrate capabilities such as semantic search, LLM\-powered assistants, personalization, and classification systems.
* Write PRFAQs and technical narratives that align senior leadership, drive clarity across functions, and accelerate high\-judgment decisions.
* Engage directly with CIOs, analysts, and vendor partners to validate pain points and iterate toward product\-market fit.
* Define success metrics, build telemetry strategies, and use experimentation to drive continuous learning and iteration.
* Serve as the single\-threaded owner for your domain, mentoring others and raising the quality bar across the organization.
**Qualifications**
**W hat You Bring**
* 7\+ years of product management experience, with 4\+ years in a technical or platform product role.
* Bachelor’s degree in Computer Science, Engineering, or equivalent technical experience.
* Proven track record of shipping 0→2 products or scaling platform capabilities in ambiguous, high\-accountability environments.
* Deep technical fluency—you can meaningfully shape architecture, API design, and system trade\-offs with engineering teams.
* Exceptional written and verbal communication skills; able to influence VP\- and SVP\-level stakeholders.
* Demonstrated ability to lead cross\-functional initiatives that span engineering, data science, design, and research.
* Strong business and customer orientation; experience driving adoption, engagement, and m easurable business outcomes.
**Preferred Qualifications**
* Experience building or scaling AI/ML\-powered products, especially involving search, retrieval\-augmented generation (RAG), or entity extraction.
* Familiarity with knowledge graph design, semantic modeling, or enterprise data platforms.
* Background working with structured research, metadata systems, or content syndication at scale.
* Experience with enterprise SaaS, developer platforms, or B2B intelligence solutions.
* Ability to operate autonomously, manage ambiguity, and influence outcomes in a matrixed organization.
**Wh y This Role Stands Out**
 At IDC ,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
 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
**What We Offer**
* 15 vacation days (prorated based on start date)
* 12 company\-paid holidays
* 6 paid sick days (prorated based on start date; may vary by state)
* Medical, dental, and vision coverage
* 2 floating holidays (prorated based on start date)
* 1 volunteer day
* 401(k) company match (IDC matches 3% on the first 6% of employee contributions)
* Company\-paid short\-term disability
* Company\-paid parental leave
**Compensation Transparency**
 At IDC, we are committed to fair and equitable pay practices. Employees are compensated equitably for their work, aligned with their skills and experience. Salary and incentive structures are determined through a rigorous process that considers experience, education, certifications, role\-specific requirements, internal equity, and verified U.S. market data from an independent third\-party partner.
**The expected total annual compensation, depending on location and experience, is between $150,000–$186,000, inclusive of base salary and variable compensation.**
**Equal Opportunity Employer**
 IDC is committed to providing equal employment opportunities for all qualified persons . Employment eligibility verification required . We participate in E\-Verify.</t>
        </is>
      </c>
    </row>
    <row r="60">
      <c r="A60" t="inlineStr">
        <is>
          <t>li-4345194478</t>
        </is>
      </c>
      <c r="B60" t="inlineStr">
        <is>
          <t>Product Manager, Agentforce for Supply Chain, Platform &amp; Integrations</t>
        </is>
      </c>
      <c r="C60" t="inlineStr">
        <is>
          <t>Salesforce</t>
        </is>
      </c>
      <c r="D60" t="inlineStr">
        <is>
          <t>linkedin</t>
        </is>
      </c>
      <c r="E60" t="inlineStr"/>
      <c r="F60" t="inlineStr"/>
      <c r="G60" t="inlineStr">
        <is>
          <t>Seattle, WA</t>
        </is>
      </c>
      <c r="H60" t="inlineStr"/>
      <c r="I60"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for the Platform \&amp; Integrations, you will be vital in ensuring quality and trust are always at the forefront of the platform (e.g security, permissions). You will also be responsible to critical integration points to the platform.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designs,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**Must Have Skills**
* 3\+ years of product management experience in enterprise SaaS environments.
* Experience in robust permission models, integrations, and or large\-scale data governance.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**Nice To Have Skills**
* Bachelor’s degree in computer science, engineering, mathematics, supply chain management, or equivalent.
* Exposure to the supply chain, logistics, or manufacturing industry.
* Familiarity with the Salesforce platform ecosystem (e.g., APIs, platform services).
* Ability to design features in Figma with little design support.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$157,600 \- $216,700 annually. The range represents base salary only, and does not include company bonus, incentive for sales roles, equity or benefits, as applicable.</t>
        </is>
      </c>
    </row>
    <row r="61">
      <c r="A61" t="inlineStr">
        <is>
          <t>li-4305237147</t>
        </is>
      </c>
      <c r="B61" t="inlineStr">
        <is>
          <t>Senior Technical Product Manager (Platform Product - API &amp; Integrations)</t>
        </is>
      </c>
      <c r="C61" t="inlineStr">
        <is>
          <t>Crunchbase</t>
        </is>
      </c>
      <c r="D61" t="inlineStr">
        <is>
          <t>linkedin</t>
        </is>
      </c>
      <c r="E61" t="inlineStr"/>
      <c r="F61" t="inlineStr"/>
      <c r="G61" t="inlineStr">
        <is>
          <t>San Francisco, CA</t>
        </is>
      </c>
      <c r="H61" t="inlineStr"/>
      <c r="I61"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**Product Management at Crunchbase**
 As a Senior Technical Product Manager, you will lead the vision, strategy, and execution for Crunchbase’s technical product experiences \- including
 **APIs, SDKs, and integrations** 
 . You’ll empower customers, partners, and developers to seamlessly access and embed Crunchbase data into their workflows.
 In this role, you’ll drive how Crunchbase data powers the next generation of agentic applications and AI\-driven tools of our customers, ensuring our APIs operate seamlessly and efficiently within that ecosystem. You’ll also own the scalability, reliability, and impact of our CRM and go\-to\-market integrations, enabling customers to derive maximum value from Crunchbase data at scale.
 The ideal candidate combines deep technical acumen with strong product instincts, a data\-driven mindset, and the ability to influence across teams and functions. You’ll partner closely with engineering, design, data, and go\-to\-market stakeholders to deliver innovative, high\-quality, and high\-impact technical products.
**What You’ll Do:**
* Product Ownership: Define, prioritize, and drive the roadmap for Crunchbase APIs, SDKs, and integrations with external platforms and tools.
* Strategy \&amp; Vision: Develop the long\-term vision for how APIs and integrations extend Crunchbase’s value proposition across customer and partner ecosystems.
* Customer \&amp; Market Insight: Deeply understand developer, partner, and enterprise customer needs through research, feedback, and analytics. Translate these into product requirements.
* Collaboration: Partner with engineering, design, data science, sales, and customer success to deliver high\-quality product experiences.
* Developer Experience: Champion ease\-of\-use, reliability, and scalability for external developers and partners consuming Crunchbase data.
* Technical Expertise: Demonstrate the ability and willingness to get hands\-on with technology—whether writing scripts, building sample applications, or debugging API use cases.
* Technical Execution: Leverage your technical fluency to bridge product and engineering to build the right product architecturally, while helping external developers succeed by offering practical, integration guidance when needed.
* Evangelism: Represent Crunchbase APIs and integrations internally and externally, driving alignment and adoption.
**What We’re Looking For:**
* 5\+ years of experience in product management, including 3\+ years in a technical or platform product role
* Bachelor's degree in Business, Computer Science, Engineering, or a related field.
* Proven success managing API\-first or platform products, ideally within a SaaS or data\-focused company
* Strong Technical fluency: able to understand APIs, data models and integrations architectures
* Strong customer empathy, with a proven track record of translating developer and partner needs into product outcomes.
* Excellent communication and interpersonal skills; comfortable engaging both technical and non\-technical stakeholders.
* Familiarity with Agile/Scrum practices and cross\-functional product development.
* Analytical and data\-driven mindset with proven problem\-solving abilities.
* Comfort operating in a fast\-paced, evolving environment.
 Compensation Package:
 The salary range is $160,000 \- $185,000\.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62">
      <c r="A62" t="inlineStr">
        <is>
          <t>li-4345341471</t>
        </is>
      </c>
      <c r="B62" t="inlineStr">
        <is>
          <t>Senior Product Manager, Search Intent</t>
        </is>
      </c>
      <c r="C62" t="inlineStr">
        <is>
          <t>Expedia Group</t>
        </is>
      </c>
      <c r="D62" t="inlineStr">
        <is>
          <t>linkedin</t>
        </is>
      </c>
      <c r="E62" t="inlineStr"/>
      <c r="F62" t="inlineStr"/>
      <c r="G62" t="inlineStr">
        <is>
          <t>New York, NY</t>
        </is>
      </c>
      <c r="H62" t="inlineStr"/>
      <c r="I62"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**Senior Product Manager, Search Intent**
**Introduction To The Team**
 We’re building the next\-generation lodging search experience used by millions across Expedia, Hotels.com, and Vrbo. We’re looking for a strategic and collaborative Senior Product Manager to shape how travelers express intent and discover the right stay. You’ll define and deliver experience systems that make search intuitive, trustworthy, and personalized to ensure that travelers find the property for them quickly and confidently.
 This strategic role demands a deep understanding of UX best practices for AI\-powered experiences, the ability to align varied stakeholders behind a vision, and a user\-centric, innovative mindset. It will be highly visible and offers the potential to influence end\-to\-end experiences across all Expedia Group brands.
**In This Role, You Will**
* Translate AI and ML capabilities into intuitive, trustworthy, and delightful experiences for travelers
* Collaborate with PMs for Query Understanding and Semantic Search to shape and deliver the AI Search strategy
* Define and deliver configurable UX patterns and frameworks that support high\-quality, differentiated search experiences across multiple brands.
* Partner with UX design and research to validate usability and desirability of search experiences.
* Drive platform scalability and flexibility, enabling brand\-level customization without bespoke development.
* Be on top of industry trends in AI search, UX, personalization, and conversational interfaces and use that knowledge to spark innovation.
* Advocate for technical excellence and responsible AI practices in user\-facing experiences.
* Influence product strategy and investment decisions based on business impact, experience quality and platform leverage.
* Build clear requirements in ambiguous and complex scenarios requiring negotiation across multiple teams.
* Demonstrate ability to align and influence stakeholders beyond the product team and positively impact department\-level strategy.
* Be an active contributor and participant to team culture.
* Mentor more junior product managers.
**Minimum Qualifications**
* 7\+ years of product management experience, with expertise in consumer\-facing UX and 2\-sided marketplaces.
* Direct experience with AI\-driven features and their impact on user expectations.
* Proven track record driving product vision, influencing cross\-functional teams, and driving measurable outcomes in ambiguous environments.
**Preferred Qualifications**
* Strong collaboration skills with UX design, research, engineering, and data analytics.
* Strong data fluency and ability to interpret behavioral metrics.
* You have an insatiable curiosity to learn about users and what makes them tick.
 The total cash range for this position in Seattle is $173,000\.00 to $242,500\.00\. Employees in this role have the potential to increase their pay up to $277,000\.00, which is the top of the range, based on ongoing, demonstrated, and sustained performance in the role.
 The total cash range for this position in New York is $187,000\.00 to $261,500\.00\. Employees in this role have the potential to increase their pay up to $299,000\.00, which is the top of the range, based on ongoing, demonstrated, and sustained performance in the role. The total cash range for this position in Chicago is $161,000\.00 to $225,500\.00\. Employees in this role have the potential to increase their pay up to $257,500\.00, which is the top of the range, based on ongoing, demonstrated, and sustained performance in the role. The total cash range for this position in Austin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63">
      <c r="A63" t="inlineStr">
        <is>
          <t>li-4351851926</t>
        </is>
      </c>
      <c r="B63" t="inlineStr">
        <is>
          <t>Product Manager - Sales &amp; AI</t>
        </is>
      </c>
      <c r="C63" t="inlineStr">
        <is>
          <t>Mutual of Omaha Mortgage</t>
        </is>
      </c>
      <c r="D63" t="inlineStr">
        <is>
          <t>linkedin</t>
        </is>
      </c>
      <c r="E63" t="inlineStr"/>
      <c r="F63" t="inlineStr"/>
      <c r="G63" t="inlineStr">
        <is>
          <t>Irvine, CA</t>
        </is>
      </c>
      <c r="H63" t="inlineStr"/>
      <c r="I63" t="inlineStr">
        <is>
          <t>**Location: Location: Hybrid \- Irvine, CA**
 Mutual of Omaha is a Fortune 300 Company. Mutual of Omaha Mortgage is inspired by hometown values and a commitment to being responsible and caring for each other. We exist for the benefit of our customers and employees.
 Mutual of Omaha Mortgage is a full\-service lending company offering both Forward and Reverse Mortgage products including a complete line of residential mortgage, refinancing, specialty, and HECM loans. We employ a knowledgeable staff of experienced Loan Officers with an operations team that is second to none. If you are interested in joining a team that promotes from within and works together toward a common goal of helping customers with their mortgage needs, please review and apply for our opening below!
 We are seeking a
 **Product Manager \- Sales \&amp; AI with proven mortgage industry experience** 
 to own the development and integration of enterprise systems driving sales enablement and AI strategy. This role is accountable for end\-to\-end delivery of Salesforce, telephony, custom applications, loan origination systems, and all AI initiatives across the organization.
 The ideal candidate combines technical fluency with strategic product thinking, excels at stakeholder management, and delivers measurable business outcomes through Agile development, AI implementation, and data\-driven decision\-making. Mortgage Experience and Salesforce are required.
**Key Responsibilities**
*AI Strategy \&amp; Ownership*
* Own all AI initiatives: Maintain AI inventory and the Strategic Roadmap for all Corporate Initiatives
* Lead monthly AI governance reviews assessing model performance, new model impacts, vendor effectiveness, and compliance
* Evaluate and integrate new AI models with thorough impact assessments and regression testing
* Own AI compliance across state regulations and lending laws, partnering with legal to ensure regulatory adherence
* Implement AI quality assurance framework including regression testing protocols for all models and vendors
*Product Ownership \&amp; Sales Enablement*
* Own product backlog for Salesforce, telephony, AI tools, and Loan Origination System integrations
* Apply prioritization frameworks (WSJF, RICE, MoSCoW) focused on growth, profitability, and sales enablement
* Identify and drive opportunity enablers equipping sales teams to grow market share
* Lead full project lifecycle delivering tools that streamline sales workflows, reduce administrative burden, and increase win rates
* Design AI\-powered solutions that create competitive marketplace advantages
* Define and track KPIs emphasizing sales productivity, conversion rates, market share growth, and revenue impact
*Stakeholder Collaboration \&amp; Execution*
* Partner directly with sales teams and leadership to translate needs into scalable solutions driving performance
* Conduct regular sessions identifying pain points, market opportunities, and ensuring alignment with strategic growth objectives
* Collaborate across marketing, operations, IT, legal, and compliance for cross\-functional alignment
* Work closely with engineering, QA, AI/ML teams, and vendors to coordinate delivery and drive improvement
* Lead monthly AI governance meetings reviewing strategic roadmap, vendor performance, and compliance status
*Vendor \&amp; Integration Management*
* Drive system integrations through API planning and data mapping ensuring reliable sales operations
* Negotiate AI vendor relationships ensuring optimal value delivery
*Compliance \&amp; Quality Assurance*
* Establish comprehensive AI testing protocols and regression testing for consistent model performance
* Maintain governance frameworks monitoring AI performance, bias detection, and ethical usage
* Document all AI implementations supporting regulatory reviews and compliance audits
*User Enablement \&amp; Innovation*
* Lead training, documentation, and change management for sales teams adopting new tools and AI capabilities
* Stay informed on emerging AI technologies and best practices to identify growth opportunities
* Evaluate new AI models monthly, assessing business impact and competitive positioning
**Required Qualifications**
* 4\+ years as Product Manager/Technical Product Manager with enterprise systems and sales enablement focus
* Mortgage experience required
* Salesforce experience required
* AI technologies experience: AI vendor management, implementation, compliance, and QA testing
* Direct experience with sales teams delivering solutions that improve effectiveness and revenue growth
* Proven ability to drive opportunity enablers that grow market share and competitive positioning
* Proficiency in prioritization frameworks (WSJF, RICE, MoSCoW) with demonstrated ability to prioritize based on growth and profitability
* Experience with call center platforms, custom applications, and Loan Origination Systems
* Strong understanding of API integrations (RESTful APIs, middleware, data synchronization)
* Proficient in SQL and relational databases for data analysis and decision\-making
* Agile project management experience
* Vendor relationship management and contract negotiation experience
* Knowledge of AI governance frameworks, model testing, and compliance in regulated industries
* Excellent communication skills translating complex technical and AI concepts for non\-technical audiences
* Highly organized with track record managing multiple priorities in fast\-paced environments
* Proven track record implementing sales enablement and AI solutions that measurably improve performance
* Experience organizing enterprise\-wide AI initiatives and frameworks
**Benefits**
*Mutual of Omaha Mortgage is an Equal Opportunity Employer, and we encourage diverse, talented, qualified applicants to apply. We offer an extensive compensation package. Benefits include:*
* Vacation — Vacation hours accrue on a per pay period basis. Balance maximums are based on years of service.
* Paid Sick Time — 40 hours of paid sick time after 90 days of employment. State sick time requirements will be added as needed.
* 9 Paid Holidays \+ 1 Cultural Celebration Day (Floating Holiday)
* Multiple PPO Medical Plans, as well as HDHP eligible plan.
* Dental Coverage
* Vision Coverage
* Company Paid Life Insurance
* 401K with a generous employer match
* Additional Benefits including – Optional Life, FSA, Pet Insurance etc.
* Free Legal Services
* Employee Loan Program
 Powered by JazzHR</t>
        </is>
      </c>
    </row>
    <row r="64">
      <c r="A64" t="inlineStr">
        <is>
          <t>li-4345185482</t>
        </is>
      </c>
      <c r="B64" t="inlineStr">
        <is>
          <t>Product Owner, Billing Platform</t>
        </is>
      </c>
      <c r="C64" t="inlineStr">
        <is>
          <t>AXA XL</t>
        </is>
      </c>
      <c r="D64" t="inlineStr">
        <is>
          <t>linkedin</t>
        </is>
      </c>
      <c r="E64" t="inlineStr"/>
      <c r="F64" t="inlineStr"/>
      <c r="G64" t="inlineStr">
        <is>
          <t>Boston, MA</t>
        </is>
      </c>
      <c r="H64" t="inlineStr"/>
      <c r="I64" t="inlineStr">
        <is>
          <t>As the world changes and markets become more competitive, our clients’ needs become more complex. More than ever, we are competing for time, for opportunities, for relevance. Differentiation at all levels, including how we think about and engage with our clients, is so important. Our ambition is to unlock a more sustainable and prosperous tomorrow by helping businesses navigate the world’s risks. In the Americas, we will live up to that ambition by delivering value far beyond the insurance policies we provide. We are confronting our clients’ risk management challenges by finding solutions that further their strategic goals and help them build more sustainable, thriving businesses.
 In this newly established role, you will be a part of the Americas Growth Office team and drive implementation of a new Guidewire BillingCenter Platform for Commercial Lines P\&amp;C business. Key capabilities include bill plan management, invoicing, payment collection, delinquency management and commissions. Key integrations include Payment \&amp; Banking, Core Policy Admin System, Enterprise Services, Downstream \&amp; Reporting and Customer Service. You will be instrumental in defining the roadmap, prioritizing features, and ensure successful product releases that meet the needs of the stakeholders
 What you’ll be doing
* Own the successful delivery of Core Billing Platform development, partnering with the Product Manager, other billing \&amp; integration product owners and stakeholders to understand strategic and tactical needs and translate them into product requirements
* Create and maintain a clear and visible product backlog for your aligned scrum team, ensuring well\-defined and estimated user stories aligned with the product roadmap. Work alongside other Product Owners and Business Analysts to achieve a common delivery goal.
* Partner closely with the broader product implementation and development team, participating in team ceremonies, providing clarification on user stories, and ensuring alignment with the product vision. Contribute to Program Increment (PI) planning and PI Demos.
* Partner with other product owners to facilitate User Acceptance Testing (UAT). Partner with Product Manager and business stakeholders on a roll out plan.
* Contribute to defining and communicating the product vision, strategy, and goals
* Assist in the creation of business requirement documentation
* Partner with key areas within Global Technology, Transformation \&amp; Change Delivery, Group and other teams to build, and support key integrations.
* As required, once launched, provide day to day escalation and support to end users
 The Digital Product Owner will report to the Digital Product Manager, Billing.
 What you’ll bring
 We’re looking for someone who has these abilities and skills:
* Experience in leading 1\-2 human\-centric squads (5\-10 member), user testing and data analysis to improve user experiences. Scaled Agile experience is a plus.
* Proven success in defining and delivering a billing platform, or other comparable payment/FinTech platform. Understanding of complex legacy technology environments and integrations. Guidewire Billing Center knowledge is a plus, but not required.
* Requires a combination of solid hands\-on execution and strategic thinking. Bring in a collaborative spirit, can\-do continuous improvement attitude and a Customer First mindset
* Experience developing, communicating, managing, and implementing plans related to a product backlog.
* Insurance experience is a plus, but not required. Ability to learn quickly and to ‘connect the dots’
* Ability to communicate well with leadership team, peers, teams across the globe, manage stakeholders effectively and navigate a matrixed global organization
* Experience in a Product, Digital, or related role (Transformation, Operations, Technology) supporting multiple specialty areas of Digital, Data and Analytics in a mid to large sized enterprise.
* Excellent presentation, communication (oral \&amp; written), and relationship building skills, across all levels of management and stakeholder interaction.
* Passion for digital, data and AI and experience working within a digital and data driven organization
* Adaptable to new/different strategies, programs, technologies, practices, cultures, etc. Comfortable with change, able to easily make transitions.
* Bachelor’s or master’s degree in a relevant discipline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
 With an innovative and flexible approach to risk solutions, we partner with those who move the world forward.
 Learn more at axaxl.com
 What we offer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pay range for this position is USD 95,000\- $186,500\.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
 **s** 
 , please visit US Benefits at a Glance 2025\.</t>
        </is>
      </c>
    </row>
    <row r="65">
      <c r="A65" t="inlineStr">
        <is>
          <t>li-4305519149</t>
        </is>
      </c>
      <c r="B65" t="inlineStr">
        <is>
          <t>Technical Program Manager</t>
        </is>
      </c>
      <c r="C65" t="inlineStr">
        <is>
          <t>Roku</t>
        </is>
      </c>
      <c r="D65" t="inlineStr">
        <is>
          <t>linkedin</t>
        </is>
      </c>
      <c r="E65" t="inlineStr"/>
      <c r="F65" t="inlineStr"/>
      <c r="G65" t="inlineStr">
        <is>
          <t>San Jose, CA</t>
        </is>
      </c>
      <c r="H65" t="inlineStr"/>
      <c r="I6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Partner Management team’s mission is to guide our content partners to imagine, develop, and publish best\-in\-class video apps and experiences. As the primary point of contact for platform, product, and technical topics, we partner closely with content publishers/streaming services, third\-party developers, and cross\-functional teams within Roku, including Partner Payouts, Advertising, Product, Engineering, and Legal. In addition to facilitating onboarding and managing app launches across the world, we help partners build intuitive experiences that delight customers while ensuring compliance with Roku’s platform and business requirements.
**About the role** 
 The Technical Program Manager is responsible for leading key initiatives primarily related to partner payouts, and other initiatives around channel store operations, certification automation, and partner support. This individual brings deep expertise in partner\-facing programs, excels at building cross\-functional relationships, and leverages data to drive improvements to partner experience and internal operations.
 The Technical Program Manager provides insights that shape the partner ecosystem, owns high\-impact roadmaps, and ensures the smooth execution of programs that are critical to Roku’s growth.
 For California Only \- The estimated annual salary for this position is between $94,000 \- $150,000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 will be doing** 
**Partner Payouts:** 
* Serve as a subject matter expert for partner payout operations, ensuring tools and processes are optimized, scalable, and compliant.
* Lead partner migration to the new payment system, track issues, and deliver a seamless partner experience.
* Provide ongoing post\-launch support, resolving issues promptly and driving continuous improvements to payout workflows.
* Track, analyze, and report payout metrics to identify trends and inform business decisions.
**Channel Store Operations:** 
* Drive improvements to internal systems and processes to streamline channel store operations, deployments, and partner/developer management.
* Collaborate with product and engineering teams to scope and deliver new features that enhance efficiency and partner experience.
**Certification Automation:** 
* Manage the roadmap for projects focused on automating the certification of apps in the Roku Channel Store.
* Lead efforts to improve partner/developer management within internal systems by driving automation and operational excellence.
**Partner Management \&amp; Support:** 
* Leverage data to identify partner inquiry trends and recommend enhancements to partner support programs.
* Improve self\-service capabilities through better tooling, documentation, and automation.
* Manage partner tickets and ensure the Partner Knowledge Center remains up to date and effective.
**We’re excited if you have** 
* 4\+ years of technical program management or partner operations experience, ideally in a platform or marketplace environment.
* Hands\-on experience working with partner payout systems, including workflows, reconciliation, and issue resolution.
* Direct experience migrating partners to new payment or payout systems, with a proven record of driving successful transitions.
* Expertise in Roku Pay or similar payment systems, with an understanding of technical intricacies, payout structures, and partner\-facing impacts.
* Strong background in improving partner or developer operations through process and system enhancements.
* Demonstrated success in driving automation initiatives, such as certification or app review processes.
* Ability to build and maintain positive relationships with partners, provide outstanding support and proactively address concerns.
* Proven track record of using data analysis to identify trends, improve workflows, and enhance partner experiences.
* Excellent communication and stakeholder management skills, with the ability to influence across varying levels of the organization.
* Bachelor's degree in engineering, Business, or related discipline preferred.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6">
      <c r="A66" t="inlineStr">
        <is>
          <t>li-4328340162</t>
        </is>
      </c>
      <c r="B66" t="inlineStr">
        <is>
          <t>Global Product Manager</t>
        </is>
      </c>
      <c r="C66" t="inlineStr">
        <is>
          <t>Banner Engineering</t>
        </is>
      </c>
      <c r="D66" t="inlineStr">
        <is>
          <t>linkedin</t>
        </is>
      </c>
      <c r="E66" t="inlineStr"/>
      <c r="F66" t="inlineStr"/>
      <c r="G66" t="inlineStr">
        <is>
          <t>Plymouth, MN</t>
        </is>
      </c>
      <c r="H66" t="inlineStr"/>
      <c r="I66" t="inlineStr">
        <is>
          <t>**Why Work at Banner?**
 For over 50 years, Banner Engineering has been at the forefront of industrial automation. We offer products and solutions including award\-winning sensors, wireless solutions, machine safety, indication and LED lighting. From Fortune 500 leaders to innovative startups, Banner's award\-winning products and solutions are helping companies around the world increase efficiency, reduce costs, safeguard equipment, and protect personnel. Our commitment to innovation shows through a continuous, market\-driven evolution of products and technology. With engineers employed in nearly every major department, engineering is in our DNA.
 Banner is a rapidly growing company that offers many personal development opportunities, an excellent benefits package, and a collaborative team of employees who are passionate about what they do.
**Pay And Benefits**
 Banner Engineering is committed to offering competitive pay and benefits, including, but not limited to:
* 401(k) with match
* Student Loan 401(k) match program
* Medical, Dental, and Vision Insurance Plans
* HSA (Health Savings Account) with company contribution
* Paid Time Off (PTO)
* Sales and Profit Sharing Eligibility
* Flexible work hours
* Life Insurance
* Paid Parental Leave
* Pet Insurance
 Base Pay Range: $106,570 \- $132,036
 The estimated range is the budgeted amount for this position. Final offers are based on various factors, including skill set, experience, location, qualifications and other job\-related reasons.
**Position Summary**
 The Global Product Manager plays a key role in supporting the Sensors Business Unit by driving the execution of product strategies, supporting lifecycle management, and helping deliver innovative solutions that meet customer needs. This position is responsible for gathering market insights, product launches, and providing product\-related support to customers and sales teams, contributing to the success of the company’s growth targets and market leadership in sensor technologies.
 The Global Product Manager works closely with engineering, marketing, sales, operations, and external partners to ensure products are effectively positioned, launched, and supported throughout their lifecycle. The ideal candidate brings strong analytical skills, communication abilities, and a collaborative mindset and a proven ability to translate customer and market requirements into actionable product initiatives. This role offers the opportunity to make a meaningful impact in a fast\-paced, collaborative, and customer\-focused environment.
**What You’ll Be Doing**
 This is a great opportunity for someone who enjoys working collaboratively, staying on top of tasks, and making a meaningful impact across teams and projects. It is also essential for the individual in this role to actively engage in learning about the company’s products and their applications in depth to better support customers, identify opportunities, and contribute to long\-term growth.
**Key Responsibilities** 
* Product Lifecycle \&amp; Market Support
+ Guide products through their lifecycle, from launch planning to end\-of\-life transitions.
+ Monitor product performance and availability, identifying opportunities to improve adoption and customer satisfaction.
+ Partner with sales, marketing, and commercial teams to ensure products meet market requirements and customer expectations.
* Product \&amp; Portfolio Management
+ Maintain and update product information, collateral, and sales tools to ensure accuracy and consistency across channels.
+ Manage product portfolios, including SKU rationalization, positioning, and lifecycle planning.
+ Execute competitive benchmarking and market research to identify trends, customer needs, and areas for portfolio growth.
* Go\-to\-Market \&amp; Cross\-Functional Collaboration
+ Support go\-to\-market activities for new product launches, working with marketing, sales, and operations to ensure readiness.
+ Coordinate product messaging, positioning, and training materials to equip commercial teams for success.
+ Collaborate with operations and supply chain teams to monitor product availability and align supply with market demand.
**What You Bring To The Table**
 To perform this job successfully, you must be able to perform each essential duty satisfactorily, and regular attendance is required. The requirements listed below are representative of the knowledge, skill, and/or ability required to perform this job. Reasonable accommodation may be made to support individuals with disabilities.
**Required**
* Bachelor’s degree in Engineering, Manufacturing, Business, or a related technical field.
* High energy and drive to support multiple projects, initiatives, or tasks at the same time
**Preferred**
* 3\-5 years of experience in product or program management
* Strong understanding of engineering processes, BOMs, and ERP/MRP tools.
* Excellent attention to detail, documentation skills, and process management abilities.
* Ability to collaborate effectively with cross\-functional teams while maintaining a focus on execution.
* Experience with industrial automation or measurement technologies such as optical, radar, ultrasonic, or machine vision sensors
* Familiarity with lean manufacturing principles and supply chain optimization.
* Experience working with manufacturing, supply chain, and production teams to manage product execution.
**What To Expect At Work**
**Physical Demands**
*The physical demands described here must be met by an employee to successfully perform the essential functions of this job. Reasonable accommodations may be made to support individuals with disabilities.*
* Sit for up to 8 hours per day.
* Continuous movement, walking, or standing.
* Exposed to a computer screen for extended periods
* May require repetitive motions such as utilize a computer mouse, keyboard, computer, and other standard office equipment.
* Communicate with others frequently.
* Occasionally lift and/or move objects up to 25 pounds.
* Ability to travel by car/airplane to customer sites frequently (up to 20%)
**Working Environment**
*The work environment characteristics described here are representative of those you may encounter while performing the essential functions of this job.*
* Corporate office environment – indoor and climate\-controlled
**Core Values**
**Customer Driven, Accountability Focused, Integrity Always, New Solutions – Every Day**
 If you excel in a dynamic, collaborative environment and are looking for meaningful challenges and opportunities to grow, you’ll find a great fit here. Banner Engineering is a premier employer headquartered in MN, offering competitive compensation, comprehensive benefits, and opportunities for professional development as we rapidly grow in the Industrial Automation industry.
 Banner Engineering is an equal opportunity employer that considers all qualified applicants without regard to race, color, religion, sex, sexual orientation, national origin, disability, or protected veteran status.
 Equal Opportunity Employer (EOE) M/F/D/V
*This job description reflects management’s assignment of key responsibilities;* 
*it does not prescribe or restrict the tasks that may be assigned.*</t>
        </is>
      </c>
    </row>
    <row r="67">
      <c r="A67" t="inlineStr">
        <is>
          <t>li-4328331135</t>
        </is>
      </c>
      <c r="B67" t="inlineStr">
        <is>
          <t>Connected Product Owner</t>
        </is>
      </c>
      <c r="C67" t="inlineStr">
        <is>
          <t>Zurn Elkay Water Solutions</t>
        </is>
      </c>
      <c r="D67" t="inlineStr">
        <is>
          <t>linkedin</t>
        </is>
      </c>
      <c r="E67" t="inlineStr"/>
      <c r="F67" t="inlineStr"/>
      <c r="G67" t="inlineStr">
        <is>
          <t>Milwaukee, WI</t>
        </is>
      </c>
      <c r="H67" t="inlineStr"/>
      <c r="I67"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**Role Overview**
 The Connected Product Owner leads product planning, pricing, channel strategies, and go\-to\-market activities for Zurn Elkay’s connected products and services. This role integrates connected solutions across product families, manages the product lifecycle, and collaborates with engineering, sales, marketing, and cross\-functional teams to deliver winning products and ensure customer satisfaction.
**Key Responsibilities**
* Maintain centralized repositories for product information, ensuring materials are current and easily accessible.
* Define and own the vision and roadmap for Connected Solutions across B2B omni\-channels, ensuring alignment with business unit strategies.
* Analyze product performance, competitiveness, and market trends; develop strategies based on research and analysis.
* Conduct market and user research, leveraging VOC and usability testing to identify needs and communicate impactful value propositions.
* Work with engineering, hardware, marketing, sales, commercial, and IT teams to align priorities and deliver integrated release plans.
* Understand IoT platform architecture, APIs, integrations, and connectivity standards (e.g., BLE, LoRa, BACnet) to ensure scalability, reliability, and security.
* Own and manage the product backlog, ensuring well\-defined user stories, epics, and acceptance criteria aligned with the roadmap and stage\-gate milestones.
* Gather and analyze user feedback and product data to guide enhancements, prioritize features, and measure adoption and engagement via KPIs.
* Use structured stage\-gate principles for product lifecycle management, ensuring clear deliverables and data\-driven decisions.
* Collaborate with marketing to launch and optimize digital campaigns, landing pages, and lead generation funnels, ensuring robust tracking and continuous improvement.
* Ensure key leaders have visibility into product launches, marketing reviews, and connected positioning, including analysis of wins/losses and quantifiable reasons.
* Drive scaling and growth of connected solutions, optimize subscription and monetization models, standardize features, and track adoption metrics. Work with sales to identify and implement effective sales strategies.
**Qualifications**
* Bachelor’s degree in Engineering, Business, Marketing, or related field; MBA highly preferred.
* 5\+ years’ experience in product management/ownership, preferably with connected products or IoT.
* Experience in the plumbing market or related segment preferred.
* Experience with data visualization tools (Excel Charts, PowerBI, Tableau) preferred.
* Certified Scrum Product Owner (CSPO) or equivalent highly desired.
* Solid understanding of Agile, Scrum, Kanban, and software development processes.
* Experience with project management tools (Jira, Trello, Azure DevOps) preferred.
* Technical acumen in cloud platforms, APIs, or query languages (T\-SQL, oData) preferred.
* Proficiency in VOC, customer journey mapping, and agile delivery practices.
* Strong communication and decision\-making skills.
* Willingness to travel 15–25% of the time.
**Success Factors**
* Strategic Mindset: Anticipates future possibilities and translates them into breakthrough strategies.
* Business Insight: Applies marketplace knowledge to advance organizational goals.
* Collaboration: Builds partnerships and works collaboratively to meet shared objectives.
* Planning \&amp; Alignment: Prioritizes work to meet commitments aligned with organizational goals.
* Customer Focus: Builds strong customer relationships and delivers customer\-centric solutions.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68">
      <c r="A68" t="inlineStr">
        <is>
          <t>li-4350247861</t>
        </is>
      </c>
      <c r="B68" t="inlineStr">
        <is>
          <t>Senior Lead Game Product Manager</t>
        </is>
      </c>
      <c r="C68" t="inlineStr">
        <is>
          <t>PopCap Games</t>
        </is>
      </c>
      <c r="D68" t="inlineStr">
        <is>
          <t>linkedin</t>
        </is>
      </c>
      <c r="E68" t="inlineStr"/>
      <c r="F68" t="inlineStr"/>
      <c r="G68" t="inlineStr">
        <is>
          <t>Redwood City, CA</t>
        </is>
      </c>
      <c r="H68" t="inlineStr"/>
      <c r="I68"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PopCap is seeking an experienced Senior Lead Game Product Manager to join our team.
 As a Senior Lead Product Manager, you will be responsible for defining and driving the Acquisition, Engagement, and Monetization strategies for Plants vs Zombies 3\. You must be passionate about representing the voice and needs of our players and business.
 This role will focus on the New Player Funnel and Live Service Operations, with opportunities to flex into other areas of Game Product Management as the project necessitates. You will report to the head Product Manager on the team.
 Product Management is a collaborative, cross\-functional discipline. Product Managers are expected to work closely with other PMs, Analysts, Developers, Marketing, and other stakeholders.
 This is a role that drives decisions using data. Performance metrics, research, and analysis are all tools you have experience using to inform growth efforts.
**Responsibilities**
* Manage and conduct operations impacting the live service player journey from the install funnel through to regular daily engagement
* Conduct and communicate in\-depth analysis of live player behavioral trends using data insights and strong business acumen to impact top line KPIs
* Track performance on a daily, monthly, and quarterly basis
* Communicate KPIs to internal and external stakeholders and adjust designs/plans accordingly
* Work closely with the game team and various stakeholders to gather requirements and help define the live service roadmap
* Influence partners to rally behind your ideas and effect change among various teammates and collaborators
* Define requirements for Data Analytics, A/B testing, push notifications, and other partner tools
* Hold an informed, expert perspective on established models for monetizing games
* Monitor competitive trends and best practices, third parties tools/partnerships, and internal business intelligence with the goal of identifying opportunities to fold into PopCap’s operations
* Leverage first\- and third\-party tools to define, track, and serve a variety of player segments
* Learn, have fun and build games that millions of people love to play
**Requirements**
* Strong analytical skills and experience with data\-driven product design and decision making
* Success building web or mobile consumer\-facing products in the past
* Experience with every phase and/or deep experience with the live service phase of the game development cycle
* Experience with multivariate testing in web or mobile products
* Experience defining specs or PRDs with clear business requirements, user flows, and wireframes
* Strong in Excel, able to create models and simulations of in\-game economies
* Experience balancing virtual economies, with an strong understanding of how economy design impacts the user experience
* Strong communication and writing skills
* Experience communicating both creative and technical feedback to diverse groups
* Passion for creating great freemium games, with the ability to identify flaws in design, art, and “feel”
* Self\-motivated team player that brings excitement and enthusiasm to work each day
* Carry a growth mindset that is open to feedback and outside\-the\-box thinking
* Loves games and has experience with PopCap titles (Plants vs Zombies, Bejeweled, etc.)
**Qualifications**
* BS/BA degree, ideally in a quantitative discipline; MS/MBA preferred
* 8\+ years of experience in product management in live service games, scaled consumer\-facing digital products, and/or a systems design background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9">
      <c r="A69" t="inlineStr">
        <is>
          <t>li-4338082314</t>
        </is>
      </c>
      <c r="B69" t="inlineStr">
        <is>
          <t>Product Manager - Medium Voltage Products</t>
        </is>
      </c>
      <c r="C69" t="inlineStr">
        <is>
          <t>Industrial Electric Mfg. (IEM)</t>
        </is>
      </c>
      <c r="D69" t="inlineStr">
        <is>
          <t>linkedin</t>
        </is>
      </c>
      <c r="E69" t="inlineStr"/>
      <c r="F69" t="inlineStr"/>
      <c r="G69" t="inlineStr"/>
      <c r="H69" t="inlineStr"/>
      <c r="I69"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medium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70">
      <c r="A70" t="inlineStr">
        <is>
          <t>li-4345462329</t>
        </is>
      </c>
      <c r="B70" t="inlineStr">
        <is>
          <t>Senior Product Manager, Live TV &amp; Events</t>
        </is>
      </c>
      <c r="C70" t="inlineStr">
        <is>
          <t>Tubi</t>
        </is>
      </c>
      <c r="D70" t="inlineStr">
        <is>
          <t>linkedin</t>
        </is>
      </c>
      <c r="E70" t="inlineStr"/>
      <c r="F70" t="inlineStr"/>
      <c r="G70" t="inlineStr"/>
      <c r="H70" t="inlineStr"/>
      <c r="I70"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What sets Tubi apart is not just its vast on\-demand content library, but also
 **live TV and event programming that brings the world together in real time** 
 . Tubi’s free, ad\-supported live channels deliver linear TV experiences alongside curated event coverage, reaching massive audiences. In 2025, Tubi made history streaming
 *Super Bowl LIX* 
 , becoming part of the most streamed Super Bowl ever: Tubi’s simulcast drew an audience that peaked at
 **15\.5 million concurrent viewers** 
 , with
 **24 million unique viewers across game\-day programming** 
 , helping fuel the record\-breaking overall audience for the Big Game.
 We’re seeking a Senior Product Manager for our Live TV \&amp; Events experiences to lead the vision, strategy, and execution for Tubi’s linear TV product and live events. This role will have high visibility and will be pivotal in helping set short, medium \&amp; long term strategy for our linear product and live event programming.
**What You’ll Do**
* Own the Live TV \&amp; Events roadmap: Define product strategy, OKRs, and success metrics that grow viewership, tune\-in, and engagement across Tubi’s live channels and tentpole events.
* Elevate the live viewing experience: Lead improvements to Live Guides, Event Hubs, and real\-time playback flows to better surface upcoming programming, highlight event\-driven value props, and increase tune\-in conversion.
* Optimize event discoverability: Deliver technical and product enhancements that improve how users find and engage with live moments, including metadata systems, AI/ML discovery features, notifications, and CTV integrations for event\-based content.
* Drive high\-intent user activation: Design compelling entry points and friction\-balanced flows that guide users from browsing to real\-time viewing, and from live events into deeper long\-term engagement across Tubi.
* Experiment and iterate: Partner with Data Science to design A/B tests around live tune\-in, concurrency behavior, session length, and post\-event re\-engagement, and scale successful features across platforms.
* Ensure event readiness at scale: Collaborate with Engineering, Platform, and Operations to support reliability, latency, and performance requirements for major live events, ensuring seamless experiences during high\-traffic moments.
* Drive cross\-functional alignment: Work closely with Content, Marketing, Design, and Ad Sales to ship impactful initiatives that elevate Tubi’s live offering and maximize reach for priority events.
* Champion the viewer: Advocate for live audiences by ensuring intuitive discovery, clear event value messaging, and a trustworthy real\-time streaming experience from tune\-in to post\-event communications.
**Your Background**
* 6\+ years of product management experience, with significant time spent building consumer\-facing products, ideally in streaming, live content, or other real\-time, high\-traffic environments.
* Proven ability to launch and scale features that drive audience engagement such as tune\-in, session length, concurrency, or re\-engagement for live or event\-based programming.
* Strong analytical and technical fluency, including experience with experimentation, real\-time metrics, and translating complex behavioral data into product insights and strategy.
* Demonstrated success leading cross\-functional teams across Engineering, Design, Content, Marketing, and Operations to deliver reliable, high\-quality experiences during major live moments.
* Deep user empathy and storytelling skills, with a passion for creating intuitive, emotionally resonant experiences around live events, cultural moments, and premium content.
* Operational rigor and calm under pressure, with experience planning for and executing during high\-scale events or traffic surges.
**Preferred**
* Experience in streaming, sports, live broadcasting, or event\-based media, especially involving concurrency planning, latency optimization, or high\-reliability video delivery.
* Familiarity with live content programming workflows including metadata, scheduling, dynamic surfacing, UX for linear guides, or real\-time event promotion.
* Strong product instincts for discovery flows, notifications, and event lifecycle UX (pre\-event awareness → tune\-in → retention → post\-event engagement).
* Understanding of cross\-platform ecosystems (CTV, mobile, web) and how user motivations differ during live vs. on\-demand viewing.
* Experience working with or building real\-time systems, alerting mechanisms, operational playbooks, or event readiness processes.
* Bonus: Exposure to sports, news, or tentpole entertainment events, or familiarity with ad\-supported streaming monetization.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$169,500—$242,100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71">
      <c r="A71" t="inlineStr">
        <is>
          <t>li-4334297118</t>
        </is>
      </c>
      <c r="B71" t="inlineStr">
        <is>
          <t>Product Manager - Machine Learning &amp; Intelligence Operations</t>
        </is>
      </c>
      <c r="C71" t="inlineStr">
        <is>
          <t>JPMorganChase</t>
        </is>
      </c>
      <c r="D71" t="inlineStr">
        <is>
          <t>linkedin</t>
        </is>
      </c>
      <c r="E71" t="inlineStr"/>
      <c r="F71" t="inlineStr"/>
      <c r="G71" t="inlineStr">
        <is>
          <t>Columbus, OH</t>
        </is>
      </c>
      <c r="H71" t="inlineStr"/>
      <c r="I71" t="inlineStr">
        <is>
          <t>**Job Description**
 We are seeking for a talented and highly motivated leader to join the Machine Learning \&amp; Intelligent Operations (MLIO) team as Vice President, Product Manager. This role will spearhead transcription and conversational insights initiatives for the bank. The MLIO team is dedicated to developing innovative solutions using AI, machine learning, and a design\-thinking approach to significantly enhance both customer and employee experiences.
 As a Product Manager with Machine Learning \&amp; Intelligence Operations, you will define the strategy for your product, design, and execute on the product roadmap while embracing Agile methodology and best practices. You will lead cross\-functional teams comprising technologists, data scientists, researchers, designers, and analytics members to modernize the service experience for tens of millions of customers. Your relentless focus on the customer and employee experience will help establish the team’s priorities to maximize the value of the product and the work of the modeling and development teams.
**Job Responsibilities**
* Define the product strategy, roadmap, prioritization, and backlog for machine learning applications.
* Analyze contact volumes and customer journey/friction points across various channels to drive product feature prioritization.
* Lead agile product teams that include product managers, data scientists, machine learning engineers, and data analytics members.
* Manage existing product features and actively lead the research, definition, and development of new features to advance the product roadmap and performance.
* Maximize product value delivered through backlog creation, management, and prioritization of epics and user stories.
* Partner with user research and business/operations teams to analyze and ideate customer experience, behavior, and improvement opportunities.
* Prioritize strategies and solutions to enhance self\-service utilization and reduce customer contact volume.
* Collaborate with Controls/Risk, Audit, Compliance, Data \&amp; Model Governance, and Technology to ensure readiness to deliver on the product roadmap.
* Stay abreast of industry trends, emerging technologies, and best practices in AI and machine learning to continuously improve product offerings.
* Foster a culture of innovation, collaboration, and continuous improvement within the team.
**Required Qualifications, Capabilities, And Skills**
* 6\+ years of experience in Technical Product Management, ideally with AI/ML\-related products.
* Proven experience leading multi\-disciplinary teams in a large, matrixed organization and fast\-paced agile development environment.
* Demonstrated ability to make strategic decisions while candidly challenging the status quo to drive the right employee and customer outcomes.
* Applied experience in a variety of AI and machine learning techniques and technologies.
* Strong technical acumen: ability to independently manage large and complex relationships with internal technology partners.
* Ability to harness data and the power of analytics and customer insights for comprehensive strategy planning.
* Excellent communicator with the ability to fluidly interact with senior leaders, key stakeholders, employees, and third\-party vendors.
* Preferred: Experience working in or with customer service operations.
* Strong problem\-solving skills and the ability to think creatively and strategically.
* Experience with cloud\-based AI/ML platforms and tools is a plus.
**Preferred Qualifications, Capabilities, And Skills**
* Advanced degree in Computer Science, Engineering, Data Science, or a related field is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72">
      <c r="A72" t="inlineStr">
        <is>
          <t>li-4303411883</t>
        </is>
      </c>
      <c r="B72" t="inlineStr">
        <is>
          <t>Associate Product Manager, Accessories</t>
        </is>
      </c>
      <c r="C72" t="inlineStr">
        <is>
          <t>Life Fitness  / Hammer Strength</t>
        </is>
      </c>
      <c r="D72" t="inlineStr">
        <is>
          <t>linkedin</t>
        </is>
      </c>
      <c r="E72" t="inlineStr"/>
      <c r="F72" t="inlineStr"/>
      <c r="G72" t="inlineStr">
        <is>
          <t>Ramsey, MN</t>
        </is>
      </c>
      <c r="H72" t="inlineStr"/>
      <c r="I72" t="inlineStr">
        <is>
          <t>**Join us as we empower the world to work out, creating healthier lives together.**
 Are you
 **passionate about fitness** 
 and ready to build a career
 **raising the bar** 
 in fitness innovation and shaping the tools that empower athletes worldwide?
 Join the Life Fitness Accessories team as a driven and analytical
 **Associate Product Manager** 
 and put yourself at the heart of innovation. You will manage a dynamic, high\-mix portfolio that defines strength and functional training, spanning products such as dumbbells, Olympic bars, bumpers, kettlebells, sleds, plyo boxes, slam balls, and a wide array of other equipment. You will collaborate with world\-class engineering, design, marketing, and sales teams to manage the full product lifecycle—from ideation and market research to launch and performance analysis. If you thrive in a fast\-paced environment and have a unique blend of business acumen, creative problem\-solving, and a deep understanding of fitness, we want to hear from you.
*This is a hybrid position based out of our facility in Ramsey, MN. Team members work remotely on Mondays and Fridays and collaborate in\-office from Tuesday to Thursday.*
**As Our Associate Product Manager, Accessories, You Will**
* Assist the Product Director by contributing to the product vision and strategic roadmap for the accessories category, ensuring alignment with company goals, market trends, and customer needs.
* Conduct continuous market research, competitive analysis, and trend\-spotting to identify new product opportunities and customer pain points. Analyze key account purchasing data to uncover growth opportunities.
* Translate user needs into clear product requirements and user stories for the development team. Manage the portfolio's health, including strategies for Excess \&amp; Obsolete (E\&amp;O) inventory.
* Collaborate with marketing to develop compelling product positioning, messaging, and launch plans. Partner with the sales and e\-commerce teams to create strategies that drive volume, including developing attachment rate metrics, creating sales education modules, and defining equipment packages.
* Work closely with the Sourcing team to identify, qualify, and manage factory partners. Assist with cost negotiations, defining MOQs, and resolving supplier\-related challenges to ensure a healthy supply chain.
* Utilize tools like Microsoft Power BI to analyze sales data, financials, and other key performance indicators. Present data\-driven insights and progress updates to key stakeholders across the organization.
**What Life Fitness / Hammer Strength is looking for in our Associate Product Manager, Accessories:**
**Required Qualifications**
* Bachelor’s Degree in Business, Marketing, Engineering, Kinesiology, or a related field; or equivalent relevant work experience.
* 2\-5 years of experience in product management, product development, category management, or a similar role.
* Proven ability to analyze business metrics and financial data to drive decision\-making.
* Excellent project management skills with a demonstrated ability to manage multiple projects simultaneously in a fast\-paced environment.
* Strong communication, presentation, and interpersonal skills, with the ability to collaborate effectively across departments.
* Proficiency in Microsoft Office 365 (Excel, PowerPoint, Word).
* Willingness to travel 5\-10% (mostly domestic, occasionally international).
**Preferred Qualifications (Bonus Points If You Have)**
* Direct experience in the fitness equipment.
* A deep passion for and understanding of strength training, functional fitness, and biomechanics.
* Hands\-on experience with data visualization tools, specifically Microsoft Power BI.
* Experience working with a stage\-gate product development and launch process.
* Prior experience in supplier communication and relationship management, particularly with international partners.
* Familiarity with e\-commerce strategies and channel management.
 At Life Fitness / Hammer Strength,
 **we think customer first** 
 ,
 **play as one team** 
 , and
 **raise the bar on fitness innovation** 
 —in the gym and in every corner of our facilities. We
 **persevere and get it done** 
 , with a clear purpose to
 **inspire each other to live healthier lives** 
 . If you’re ready to bring out the best in people while powering the future of fitness manufacturing, we invite you to apply.
**Want to take the next step in your career?** 
 Life Fitness / Hammer Strength takes pride in our talented employees and believes in providing opportunities for further growth and advancement. We encourage you to test your strengths, push your limits, and unleash your potential. If you feel the position is right for you, we invite you to apply. We’ll work with you closely to support you throughout the hiring process. If your CV/ resume shows that your skills and experience have synergy with the job description, then we’ll hop on a call to get to know you and your experience and discuss the position in more detail. If it’s not the right opportunity this time, we’ll always let you know.
 At Life Fitness / Hammer Strength, we believe in taking care of our team with a comprehensive total rewards package that includes competitive pay and a range of valuable benefits. The salary range for this position, intended for U.S. applicants, is $68,600 \- $97,600 annually.The actual salary will vary based on applicant’s education, experience, skills, and abilities. The salary range reflected is based on a primary work location of Ramsey, MN and the actual salary may vary for applicants in a different geographic location.
 Life Fitness / Hammer Strength offers a comprehensive package of benefits for full\-time team members, including, but not limited to: a 401(k) savings plan with 4% employer match; medical, dental and vision insurance, parental, medical and military leaves of absence, paid time off, including 12 paid holidays throughout the calendar year, paid vacation days beginning at 13 days annually, paid sick leave as provided under state and local paid sick leave laws, company paid short\-term disability and optional long\-term disability, health savings account, health care and dependent care reimbursement accounts, employee and dependent life insurance and supplemental life and AD\&amp;D insurance, hospital indemnity; identity protection, legal services, adoption assistance, tuition assistance, commuter benefits, employee discounts, and an employee assistance program that includes free counseling sessions. Eligibility for benefits is governed by the applicable plan documents and policies.
 Life Fitness / Hammer Strength is an equal opportunity employer. All qualified applicants, including individuals with disabilities and protected veterans, are encouraged to apply. Life Fitness / Hammer Strength complies with all applicable federal, state, and local laws regarding employment
 *,*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There continues to be a significant increase in phishing attempts across all industries where fraudsters are impersonating real employees and sending fictitious job offers to applicants in a scheme to obtain sensitive information. Please note that Life Fitness/Hammer Strength will never ask for your financial information at any part of the interview process, including the post\-offer stage, and will only correspond through “@lifefitness.com” or "@indoorcycling.com" domain email addresses or “lifefitness@myworkday.com” for U.S. opportunities.
 Life Fitness/Hammer Strength does not accept applications, inquiries or solicitations from unapproved staffing agencies or vendors.</t>
        </is>
      </c>
    </row>
    <row r="73">
      <c r="A73" t="inlineStr">
        <is>
          <t>li-4345391841</t>
        </is>
      </c>
      <c r="B73" t="inlineStr">
        <is>
          <t>Associate Director, Product Owner</t>
        </is>
      </c>
      <c r="C73" t="inlineStr">
        <is>
          <t>Gartner</t>
        </is>
      </c>
      <c r="D73" t="inlineStr">
        <is>
          <t>linkedin</t>
        </is>
      </c>
      <c r="E73" t="inlineStr"/>
      <c r="F73" t="inlineStr"/>
      <c r="G73" t="inlineStr">
        <is>
          <t>Stamford, CT</t>
        </is>
      </c>
      <c r="H73" t="inlineStr"/>
      <c r="I73" t="inlineStr">
        <is>
          <t>**About this role:**
 We’re looking for a dynamic, tech\-savvy Product Owner to lead our Pendo platform strategy and execution—driving internal user engagement, improving UX, and integrating with our CRM platform. This role sits at the intersection of technology, user experience, and business impact, and is critical to enabling our Sales teams to operate with clarity, agility, and scale.
**What you’ll do:**
* Own the Pendo platform: Manage vendor relationship, roadmap, and day\-to\-day operations including guide creation, user segmentation, and platform optimization.
* Drive user engagement: Build and iterate in\-app communications and guides that help users discover value, take action, and build momentum.
* Analyze user behavior: Leverage Pendo analytics to uncover insights, identify friction points, and inform UX improvements and product strategy.
* Improve UX across surfaces: Collaborate with UX, product owners, and business stakeholders to enhance user journeys and drive intuitive, impactful experiences.
* Partner on cross\-functional pilots and initiatives: Partner with Sales Ops, IT, and Product teams to align on goals, define requirements, and deliver solutions that scale.
* Champion agility and innovation: Operate with a no\-limits mindset, continuously seeking new ways to improve tools, processes, and outcomes.
* Support change management: Drive adoption through thoughtful communication, training, and enablement programs.
**What you will need:**
* 6–8 years of experience in product management, marketing technology, or related roles
* Hands\-on experience with Pendo or similar platforms (e.g., WalkMe, Gainsight PX)
* Strong understanding of Salesforce and its capabilities
* Light development experience (e.g., HTML/CSS/JS) and comfort working with technical teams
* Proven ability to manage vendors and drive strategic partnerships
* Deep empathy for users and a passion for improving user experience
* Strong communication skills and ability to influence across functions
* Experience working in Agile/Scrum environments
* Strategic thinker with a bias for action and experimentation
* Bachelor's degree required
**What you will get:**
* Competitive salary, generous paid time off policy, charity match program, Medical, Dental \&amp; Vision Plans, Parental Leave, Employee Assistance Program (EAP), 401K matching, and more!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108,000 USD \- 148,000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ID:106566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74">
      <c r="A74" t="inlineStr">
        <is>
          <t>li-4334830667</t>
        </is>
      </c>
      <c r="B74" t="inlineStr">
        <is>
          <t>Product Manager - Aftermarket Parts</t>
        </is>
      </c>
      <c r="C74" t="inlineStr">
        <is>
          <t>Rehlko</t>
        </is>
      </c>
      <c r="D74" t="inlineStr">
        <is>
          <t>linkedin</t>
        </is>
      </c>
      <c r="E74" t="inlineStr"/>
      <c r="F74" t="inlineStr"/>
      <c r="G74" t="inlineStr">
        <is>
          <t>Kohler, WI</t>
        </is>
      </c>
      <c r="H74" t="inlineStr"/>
      <c r="I74" t="inlineStr">
        <is>
          <t>Why Work at Rehlko
 Our work is guided by our purpose: creating an energy\-resilient world for a better future. This purpose embodies the legacy we bring, with more than 100 years as the global leader in energy resilience, delivering solutions critical to sustain and improve life.
 Our teams have the opportunity to provide a critical resource – energy – that ensures safety, security, and independence for people around the world. Our team members are focused on pushing boundaries, continuing to innovate in an ever\-changing landscape, and keeping up with the pace required to create solutions for today’s world demands.
 Our product range includes engines, generators, power conversion, UPS systems, EV components and electrification solutions, microgrid controls and management, and clean energy solutions that serve a broad spectrum of OEM, residential, industrial, and commercial customers. At Rehlko, you have the freedom to identify, create, and deliver solutions – large and small – that help people and communities thrive in the moments that matter.
 At Rehlko, our team members are the essential energy that powers our organization’s success. We are committed to fostering a safe and sustainable work environment where safety is everyone’s responsibility. We empower every team member to actively participate in our Zero Is Possible safety culture by encouraging open communication, proactively reporting hazards, following protocols, and suggesting improvements. Join us in creating an energy resilient world for a better future!
**What We Offer**
 At Rehlko, our Total Rewards programs are designed to accelerate growth, energize performance, and support a culture of inclusion at every stage of life and work. We offer total rewards that are easily understood, recognize results, enable career mobility, and reflect our commitment to valuing diverse needs in a fast\-moving world. We provide:
* Competitive compensation and benefits
* Work\-life flexibility
* Recognition and rewards
* Development and career opportunities
* A safe and inclusive workplace
**Why You Will Love this Job**
 The
 **Product Manager – Aftermarket Solutions** 
 combines strategic vision with the ability to implement tactical strategies for profitable growth. The
 **Product Manager – Aftermarket Solutions** 
 will develop an all\-make aftermarket parts product portfolio; conducting market research; generating product requirements; determining specifications, production timetables, pricing, and time\-integrated plans for product introduction; developing marketing strategies.
**Work mode:** 
 Remote or Hybrid (2\-4 days onsite) if within 50 miles of Kohler WI
**Travel:** 
 20% travel US and Global
***Applicants must be authorized to work in the US without requiring sponsorship now or in the future.***
**Responsibilities**
* Manages the product development of all\-makes aftermarket parts product portfolio to support Rehlko Industrial service organizations.
* Data analysis is used to develop global strategic goals.
* Direct the implementation of the global product line strategic plan to prioritize and maximize company and product line profitability and investments.
* Determines customers' needs and desires by specifying the research needed to obtain market information.
* Assesses market competition by comparing the company's product to competitors' products.
* Drives the highest value products into the market at maximum profit and sales.
* Prepares and coaches the parts and service organizations on product application information, product initiatives, and profitability equations.
* Recommends the nature and scope of all\-make product categories by reviewing product specifications and requirements, appraising new product ideas and/or product or packaging changes.
* Provides source data for product line communications by defining product marketing communication objectives.
* Obtain product market share by working with the channel managers and strategic marketing to develop product sales strategies.
* Conduct market studies, including VOC to understand new/adjacent market opportunities and assess viability
* Bringing new products to market by analyzing proposed product requirements and product development programs; preparing return\-on\-investment analyses; establishing time schedules with engineering and purchasing.
* Introduce and markets new products by developing time\-integrated plans with sales, marketing, and production.
* Maintains professional and technical knowledge by attending educational workshops; reviewing professional publications; establishing personal networks; participating in professional societies.
* Contributes to team effort by accomplishing related results as needed.
* As the “expert” in the assigned product line make product presentations to key customers including national accounts, Rehlko regional service organizations, distributor parts and service organizations, and distributor advisory boards.
**Requirements**
* Bachelor’s degree is required; prefer degree in engineering, Business, or Marketing
* Master’s degree preferred
* 3\-4 years’ experience in Product Management or Sales or Industrial Marketing environment
* 3\-4 years’ experience in Analysis, Pricing, Planning, Competitive Analysis, Sales Planning, Financial Planning and Strategy.
* 1\-3 years knowledge of industrial engine driven products/markets
* Prior experience with understanding the Customer with product development
* Prior experience bringing new products to market with NPD gated process
* Proficient in Microsoft Word, Excel \&amp; Power Point
* CRM experience – Microsoft or SalesForce.com (preferred)
* A personable, enthusiastic and engaging personality.
* Ambitious and demonstrates initiative.
* Above average verbal and written communication skills.
* Ability to get along with others.
* Effectively function in a matrix and team environment.
* Highly organized, drive deadlines
 Rehlko hires candidates only in states where we have an established business presence. We do not hire candidates residing in the following states: AK, AR, DE, HI, ME, ND, NE, VT, WV, WY. Remote work opportunities are also unavailable for these locations.
**Work mode:** 
 Remote or Hybrid (2\-4 days onsite) if within 50 miles of Kohler WI
**Travel:** 
 20% travel US and Global
***Applicants must be authorized to work in the US without requiring sponsorship now or in the future.***
 The BASE Salary range for this position is $107,650\-$137,150\. The specific Base Salary rate offered to a candidate may be influenced by a variety of factors including the candidate’s experience, their education, and the work location.
 The Salary range for this position is $107,650\.00\-$137,150\.00\.The specific Salary rate offered to a candidate may be influenced by a variety of factors including the candidate’s experience, their education, and the work location.
**About Us**
 Rehlko proudly offers a rich history steeped in creativity and commitment to our associates and communities, along with competitive benefits and compensation. Our Purpose—Creating an energy resilient world for a better future—and Values: Curiosity, Trust, Pace, and Excellence, are important cultural components that shape the way we work and relate to one another. Learn more about Rehlko at http://www.rehlko.com/who\-we\-are.
 In addition to the investment in your development, Rehlko offers a benefits package including a competitive salary, health, vision, dental, 401(k) with Rehlko matching, and more!?
 Rehlko is an equal opportunity employer that prohibits discrimination and will make decisions regarding employment opportunities, including, but not limited to, hiring, job assignment, compensation, promotion, benefits, training, discipline, and termination, without regard to race, creed, color, ethnicity, religion, sex, pregnancy, childbirth, or related medical conditions, genetic information, age, national origin, citizenship, ancestry, caste, mental or physical disability, marital or familial status, sexual orientation, gender identity or expression, genetic information, political belief or affiliation, union membership status, military status, veteran status, or any other characteristic protected by national, state, local, or other applicable laws.
 Americans with Disabilities Act (ADA)
 It is the policy of Rehlko to comply with all applicable provisions of the Americans with Disabilities Act (ADA) and corresponding national, state, local, or other applicable laws. Rehlko will not discriminate against any qualified associate or applicant with respect to any terms, privileges, or conditions of employment because of a person's physical or mental disability. Rehlko will provide a reasonable accommodation to associates or applicants with disabilities, in accordance with applicable laws. If you have a disability and require an accommodation in the application process or during the course of employment, please contact EnergyJobs@rehlko.com. Rehlko is an equal opportunity/affirmative action employer.
**Our Values**
**Curiosity** 
 – Seek, learn, share
**Trust** 
 – Go farther together
**Pace** 
 – Focus to go faster
**Excellence** 
 – Find the win every day</t>
        </is>
      </c>
    </row>
    <row r="75">
      <c r="A75" t="inlineStr">
        <is>
          <t>li-4315889788</t>
        </is>
      </c>
      <c r="B75" t="inlineStr">
        <is>
          <t>Product Owner (Hybrid)</t>
        </is>
      </c>
      <c r="C75" t="inlineStr">
        <is>
          <t>Selective Insurance</t>
        </is>
      </c>
      <c r="D75" t="inlineStr">
        <is>
          <t>linkedin</t>
        </is>
      </c>
      <c r="E75" t="inlineStr"/>
      <c r="F75" t="inlineStr"/>
      <c r="G75" t="inlineStr">
        <is>
          <t>Short Hills, NJ</t>
        </is>
      </c>
      <c r="H75" t="inlineStr"/>
      <c r="I75"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Note: (For NJ candidates) This role will be located at our future headquarters in Short Hills, N.J. Until the new headquarters is operational, the successful candidate will be offered the ability to work in our Branchville, N.J. location during this interim period.
 The Product Owner is a product champion and key leader accountable for business value and outcomes, building a product mindset, and driving end\-to\-end delivery of strategic imperatives across agile development teams. A strategic thinker with a knack for execution, this individual distills product vision and strategy into actionable plans and ensures ongoing delivery of measurable value. The Product Owner is a passionate user advocate and proxy, engaging with internal and external customers to understand needs and experiences and represent these in the shaping and evolution of products. As a true business partner, the Product Owner collaborates with team members, product and program leaders, end users, customers, and other stakeholders in prioritizing and refining content, managing dependencies, measuring team and product outcomes, demonstrating impactful business value, and enabling meaningful continuous improvement.
**Responsibilities**
* Effectively synthesizes and translates product and program strategies and vision into actionable delivery plans for their dedicated agile development team
* Responsible for end to end value delivery and outcomes at the team level, collaborating with product leaders, IT partners, business leaders, and stakeholders to ensure teams are building the right thing at the right time.
* Acts as a customer advocate and proxy, engaging with internal and external customers to understand needs, optimize feedback mechanisms, and incorporate outcomes in product scope and design.
* Conducts and participates in market and competitive research efforts, introducing applicable findings in development of product initiatives.
* Collects, refines, and analyzes relevant data for informed decision making. Employs an economic view, assessing cost, benefit, and business value in determination of team priorities.
* Cultivates a product mindset, ensuring team\-level understanding and alignment with product strategy throughout development and innovation activities, navigating ambiguity, and embracing change.
* Owns, manages, and regularly prioritizes the user story backlog. Refines features and user stories in collaboration with the Product Manager and Business Analyst.
* Leads demonstration of business value and guides teams through agile ceremonies, program planning, defect remediation, and continuous improvement activities.
* Proactively manages team\-level dependencies, adapting delivery plans and communicating impacts as appropriate.
* Collaboratively manages measurement and tracking of outcomes and status reporting at the team level.
**Qualifications**
**Knowledge and Requirements**
* Understanding of the P\&amp;C insurance industry, product line or domain and aptitude for continued learning
* Strong collaborative and stakeholder management aptitude; appreciation for diverse perspectives
* Proficiency in customer and user engagement
* Proficiency in market and competitive research
* Strong problem\-solving capability, Intellectual curiosity, and development\-focused mindset
* Proficiency in data collection and analysis and ability to apply in effective decision\-making
* Comfort and aptitude in navigating ambiguity
* Strong ability to effectively operate at both strategic and tactical levels
* Strong understanding of and experience with product and software development lifecycles
* Knowledge of and practical experience writing and refining agile requirements
* Knowledge of and practical experience with agile methodologies and tooling
* Knowledge of and comfort working with regulated products
* Highly proficient written and verbal communication skills
**Education And Experience**
* College degree preferred
* 3\+ years of business analysis experience
* 3\+ years of experience in insurance line of business role
* Demonstrated success in leading projects from inception to delivery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$106,000\.00 \- USD $146,000\.00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76">
      <c r="A76" t="inlineStr">
        <is>
          <t>li-4303700387</t>
        </is>
      </c>
      <c r="B76" t="inlineStr">
        <is>
          <t>Product Manager, Cloudflare Workers</t>
        </is>
      </c>
      <c r="C76" t="inlineStr">
        <is>
          <t>Cloudflare</t>
        </is>
      </c>
      <c r="D76" t="inlineStr">
        <is>
          <t>linkedin</t>
        </is>
      </c>
      <c r="E76" t="inlineStr"/>
      <c r="F76" t="inlineStr"/>
      <c r="G76" t="inlineStr">
        <is>
          <t>New York, United States</t>
        </is>
      </c>
      <c r="H76" t="inlineStr"/>
      <c r="I7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Lisbon, and London**
**About The Role**
 We announced Cloudflare Workers in 2017 — since then it’s played a key role in Cloudflare’s strategy for entering the compute market. Until the launch of Workers, as Cloudflare was ramping up its capabilities in the performance and security spaces, it became clear that developers needed more ways to control the edge than rules engines could support.
 Workers has grown from a simple functions\-as\-a\-service option into a complete full\-stack platform — and with this comes the need to support a broader set of Runtime APIs. This spans a wide range, from TC39 standards, to Node.js APIs, to web standards. We played a key role in forming WinterCG, and there’s still much work to do to grow a shared base of APIs across runtimes — to push forward the ecosystem and ease the burden on open\-source maintainers of supporting multiple runtimes.
**What You’ll Do**
* Drive the strategy and roadmap for JavaScript APIs in the Cloudflare Workers Runtime
* Lead new APIs from ideation through launch, and continuing through ongoing maintenance and support
* Guide teams both internal and external on developing new JavaScript APIs in Workers, including first\-party Cloudflare products and external libraries seeking to increase compatibility
* Develop and nurture key external relationships with open\-source maintainers, and ensure their needs are heard and acted on
* Partner with other departments such as Product Marketing, Marketing, Community \&amp; developer advocacy, Sales, and Customer Support to drive adoption with and gather feedback from customers and prospects
* Ruthlessly prioritize across a complex environment of diverse customers, stakeholders and objectives
* Represent the company externally as needed, including meetings with customers, speaking at external events, participating in WinterCG and more.
**Examples Of Desirable Skills, Knowledge And Experience**
 The ideal candidate is entrepreneurial\-minded and thrives in a fast\-paced and goal\-driven environment.
 You have outstanding communication and collaboration skills and are able to work with a diverse group, get alignment, and drive the product forward. You are execution focused and emphasize getting things done while paying attention to important details.
* Proven track record of shipping developer\-facing products from ideation to launch, 3\+ years of professional experience working on technology products
* Strong knowledge of JavaScript, the NPM ecosystem, and web standards. You have built things in JavaScript and enjoy immersing yourself in the JavaScript community, engaging with new standards, libraries, and frameworks
* Developer focus — you’ll be working directly, and often be a part of the customers team in helping them get their initial implementation off the ground
* Strong technical abilities. You are intimately familiar with modern software development practices used to build and deploy applications. You are capable of wading into the details \&amp; understanding engineering decisions’ impact on the product, but can also drive 30k foot view
* A desire to sweat the details and ship great developer experiences
* A love for talking to developers at organizations both large and small on a daily basis so that you can build and ship products that solve real problems.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77">
      <c r="A77" t="inlineStr">
        <is>
          <t>li-4345206968</t>
        </is>
      </c>
      <c r="B77" t="inlineStr">
        <is>
          <t>Technical Program Manager, Ranking AI</t>
        </is>
      </c>
      <c r="C77" t="inlineStr">
        <is>
          <t>Meta</t>
        </is>
      </c>
      <c r="D77" t="inlineStr">
        <is>
          <t>linkedin</t>
        </is>
      </c>
      <c r="E77" t="inlineStr"/>
      <c r="F77" t="inlineStr"/>
      <c r="G77" t="inlineStr">
        <is>
          <t>Bellevue, WA</t>
        </is>
      </c>
      <c r="H77" t="inlineStr"/>
      <c r="I77"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Experience collaborating across multiple teams and functions, demonstrated critical thinking, and thought leadership
* Organizational coordination experience and experience establishing work relationships across multi\-disciplinary teams and multiple partners in different time zones
* Analytical and problem\-solving experience with large\-scale systems
 Preferred Qualifications:
* Extensive knowledge of Recommender Systems (RecSys), Machine Learning (ML) and Artificial Intelligence (AI) concepts, including their impact on infrastructure
* Hands\-on experience building machine learning models and/or recommender systems, with the capacity to clearly explain foundational ML concepts
* Familiarity with ML development workflows, model lifecycle management, and experimentation frameworks
* Experience with AI training environments and resource capacity planning
* Knowledge of digital advertising platforms and ads monetization strategies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8">
      <c r="A78" t="inlineStr">
        <is>
          <t>li-4328280280</t>
        </is>
      </c>
      <c r="B78" t="inlineStr">
        <is>
          <t>Technical Program Manager III, AI/ML Launches, Search</t>
        </is>
      </c>
      <c r="C78" t="inlineStr">
        <is>
          <t>Google</t>
        </is>
      </c>
      <c r="D78" t="inlineStr">
        <is>
          <t>linkedin</t>
        </is>
      </c>
      <c r="E78" t="inlineStr"/>
      <c r="F78" t="inlineStr"/>
      <c r="G78" t="inlineStr">
        <is>
          <t>Mountain View, CA</t>
        </is>
      </c>
      <c r="H78" t="inlineStr"/>
      <c r="I78" t="inlineStr">
        <is>
          <t>**Minimum qualifications:**
* Bachelor's degree in a technical field, or equivalent practical experience.
* 5 years of experience in program management.
* Experience working with consumer facing technology platforms.
* Experience with the product development life\-cycle. (e.g., managing the implementation and execution).
**Preferred qualifications:**
* 5 years of experience managing cross\-functional or cross\-team projects.
* Experience with search engines or search technologies.
* Experience in machine learning or artificial intelligence.
* Experience with release management lifecycles and project milestones.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Multimodal Search (Lens, Contextual Search and Searchbox and Suggest) team within Search (K\&amp;I) is dedicated to its mission of empowering users to search anywhere, anytime, and anyhow they desire. Our core focus is on simplifying and enhancing the intuitiveness of how people interact with Google to obtain useful answers. As a Technical Program Manager, you will operate as a key leader, driving initiatives that have an impact far beyond your immediate team. You will lead multiple programs, proactively identifying opportunities and organizing activities to deliver significant business, operational, and technical improvements. Your role demands that you navigate ambiguity; you will scope, phase, and testing cross\-functional and cross\-organizational programs from conception through to completion, including managing all downstream change management. A critical responsibility is ensuring clear and consistent alignment among executive stakeholders across disparate groups, building consensus, and driving decisions.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delivery of complex initiatives in Search. Identify stakeholders to strategize, plan, and prioritize objectives, while meticulously monitoring progress, managing risks with clear mitigation plans, and aligning schedules.
* Bring structure to ambiguous, long\-term projects by building effective program teams, guiding their alignment, and managing escalations to unblock obstacles.
* Leverage metrics and a continuous improvement mindset, you will drive data\-informed decisions and implement process enhancements.
* Plan, communicate, and stakeholder management, combined with deep technical domain knowledge, will be crucial as you represent programs from both business and technical perspectives, break down work, and ensure successful outcomes.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li-4328260376</t>
        </is>
      </c>
      <c r="B79" t="inlineStr">
        <is>
          <t>Technical Program Manager, Structuring Analyst</t>
        </is>
      </c>
      <c r="C79" t="inlineStr">
        <is>
          <t>Google</t>
        </is>
      </c>
      <c r="D79" t="inlineStr">
        <is>
          <t>linkedin</t>
        </is>
      </c>
      <c r="E79" t="inlineStr"/>
      <c r="F79" t="inlineStr"/>
      <c r="G79" t="inlineStr">
        <is>
          <t>New York, NY</t>
        </is>
      </c>
      <c r="H79" t="inlineStr"/>
      <c r="I7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San Francisco, CA, USA** 
 .
 **Minimum qualifications:**
* Bachelor's degree in a technical field, or equivalent practical experience.
* 2 years of experience in program management.
* Experience in quantitative modeling within the energy industry, portfolio management, risk management, and valuation analysis or structuring wholesale energy market business agreements, including retail energy supply, power purchase agreement (PPA) agreements, and investments.
* Experience in Python programming and building quantitative models that leverage SQL based queries to convert data into business insights.
**Preferred qualifications:**
* 2 years of experience managing cross\-functional or cross\-team projects.
* Experience with wholesale electricity markets and structuring in multiple regions.
* Understanding of applied and financial mathematics concepts and techniques (including statistical techniques, option pricing and monte carlo simulation techniques), with experience performing quantitative analysis.
* Excellent cross\-functional collaboration, with the ability to coordinate with both energy experts and non\-experts.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Structuring Analyst on the Portfolio Management team, you will lead individual initiatives and projects and work with teams across the company in support of Google's global data center energy portfolio, including our efforts to reach 24/7 carbon\-free energy and other clean energy objectives. In this role, you will focus on providing structuring expertise to the energy team by reviewing the portfolio impact of non\-standard agreements structures, analysis, risks, and non\-standard contract terms and conditions while proactively identifying improvements that support portfolio optimization. You will also play an instrumental role on the team evaluating and structuring investments to support the energy portfolio’s objectives. This includes supporting and guiding execution on specific commercial agreements points driven by data derived from financial modeling while identifying and optimizing for portfolio wide objectives.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cross\-functionally to identify new structuring opportunities, while incorporating a comprehensive view of the portfolio.
* Guide negotiators to identify, structure, and price non\-standard agreements.
* Create analysis to support portfolio management transactions, evaluate investment opportunities and assist in the discussion of transaction provisions and structuring.
* Assess and translate competition, industry trends, emerging issues, and changes in the marketplace into structuring strategies.
* Develop innovative solutions that improve the way the portfolio is managed while achieving portfolio objectives.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li-4315380313</t>
        </is>
      </c>
      <c r="B80" t="inlineStr">
        <is>
          <t>Sr. Project/Program Manager II</t>
        </is>
      </c>
      <c r="C80" t="inlineStr">
        <is>
          <t>YETI</t>
        </is>
      </c>
      <c r="D80" t="inlineStr">
        <is>
          <t>linkedin</t>
        </is>
      </c>
      <c r="E80" t="inlineStr"/>
      <c r="F80" t="inlineStr"/>
      <c r="G80" t="inlineStr">
        <is>
          <t>Austin, TX</t>
        </is>
      </c>
      <c r="H80" t="inlineStr"/>
      <c r="I80"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We are seeking a highly experienced and strategic
 **Senior Program Manager** 
 to lead and drive complex, company\-wide cross\-functional programs that align with our organizational goals and global expansion. This role requires a seasoned professional with a proven track record of managing large\-scale initiatives across multiple business units, ensuring successful delivery through expert planning, execution, and stakeholder engagement.
**Key Responsibilities**
* Lead the planning, execution, and delivery of company\-wide cross\-functional programs, ensuring alignment with strategic objectives which may include international or domestic projects.
* Define program scope, goals, and deliverables in collaboration with senior leadership and stakeholders.
* Develop detailed program roadmaps, timelines, and resource plans.
* Manage cross\-functional teams, including internal departments and external partners.
* Identify and mitigate risks, resolve issues, and ensure program objectives are met on time and within budget.
* Establish and maintain strong relationships with executive sponsors and key stakeholders.
* Drive continuous improvement through post\-program reviews and lessons learned.
* Ensure compliance with organizational policies, standards, and governance frameworks.
* Provide mentorship and guidance to junior program and project managers.
**Qualifications**
* Bachelor’s degree in Business, Engineering, Information Technology, or a related field.
* 8\+ years of relevant experience, with a focus on enterprise\-level initiatives.
* Proven success in managing global, large, complex programs with multiple workstreams and stakeholders.
* Proven business acumen in CPG/Retail industry.
* Strong understanding of project and program management methodologies (e.g., Agile, Waterfall, SAFe).
* Exceptional leadership, communication, and interpersonal skills.
* Experience with tools such as SAP, Microsoft Project, JIRA, Confluence, or similar.
* PMP, PgMP, or equivalent certification strongly preferred.
* Strategic thinker with a strong business acumen.
* Ability to influence and drive change across all levels of the organization.
* Comfortable working in a fast\-paced, dynamic environment.
* Strong analytical and problem\-solving skills.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81">
      <c r="A81" t="inlineStr">
        <is>
          <t>li-4321205254</t>
        </is>
      </c>
      <c r="B81" t="inlineStr">
        <is>
          <t>Product Manager - ArcGIS Editing</t>
        </is>
      </c>
      <c r="C81" t="inlineStr">
        <is>
          <t>Esri</t>
        </is>
      </c>
      <c r="D81" t="inlineStr">
        <is>
          <t>linkedin</t>
        </is>
      </c>
      <c r="E81" t="inlineStr"/>
      <c r="F81" t="inlineStr"/>
      <c r="G81" t="inlineStr">
        <is>
          <t>Redlands, CA</t>
        </is>
      </c>
      <c r="H81" t="inlineStr"/>
      <c r="I81" t="inlineStr">
        <is>
          <t>**Overview**
 Maintaining data has always been a critical part of the ArcGIS system with Esri continuing to maintain industry leading desktop, mobile and web tools for editing data. Esri is looking for the right individual to join a team of product managers looking to continue and extend the editing capabilities within ArcGIS across the platform. You will be focused on the future of editing capabilities across the ArcGIS portfolio working with internal Esri staff, customers, distributors and business partners to promote the current functionality and future direction. You will have the challenge of not only evangelizing the capabilities of the editing technology, while also helping to define and prioritize how the technology moves forward.
**Responsibilities**
* Be part of a team of product managers working on editing capabilities across the ArcGIS platform
* Work with customers to collect, define and organize user requirements related to editing for desktop, web and mobile applications
* Coordinate with Software Development and Software Products groups to ensure that features and functionality remain relevant to user requirements
* Support sales and marketing teams, as well as the extended distributor and partner networks with innovative demos and other presentation materials around the editing capabilities, direction, and priorities
* Provide timely messaging around cross platform editing capabilities via blogs and other publicly facing documentation, this could consist of taking components of the product and platforms and walking through functionality as it applies to the various business sectors
* Brief senior management on the direction of editing technology including timelines, priorities, and current status of customers with the various applications for editing
* Attend conferences, trade shows, and more to represent editing capabilities through meetings, demonstrations, and requirements gathering
* Assist in competitive and gap analysis
* Help minimize implementation issues by providing internal staff, partners, and end customers with information on current and upcoming releases
**Requirements**
* 2\+ years of experience with ArcGIS editing capabilities on the desktop, web, or mobile environments
* Experience in giving presentations to audiences with varying levels of technical expertise
* Ability to coordinate people and technical resources from multiple areas of the company
* Effective time management, leadership, and organizational skills
* Excellent verbal and written communication skills at the technical and executive level
* Excellent problem\-solving and creative thinking skills
* Ability to travel 10%\-20% of the time to customer sites, conferences, trade shows, and other strategic meetings and events
* Bachelor's in computer science, GIS, or related field
**Recommended Qualifications**
* Master's in computer science, GIS, or related field
* Experience with ArcGIS Enterprise, ArcGIS Pro, and other Esri technology in a product support, product planning, or consulting environment
* Experience with CAD based editing environments
* Understanding of existing ArcGIS geodatabase functionality and database integration options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$91,520\-$151,424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2025\-3280</t>
        </is>
      </c>
    </row>
    <row r="82">
      <c r="A82" t="inlineStr">
        <is>
          <t>li-4345371687</t>
        </is>
      </c>
      <c r="B82" t="inlineStr">
        <is>
          <t>VP, Digital Onboarding Product Manager-Transaction Banking</t>
        </is>
      </c>
      <c r="C82" t="inlineStr">
        <is>
          <t>MUFG</t>
        </is>
      </c>
      <c r="D82" t="inlineStr">
        <is>
          <t>linkedin</t>
        </is>
      </c>
      <c r="E82" t="inlineStr"/>
      <c r="F82" t="inlineStr"/>
      <c r="G82" t="inlineStr">
        <is>
          <t>New York, NY</t>
        </is>
      </c>
      <c r="H82" t="inlineStr"/>
      <c r="I82"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**Position Summary:**
 The Transaction Banking Product and Digital Channels teams consist of skilled Product Managers, Business Analysts, Technical Support representatives, and Project Managers dedicated to developing and maintaining online banking products that fulfill our customers’ financial requirements. This mid\-level role is intended for a motivated professional with 6\+ years of experience seeking to advance their career in Digital Product Management. The successful candidate will collaborate with Senior Product Managers to ensure the delivery of a modern, seamless onboarding experience via the MUFG Exchange platform, as well as oversee self\-service functionalities.
**Major Responsibilities:**
* Manage high visibility onboarding strategy and initiatives with multiple stakeholders to drive alignment and an improved customer experience
* Partner with technology, operations, sales, compliance risk and client delivery to build and deliver a new onboarding and maintenance experience for MUFG’s digital channels
* Produce and commercialize metrics and key details for self\-service onboarding and maintenance of customers
* Works with front\-line and customer advocacy staff to ensure that feedback about the product experience is obtained, analyzed, and utilized to drive product changes and enhancements.
* Analyze market trends to identify opportunities to partner with FinTech services.
* Works with internal teams to ensure that front line personnel are trained on all aspects of our Digital Products; this may involve updating product demos and user guides and facilitating training or Q\&amp;A sessions.
* Works with Product Managers on competitive analyses, reporting on product performance metrics, strategy planning and presentations.
* Assists with routine vendor management and risk management tasks.
* Helps coordinate internal communications, marketing activities and schedules.
* Advocates for outstanding customer experiences.
* Supports online product deployments. Related activities may include the creation of product bulletins, updating the intranet site, user acceptance testing, and production validation activities (may occur outside of business hours).
* Actively ensures compliance with the Bank's Business Standards of Conduct and all Patriot Act, CIP, Anti\-Money Laundering, Bank Secrecy Act, Information Security and suspicious activity reporting requirements, and other regulatory and compliance policies and procedures. Successfully completes all requisite corporate and business line compliance training.
**Requirements:**
* Experience in cash management entity onboarding of global and regional institutions
* Deep knowledge of transaction banking onboarding processes, e\-signature solutions, digital authentication, and API integrations
* This position requires a degree from a four\-year college (e.g., B.A., B.S.) preferably with a science, technology, engineering or math background.
* Advanced degree or MBA are not required but would be advantageous.
* Must be a creative problem solver who is willing to work hard and learn.
* Strong organization and communication skills are required.
 The typical base pay range for this role is between $134K \- $185K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83">
      <c r="A83" t="inlineStr">
        <is>
          <t>li-4345321763</t>
        </is>
      </c>
      <c r="B83" t="inlineStr">
        <is>
          <t>VP, Digital Onboarding Product Manager-Transaction Banking</t>
        </is>
      </c>
      <c r="C83" t="inlineStr">
        <is>
          <t>MUFG</t>
        </is>
      </c>
      <c r="D83" t="inlineStr">
        <is>
          <t>linkedin</t>
        </is>
      </c>
      <c r="E83" t="inlineStr"/>
      <c r="F83" t="inlineStr"/>
      <c r="G83" t="inlineStr">
        <is>
          <t>Los Angeles, CA</t>
        </is>
      </c>
      <c r="H83" t="inlineStr"/>
      <c r="I83"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**Position Summary:**
 The Transaction Banking Product and Digital Channels teams consist of skilled Product Managers, Business Analysts, Technical Support representatives, and Project Managers dedicated to developing and maintaining online banking products that fulfill our customers’ financial requirements. This mid\-level role is intended for a motivated professional with 6\+ years of experience seeking to advance their career in Digital Product Management. The successful candidate will collaborate with Senior Product Managers to ensure the delivery of a modern, seamless onboarding experience via the MUFG Exchange platform, as well as oversee self\-service functionalities.
**Major Responsibilities:**
* Manage high visibility onboarding strategy and initiatives with multiple stakeholders to drive alignment and an improved customer experience
* Partner with technology, operations, sales, compliance risk and client delivery to build and deliver a new onboarding and maintenance experience for MUFG’s digital channels
* Produce and commercialize metrics and key details for self\-service onboarding and maintenance of customers
* Works with front\-line and customer advocacy staff to ensure that feedback about the product experience is obtained, analyzed, and utilized to drive product changes and enhancements.
* Analyze market trends to identify opportunities to partner with FinTech services.
* Works with internal teams to ensure that front line personnel are trained on all aspects of our Digital Products; this may involve updating product demos and user guides and facilitating training or Q\&amp;A sessions.
* Works with Product Managers on competitive analyses, reporting on product performance metrics, strategy planning and presentations.
* Assists with routine vendor management and risk management tasks.
* Helps coordinate internal communications, marketing activities and schedules.
* Advocates for outstanding customer experiences.
* Supports online product deployments. Related activities may include the creation of product bulletins, updating the intranet site, user acceptance testing, and production validation activities (may occur outside of business hours).
* Actively ensures compliance with the Bank's Business Standards of Conduct and all Patriot Act, CIP, Anti\-Money Laundering, Bank Secrecy Act, Information Security and suspicious activity reporting requirements, and other regulatory and compliance policies and procedures. Successfully completes all requisite corporate and business line compliance training.
**Requirements:**
* Experience in cash management entity onboarding of global and regional institutions
* Deep knowledge of transaction banking onboarding processes, e\-signature solutions, digital authentication, and API integrations
* This position requires a degree from a four\-year college (e.g., B.A., B.S.) preferably with a science, technology, engineering or math background.
* Advanced degree or MBA are not required but would be advantageous.
* Must be a creative problem solver who is willing to work hard and learn.
* Strong organization and communication skills are required.
 The typical base pay range for this role is between $134K \- $185K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84">
      <c r="A84" t="inlineStr">
        <is>
          <t>li-4328216572</t>
        </is>
      </c>
      <c r="B84" t="inlineStr">
        <is>
          <t>Principal Technical Product Manager – Salesforce (Capture Management &amp; Competitive Intelligence)</t>
        </is>
      </c>
      <c r="C84" t="inlineStr">
        <is>
          <t>GE Aerospace</t>
        </is>
      </c>
      <c r="D84" t="inlineStr">
        <is>
          <t>linkedin</t>
        </is>
      </c>
      <c r="E84" t="inlineStr"/>
      <c r="F84" t="inlineStr"/>
      <c r="G84" t="inlineStr">
        <is>
          <t>Cincinnati, OH</t>
        </is>
      </c>
      <c r="H84" t="inlineStr"/>
      <c r="I84" t="inlineStr">
        <is>
          <t>**Job Description Summary**
 The Principal Technical Product Manager – Salesforce is a senior leader responsible for defining and delivering the digital capabilities that power capture management across the opportunity lifecycle. This role owns the strategy, multi\-year roadmap, and execution of Salesforce\-based products that enable teams to identify, qualify, pursue, and win opportunities more effectively. A key focus area will be building out competitive intelligence capabilities integrated into capture workflows to improve win rate and decision quality.
**Job Description**
**Responsibilities for this role include the following:**
* Product Strategy \&amp; Roadmap (Capture Management)
* Define the vision and strategy for capture management products, covering lead identification, qualification, pursuit, proposal support, approvals, and handoff to pricing and execution.
* Develop and maintain a multi\-year roadmap that uses Salesforce as the primary platform (e.g., Sales Cloud, Experience Cloud, CPQ, CRM Analytics) to support capture workflows, governance, and reporting.
* Align roadmap with business outcomes, including improved win rate, increased pipeline quality, shorter capture cycles, and higher forecast accuracy.
* Competitive Intelligence Capabilities
* Design and deliver competitive intelligence (CI) features within Salesforce: competitor profiles, deal\-level battlecards, win/loss tracking, trend analysis, and alerts.
* Integrate CI into capture workflows, ensuring insights are delivered in context (e.g., account, opportunity, quote, or bid review screens).
* Establish metrics to measure CI impact on win rates, pricing decisions, and qualification quality.
* Stakeholder \&amp; Customer Partnership
* Act as the voice of capture management users (capture managers, sales teams, proposal teams, finance, leadership), running ongoing discovery and feedback sessions.
* Facilitate prioritization forums with senior stakeholders to balance strategic initiatives, compliance needs, and near\-term delivery.
* Communicate product progress and value through clear roadmaps, demos, and outcome\-based reporting.
* Technical Product Leadership
* Translate business needs into clear epics, features, and user stories with well\-defined acceptance criteria, focusing on capture management and CI use cases.
* Guide technical design and architecture on Salesforce, including data model design, Flows, Apex, Lightning components, and integrations with ERP, pricing tools, content repositories, and data/CI platforms.
* Ensure solutions are scalable, secure, and maintainable, adhering to enterprise architecture standards, data governance, and audit requirements.
* Champion analytics and telemetry, enabling robust reporting and dashboards for pipeline health, capture performance, and CI effectiveness.
* Risk, Compliance \&amp; Data Stewardship
* Ensure adherence to data privacy, export control, and regulatory requirements, especially for sensitive opportunity and competitor data.
* Implement robust role\-based access and auditability for capture and CI data within Salesforce.
* Promote data quality and governance for accounts, opportunities, competitors, and pipeline data, including integration with MDM and enterprise data platforms.
* Leadership \&amp; Vendor Management
* Mentor other product managers and analysts, strengthening product discovery, roadmap management, and value tracking skills.
* Manage relationships with implementation partners, ISVs, and CI/data providers, defining clear scopes, SLAs, and success measures.
* Promote a culture of continuous improvement using FLIGHT DECK, user\-centric design, and outcome\-based decision\-making.
**Minimum Qualifications**
* Bachelor’s degree from accredited university or college with minimum of 10 years of professional experience OR Associates degree with minimum of 13 years of professional experience OR High School Diploma with minimum of 15 years of professional experience
* Minimum 7 years of professional experience in Technical Product Management
* Note: Military experience is equivalent to professional experience
**Eligibility Requirement**
* Legal authorization to work in the U.S. is required. We will not sponsor individuals for employment visas, now or in the future, for this job.
**Desired Qualifications**
* Experience: 10\+ years in product management or closely related roles delivering enterprise digital products, including at least 5\+ years working with Salesforce as a primary platform.
* Domain expertise: Background in capture management, sales operations, business development, or bid/proposal environments, preferably in complex B2B or regulated markets.
* Salesforce skills: Strong familiarity with Salesforce Sales Cloud (required), with additional experience in Experience Cloud, CPQ, and CRM Analytics considered a plus. Solid understanding of the Salesforce data model, configuration, Flows, Apex, and integrations.
* Technical acumen: Hands\-on experience with integrations (APIs, middleware), data platforms, and analytics tools such as CRM Analytics, Tableau, or Power BI. Able to engage deeply and credibly with architects and engineers.
* Competitive intelligence: Demonstrated exposure to, or ownership of, CI capabilities such as competitor profiling, win/loss analysis, battlecards, and CI data sources is strongly preferred.
* Ways of working: Proven experience working in Agile environments (Scrum/Kanban), with strong skills in backlog management, roadmap creation, and tracking value realization.
* Soft skills: Excellent communication and stakeholder management skills, with the ability to influence executives and drive alignment across business and technical teams. Skilled at translating between business needs and technical solutions.
* Education \&amp; certifications: Bachelor’s degree in Business, Computer Science, Engineering, Information Systems, or a related field; an advanced degree is a plus. Salesforce certifications (e.g., Administrator, Sales Cloud Consultant, Platform App Builder, CPQ) and product/agile certifications (e.g., CSPO, PSPO) are highly desirable.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85">
      <c r="A85" t="inlineStr">
        <is>
          <t>li-4298940646</t>
        </is>
      </c>
      <c r="B85" t="inlineStr">
        <is>
          <t>Data Product Manager, Re:Cycle Reverse Logistics</t>
        </is>
      </c>
      <c r="C85" t="inlineStr">
        <is>
          <t>Amazon Web Services (AWS)</t>
        </is>
      </c>
      <c r="D85" t="inlineStr">
        <is>
          <t>linkedin</t>
        </is>
      </c>
      <c r="E85" t="inlineStr"/>
      <c r="F85" t="inlineStr"/>
      <c r="G85" t="inlineStr">
        <is>
          <t>Greencastle, PA</t>
        </is>
      </c>
      <c r="H85" t="inlineStr"/>
      <c r="I85"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Operations Integration team is seeking a detail\-oriented, forward\-thinking, and self\-driven Data Product Manager that will support the organization by enabling and continuously improving the data that is captured and extracted from the organization's warehouse management and inventory allocation systems that act as the source of truth for financial, environmental, sustainability, regulatory, and operational reporting.
 Activities that drive this role include 1\) defining requirements, documenting and driving alignment/approval between software and data engineers, product managers, data analysts, and business stakeholders (e.g. operations, environmental, legal) for new feature or updated reporting capabilities, 2\) coordinating between engineering resources to drive prioritization, development, and implementation for new reporting mechanisms, 3\) conducting data validations and performing user acceptance testing for new reporting mechanisms under development, driving and documenting iterative improvements through implementation, 4\) preparing and driving training events to prepare stakeholders for new reporting capabilities, 5\) conducting post\-implementation data validations to ensure final product accuracy before product hand\-off to Data Steward, 6\) developing and maintaining organization data table libraries and policies, and 7\) facilitating data migrations as\-needed to retrofit old reporting with new standards.
 This role will frequently interface with the team’s 3P software provider to accomplish these tasks throughout pre\-planned Agile sprint cycles, releasing new reporting capabilities to production almost every sprint! This role is critical then to the organization in that it ensures that the business can tell its stories (currently supported by 70\+ data tables capturing millions of transactions per month, 15\+ manual extracts, and two in\-application search engines), and that the broader team knows how to read/interpret them as the business grows over time.
 Key job responsibilities
* Collaborating closely with data consumers and stakeholders across the organization and service providers to define and drive alignment for new/updated reporting capabilities
* Developing supporting documents (e.g. data flow diagrams, sample data files, schemas, business requirement documents) that specify design features and logic, as well as un/happy path expectations to drive feature development
* Preparing positive and negative new feature test scenarios and facilitating acceptance testing to ensure new feature quality in test environments, documenting acceptance test KPIs to drive internal metrics
* Planning and executing stakeholder training events to ensure successful rollout and adoption upon implementation
* Conducting post\-launch validations and refinement (as needed) to ensure final product accuracy and drive last\-mile adoption
* Managing ticket queues, prioritization, and tradeoffs for strategic data developments, ensuring stakeholders are always synchronized in developing the next big thing
* Conduct regular data warehouse and organizational reporting research, present findings to identify areas to continuously improve reporting capabilities
* Executing data migration/update strategies to transition between previous and new reporting solutions
* Maintaining data warehouse/library resources and policies
**About The Team**
 Re:Cycle Reverse Logistics offers worldwide cloud providers a means to disassemble, sort, test, in\-warranty return, repair/refurbish, erase/wipe, and disposition server and networking assets that break or are no longer needed. The organization depends on the Operations Integration team to maintain, improve, and develop new features in their warehouse management and inventory allocation systems that processes and monitors these assets from arrival to departure (and sometimes sales) across five global facilities, ensuring reliable and repeatable operational and asset safety, security, traceability, business value, and productivity are supported and reported through joint systems. That's where you come in...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2\+ years of data enablement, data engineering, data management, or related experience in a warehousing, supply chain, manufacturing, or reverse logistics environment
* Bachelor’s degree in Data Science, Computer Science, Information Systems, or related, or 4\+ additional years of related experience in lieu of a degree
* 2\+ years with one or more query language (e.g., SQL, PL/SQL, DDL, MDX, HiveQL)
* 2\+ years using Microsoft Office tools (Excel, Word, etc.)
**Preferred Qualifications**
* Experience planning and developing end\-to\-end systems data architecture and/or reporting solutions
* Experience with data modeling, warehousing, and/or building ETL pipelines using AWS cloud tools
* Experience using data visualization tools (Tableau, Quicksite, etc.) in developing insightful dashboards to share data with a variety of stakeholders
* Strong analytical and problem\-solving capabilities with a keen eye for details
* Strong verbal and written communication skills to translate complex problems and design solutions using non\-technical terms
* Experience managing a 3rd party vendor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re:Cycle Reverse Logistics LLC
 Job ID: A3079831</t>
        </is>
      </c>
    </row>
    <row r="86">
      <c r="A86" t="inlineStr">
        <is>
          <t>li-4306240524</t>
        </is>
      </c>
      <c r="B86" t="inlineStr">
        <is>
          <t>Sales Enablement Program Manager</t>
        </is>
      </c>
      <c r="C86" t="inlineStr">
        <is>
          <t>Postman</t>
        </is>
      </c>
      <c r="D86" t="inlineStr">
        <is>
          <t>linkedin</t>
        </is>
      </c>
      <c r="E86" t="inlineStr"/>
      <c r="F86" t="inlineStr"/>
      <c r="G86" t="inlineStr">
        <is>
          <t>Boston, MA</t>
        </is>
      </c>
      <c r="H86" t="inlineStr"/>
      <c r="I86" t="inlineStr">
        <is>
          <t>**Who Are We?**
 Postman is the world’s leading API platform, used by more than 40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As the Sales Enablement Program Manager, you will play a pivotal role in empowering our global sales teams, including Enterprise AEs, Mid\-Market AEs, and SMB AEs, with the knowledge, skills, tools, and processes they need to succeed across the entire customer journey. You will be responsible for designing and executing enablement programs that improve seller productivity, accelerate new hire ramp, increase pipeline generation, and improve win rates.
 This is a strategic and execution\-oriented role that requires a consultative mindset, strong program management capabilities, and the ability to influence across functions. You will serve as a key liaison between the field and corporate functions—capturing seller feedback, aligning stakeholders around shared priorities, and ensuring that enablement initiatives are both impactful and measurable.
**What You’ll Do**
* Design, launch, and manage scalable enablement programs that support AE onboarding, on\-the\-job training, continuous learning, and field readiness.
* Develop role\-based learning paths that address Enterprise, Mid\-Market and SMB AE skills skills, including Account/Territory Planning, Value Selling and C\-Level Conversations.
* Develop and execute enablement programs that equip Enterprise sales managers with the skills, tools, and insights needed to drive team performance, improve forecasting accuracy, and accelerate sales cycles.
* Serve as a trusted advisor to sales managers and reps, gathering insights and driving field feedback into programs.
* Leverage metrics and feedback to continuously improve programs and measure business impact (e.g., time\-to\-ramp, pipeline, deal velocity) .
* Partner with Product Marketing, RevOps, and Product to scope, design and launch enablement programs aligned to identified performance gaps and business priorities.
* Drive adoption of tools, processes, and best practices that improve pipeline generation, opportunity progression, and win rates.
* Conduct Quarterly Business Reviews (QBRs) with sales leadership to assess enablement progress, capture feedback, and refine strategic direction.
* Create detailed project plans for all enablement activities, with clear deliverables and milestones and ensure timely execution.
* Provide support for Sales Kickoff, ongoing product launches, and other enablement priorities.
**About You**
* You are a strategic thinker and have a strong ability to see the big picture and align enablement efforts with broader business objectives
* You possess strong communication skills, both written and verbal, and can effectively convey complex ideas to diverse audiences
* You have excellent presentation, training and facilitation skills at all levels of the organization
* You can develop strong credibility with GTM Teams to become a trusted advisor
* You excel in working with cross\-functional teams, fostering collaboration, and driving consensus to achieve shared goals
* You can adapt quickly to evolving needs of a high growth GTM team and determine priorities in a fast\-changing environment
* You are highly skilled at balancing multiple priorities under tight deadlines
* You are comfortable with ambiguity and consider yourself adaptable: Willing to learn, try new approaches and iterate based on impact
**What You've Done**
* You have 5\+ years of experience in Sales Enablement at a high\-growth SaaS or technology company, including the enablement of Enterprise/Strategic sellers
* You have successfully developed and executed global training programs that have measurably improved sales team performance and contributed to revenue growth
* You have experience using data and KPIs to evaluate the success of enablement initiatives and make informed decisions to optimize future programs
* You have a deep understanding of Enterprise sales motions and sales methodologies (e.g., MEDDPICC, Challenger, SPIN, Command of the Message)
* You have extensive experience delivering engaging live and virtual trainings
**Nice to Haves**
* You have experience with Highspot, Gong, Skilljar and Aircover
* You have experience using Postman, other developer tools, and/or knowledge of APIs or the software development lifecycle
 The reasonably estimated base salary for this role ranges from $117,000 to $143,000, plus a competitive equity package. Actual compensation is based on the candidate's skills, qualifications, experience, and location.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87">
      <c r="A87" t="inlineStr">
        <is>
          <t>li-4359992414</t>
        </is>
      </c>
      <c r="B87" t="inlineStr">
        <is>
          <t>AI Delivery Product Owner, Manager - Tax Transformation</t>
        </is>
      </c>
      <c r="C87" t="inlineStr">
        <is>
          <t>Deloitte</t>
        </is>
      </c>
      <c r="D87" t="inlineStr">
        <is>
          <t>linkedin</t>
        </is>
      </c>
      <c r="E87" t="inlineStr"/>
      <c r="F87" t="inlineStr"/>
      <c r="G87" t="inlineStr">
        <is>
          <t>Austin, TX</t>
        </is>
      </c>
      <c r="H87" t="inlineStr"/>
      <c r="I87"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88">
      <c r="A88" t="inlineStr">
        <is>
          <t>li-4345544315</t>
        </is>
      </c>
      <c r="B88" t="inlineStr">
        <is>
          <t>Finance Program Manager</t>
        </is>
      </c>
      <c r="C88" t="inlineStr">
        <is>
          <t>Meta</t>
        </is>
      </c>
      <c r="D88" t="inlineStr">
        <is>
          <t>linkedin</t>
        </is>
      </c>
      <c r="E88" t="inlineStr"/>
      <c r="F88" t="inlineStr"/>
      <c r="G88" t="inlineStr">
        <is>
          <t>Menlo Park, CA</t>
        </is>
      </c>
      <c r="H88" t="inlineStr"/>
      <c r="I88" t="inlineStr">
        <is>
          <t>Meta's Finance team is undergoing a significant transformation to define and execute our Finance Vision. The Modern Finance team is a key enabler of this vision, acting as a catalyst for innovation, productivity, and enhanced employee experiences. We are seeking an experienced Program Manager to execute strategic Finance Projects and Programs.As a Modern Finance Program Manager, you will be part of a designated Modern Finance team. You will primarily execute projects aligned to the specific Function (or functions) within your designated team. You will primarily focus on end to end execution of assigned project (s), which may be standalone or part of a wider Program of initiatives. You will be responsible for high quality delivery of all project goals, collaborating with large stakeholder groups, leading change management activities required for the successful achievement of project objectives and leverage technology to execute effectively and efficiently.
 Finance Program Manager Responsibilities:
* Project Execution: Structure, lead and execute complex finance projects \&amp; programs collaborating effectively with other cross\-functional teams globally
* Project Documentation \&amp; Coordination: Own, define and maintain appropriate project documentation, to ensure transparency, clarity of objectives and consistent alignment of project deliverables, following defined Modern Finance execution norms and standards
* Risk Management: Proactively manage risk, anticipate potential issues, implementing appropriate mitigation strategies to meet timelines, budget \&amp; objectives. Work proactively with the business to resolve critical issues
* Process \&amp; Automation Support: Ensure underlying processes are fit for purpose, identifying changes needed to support project objectives and leading process mapping, documentation and update requirements
* Change Management: Identify change impact, incorporate readiness and adoption requirements, communication plans within Project Plans, overseeing change deliverables
* Communication \&amp; Support: Develop effective peer and stakeholder relationships, maintaining efficient communication channels, status updates and communication plans
 Minimum Qualifications:
* 15\+ years of experience of core project management, leading the execution of very large, complex and ambiguous programs
* Experience leveraging project management best practices, ways of working, and standards
* Experience aligning program structure, approach, resources, governance and outputs to project needs, crafting the right strategy to deliver projects effectively
* Change management experience identifying change impact to stakeholders, users and teams, building change, readiness and adoption approaches that are tailored to projects
* Experience communicating effectively to project teams and stakeholders, demonstrating knowledge of best practices, frameworks and toolkits to own and coordinate change management deliverables and communication strategies
* Experience working effectively with executive stakeholders and a track record of building effective working relationships to enhance delivery and influence project outcomes
* Experience managing dependencies and risks across programs with shared objectives
* Experience leveraging emerging technologies to enhance execution, testing, requirements \&amp; reporting to execute efficiently
* Bachelor's degree in Business, Engineering, IT, or a related technical field such as Finance/Accounting
 Preferred Qualifications:
* PMP/PMI/PMI\-CPMAI Program Management or similar qualifications
* PROCSI or similar qualifications
* Demonstrated understanding of Finance business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$174,000/year to $244,000/year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li-4315611269</t>
        </is>
      </c>
      <c r="B89" t="inlineStr">
        <is>
          <t>Sr. Supply Chain Product Manager, Amazon Custom Modules</t>
        </is>
      </c>
      <c r="C89" t="inlineStr">
        <is>
          <t>Amazon Web Services (AWS)</t>
        </is>
      </c>
      <c r="D89" t="inlineStr">
        <is>
          <t>linkedin</t>
        </is>
      </c>
      <c r="E89" t="inlineStr"/>
      <c r="F89" t="inlineStr"/>
      <c r="G89" t="inlineStr">
        <is>
          <t>Seattle, WA</t>
        </is>
      </c>
      <c r="H89" t="inlineStr"/>
      <c r="I89"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A3109372</t>
        </is>
      </c>
    </row>
    <row r="90">
      <c r="A90" t="inlineStr">
        <is>
          <t>li-4345201891</t>
        </is>
      </c>
      <c r="B90" t="inlineStr">
        <is>
          <t>Senior Technical Program Manager - Foresight</t>
        </is>
      </c>
      <c r="C90" t="inlineStr">
        <is>
          <t>Intuit</t>
        </is>
      </c>
      <c r="D90" t="inlineStr">
        <is>
          <t>linkedin</t>
        </is>
      </c>
      <c r="E90" t="inlineStr"/>
      <c r="F90" t="inlineStr"/>
      <c r="G90" t="inlineStr">
        <is>
          <t>Mountain View, CA</t>
        </is>
      </c>
      <c r="H90" t="inlineStr"/>
      <c r="I90" t="inlineStr">
        <is>
          <t>**Overview**
 Intuit is a global technology platform that helps our customers and communities overcome their most important financial challenges. We help give over 50 million consumers, small business, and self\-employed customers around the world the opportunity to prosper.
 We are looking for creative technical problem solvers with a passion for tackling tough customer problems to join our team and serve as a program leader, with responsibility for driving program delivery and success. We are looking for candidates who have strong program management experience with deep technical understanding, customer empathy, strong execution capability, experience working with senior leadership, and a track record of building strong business partnerships and delivering impactful business results.
 The role is responsible for driving high impact programs, stewarding critical strategic initiatives and driving the delivery of transformational change by providing leadership and direction to cross\-functional teams, and partnering with other TPMs and leaders across the organization to drive a portfolio of programs.
 You will also be part of a centralized PMO team that thrives on learning from and teaching each other, improving our craft, and growing, and the broader Intuit Program Management community.
**Responsibilities**
* Be a key contributing member within the Foresight PMO org
* Drive execution, and operations across AI and LLM product areas
* Own all aspects of program structure, execution, and communication, including Product and Program Reviews, sprint planning, sprint demos, code jams, and more.
* Support our various external partnership programs
* Build operational rigor and operational processes to cross\-functional teams to ensure sustainable results and delivery against the timelines
* Identify core and critical issues to organizational performance and clearly communicate status, progress, and results across the organizational boundaries and levels
* Build and maintain relationships inside and outside the organization to ensure strong collaboration, raise the profile of the team and its key initiatives, and capitalize on emerging opportunities
**Qualifications**
* Proven program manager with 5\+ years’ experience as a Technical Program Manager, with demonstrated success in leading high paced, innovative teams with lot of ambiguity
* Experience with AI, GenAI or other emerging technologies
* Passion for operational excellence and the desire to have a significant impact on the business
* Degree in engineering, computer science, information systems or equivalent
* Demonstrated ability to influence at the VP level within a matrixed environment
* Entrepreneurial mindset and experience; willing and able to challenging the status quo
* Excellent balance of people, organizational, and technical skills, and can execute and deliver successfully in situations where authority is not a given
* Experience with high growth, fast moving teams and projects
* Exceptional ability to work cross functionally and to build cross functional partnerships
* Excellent verbal and written communication skills with the ability to communicate and collaborate at all organizational levels. Applies the nuances of influencing based on the situation, knowing when to push and when to ease through designs, ideas, and roadmaps.
* Learning mindset, curious, bold, self\-aware and humble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91">
      <c r="A91" t="inlineStr">
        <is>
          <t>li-4328250512</t>
        </is>
      </c>
      <c r="B91" t="inlineStr">
        <is>
          <t>Onboarding Program Manager</t>
        </is>
      </c>
      <c r="C91" t="inlineStr">
        <is>
          <t>Harvey</t>
        </is>
      </c>
      <c r="D91" t="inlineStr">
        <is>
          <t>linkedin</t>
        </is>
      </c>
      <c r="E91" t="inlineStr"/>
      <c r="F91" t="inlineStr"/>
      <c r="G91" t="inlineStr">
        <is>
          <t>New York, NY</t>
        </is>
      </c>
      <c r="H91" t="inlineStr"/>
      <c r="I91"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700\+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our Onboarding Program Manager, you'll own the end\-to\-end new hire experience globally. We want to build a truly world\-class onboarding program. You'll own the playbooks, systems, and regional infrastructure that ensure every new Harvey team member– joining from anywhere in the world– feels excited, prepared, and certain they made the right choice.
 This role reports to our People Operations Lead, Tia Thomson, and partners with every function across Harvey to create seamless handoffs from day one through the first 90 days.
**What You'll Do**
**Build Global Onboarding Infrastructure**
* Design bulletproof playbooks (run\-of\-shows, facilitator guides, troubleshooting protocols) that enable flawless execution by facilitators, anywhere
* Launch regional onboarding hubs in London and Sydney with trained local facilitators
* Own and optimize complex automation infrastructure and self\-serve tools across our entire onboarding tech stack– including HRIS provisioning, calendar management, Slack channel creation, manager notifications, and multi\-touchpoint communication sequences
* Establish metrics and feedback loops to continuously improve the experience
**Own the Full Onboarding Journey**
* Partner cross\-functionally with Workplace, IT, RevOps, Engineering, Product, GTM, and more to build and execute our onboarding program
* Orchestrate impeccable 2\-day orientations for every new hire cohort — no detail overlooked
* Continuously refresh programming to reflect our evolving product and team, developing modular content for different audiences (legal vs. non\-legal backgrounds, functions, geographies)
* Create seamless handoffs to functional teams and managers
* Equip managers with training, templates, and frameworks to effectively ramp up their new team members
**Deliver Memorable Employee Experiences**
* Build pre\-boarding experiences that generate excitement before day one
* Infuse Harvey's distinct culture into every touchpoint to make onboarding definitively "Harvey", creating standout moments that surprise and delight
**What You Have**
* 5\+ years of experience in onboarding program management, learning \&amp; development, employee experience, or similar roles at high\-growth companies
* Expertise in workflow automation and systems architecture – you should be excited about building and maintaining complex automations that orchestrate dozens of touchpoints
* Exceptional project management skills with obsessive attention to detail
* Grit, figure it out factor, ability to operate autonomously, high ownership, low ego – no task too small attitude
* Outstanding cross\-functional collaboration skills
* Creative thinking that balances operational excellence with memorable, culture\-defining moments
* Metrics\-driven mindset with experience establishing feedback loops and measuring program effectiveness
* Someone to collaborate in the office at least three days a week. This role works best alongside cross\-functional partners and benefits from fast, in\-person problem solving.
**Nice to Have**
* Experience at companies that scaled from 500→1,000\+ employees
* Proven track record designing and scaling onboarding programs across multiple geographies
* Experience with HRIS systems (we use Workday) and workflow automation tools
**Compensation**
 $140,000 \- $190,000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92">
      <c r="A92" t="inlineStr">
        <is>
          <t>li-4345341281</t>
        </is>
      </c>
      <c r="B92" t="inlineStr">
        <is>
          <t>Senior IT Program Manager</t>
        </is>
      </c>
      <c r="C92" t="inlineStr">
        <is>
          <t>HD Supply</t>
        </is>
      </c>
      <c r="D92" t="inlineStr">
        <is>
          <t>linkedin</t>
        </is>
      </c>
      <c r="E92" t="inlineStr"/>
      <c r="F92" t="inlineStr"/>
      <c r="G92" t="inlineStr">
        <is>
          <t>Atlanta, GA</t>
        </is>
      </c>
      <c r="H92" t="inlineStr"/>
      <c r="I92" t="inlineStr">
        <is>
          <t>**Preferred Qualifications**
* Bachelor’s degree in computer science, information systems, or a related field.
* 7\+ years of program management experience.
* 5\+ years of management experience.
**Job Summary**
 Manages the scheduling, pricing, and technical performance of medium\- to large\-scale company programs. Ensures adherence to master plans and schedules, develops solutions to program problems, and directs work of incumbents assigned to programs from various departments.
**Major Tasks, Responsibilities, And Key Accountabilities**
* Oversees the work of program teams by assembling team resources to ensure skills and strengths align with project demands.
* Assigns team activities to ensure project milestones are achieved and provides performance feedback to program and project managers.
* Manages, controls, and mitigates risks across interdependent projects by analyzing and identifying trigger events.
* Ensures alignment, buy\-in, and support of program stakeholders by building and maintaining relationships with internal customers, third party vendors, and senior leadership.
* Works closely with portfolio sponsors and/or review boards to determine portfolio goals and influence the prioritization of program deliverables.
* Adheres to enterprise program management practices by leading formal and informal training sessions.
* Negotiates and prepares contracts by considering financial conditions, resources, and contractual requirements.
* Handles program financials, provides input and justification for costs and budget impacts, and oversees the request for information and vendor request for proposal processes.
**Nature and Scope**
* Solutions require analysis and investigation.
* Achieves planned results by decisions and actions based on professional methods, business principles, and practical experience. May recommend/make decisions regarding new programs/initiatives that have significant impact to the business and carry consequences in unsuccessful endeavors.
* Manages a larger team or multiple small teams through direction of subordinate management and/or supervisory staff.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7\+ years of experience in a related field. May require certification. Advanced degree may offset less experience in some disciplines.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93">
      <c r="A93" t="inlineStr">
        <is>
          <t>li-4316010261</t>
        </is>
      </c>
      <c r="B93" t="inlineStr">
        <is>
          <t>Technical Program Manager, World ID</t>
        </is>
      </c>
      <c r="C93" t="inlineStr">
        <is>
          <t>World</t>
        </is>
      </c>
      <c r="D93" t="inlineStr">
        <is>
          <t>linkedin</t>
        </is>
      </c>
      <c r="E93" t="inlineStr"/>
      <c r="F93" t="inlineStr"/>
      <c r="G93" t="inlineStr">
        <is>
          <t>San Francisco, CA</t>
        </is>
      </c>
      <c r="H93" t="inlineStr"/>
      <c r="I93"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This opportunity will be with Tools for Humanity
**About The Team**
 The World ID team is on a mission to empower every person on the planet with a unique digital identity that distinguishes humans from AI online.
 As the driving force behind World ID, the team oversees the entire lifecycle of the product—from user experiences to developer interactions. Our goal is to establish a
 **decentralized identity protocol** 
 that is open for any developer to contribute to and build upon.
 Built on
 **Web3** 
 technology, World ID prioritizes
 **privacy, security, and data self\-custody** 
 as foundational principles. We ensure that users maintain full control of their data, setting a new standard for privacy in the digital age.
**Challenges And Opportunities We Tackle Include**
* Scaling globally with local relevance, ensuring World ID works for people across diverse regions and contexts.
* Building a vibrant global partnerships \&amp; developer community that spans both Web2 and Web3 ecosystems.
* Bridging the gap between Web2 and Web3, making the transition seamless for users and developers.
* Empowering users to control their own data through data minimization at internet scale.
* Introducing a new, privacy\-preserving digital credential to the evolving digital identity ecosystem.
 Together, we are redefining what it means to own and protect your digital identity in a decentralized world.
**About The Role**
 As the Technical Program Manager for World ID, you will be at the center of driving operational excellence and ensuring seamless execution of technical and non\-technical programs. You will lead program management efforts across World ID, partnering with cross\-functional teams to orchestrate a highly efficient and high\-velocity product development lifecycle (PDLC).
 In this role, you’ll define, implement, and optimize processes that ensure alignment across World ID programs (internal product features and external partnerships) and with other teams across the World project. You’ll be responsible for tracking progress, identifying blockers, and driving accountability, while providing senior management with clear, actionable reporting on progress and velocity. This is an opportunity to make a significant impact by enabling World ID to scale efficiently and deliver on its mission of empowering everyone with a unique digital identity.
**In This Role, You Will**
* Lead Program Management for World ID: Manage all technical and non\-technical programs, ensuring alignment across teams and delivering high\-impact outcomes efficiently.
* Orchestrate Product Development Lifecycle (PDLC): Define, facilitate, and optimize a streamlined PDLC to enable rapid development and delivery of World ID initiatives.
* Collaborate Across Teams: Partner with cross\-functional teams within World ID and across World App, ensuring tight coordination and communication to meet shared objectives.
* Manage Key Partner Integration Programs: Work across product, engineering, and business teams to ensure partners successfully integrate and launch with World ID.
* Ensure High\-Velocity Execution: Identify blockers, propose solutions, and drive execution to maintain momentum and achieve program milestones.
* Track and Report Progress: Develop and maintain reporting frameworks that provide visibility into program velocity, resource allocation, and progress towards goals for senior leadership.
* Drive Operational Excellence: Establish and uphold best practices in program management to improve team efficiency, alignment, and accountability.
* Define and Uphold Delivery Standards: including technical readiness, launch exit criteria, and post\-launch success tracking for both internal and external programs.
**You Might Thrive In This Role If You Are**
* Strong technical expertise with a background in engineering, including proficiency in coding and experience working closely with engineering teams to build and scale complex systems or products.
* Proven ability to manage technical programs at scale, demonstrating deep understanding of software development lifecycles and system architecture.
* 5\+ years of experience in technical program management, engineering leadership, or related roles, preferably in high\-growth or fast\-paced environments.
* Excellent communication and stakeholder management skills, with the ability to translate technical details into actionable plans for cross\-functional teams.
* Proven experience managing external partner or customer programs — aligning technical timelines, requirements, and communications across organizational boundaries.
* Able to represent the technical team in partner\-facing discussions — translating integration requirements, managing delivery timelines, and maintaining strong relationships.
* Deep familiarity with privacy, security, and decentralized technologies; experience in Web3, blockchain, or digital identity is a strong plus.
* Demonstrated success in driving operational excellence, improving team velocity, and delivering programs with measurable impact.
* Highly skilled at designing and optimizing processes, navigating ambiguity, and resolving complex issues with a collaborative mindset.
* You thrive in ambiguity, take full ownership, and do whatever it takes to unblock teams and drive execution — no task is too big or too small
* Bachelor’s degree in Computer Science, Engineering, or a related technical field, or equivalent practical experience; advanced technical credentials are a plus.
* Passionate about building scalable systems that prioritize user experience, privacy, and security, with a commitment to World ID’s mission.
**Pay Transparency Statement (for CA And NY Based Roles)**
 The reasonably estimated salary for this role at TFH ranges from
 **$238,000 \- $270,000** 
 ,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401(k) plan and match, life insurance, flexible time off, commuter benefits, professional development stipend and much more!</t>
        </is>
      </c>
    </row>
    <row r="94">
      <c r="A94" t="inlineStr">
        <is>
          <t>li-4334592119</t>
        </is>
      </c>
      <c r="B94" t="inlineStr">
        <is>
          <t>Senior Technical Program Manager - Amazon and MGM Studios Tech , Amazon MGM Studios Tech</t>
        </is>
      </c>
      <c r="C94" t="inlineStr">
        <is>
          <t>Prime Video &amp; Amazon MGM Studios</t>
        </is>
      </c>
      <c r="D94" t="inlineStr">
        <is>
          <t>linkedin</t>
        </is>
      </c>
      <c r="E94" t="inlineStr"/>
      <c r="F94" t="inlineStr"/>
      <c r="G94" t="inlineStr">
        <is>
          <t>Culver City, CA</t>
        </is>
      </c>
      <c r="H94" t="inlineStr"/>
      <c r="I94" t="inlineStr">
        <is>
          <t>**Description**
 Ready to shape the future of global entertainment?
 Join Amazon and MGM Studios Tech as a Senior Technical Program Manager where you'll drive transformative initiatives that redefine how hundreds of millions of customers worldwide experience streaming content.
**What You'll Do**
* Lead complex, high\-visibility technical programs that power the world's most comprehensive digital video studios technology organization
* Drive architectural decisions and technical strategy for next\-generation studios businesses from Sales, IP, Financials
* Partner with engineering teams to build scalable solutions that handle massive amounts of global content data
* Collaborate with MGM Studios, Prime Video leadership, and cross\-functional teams to deliver innovative entertainment experiences
* Mentor and develop other technical program managers while raising the bar for engineering excellence
 Impact You'll Own:
* Shape the technical foundation that brings award\-winning content to viewers worldwide
* Design and implement systems that seamlessly handle complex content relationships across multiple dimensions (regions, languages, licensing, etc.)
* Drive operational excellence initiatives that scale across Amazon's global entertainment ecosystem
* Lead programs that integrate MGM's iconic content library with Amazon's streaming technology
 What You Bring:
* Deep technical expertise in large\-scale distributed systems and architecture
* Proven track record leading complex technical programs with multiple stakeholders
* Excellence in strategic thinking and tactical execution
* Strong communication skills and ability to influence senior leadership
* Experience scaling teams and mentoring other technical leaders
**Why This Role Matters**
 You'll be at the forefront of Amazon's entertainment revolution, working where Hollywood meets tech. Your work will directly impact how millions of people discover and enjoy content, while helping shape the future of streaming technology. If you're excited about solving complex technical challenges at massive scale while working with some of the most iconic entertainment brands in the world, this is your opportunity to make history.
 This role is based in Los Angeles, putting you at the intersection of Amazon's tech innovation and MGM's century of storytelling excellence.
 Join us in building the future of entertainment!
**Basic Qualifications**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A3121674</t>
        </is>
      </c>
    </row>
    <row r="95">
      <c r="A95" t="inlineStr">
        <is>
          <t>li-4360602242</t>
        </is>
      </c>
      <c r="B95" t="inlineStr">
        <is>
          <t>AI Delivery Product Owner, Manager - Tax Transformation</t>
        </is>
      </c>
      <c r="C95" t="inlineStr">
        <is>
          <t>Deloitte</t>
        </is>
      </c>
      <c r="D95" t="inlineStr">
        <is>
          <t>linkedin</t>
        </is>
      </c>
      <c r="E95" t="inlineStr"/>
      <c r="F95" t="inlineStr"/>
      <c r="G95" t="inlineStr">
        <is>
          <t>Houston, TX</t>
        </is>
      </c>
      <c r="H95" t="inlineStr"/>
      <c r="I95"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96">
      <c r="A96" t="inlineStr">
        <is>
          <t>li-4328302002</t>
        </is>
      </c>
      <c r="B96" t="inlineStr">
        <is>
          <t>Senior Leadership Technical Program Manager, Next Generation Tools</t>
        </is>
      </c>
      <c r="C96" t="inlineStr">
        <is>
          <t>Google</t>
        </is>
      </c>
      <c r="D96" t="inlineStr">
        <is>
          <t>linkedin</t>
        </is>
      </c>
      <c r="E96" t="inlineStr"/>
      <c r="F96" t="inlineStr"/>
      <c r="G96" t="inlineStr">
        <is>
          <t>Mountain View, CA</t>
        </is>
      </c>
      <c r="H96" t="inlineStr"/>
      <c r="I96" t="inlineStr">
        <is>
          <t>Note: By applying to this position you will have an opportunity to share your preferred working location from the following:
 **Mountain View, CA, USA; New York, NY, USA** 
 .
 **Minimum qualifications:**
* Bachelor's degree in a technical field, or equivalent practical experience.
* 10 years of experience in program management.
* 7 years of experience in leadership role(s) with/without direct reports.
* 2 years of people management experience.
**Preferred qualifications:**
* 10 years of experience directing a portfolio of technical programs in a changing organisation.
* Experience leading the development of global technical capabilities in a matrixed environment, operating as an executive manager.
* Ability to effectively discuss, influence and communicate cross\-functionally and cross geography with all levels within Google.
* Excellent leadership and solution oriented approaches to ambiguous, global scale issues.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As the Manager of the Next Generation Tools team you will provide a goal for tooling scalable systems and demonstrate the technical judgement to guide the team to realize it. You will develop deep partnerships with executive leads of Engineering, Operations and Product teams and you will direct a transformative project portfolio of technical programs. In this role you will develop and bring to life the Next Generation Tooling strategy for the Gemini era that will ensure high quality and efficient human work, and transform how human intelligence is leveraged in a truly scalable map making process.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Global Delivery Organization (GDO) toolset and drive the GDO Next Generation Tools strategy.
* Devise, lead, and deliver projects, partnering across global teams, as required to deliver scalable technical capabilities that enable Geo’s priorities with specific focus on the tooling ecosystem.
* Manage and coach a team of Technical Program Managers to deliver on project goals in the tooling space.
* Ensure that Tools are secure, and that access to data is protected.
* Contribute to Technical Operations leadership by using technical knowledge and data driven insights to anticipate and solve Geo’s projects or problems. Advocate for technical issues and be recognized for expert technical judgement.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li-4360612047</t>
        </is>
      </c>
      <c r="B97" t="inlineStr">
        <is>
          <t>Senior Program Manager</t>
        </is>
      </c>
      <c r="C97" t="inlineStr">
        <is>
          <t>Saab</t>
        </is>
      </c>
      <c r="D97" t="inlineStr">
        <is>
          <t>linkedin</t>
        </is>
      </c>
      <c r="E97" t="inlineStr"/>
      <c r="F97" t="inlineStr"/>
      <c r="G97" t="inlineStr">
        <is>
          <t>DeWitt, NY</t>
        </is>
      </c>
      <c r="H97" t="inlineStr"/>
      <c r="I97" t="inlineStr">
        <is>
          <t>**Job Description:** 
 Saab Inc is seeking a dynamic, results\-driven Senior Program Manager responsible for the profitable oversight and execution of Key Programs within the Air Traffic Management segment.
 The successful candidate will have demonstrated experience in the deployment of large scale, complex Air Traffic safety systems, and an in\-depth knowledge of commercial aerospace systems, markets, and technologies through several years of working in this domain.
 The PM will be responsible for the cross\-functional coordination and execution of programs in Air Traffic Management establishing, codifying, and maintaining the necessary relationships with the Surveillance and Operations functions required for the successful execution of deployment Programs.
 Additional responsibilities will include, but are not limited to:
 • Advance knowledge of Risk and Opportunity management practices.
 • Proficient knowledge of change management with the ability to fully apply to the management of contracts, and contract changes
 • Specifically accountable for cost, schedule, and technical performance of assigned program portfolios.
 • Ensure all projects within assigned program are managed and executed within approved program management processes.
 • Establishing customer relationships, promoting existing and new product capabilities.
 • Work with engineering and operations leaders to ensure resource needs are visible and as predictable as possible in a shared resource environment.
 • Recognized leader in customer interface with expert presentation skill
 • Monitor and guide junior PMs to achieve delivery of distinctively high\-quality products and services; to include performance, reliability, cost, and on\-time delivery.
 Compensation Range: $132,000 \- $171,600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 BA/BS degree in an engineering, science, program management
 or related discipline and 15\+ years experience, OR MA/MS degree in an engineering, science, program management or related discipline and 13\+ years experience, OR PhD degree in an engineering, science, program management or related discipline and 11\+ years experience.
 MS and aerospace/defense experience preferred.
 • Experience successfully negotiating multi\-million\-dollar agreements.
 • Demonstrated track record leading large scale business capture efforts.
 • Must possess advanced knowledge of program management standards and best practices (scheduling, cost accounting, EVMS, Risk/Opportunity management).
 • Ability to contribute to the development strategy and lead strategic initiatives in support of functional and business objectives.
 • Outstanding communication and presentation skills.
 • Willingness to travel internationally and domestic up to 25% in support of program and business development efforts.
**Citizenship Requirements:** 
 Must be a U.S. citizen, Permanent Resident (green card holder), or protected individual as defined by 8 U.S.C. 1324b(a)(3\).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98">
      <c r="A98" t="inlineStr">
        <is>
          <t>li-4345441134</t>
        </is>
      </c>
      <c r="B98" t="inlineStr">
        <is>
          <t>Principal Technical Program Manager , Amazon MGM Studios Tech</t>
        </is>
      </c>
      <c r="C98" t="inlineStr">
        <is>
          <t>Prime Video &amp; Amazon MGM Studios</t>
        </is>
      </c>
      <c r="D98" t="inlineStr">
        <is>
          <t>linkedin</t>
        </is>
      </c>
      <c r="E98" t="inlineStr"/>
      <c r="F98" t="inlineStr"/>
      <c r="G98" t="inlineStr">
        <is>
          <t>Culver City, CA</t>
        </is>
      </c>
      <c r="H98" t="inlineStr"/>
      <c r="I9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Ready to shape the future of global entertainment? Join Amazon and MGM Studios Tech as a Principal Technical Program Manager where you'll drive transformative initiatives that redefine how hundreds of millions of customers worldwide experience streaming content.
**What You'll Do**
* Lead complex, high\-visibility technical programs that power the world's most comprehensive digital video studios technology organization
* Drive architectural decisions and technical strategy for next\-generation studios businesses from Sales, IP, Rights, Financials, Creative Development
* Partner with engineering teams to build scalable solutions that handle massive amounts of global content data
* Collaborate with MGM Studios, Prime Video leadership, and cross\-functional teams to deliver innovative entertainment experiences
* Mentor and develop other technical program managers while raising the bar for engineering excellence
**Impact You'll Own**
* Shape the technical foundation that brings award\-winning content to viewers worldwide
* Design and implement systems that seamlessly handle complex content relationships across multiple dimensions (regions, languages, licensing, etc.)
* Drive operational excellence initiatives that scale across Amazon's global entertainment ecosystem
* Lead programs that integrate MGM's iconic content library with Amazon's streaming technology
**What You Bring**
* Deep technical expertise in large\-scale distributed systems and architecture
* Proven track record leading complex technical programs with multiple stakeholders
* Excellence in strategic thinking and tactical execution
* Strong communication skills and ability to influence senior leadership
* Experience scaling teams and mentoring other technical leaders
**Why This Role Matters**
 You'll be at the forefront of Amazon's entertainment revolution, working where Hollywood meets tech. Your work will directly impact how millions of people discover and enjoy content, while helping shape the future of streaming technology. If you're excited about solving complex technical challenges at massive scale while working with some of the most iconic entertainment brands in the world, this is your opportunity to make history.
 This role is based in Los Angeles, putting you at the intersection of Amazon's tech innovation and MGM's century of storytelling excellence. Join us in building the future of entertainment!
**Basic Qualifications**
* 7\+ years of working directly with engineering teams experience
* 7\+ years of technical product or program management experience
* 5\+ years of software development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A3146202</t>
        </is>
      </c>
    </row>
    <row r="99">
      <c r="A99" t="inlineStr">
        <is>
          <t>li-4339218550</t>
        </is>
      </c>
      <c r="B99" t="inlineStr">
        <is>
          <t>Principal Technical Program Manager</t>
        </is>
      </c>
      <c r="C99" t="inlineStr">
        <is>
          <t>JPMorganChase</t>
        </is>
      </c>
      <c r="D99" t="inlineStr">
        <is>
          <t>linkedin</t>
        </is>
      </c>
      <c r="E99" t="inlineStr"/>
      <c r="F99" t="inlineStr"/>
      <c r="G99" t="inlineStr">
        <is>
          <t>Seattle, WA</t>
        </is>
      </c>
      <c r="H99" t="inlineStr"/>
      <c r="I99" t="inlineStr">
        <is>
          <t>**Job Description**
 Leverage your deep technical expertise and leadership to guide cutting\-edge projects, fostering growth and innovation in a dynamic environment.
 As a Principal Technical Program Manager in the AI/ML Data Platforms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implement strategic technical program plans, aligning with organizational goals and cross\-functional collaboration
* Oversee complex technology project and program execution, managing resources, budgets, and timelines while mitigating risks and addressing roadblocks
* Foster strong relationships with stakeholders, clients, and cross\-functional teams, providing direction and defining decision\-making procedures for beneficial outcomes
* Guide the selection and implementation of appropriate technologies, platforms and software tools leveraging advanced technical fluency
* Champion continuous improvement by identifying process optimization opportunities, incorporating best practices, and staying abreast of emerging technologies
* Engage, influence, and drive delivery of multiple AI initiatives with cross\-functional, cross\-product, and cross\-line of business stakeholders.
* Synthesize findings into clear, concise, customer\-focused problem statements, recommendations, business cases, analysis, plans of action, and risk assessments
* Drive organizational structure, efficiency, and improvement of operational practices.
**Required Qualifications, Capabilities, And Skills**
* 7\+ years of experience or equivalent expertise in technical program management, leading complex technology projects and programs in large organizations
* Demonstrated proficiency in technical solutions, vendor product knowledge, managing vendor relations, and implementing solutions
* Advanced analytical reasoning skills, applying critical thinking and problem\-solving techniques to break down business, technical, and operational objectives
* Proven ability in leading through change, managing dependencies, and controlling change in high\-pressure, shifting environments
* Advanced expertise in stakeholder management, establishing productive relationships, and driving beneficial outcomes aligned with firm objectives
**Preferred Qualifications, Capabilities, And Skills**
* Proven ability to navigate tight deadlines, organize and prioritize work, while effectively managing the dynamic landscape of AI
* Experience or exposure in the AI ML, Data ecosystem space
* Expertise on the AI and data product lifecycle, spanning from data discovery, data processing, model development, model deployment, and model monitoring
* Microsoft (Azure AI Engineer Associate), Google (Professional Machine Learning Engineer), Amazon (AWS Certified AI Practitioner), AWS Cloud Practitioner Certification, or Microsoft Azure Fundamentals certifications
* Experience with controls, compliance, and audit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0">
      <c r="A100" t="inlineStr">
        <is>
          <t>li-4359952463</t>
        </is>
      </c>
      <c r="B100" t="inlineStr">
        <is>
          <t>AI Delivery Product Owner, Manager - Tax Transformation</t>
        </is>
      </c>
      <c r="C100" t="inlineStr">
        <is>
          <t>Deloitte</t>
        </is>
      </c>
      <c r="D100" t="inlineStr">
        <is>
          <t>linkedin</t>
        </is>
      </c>
      <c r="E100" t="inlineStr"/>
      <c r="F100" t="inlineStr"/>
      <c r="G100" t="inlineStr">
        <is>
          <t>Detroit, MI</t>
        </is>
      </c>
      <c r="H100" t="inlineStr"/>
      <c r="I100"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01">
      <c r="A101" t="inlineStr">
        <is>
          <t>li-4345206908</t>
        </is>
      </c>
      <c r="B101" t="inlineStr">
        <is>
          <t>AI Software Marketing Program Manager</t>
        </is>
      </c>
      <c r="C101" t="inlineStr">
        <is>
          <t>AMD</t>
        </is>
      </c>
      <c r="D101" t="inlineStr">
        <is>
          <t>linkedin</t>
        </is>
      </c>
      <c r="E101" t="inlineStr"/>
      <c r="F101" t="inlineStr"/>
      <c r="G101" t="inlineStr">
        <is>
          <t>San Jose, CA</t>
        </is>
      </c>
      <c r="H101" t="inlineStr"/>
      <c r="I101"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In this role, you will coordinate and execute AI software and developer marketing plans and event content programs. You’ll ensure effective alignment across multiple teams, manage content workflows and creative production, and provide input to senior stakeholders on messaging and audience engagement. The role requires strong organizational skills, attention to detail, and the ability to manage concurrent deliverables while meeting demanding timelines and supporting strategic direction from senior leadership.
 You will also help evolve how AMD presents its AI story through in\-event experiences, ensuring narrative consistency, including integrating event content into digital, web, and community channels to maximize reach and engagement.
**The Person**
 You are a marketing professional with experience in AI and software\-focused programs. You excel at leading complex content initiatives across events, digital platforms, and creative channels. With strong organizational skills and attention to detail, you can multi\-task across workstreams while maintaining alignment with an approved strategic direction. You collaborate effectively with product, creative, developer relations, developer marketing, partner, and event teams to deliver cohesive, high\-quality content that advances business goals.
 You adapt quickly to new tools and evolving priorities, balancing tactical execution with strategic thinking. You actively seek opportunities to contribute to content planning and measurement, using insights and performance data to drive continuous improvement. Motivated by innovation, you thrive in a fast\-paced environment where AI technology and storytelling converge—bringing curiosity, creativity, and analytical rigor to every project. Your work informs, engages, and inspires AMD’s developer and AI software ecosystem audiences.
**Core Attributes**
* Strategic Storyteller: Shapes narratives that align with business goals and captivate developer and ecosystem audiences.
* Creative Content Developer: Crafts unique, audience\-specific content that drives engagement.
* Collaborative Coordinator: Works effectively across teams and partners to ensure alignment of content and event activities.
* Detail\-Oriented Planner: Manages logistics and execution with precision to deliver successful outcomes.
* Agile Marketer: Adapts to shifting priorities, leveraging feedback and AI tools to optimize processes and results.
**Key Responsibilities**
* Lead cross\-functional alignment for AI content programs spanning editorial planning, event content capture, and post\-production workflows.
* Develop innovative content tailored for developer audiences to drive engagement and retention.
* Collaborate with internal subject\-matter experts, peer organizations and ISV partners to create content that resonates with AI developers and technical audiences.
* Lead keynote and event content development, ensuring alignment with strategic messaging and timely delivery.
* Gather and analyze content performance data and insights to guide ongoing planning and optimization.
* Partner with cross\-AMD BU product teams to ensure event content reflects the latest technology advancements.
* Ensure consistent application of AMD’s AI messaging across global and regional events.
* Contribute to post\-event reviews to capture learnings and refine future programs.
**Preferred Experience**
* Background in marketing, event or program management within technology\-driven sectors.
* Experience supporting developer\-facing content and community channels (e.g., YouTube, Reddit, Discord) and understanding how developers engage with technical content.
* Proven ability to develop compelling narratives and manage diverse content initiatives.
* Experience marketing to developers and familiarity with popular AI software stacks.
* Use of AI tools to automate workflows and enhance content quality.
* Understanding of how technical storytelling drives product adoption and ecosystem engagement.
**Academic Credentials**
* Bachelor's degree in marketing, Business, Communications, or related field.
* Advanced degree or certification in Marketing, Event Management, or related discipline is desirable.
* Coursework or certification in AI, developer marketing, or digital content strategy is a plus.
**LOCATION:**
* Austin, TX
* Hybrid work environment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2">
      <c r="A102" t="inlineStr">
        <is>
          <t>li-4359765791</t>
        </is>
      </c>
      <c r="B102" t="inlineStr">
        <is>
          <t>Program Manager</t>
        </is>
      </c>
      <c r="C102" t="inlineStr">
        <is>
          <t>Itron, Inc.</t>
        </is>
      </c>
      <c r="D102" t="inlineStr">
        <is>
          <t>linkedin</t>
        </is>
      </c>
      <c r="E102" t="inlineStr"/>
      <c r="F102" t="inlineStr"/>
      <c r="G102" t="inlineStr">
        <is>
          <t>Austin, TX</t>
        </is>
      </c>
      <c r="H102" t="inlineStr"/>
      <c r="I102" t="inlineStr">
        <is>
          <t>Itron is innovating new ways for utilities and cities to manage energy and water. We create a more resourceful world to protect essential resources for today and tomorrow. Join us.
**Summary**
 Itron is seeking an experienced
 **Program Manager** 
 to join our Program Management Office (PMO). In this role, you will lead and manage multiple complex solution programs across development, validation, integration, and delivery of Itron’s innovative products and systems. You will collaborate with cross\-functional teams—including Marketing, Product Management, Hardware, Firmware, Software, Test, Quality, Delivery, and Support—to deliver customer\-centric solutions that meet business objectives. This position requires strong leadership, accountability, and the ability to foster collaboration across diverse teams globally.
**Duties \&amp; Responsibilities**
* Lead end\-to\-end planning and execution of complex hardware, firmware, and software programs from concept through production.
* Develop and maintain integrated schedules across engineering disciplines; manage critical\-path dependencies between internal teams and external partners.
* Build authentic relationships across all levels of the organization and provide exceptional leadership to program teams to deliver on time, within budget, and with high quality.
* Monitor overall program health; anticipate, identify, and mitigate risks such as scope changes, resource constraints, schedule delays, and budget overruns.
* Communicate program status, risks, and mitigation strategies clearly and concisely to stakeholders and executives.
* Facilitate effective decision\-making and drive program change management processes.
* Ensure adherence to program governance and Itron’s lifecycle standards.
* Champion continuous improvement through process refinement, knowledge sharing, and training initiatives.
* Facilitate engagement with initial customers for new product releases, ensuring robust bilateral communication
**Required Skills \&amp; Experience**
* Bachelor’s degree in engineering, computer science, or a related field.
* 5\+ years of experience as a program manager, technical lead, or systems engineer managing hardware/firmware/software development and delivery of complex solutions.
* Proven experience delivering enterprise software, SaaS, on\-premises, and cloud\-based solutions.
* Advanced knowledge of program and project management principles, including SAFe.
* Strong leadership and stakeholder management skills with the ability to influence without direct authority.
* Excellent communication, organizational, and problem\-solving skills.
* Ability to work effectively with globally distributed teams and foster an inclusive, collaborative environment.
* Proficiency with MS Office, MS Project, SharePoint, and Azure.
**Preferred Skills \&amp; Experience**
* Previous experience in an R\&amp;D team and PMO organization.
* Agile development and Scrum Master experience.
* Release Train Engineer (RTE) certification.
* PMP Certification or equivalent combination of education, experience, and/or training.
**Travel** 
 : 0\-10%
**Physical Demands**
 This is a typical office job, with no special physical requirements or unusual work environment.
**Benefits Info**
 This position also includes a competitive benefit package including; financial, social, health and wellbeing programs, paid vacation, 401k matching, employee stock purchase program, hybrid work schedule, and more!
 The successful candidate’s starting salary will be determined based on permissible, non\-discriminatory factors such as skills and experience and may vary by location. Liberty Lake, WA; Oconee, SC: The base salary is $96,000– $184,000\. Raleigh, NC; Austin, TX: The base salary is $105,000\- $202,000\. This position is eligible for our annual bonus program,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wage will be determined based on permissible, non\-discriminatory factors such as skills and experience.
 Itron is proud to be an Equal Opportunity Employer. If you require an accommodation to apply, please contact a recruiting representative at 1\-800\-635\-5461 or email Accessibility@itron.com.
 Itron is transforming how the world manages energy, water and city services. Our trusted intelligent infrastructure solutions help utilities and cities improve efficiency, build resilience and deliver safe, reliable and affordable service. With edge intelligence, we connect people, data insights and devices so communities can better manage the essential resources they rely on to live. Join us as we create a more resourceful world: www.itron.com</t>
        </is>
      </c>
    </row>
    <row r="103">
      <c r="A103" t="inlineStr">
        <is>
          <t>li-4327959378</t>
        </is>
      </c>
      <c r="B103" t="inlineStr">
        <is>
          <t>Program Manager</t>
        </is>
      </c>
      <c r="C103" t="inlineStr">
        <is>
          <t>Fiserv</t>
        </is>
      </c>
      <c r="D103" t="inlineStr">
        <is>
          <t>linkedin</t>
        </is>
      </c>
      <c r="E103" t="inlineStr"/>
      <c r="F103" t="inlineStr"/>
      <c r="G103" t="inlineStr">
        <is>
          <t>Berkeley Heights, NJ</t>
        </is>
      </c>
      <c r="H103" t="inlineStr"/>
      <c r="I10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Program Manager
**About Your Role**
 As a successful Program Manager, you will ensure that Fiserv delivers on its commitments to our financial institution partners as part of our growing Digital Solutions business unit. We provide online banking and mobile financial services applications for over 2,300 financial institutions and millions of customers. You will serve a meaningful role in driving client satisfaction in partnership with stakeholders across the organization.
**What You Will Do**
* Execute Digital Solutions initiatives with expertise in program management frameworks and best practices: define project plans, coordinate resources, manage implementation activities, and develop all process associated with program rollout and ongoing support
* Lead initiatives to support our clients’ needs \- work with Product Managers, product development, and client account management teams to build, optimize, and bring products \&amp; programs to market
* Manage multiple projects simultaneously in a fast\-paced ambiguous environment while delivering work on time
* Drive cross\-functional teams and collaborate closely and communicate effectively with internal and external partners to ensure alignment of goals and tasks
* Lead, track, and report project performance, resource allocations, cost, and quality
* Proficiently execute against key business success metrics including financial targets and client experience metrics
* Proactively drive action through collaboration and flexibility
* Support deployments for financial institution clients, which typically occur outside of standard business hours
**What You Will Need To Have**
* 6\+ years of experience in business and IT program \&amp; project management
* 4\+ years of experience in effectively driving delivery of products to clients
* 4\+ years of experience with client facing responsibilities and communication
* Strong experience in data\-driven management, metrics, and reporting
* Bachelor's degree in business, operations or a related field required
**What Would Be Great To Have**
* 3\+ years of experience in digital banking, or Financial Services \&amp; FinTech industries
* PMP or equivalent professional project management certification
* Experience with Waterfall and/or Agile methodologies
* Experience working in a cloud environment, preferably Azure
**How You’ll Work**
* Fiserv emphasizes in\-person collaboration to help you grow your career while shaping the future of fintech; this role is on\-site Monday through Friday
**Sponsorship**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**Salary Range**
 $100,000\.00 \- $165,600\.00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04">
      <c r="A104" t="inlineStr">
        <is>
          <t>li-4294619390</t>
        </is>
      </c>
      <c r="B104" t="inlineStr">
        <is>
          <t>Technical Program Manager</t>
        </is>
      </c>
      <c r="C104" t="inlineStr">
        <is>
          <t>SPX Technologies</t>
        </is>
      </c>
      <c r="D104" t="inlineStr">
        <is>
          <t>linkedin</t>
        </is>
      </c>
      <c r="E104" t="inlineStr"/>
      <c r="F104" t="inlineStr"/>
      <c r="G104" t="inlineStr">
        <is>
          <t>Fremont, CA</t>
        </is>
      </c>
      <c r="H104" t="inlineStr"/>
      <c r="I104" t="inlineStr">
        <is>
          <t>**Building the people that build the world.**
 With platforms in HVAC and Detection and Measurement, SPX Technologies builds innovative solutions that enable a safer, more efficient, sustainable world. Through our RiSE talent development framework, we Reach, Identify, Strengthen, and Engage our employees to support them in their continued development. We’re a global company of problem solvers, collaborators, and innovators, and our businesses build solutions that impact the world.
 As part of Detection and Measurement, TCI is a global leader in innovative spectrum monitoring and communications intelligence (COMINT) systems. With solutions to ensure the efficient use of frequencies, long distance communications, monitoring and security communications intelligence applications, we improve communications and protect military forces and infrastructure around the world.
**How You Will Make An Impact (Job Summary)**
 SPX is a diverse team of unique individuals who all make an impact. As a Technical Program Manager with a technical background, you will be a self\-starter with the ability to work cross functionally to complete projects; the ability to deal with complex situations/ projects in international settings involving detection, location and countermeasure capabilities. Strong communications and organizational skills are required to successfully manage systems integration, field installations, customer training and technical support activities.
**What You Can Expect In This Role (Job Responsibilities)**
 While each day brings new opportunities at SPX, your core responsibilities will be:
* Create and execute project work plans and budgets and revise as appropriate to meet changing needs and requirements.
* Manage day\-to\-day operational aspects of a project and scope.
* Manage teams of engineers and field technicians to complete project tasks both locally and in Customer countries.
* Ability to perform tasks and complete projects with minimal supervision.
* Manage aspects of pre\-shipment process, Engineering and Production requirements and deadlines, and planning and supporting of customer Factory Acceptance Testing when necessary.
* Support customers’ installation \&amp; site preparation planning, including identifying and managing subcontractors, coordinating Statement of Work documentation, ensuring quality of work, and managing customer modifications in scope.
* Manage all on\-site activities, including site preparation; arrangements for and inspection of incoming shipments; installation and commissioning of hardware and software; performance of Site Acceptance Tests; training of customers; and local and remote diagnostics and troubleshooting.
* Serve as the customer’s primary point of contact during execution (manufacturing, installation and post\-sale support periods).
* Support sales and marketing activities in project and program management roles in preparation of proposals.
* Must be willing to travel internationally up to 30% of the time.
**What we are looking for (Experience, Knowledge, Skills, Abilities, Education)**
 We each bring something to the table, and we are looking for someone who has:
**Required Experience**
* Must be fluent in English, fluency in multiple languages is highly desirable.
* Must be a US Person (US Citizen or Green card holder)
* Excellent verbal and written communications skills
* Excellent project management and problem\-solving skills, PMP Certification preferred
* International Travel Experience
* Proficiency with Microsoft Office tools
* The ability to read and interpret wiring diagrams and electrical / electronic schematics
* Experience working with RF Communications Equipment, Spectrum Monitoring \&amp; Management Systems and/or Signals Intelligence Systems is highly desirable.
* Previous or current security clearance and/or military experience; must be clearable
**Preferred Knowledge, Skills, And Abilities**
* Former military or industry experience beneficial and desirable
**Education \&amp; Certifications**
* Minimum of a Bachelor’s Degree, preferably in a technical field
* Minimum of 7 years technical program management or relevant experience
* PMP Certification preferred
**Travel \&amp; Working Environment**
* Must be willing to travel internationally up to 30% of the time.
* Must reside locally to Fremont facility
* Possibility to work onsite at least 3 days per week, upon successful assimilation into the business
*We recognize that attracting the best talent is key to our strategy and success as a company. As a result, we aim for flexibility in structuring competitive compensation offers to ensure we are able to attract the best candidates. As required by law in this state, the quoted salary range for this position is $125,100\- $175,000 and represents our good faith estimate as to what our ideal candidates are likely to expect. We tailor our offers within the range based on organizational needs, internal equity, market data, geographic zone, and the selected candidate’s experience, education, industry knowledge, location, technical and communication skills, and other factors that may prove relevant during the selection process. At SPX, it is not common for individuals to be hired at the higher end of the range, and compensation decisions depend on a variety of factors. This position is eligible to participate in a discretionary bonus, subject to the rules governing the plan. SPX offers a variety of benefits, including health benefits, 401K retirement with a company match, and flexible time off. More information about our benefits can be found on the “Rewards and Benefits” section of our career page.*
**How We Live Our Culture**
 Our culture is at the center of what we do and, more importantly, who we are. Our core values set a standard for how we manage ourselves, and our Leadership Model sets the standard for how we engage with each other. Whether you are an individual contributor or you lead a large team, each of us leads at SPX.
**What benefits do we offer?**
 We know that the well\-being of our employees is integral. Our benefits include:
* Generous and flexible paid time off including paid personal time off, caregiver, parental, and volunteer leave
* Competitive health insurance plans and 401(k) match, with benefits starting day one
* Competitive and performance\-based compensation packages and bonus plans
* Educational assistance, leadership development programs, and recognition programs
**Our commitment to embrace diversity to build a culture of inclusion at SPX**
 We value different backgrounds, experiences, and voices at SPX, and we are committed to challenging ourselves, openly communicating, and striving to improve every day. We believe in creating an inclusive work environment where everyone has a voice and is encouraged to realize their fullest potential.
 SPX is an affirmative action and equal opportunity employer committed to making selection decisions without regard to race, color, religion, sex, sexual orientation or identity, national origin, age, disability, veteran status, or any other legally protected basis.</t>
        </is>
      </c>
    </row>
    <row r="105">
      <c r="A105" t="inlineStr">
        <is>
          <t>li-4328330121</t>
        </is>
      </c>
      <c r="B105" t="inlineStr">
        <is>
          <t>sUAS Program Manager - South Central</t>
        </is>
      </c>
      <c r="C105" t="inlineStr">
        <is>
          <t>Kiewit</t>
        </is>
      </c>
      <c r="D105" t="inlineStr">
        <is>
          <t>linkedin</t>
        </is>
      </c>
      <c r="E105" t="inlineStr"/>
      <c r="F105" t="inlineStr"/>
      <c r="G105" t="inlineStr">
        <is>
          <t>Abilene, TX</t>
        </is>
      </c>
      <c r="H105" t="inlineStr"/>
      <c r="I105" t="inlineStr">
        <is>
          <t>**Requisition ID:** 
 178902
**Job Level:** 
 Senior Level
**Home District/Group:** 
 South Central District
**Department:** 
 Surveying
**Market:** 
 Transportation
**Employment Type:** 
 Full Time
**Position Overview**
 As a sUAS Program Manager, you will play an integral role in establishing and maintaining methods for a safe, accurate and efficient Survey Department. You will have responsibilities over contractual requirements, design model review and field survey operations, and should plan to spend around 30% of your time in the field observing and instructing the survey operations.
**District Overview**
 Kiewit's South Central District has a home office in Westlake, Texas but leads work all over Texas, Oklahoma, Arkansas, Mississippi, and Louisiana. However, one of the many things that makes Kiewit's culture unique is that we go where the work is, which exposes your career to abundant opportunities. We relocate our teams based on the work that is available, combined with the development plans, skill sets and career goals of each team member. This means your Kiewit adventure is custom\-designed to meet our shared needs.
**Location**
 One of the many things that makes Kiewit’s culture unique is that we go where the work is, which exposes your career to abundant opportunities. We relocate our teams based on the work that is available, combined with the development plans, skill sets and career goals of each team member. This means your Kiewit adventure is custom\-designed to meet our shared needs.
**Responsibilities**
 Contractual Requirements:
* Includes knowing the PLS requirements for the project, what specific surveys are required for the design, as\-built, monumentation and layout.
 Design Model Review:
* Conducted to ensure the accuracy of the files prior to being used for survey field calculations. Coordinate with the designer the file types required for survey operations.
* Establish regular meetings with the designer to review and plan for design survey requests and design model file progression.
 Field Survey Operations:
* Staffing of the survey department along with personnel and equipment schedules.
* Establish a project survey plan and outline specific field and office procedures.
* Oversee the operation with periodic reviews of record keeping, field procedures and survey audits to ensure that all work is performed in an efficient and professional manner.
* Maintain the official set of plans for the survey department.
* Provide weekly staff training sessions to ensure a competent and qualified staff.
**Qualifications**
* Ability to travel and relocate needed
* Bachelor’s degree is preferred
* 10\+ years’ experience in Construction Survey, Dimensional Control, Industrial Measurement, or a related field is required
* Must be able to apply concepts of basic algebra and geometry to perform calculations (area, volume, circumference, proportion, percentage)
* Dynamic thinker with the desire to lead, motivate and mentor teams
* Self\-starter with the ability to set standards of excellence in leadership, safety, quality and productivity
* Proficient computer knowledge including Microsoft Suite
* Excellent written and verbal communication skills
* Strong work ethic with the ability to work individually and as a team
* Committed to working safe and getting the job done right the first time
**Working Conditions**
* Will manage a diverse workload; must be able to handle stress and immediate deadlines
* Must be able to interact professionally with all levels of management
* Possible travel throughout the U.S. and internationally
* Occasionally lift and move objects up to 30 pounds
* Must be able to work regularly scheduled hours and occasional irregular hours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06">
      <c r="A106" t="inlineStr">
        <is>
          <t>li-4350295851</t>
        </is>
      </c>
      <c r="B106" t="inlineStr">
        <is>
          <t>Principal Technical Program Manager</t>
        </is>
      </c>
      <c r="C106" t="inlineStr">
        <is>
          <t>Oracle</t>
        </is>
      </c>
      <c r="D106" t="inlineStr">
        <is>
          <t>linkedin</t>
        </is>
      </c>
      <c r="E106" t="inlineStr"/>
      <c r="F106" t="inlineStr"/>
      <c r="G106" t="inlineStr">
        <is>
          <t>Reston, VA</t>
        </is>
      </c>
      <c r="H106" t="inlineStr"/>
      <c r="I106" t="inlineStr">
        <is>
          <t>**Description**
**JOB DESCRIPTION**
 The Oracle Cloud Infrastructure (OCI) team powers mission\-critical applications for leading enterprises worldwide, delivering hyper\-scale, multi\-tenant services in more than 50 regions. We are seeking a Program Manager with a strong passion for supply chain excellence to lead our Rack Ingestion Program, supporting OCI’s rapid growth through scalable hardware deployment and provisioning solutions.
 In this role, you will focus on optimizing rack ingestion and provisioning processes—overseeing the development and execution of provisioning that ensure our infrastructure can efficiently meet current and future demands for our customer. You will spearhead process improvement initiatives in rack redeployment, driving alignment across OCI Infrastructure Ordering and Supply Chain teams.
 As a strategic leader within the Rack Ingestion Program, you’ll collaborate cross\-functionally with Demand and Capacity Planning, Hardware Planning, Supply Chain Operations, and Delivery teams. Your deep business acumen, analytical prowess, and creative problem\-solving skills will be vital in developing innovative solutions that enhance infrastructure operations, maximize hardware utilization, and support OCI’s business outlook.
**Responsibilities**
**RESPONSIBILITIES**
* Work cross functionally and lead the development of rack ingestion improvements
* Develop innovative solutions to unique problems
* Automate and improve the process and methodology
* Manage program execution
* Identify and establish metrics on program effectiveness and impact across Oracle Cloud Infrastructure
 The ideal candidate thrives in ambiguity, is intensely customer\-focused, and has a passion for operational excellence. You'll need to be adept at breaking down intricate problems, synthesizing data\-driven insights, and crafting clear, measurable implementation plans. Additionally, the ability to effectively communicate your vision and recommendations to senior leadership is essential.
 If you have an analytical mindset with a strong business mindset, a talent for developing innovative solutions, and the presence to present to senior stakeholders, we encourage you to apply. Join our fast\-paced, diverse team and be a part of shaping the future of cloud computing. This is your chance to make a meaningful contribution to the continued growth and success of Oracle Cloud Infrastructure.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7">
      <c r="A107" t="inlineStr">
        <is>
          <t>li-4315311217</t>
        </is>
      </c>
      <c r="B107" t="inlineStr">
        <is>
          <t>Program Manager</t>
        </is>
      </c>
      <c r="C107" t="inlineStr">
        <is>
          <t>First Command Financial Services, Inc.</t>
        </is>
      </c>
      <c r="D107" t="inlineStr">
        <is>
          <t>linkedin</t>
        </is>
      </c>
      <c r="E107" t="inlineStr"/>
      <c r="F107" t="inlineStr"/>
      <c r="G107" t="inlineStr">
        <is>
          <t>Fort Worth, TX</t>
        </is>
      </c>
      <c r="H107" t="inlineStr"/>
      <c r="I107" t="inlineStr">
        <is>
          <t>**Job Description**
**How will this role impact First Command?**
 As a Program Manager at First Command, you will help drive strategic alignment and operational excellence leading enterprise\-wide programs that significantly impact operational efficiency. This role focuses on ensuring the successful execution of a key initiative supporting First Command’s mission of empowering military families with trusted financial advice and solutions. The Program Manager will work closely with other senior leaders to align execution with a Program’s goals and assigned resources. Your ability to bring structure, clarity, and momentum will help shape First Command’s ongoing transformation and innovation efforts.
**What will the employee be doing?**
**Program Leadership And Execution**
* Lead business sponsors and project managers through all phases of project delivery, including initiation, planning, execution, monitoring, and closeout.
* Develop program scope and deliverables, required resources, program plan, risk management, budgeting, and internal / external program performance reporting.
* Manage the Program Team to ensure solutions are delivered on time and within specification in order to maintain program scope and schedule.
* Apply appropriate project management methodologies (Waterfall, Agile, or Hybrid) based on project needs.
**Stakeholder Engagement And Communication**
* Facilitate effective communication between business units, technical teams, vendors, and leadership.
* Organize and lead regular Program meetings, status updates, and steering committee presentations.
* Translate business needs into actionable plans and help align multiple dependent projects to ensure outcomes align with strategic priorities.
**Risk And Issue Management**
* Identify Program risks and issues early, and work proactively to mitigate or resolve them.
* Maintain documentation, decision logs, and change control records spanning across multiple projects accordance with First Command EPMO standards.
* Escalate concerns when necessary to ensure timely resolution and maintain Program momentum.
**Collaboration And Continuous Improvement**
* Build positive working relationships across the organization to promote teamwork and collaboration.
* Work effectively with Digital Product and other Agile teams in service to Program objectives.
* Contribute to the development and refinement of project management tools, documentation, and best practices.
* Support a culture of continuous learning by sharing lessons learned, participating in team development, and mentoring more junior teammates.
* Lead cross\-functional teams of internal staff, external partners, and subject matter experts to execute project work, organize team efforts, and drive accountability.
* Coordinate with project managers to align on shared goals.
**What skills \&amp; qualifications does this employee need?**
**Education**
* Bachelor’s degree is required.
**Experience**
* 10\+ years of experience project management experience, 5\+ years focused on managing complex technical and IT\-related projects. 3\+ years in Program Management preferred. .
* Demonstrated success in leading both Agile and Waterfall projects in a fast\-paced, regulated environment – preferably in financial services.
* Proven experience managing enterprise system implementations, cloud migrations, digital initiatives, or data/infrastructure projects.
**Certifications**
* PMP (Project Management Professional) required
* Agile certification (e.g., SAFe, CSM, PMI\-ACP) preferred
**Knowledge, Skills, And Abilities**
* Solid understanding of Program, Project, and software development life cycles
* Understanding of the financial services environment and customer\-centric solutions is a plus.
* Solid understanding of Program lifecycle activities, risk management, and team collaboration strategies.</t>
        </is>
      </c>
    </row>
    <row r="108">
      <c r="A108" t="inlineStr">
        <is>
          <t>li-4338040058</t>
        </is>
      </c>
      <c r="B108" t="inlineStr">
        <is>
          <t>Supply Chain Program Manager</t>
        </is>
      </c>
      <c r="C108" t="inlineStr">
        <is>
          <t>BAE Systems, Inc.</t>
        </is>
      </c>
      <c r="D108" t="inlineStr">
        <is>
          <t>linkedin</t>
        </is>
      </c>
      <c r="E108" t="inlineStr"/>
      <c r="F108" t="inlineStr"/>
      <c r="G108" t="inlineStr">
        <is>
          <t>Hudson, NH</t>
        </is>
      </c>
      <c r="H108" t="inlineStr"/>
      <c r="I108" t="inlineStr">
        <is>
          <t>**Job Description**
**Join the Team that's Changing the World**
 At BAE Systems, we're dedicated to developing the world's most advanced electronics, from detecting threats for F\-35 pilots to illuminating the night for soldiers. Our employees work across air, land, sea, and space, creating the technology of tomorrow, delivered today. With a flexible work environment, you can change the world without giving up your personal life. Our mission is clear: "We Protect Those Who Protect Us®." Join our team and build a career that makes a difference.
**About Our Business Area**
 In the Precision Strike \&amp; Sensing Solutions (PS) business area, we design and manufacture state\-of\-the\-art systems and technology that enable our customers to execute their precision strike missions.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**Job Opportunity: Supply Chain Program Manager (SCPM)**
 We're seeking a highly skilled and experienced Supply Chain Program Manager (SCPM) to join our Precision Guidance Sensing Solutions Product Line at our Hudson, New Hampshire location. As a SCPM, you'll play a critical role in developing, coordinating, and executing material strategies and supply chain objectives for our precision strike missions.
**Job Summary**
 The SCPM will be responsible for leading the supply chain activities for a specific program, ensuring high\-quality, timely material delivery to the factory. This is a highly visible role that requires strong leadership skills, project management expertise, and excellent communication abilities.
**Responsibilities**
* Develop, coordinate, and execute program material strategies and supply chain objectives
* Collaborate with cross\-functional teams, including Subcontract Administrator, Subcontracts Program Manager, Procurement, and Planning team
* Develop and execute risk/opportunity plans to meet program objectives
* Balance strategic thinking with tactical application of strategies to programs on a daily basis
* Work closely with Engineering, Quality, and Operations to drive strategy and mitigate material issues
* Monitor performance metrics and proactively address program and functional issues
* Strategically support proposals as the Supply Chain Lead, including Basis of Estimates
* Act as material Cost Account Manager (CAM) for the program
* Lead continuous improvement activities, including tools and processes for the program and business area
* Serve as primary Supply Chain contact for the program
* Lead the Materials Integrated Program Team, driving accountability and root cause corrective action
**Required Education, Experience, \&amp; Skills**
* Bachelor's Degree and 12 years of working experience or equivalent experience
* Experience in Subcontract Management, Project Management, or Program Management
* Ability to lead in a cross\-functional team environment with a customer\-focused approach and an aptitude for continuous improvement
* Demonstrated success in implementing lean manufacturing and supply chain initiatives
* Record of success in supporting increasing demand while continuing to meet key performance indicators
* Strong diplomatic, communication, presentation, and negotiation skills
* Ability to manage and report status of projects within a project management discipline
* Ability to provide strategic contributions while successfully executing on tactical projects
* Successful, proven record of leading and managing multi\-discipline project teams
* Strong interpersonal skills with a focus on relationship building, leading through influence, and effective communication at all levels
**Preferred Education, Experience, \&amp; Skills**
* Master's Degree and a combination of 12 years of Operations / Supply Chain / Program Management Experience
* Bachelor's degree in Supply Chain Management, Engineering, or Operations
* Master's Degree in Engineering and/or Business Administration
* Prior experience as a project manager
* Experience leading cross\-functional teams Integrated Product Teams (IPTs)
* Program Management Institute's (PMI) Program Management Professional (PMP) certification
* Demonstrated Risk Management experience
* Experience with information systems such as Oracle
* Knowledge of acquisition policies and procedures with associated knowledge of Federal Acquisition Regulations (FAR) and Defense Federal Acquisition Regulations (DFAR)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9">
      <c r="A109" t="inlineStr">
        <is>
          <t>li-4345223014</t>
        </is>
      </c>
      <c r="B109" t="inlineStr">
        <is>
          <t>Operations Program Manager (Onsite)</t>
        </is>
      </c>
      <c r="C109" t="inlineStr">
        <is>
          <t>Collins Aerospace</t>
        </is>
      </c>
      <c r="D109" t="inlineStr">
        <is>
          <t>linkedin</t>
        </is>
      </c>
      <c r="E109" t="inlineStr"/>
      <c r="F109" t="inlineStr"/>
      <c r="G109" t="inlineStr">
        <is>
          <t>Seminole, FL</t>
        </is>
      </c>
      <c r="H109" t="inlineStr"/>
      <c r="I109" t="inlineStr">
        <is>
          <t>**Date Posted:**
 2025\-12\-19
**Country:**
 United States of America
**Location:**
 FL410: Largo FL MFG 7887 Bryan Dairy Road , Largo, FL, 33777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Raytheon Company, Managed by Collins Aerospace
 Raytheon has an immediate need for an Operations Program Manager (OPM) supporting the Largo Consolidated Manufacturing Center (CMC). The OPM is responsible for supporting the overall manufacturing operations for a large program or suite of programs within a product line portfolio with annual revenue between $10M and $100M. They are expected to oversee and coordinate all operational aspects of ongoing programs and serves as a liaison between program management, project team, and factory management.
 The OPM will make strategic decisions for the direction of the program related to financial performance and manufacturing plans. The OPM should have a comprehensive understanding of all aspects of production including a thorough understanding of manufacturing related policies/procedures/practices, manufacturing quality standards, and DOD requirements.
 This is an onsite role based at our Largo, FL facility.
**What You Will Do:**
* Total program life cycle execution from bid/proposal through development/EDM, transition to deliver, production, and depot/sustainment
* Program planning, capacity analysis, schedule management, resource planning, and manufacturing execution
* Lead cost/process improvement initiatives
* Coordinate material management activities with Supply Chain Cost Account Manager (CAM), Estimate at Complete (EAC) development, analysis, and presentation, understanding and use of Earned Value Management (EVM), and risk and opportunity management
* Interface with both internal and external customers at Monthly Business Reviews (MBRs), Gates, EACs, Program Management Reviews (PMRs), and customer visits/tours
**Qualifications You Must Have:**
* Minimum of 6 years of relevant work experience
* Typically requires: Bachelor’s degree and 5 years of prior relevant experience OR Advanced Degree in a related field and minimum 3 years of experience
* The ability to obtain and maintain a U.S. government issued security clearance is required. U.S. citizenship is required, as only U.S. citizens are eligible for a security clearance.
* Experience working in an operations, manufacturing, program, cross\-functional, or equivalent environment
* Effective communicator, able to develop relationships and work with personnel at all organizational levels, functional stakeholders, and internal/external customers Demonstrated initiative, perseverance, and creativity in problem solving, strategic planning, project and deadline administration, and utilization of business system resources
* Excellent problem\-solving skills and ability to use data and information to convey a concise message to team members and key team members
* Flexibility and agility to work in an undefined development environment where processes and procedures may not always exist
* Thorough working knowledge of Microsoft Office; Ability to manipulate and process reports and work artifacts with large amount of data
**Qualifications We Prefer** 
**:**
* Familiarity with manufacturing and data analytics tools such as PRISM/APEX, CMES, Kinaxis, and PowerBi
* Experience generating EACs, providing cost variance analysis, and managing risk and opportunities
* Familiarity with documentation systems such as Common PDM to validate As\-Built configurations, alternates, ECNs, and change history
* Familiarity with Supply Chain Management practices
* Strategic and visionary planning, develop relationships and achieve buy\-in from all relevant parties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0">
      <c r="A110" t="inlineStr">
        <is>
          <t>li-4345212599</t>
        </is>
      </c>
      <c r="B110" t="inlineStr">
        <is>
          <t>Health Economics Program Manager - Hybrid or Remote based in N. America or Europe</t>
        </is>
      </c>
      <c r="C110" t="inlineStr">
        <is>
          <t>Cook Medical</t>
        </is>
      </c>
      <c r="D110" t="inlineStr">
        <is>
          <t>linkedin</t>
        </is>
      </c>
      <c r="E110" t="inlineStr"/>
      <c r="F110" t="inlineStr"/>
      <c r="G110" t="inlineStr">
        <is>
          <t>Bloomington, IN</t>
        </is>
      </c>
      <c r="H110" t="inlineStr"/>
      <c r="I110" t="inlineStr">
        <is>
          <t>**Overview**
**We have an exciting opportunity for an experienced health economics and value professional who wants to directly lead, shape and grow Cook Medical’s global value\-based healthcare and health economic agenda, working closely with Global Health Economics leadership to drive change and adoption company\-wide.**
**As part of our expanding Health Economics team, this role will focus on market access by shaping projects and creating user\-friendly health economic models and value tools, in partnership with commercial and functional teams.**
**This role will collaborate with and advise peers and internal stakeholders on clinical/health economic studies, and identification and development of new business opportunities.**
**The Successful Candidate Will**
* Demonstrate strong communication, collaboration, and project management skills.
* Have an analytical mindset and data\-based approach to create clear concise value tools, translating value claims into quantitative/health\-economic models.
* Enjoy being challenged by finding the value story behind the existing data and is comfortable challenging the status quo to drive new processes forward.
* Thrive working autonomously, be confident in making decisions to ensure timely project progression and focus on producing key impactful deliverables to support health economic and value conversations.
* Possess these capabilities:
+ Produce insightful visualizations of large data sets
+ Translate complex technical and clinical data in an easily digestible and interesting manner.
+ Lead change at all levels
 Responsible for managing market access programs, projects and creation of user\-friendly health economic models and value tools, with a deployment to external customers while partnering with relevant teams, in alignment with Division and specialty goals, priorities and overall company strategy and vision.
 Collaborate with, advise and influence peers and company stakeholders on clinical/health economic studies, and identify and contribute to the development of new business opportunities.
**Responsibilities**
 Collaborate closely with the divisions and other company functions to advance the market access strategy for new and existing technologies that align division and company goals and strategies.
 Develop economic value propositions and communicate the value messaging through bespoke business cases, value tools, training materials and summary sheets to support commercial, business and reimbursement discussions with decision\-makers.
 Create and utilize different health economics models (i.e. budget impact models, cost\-effectiveness models) to communicate the public health impact and economic value of Cook technologies to clinical and non\-clinical stakeholders, such as payers and providers.
 Use previous experience to offer moderate improvements on existing processes and practices in line with value\-based healthcare agenda to support future growth of Cook.
 Support all stages of product development by actively engaging in evidence strategy development, acting as value expert in early value proposition development, providing early health economic models and compiling burden of disease reviews and adapting information according to global market needs.
 Interact regularly and effectively with external customers (SME’s, medical societies, and other key national and regional stakeholders) to assist with describing the value proposition and models. Develop new external stakeholder relationships to understand needs and explore partnership opportunities.
 May provide guidance and coaching and training to other employees across the Company, and directly with customers, within area of health economics and product value propositions.
 Provide commercial support (e.g., training regional teams, engaging customers directly) as needed to drive business results and serve as day\-to\-day support on health economics matters for various teams.
 Execute and manage projects with academia, external collaborators and vendors to ensure timely completion and quality of deliverables as well as budget and legal compliance
 Partner with business leadership to ensure health economic and value activities align with and support commercial objectives.
 Monitor, analyze and communicate relevant developments in health technology assessments (HTA) and value\-based healthcare for assigned countries.
 Adapt current health economic tools for wider global adoption in collaboration with company stakeholders.
 Meet deadlines and complete administrative tasks such as expenses, training, reporting, policy acknowledgements, etc. in a timely manner.
 Understand and be accountable for conducting Cook business with integrity and in compliance with applicable standards including Cook policies.
 Within scope of responsibility, ensure all quality, regulatory, compliance and product\-specific
 requirements are met.
**Qualifications**
**Required Experience:**
 Minimum 7 years relevant experience, including health economics, market access, and/or reimbursement.
 Prior experience and deep knowledge in health economic modelling and creating value messaging and support tools.
 Demonstrated ability to work effectively autonomously as well as in teams.
 Broad project management skills with experience prioritizing and managing large/complex and simultaneous projects to completion.
 Excellent communication skills (writing and verbal) with strong ability to communicate complex concepts in a simple and engaging manner
 Prior experience presenting to leadership and external audiences.
 Demonstrated ability to create structure within ambiguity.
 Demonstrated strong relationship building skills.
 Proficient in Microsoft Office with advanced Excel skills in modelling and analysis.
**Preferred Qualification**
 Advanced graduate degree (Ph. D. or master’s degree) in health economics or related field.
 Health economics, market access, and/or reimbursement experience in Medical Device or pharmaceutical industry.
 Demonstrate positive and constructive behaviors that drive team cooperation in achieving objectives.
 Experienced in providing coaching, guidance and training to other employees
 Demonstrate excellent leadership and presentations skills.
 Excels in a highly collaborative team setting.
 Demonstrate the ability to think strategically.
**Physical Requirements/Work Environment**
 Ability to travel as needed.
 Work under general office environmental conditions
**Other Requirements**
 Employee signs a non\-competition and confidentiality agreements in relation to his/her employment with Cook. Employee acts in compliance with company policies including but not limited to, the Cook Employee Manual, Cook Code of Conduct, Cook Electronic Information Policy, Product Complaints, HIPAA regulations and Cook Policy \&amp; Guidance On Interaction with Healthcare Professionals.</t>
        </is>
      </c>
    </row>
    <row r="111">
      <c r="A111" t="inlineStr">
        <is>
          <t>li-4345551209</t>
        </is>
      </c>
      <c r="B111" t="inlineStr">
        <is>
          <t>Program Manager - Civil</t>
        </is>
      </c>
      <c r="C111" t="inlineStr">
        <is>
          <t>GFT</t>
        </is>
      </c>
      <c r="D111" t="inlineStr">
        <is>
          <t>linkedin</t>
        </is>
      </c>
      <c r="E111" t="inlineStr"/>
      <c r="F111" t="inlineStr"/>
      <c r="G111" t="inlineStr">
        <is>
          <t>New York, NY</t>
        </is>
      </c>
      <c r="H111" t="inlineStr"/>
      <c r="I111" t="inlineStr">
        <is>
          <t>**What You Will Do**
 GFT is seeking a motivated and experienced
 **Program Manager – Civil** 
 to join our Construction Services team in New Rochelle, NY to work on a critical megaproject serving the region.
 At
 **GFT** 
 , we’re not just engineering the future; we’re meticulously building it. Our comprehensive suite of construction and program management services reflects our unwavering commitment to excellence, safety, innovation, and sustainability. Our construction management services are the cornerstone of our commitment to transforming communities and enhancing lives. We oversee every construction phase to help ensure projects are completed on schedule, within budget, and to the highest safety and quality standards.
**What You’ll Be Challenged To Do**
 As a Program Manager, you will guide complex, multi\-disciplinary work for a major regional rail program. You will lead planning, delivery, and closeout activities while building strong relationships with clients and partners. You will support growth efforts for the group by helping position GFT for future opportunities.
**In the capacity, you will be responsible for the following:**
* Lead major programs and projects and oversee multi\-practice scopes of work
* Develop proposals and coordinate technical input across participating teams
* Present proposals and related materials to clients and key stakeholders
* Negotiate contract scopes and fees
* Prepare and supervise contracts and related documents for clients, subconsultants, subcontractors and vendors
* Manage project initiation including PA and WBS development and VantagePoint setup
* Lead project kick\-off meetings and guide preparation of project execution plans
* Coordinate resources across disciplines and partner firms to deliver defined scopes
* Manage subconsultants, subcontractors and vendors
* Prepare project status updates and maintain communication with executive\-level stakeholders
* Lead and manage QA and QC processes in alignment with GFT’s Quality Management System
* Oversee project financials including cost control, earned value analysis, billing, and invoice review
* Track scope changes, risks and schedule performance
* Manage project closeout activities
* Support marketing and business development efforts through client outreach and participation in strategic pursuits
 Education \| Experience:
**What You Will Bring To Our Firm**
* Bachelor's degree
* 15\+ years of industry experience
* 5\+ years experience on $1B\+ megaprojects in a leading role
* 5\+ years experience in Alternative Delivery
* Must have excellent people and project management skills
* Must have strong oral and written communication skills
* Must be able to analyze and solve problems efficiently and effectively
* Must be able to drive success and achieve deadlines
* Prior Railroad Experience preferred
**What We Prefer You Bring**
* Bachelor's degree in a technical field
* Professional Engineering License in New York
* PMI, PMP or approved equivalent
* DBIA
**Compensation**
 The salary range for this role is
 **$210,000 \- $260,000 per year** 
 . Salary is dependent upon experience and geographic location.
**Featured Benefits**
* Comprehensive benefits package, including medical, dental, vision, disability, and life insurance.
* Wellness programs, parental leave, and pet insurance.
* Tax\-deferred 401(k) savings plan.
* Competitive paid\-time\-off (PTO) accrual.
* Tuition reimbursement for continued education.
* Commitment to professional development, including access to training programs and support for participation in professional organizations.
* Incentive compensation for eligible positions.
**Company Overview**
 At GFT, a privately held AEC firm, we innovate where transportation, water, power and buildings converge. We call this the Infrastructure of Life. We measure our success by the strength of our relationships – that’s why we’re the employer of choice for 5,000\+ of the industry’s brightest engineers, planners, architects, inspectors, designers, and more.
 Our clients choose us for our expertise and prefer us for our nimble approach, creativity, and personal touch. Backed by over a century’s experience, together we’re building a lasting legacy for future generations: stronger communities, a healthier planet, and better lives.
 **GFT: Ingenuity That Shapes Lives™**
 GFT is an Equal Opportunity Employer. All qualified candidates will receive consideration for employment without regard to race, color, religion, sex, sexual orientation, gender identity, national origin, disability, veterans’ status or other characteristics protected by law.
*Unsolicited resumes from third party agencies will be considered the property of GFT.*
 Location: New Rochelle, NY
 Working Hours: Construction hours
 Employment Status: Full\-time</t>
        </is>
      </c>
    </row>
    <row r="112">
      <c r="A112" t="inlineStr">
        <is>
          <t>li-4352306782</t>
        </is>
      </c>
      <c r="B112" t="inlineStr">
        <is>
          <t>Global Marketing Resource Program Manager</t>
        </is>
      </c>
      <c r="C112" t="inlineStr">
        <is>
          <t>myGwork - LGBTQ+ Business Community</t>
        </is>
      </c>
      <c r="D112" t="inlineStr">
        <is>
          <t>linkedin</t>
        </is>
      </c>
      <c r="E112" t="inlineStr"/>
      <c r="F112" t="inlineStr"/>
      <c r="G112" t="inlineStr">
        <is>
          <t>Plano, TX</t>
        </is>
      </c>
      <c r="H112" t="inlineStr"/>
      <c r="I112" t="inlineStr">
        <is>
          <t>**This job is with Fisher Investments, an inclusive employer and a member of myGwork – the largest global platform for the LGBTQ\+ business community. Please do not contact the recruiter directly.**
 This Global Marketing Resource Program Manager works in the office and is responsible for the forecasting, allocation and management of creative resources to support Global Marketing, reporting to the Associate Vice President, Global Marketing Services.
**The Opportunity**
 Our in‑house creative agency is looking for a Resource Program Manager to orchestrate the flow of work, talent, and time across a fast‑moving multidisciplinary team. This role sits at the center of creative operations \- ensuring the right people are assigned to the right projects at the right time, while maintaining visibility into capacity, forecasting, and workflow.
 You'll partner closely with creative leads, project managers, and cross‑functional stakeholders to keep the agency running efficiently. If you thrive in a dynamic environment, solving complex resourcing puzzles, and enjoy supporting creative teams so they can do their best work, this role is for you.
**The Day\-to\-Day**
* Manage day\-to\-day resourcing across design, copy, and project management teams.
* Responsible for forecasting project needs and workload by collaborating with Marketing teams.
* Maintain short\- and long\-term visibility into team bandwidth, upcoming needs, and potential gaps.
* Assess project needs and assign the right team members to specific projects based on their skills, experience, and availability
* Build and maintain dashboards, reports and resourcing documentation to support operational decision\-making
* Work with management to manage workload and availability of resources
* Lead the onboarding of contractors or vendors to fill resource gaps and meet project demands
* Oversee the streamlining processes and improve workflow efficiency to maximize team productivity
* Oversee the tools and systems used for resource planning
* Collaborate closely with project management and creative leads to ensure resource needs are met, and projects are delivered successfully
**Your Qualifications**
* Bachelor's Degree or equivalent combination of education and experience required
* Minimum of 3 years of resource management, program management, or creative operations experience, ideally within a creative agency or marketing department
* Strong understanding of creative workflows across design, copy, and production
* Proficiency with resourcing tools and working with data to inform recommendations and decisions
* Excellent verbal and written communication skills
* Advanced analytical skills and a high level of attention to detail
* Ability to adapt to changes in a fast paced, team environment
* Elicit cooperation from several sources, including senior management and internal clients
* Proficient in project management software, e.g. JIRA, with experience tracking resources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
 ]]\&gt;</t>
        </is>
      </c>
    </row>
    <row r="113">
      <c r="A113" t="inlineStr">
        <is>
          <t>li-4315270474</t>
        </is>
      </c>
      <c r="B113" t="inlineStr">
        <is>
          <t>Global Facilities - Operations Alignment Program Manager</t>
        </is>
      </c>
      <c r="C113" t="inlineStr">
        <is>
          <t>Micron Technology</t>
        </is>
      </c>
      <c r="D113" t="inlineStr">
        <is>
          <t>linkedin</t>
        </is>
      </c>
      <c r="E113" t="inlineStr"/>
      <c r="F113" t="inlineStr"/>
      <c r="G113" t="inlineStr">
        <is>
          <t>Boise, ID</t>
        </is>
      </c>
      <c r="H113" t="inlineStr"/>
      <c r="I113"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Responsible for defining deficiencies and areas for enhancement, prioritizing improvement initiatives, ensuring aligning with corporate strategies, formulating programs or projects, and implementing these plans within Facilities Operations and Maintenance. Conduct theoretical and tactical analysis of Operations and Maintenance metrics to pinpoint improvement opportunities and develop programs or projects for the leadership team to ensure alignment with corporate and organizational strategies. Deploy these programs or projects globally across Facilities sites to enhance worker safety and system reliability by developing Best\-Known\-Methods processes and applications. Perform audits to verify compliance across all Facilities sites. Foster continuous improvement through the dissemination of lessons learned and the adoption of emerging technologies within the semiconductor industry.
 Employer Will Accept a Bachelor's Degree In Industrial Engineering, Materials Science And Engineering, Mechanical Engineering, Computer Science, Or Related Field And 2 Years Of Experience In The Job Offered Or In a Program Or Project Manager\-related Occupation. Position Requires
* Agile project management techniques, including Scrum and Kanban;
* Identifying, analyzing, and mitigating risks throughout a project lifecycle;
* Creating and maintaining project roadmaps to guide teams and ensure alignment with strategic goals;
* Managing project roadmaps using tools like Microsoft Project, JIRA, and Wrike to achieve project goals;
* Cloud platforms, including AWS, Azure, or Google Cloud for managing and deploying applications.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14">
      <c r="A114" t="inlineStr">
        <is>
          <t>li-4360602235</t>
        </is>
      </c>
      <c r="B114" t="inlineStr">
        <is>
          <t>AI Delivery Product Owner, Manager - Tax Transformation</t>
        </is>
      </c>
      <c r="C114" t="inlineStr">
        <is>
          <t>Deloitte</t>
        </is>
      </c>
      <c r="D114" t="inlineStr">
        <is>
          <t>linkedin</t>
        </is>
      </c>
      <c r="E114" t="inlineStr"/>
      <c r="F114" t="inlineStr"/>
      <c r="G114" t="inlineStr">
        <is>
          <t>Chicago, IL</t>
        </is>
      </c>
      <c r="H114" t="inlineStr"/>
      <c r="I114"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5">
      <c r="A115" t="inlineStr">
        <is>
          <t>li-4360602237</t>
        </is>
      </c>
      <c r="B115" t="inlineStr">
        <is>
          <t>AI Delivery Product Owner, Manager - Tax Transformation</t>
        </is>
      </c>
      <c r="C115" t="inlineStr">
        <is>
          <t>Deloitte</t>
        </is>
      </c>
      <c r="D115" t="inlineStr">
        <is>
          <t>linkedin</t>
        </is>
      </c>
      <c r="E115" t="inlineStr"/>
      <c r="F115" t="inlineStr"/>
      <c r="G115" t="inlineStr">
        <is>
          <t>Atlanta, GA</t>
        </is>
      </c>
      <c r="H115" t="inlineStr"/>
      <c r="I115"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6">
      <c r="A116" t="inlineStr">
        <is>
          <t>li-4360660689</t>
        </is>
      </c>
      <c r="B116" t="inlineStr">
        <is>
          <t>AI Delivery Product Owner, Manager - Tax Transformation</t>
        </is>
      </c>
      <c r="C116" t="inlineStr">
        <is>
          <t>Deloitte</t>
        </is>
      </c>
      <c r="D116" t="inlineStr">
        <is>
          <t>linkedin</t>
        </is>
      </c>
      <c r="E116" t="inlineStr"/>
      <c r="F116" t="inlineStr"/>
      <c r="G116" t="inlineStr">
        <is>
          <t>Charlotte, NC</t>
        </is>
      </c>
      <c r="H116" t="inlineStr"/>
      <c r="I116"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7">
      <c r="A117" t="inlineStr">
        <is>
          <t>li-4359972417</t>
        </is>
      </c>
      <c r="B117" t="inlineStr">
        <is>
          <t>AI Delivery Product Owner, Manager - Tax Transformation</t>
        </is>
      </c>
      <c r="C117" t="inlineStr">
        <is>
          <t>Deloitte</t>
        </is>
      </c>
      <c r="D117" t="inlineStr">
        <is>
          <t>linkedin</t>
        </is>
      </c>
      <c r="E117" t="inlineStr"/>
      <c r="F117" t="inlineStr"/>
      <c r="G117" t="inlineStr">
        <is>
          <t>San Diego, CA</t>
        </is>
      </c>
      <c r="H117" t="inlineStr"/>
      <c r="I117"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8">
      <c r="A118" t="inlineStr">
        <is>
          <t>li-4359765186</t>
        </is>
      </c>
      <c r="B118" t="inlineStr">
        <is>
          <t>AI Delivery Product Owner, Manager - Tax Transformation</t>
        </is>
      </c>
      <c r="C118" t="inlineStr">
        <is>
          <t>Deloitte</t>
        </is>
      </c>
      <c r="D118" t="inlineStr">
        <is>
          <t>linkedin</t>
        </is>
      </c>
      <c r="E118" t="inlineStr"/>
      <c r="F118" t="inlineStr"/>
      <c r="G118" t="inlineStr">
        <is>
          <t>Tampa, FL</t>
        </is>
      </c>
      <c r="H118" t="inlineStr"/>
      <c r="I118"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9">
      <c r="A119" t="inlineStr">
        <is>
          <t>li-4360631006</t>
        </is>
      </c>
      <c r="B119" t="inlineStr">
        <is>
          <t>AI Delivery Product Owner, Manager - Tax Transformation</t>
        </is>
      </c>
      <c r="C119" t="inlineStr">
        <is>
          <t>Deloitte</t>
        </is>
      </c>
      <c r="D119" t="inlineStr">
        <is>
          <t>linkedin</t>
        </is>
      </c>
      <c r="E119" t="inlineStr"/>
      <c r="F119" t="inlineStr"/>
      <c r="G119" t="inlineStr">
        <is>
          <t>McLean, VA</t>
        </is>
      </c>
      <c r="H119" t="inlineStr"/>
      <c r="I119"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20">
      <c r="A120" t="inlineStr">
        <is>
          <t>li-4359922558</t>
        </is>
      </c>
      <c r="B120" t="inlineStr">
        <is>
          <t>AI Delivery Product Owner, Manager - Tax Transformation</t>
        </is>
      </c>
      <c r="C120" t="inlineStr">
        <is>
          <t>Deloitte</t>
        </is>
      </c>
      <c r="D120" t="inlineStr">
        <is>
          <t>linkedin</t>
        </is>
      </c>
      <c r="E120" t="inlineStr"/>
      <c r="F120" t="inlineStr"/>
      <c r="G120" t="inlineStr">
        <is>
          <t>Boston, MA</t>
        </is>
      </c>
      <c r="H120" t="inlineStr"/>
      <c r="I120"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21">
      <c r="A121" t="inlineStr">
        <is>
          <t>li-4360630997</t>
        </is>
      </c>
      <c r="B121" t="inlineStr">
        <is>
          <t>AI Delivery Product Owner, Manager - Tax Transformation</t>
        </is>
      </c>
      <c r="C121" t="inlineStr">
        <is>
          <t>Deloitte</t>
        </is>
      </c>
      <c r="D121" t="inlineStr">
        <is>
          <t>linkedin</t>
        </is>
      </c>
      <c r="E121" t="inlineStr"/>
      <c r="F121" t="inlineStr"/>
      <c r="G121" t="inlineStr">
        <is>
          <t>Lake Mary, FL</t>
        </is>
      </c>
      <c r="H121" t="inlineStr"/>
      <c r="I121"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22">
      <c r="A122" t="inlineStr">
        <is>
          <t>li-4360631000</t>
        </is>
      </c>
      <c r="B122" t="inlineStr">
        <is>
          <t>AI Delivery Product Owner, Manager - Tax Transformation</t>
        </is>
      </c>
      <c r="C122" t="inlineStr">
        <is>
          <t>Deloitte</t>
        </is>
      </c>
      <c r="D122" t="inlineStr">
        <is>
          <t>linkedin</t>
        </is>
      </c>
      <c r="E122" t="inlineStr"/>
      <c r="F122" t="inlineStr"/>
      <c r="G122" t="inlineStr"/>
      <c r="H122" t="inlineStr"/>
      <c r="I122"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30th, 2026\.
**Work you'll do**
 As a Deloitte Tax AI Product Management, Manager, you will be responsible for ensuring the features meet the needs of the global Deloitte Tax \&amp; Legal businesses and stakeholders. This role involves teaming with leadership and business stakeholders to understand problems and desired outcomes to develop the vision for platform. You will managing internal and vendor teams in building the understanding of the problem, developing solutions and collaborating regularly with stakeholders on the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priorities and ensure adherence to delivery standards with the development team.
* Provide leadership and oversight to deliver high quality functionality for end users.
* Review business requests, consult with Quality \&amp; Risk, validate technical understanding, and prioritize with leadership.
* Partner on the design and user experience to ensure product specifications are met. This will require hands on testing and providing thoughtful feedback to the technology team.
* Follow standards and guidelines to deliver business value efficiently.
* Collaborate with Technical Product Owner on scope, sequencing, sprint planning, and progress monitoring.
* Identify and mitigate product\-related risks and defects, escalating to leaders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Business Administration, Information Systems, Computer Science, Engineering, or a related field.
* 5\+ years' experience leading product delivery teams.
* Demonstrated product development experience using different software development methodologies, like Agile and Scaled Agile.
* Proven knowledge of risk management and tracking techniques.
* Hands on experience working with teams to apply Artificial Intelligence solutions to solve business problems.
* Demonstrated project\-based understanding of LLMs, RAGs, Optical Character Recognition and how these can be leveraged to solve business problems.
* Ability to travel up to 15%, on average, based on the work you do and the clients and industries/sectors you serve.
* Limited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An passionate interest in Generative and Agentic Artificial Intelligence.
* Azure DevOps exposure and foundational experience in a technical or software development environment.
* Excellent analytical and problem\-solving skills
* Effective interaction and communication with professionals at all levels
* Proven team experience and ability to influence as part of a team
* Motivated, resourceful, and dependable
* Well\-organized with the ability to prioritize multiple ongoing projects
* Able to respond quickly to high\-priority deadlines and adaptable to direction changes
* Willingness to work outside regular business hours to collaborate with teams across different time zones.
* Strong understanding of Agile methodologies and risk management techniques.
* Excellent verbal, written, listening, interpersonal, and facilitation skills
* Proven leadership and developmental mindset in ambiguous situations
* Ability to prioritize tasks, manage product backlogs, and align with business goals.
* Strong problem\-solving skills and attention to detail.
* Azure AI Fundamentals
*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23">
      <c r="A123" t="inlineStr">
        <is>
          <t>li-4352444812</t>
        </is>
      </c>
      <c r="B123" t="inlineStr">
        <is>
          <t>Product Manager</t>
        </is>
      </c>
      <c r="C123" t="inlineStr">
        <is>
          <t>Lofty</t>
        </is>
      </c>
      <c r="D123" t="inlineStr">
        <is>
          <t>linkedin</t>
        </is>
      </c>
      <c r="E123" t="inlineStr"/>
      <c r="F123" t="inlineStr"/>
      <c r="G123" t="inlineStr">
        <is>
          <t>Phoenix, AZ</t>
        </is>
      </c>
      <c r="H123" t="inlineStr"/>
      <c r="I123" t="inlineStr">
        <is>
          <t>Job Type
 Full\-time
**Description**
**Description**
 Lofty is a high\-growth, global SaaS company serving the residential real estate market. Our suite of tools addresses the daily pain points faced by agents, empowering them to launch effective marketing campaigns, track leads' activities, build lasting customer relationships, and efficiently manage teams. As a leader in our industry, we are seeking a highly motivated Sales Administrator to join our team and drive growth within the industry. Join us on our exciting journey and help shape the future of technology within the real estate space!
**What’s the job?**
 Lofty is looking for a product\-driven, data\-informed
 **Product Manager** 
 to join our growing product team. In this role, you’ll own the end\-to\-end product lifecycle — from discovery and prototyping through launch and iteration — while using data to inform prioritization, measure impact, and support decision\-making.
 You’ll work closely with engineering, design, and QA to deliver thoughtful, scalable CRM and AI\-powered features that solve real customer problems and drive meaningful business outcomes.
**Product Discovery \&amp; Delivery**
* Conduct product discovery to deeply understand user needs, workflows, market trends, and the competitive landscape.
* Translate insights into clear product requirements, user stories, wireframes, and prototypes using Figma.
* Own and manage the product backlog, prioritizing initiatives and aligning roadmap decisions with business goals.
* Partner closely with engineering, design, and QA throughout development to ensure high\-quality, timely delivery.
* Lead product launches, monitor adoption, and iterate based on user feedback and performance metrics.
**Data\-Informed Product Decisions**
* Use product and usage data to validate assumptions, prioritize features, and evaluate outcomes.
* Analyze user behavior and feature adoption to identify friction points and opportunities for improvement.
* Partner with data and engineering teams to define, track, and maintain core product metrics, dashboards, and reporting.
**What’s the work location?**
 You’ll be based out of our stunning, light\-filled headquarters in the Warehouse District of Downtown Phoenix—a 17,000\-square\-foot space designed for collaboration, creativity, and connection. You'll work in the office five (5\) days per week for hands\-on learning and connection with your team.
**What’s the earning potential ($$$)?**
 First\-year earnings? This role offers a competitive base salary range starting at $90,000 and a 20% bonus with opportunities for growth based on performance.
**Requirements**
**What are we looking for?**
* 2–3 years of experience as a Product Manager, preferably within a SaaS or CRM platform environment.
* Strong foundation in product discovery, roadmap planning, and agile execution.
* Hands\-on experience using Figma for prototyping and collaboration with design teams.
* Analytical mindset with the ability to interpret data and translate insights into product decisions.
* Strong communication skills and comfort working cross\-functionally in a fast\-paced environment.
**Anything else? Absolutely! Benefits and Perks:**
**Benefits**
 This is a place where every day we are inspired by our teammates, encouraging each other to be our best. The environment is friendly and supportive! And we feel it’s important to reward our team with competitive pay and benefits. Here are some of the highlights:
* Health Insurance: FREE medical coverage for employees for one of our plan options! And the ability to add dependents or choose an alternative plan and still receive a credit to keep costs down.
* Paid Time Off: Work hard, play hard! In addition to 10 holidays, we offer three weeks of paid time off so that you can achieve a healthy work\-life balance.
* Paternity Leave: We support our team members as they grow their families! Once you qualify for FMLA, you are eligible to receive up to 6 weeks of paid paternity time to bond with a new child.
* Employee Assistance Program: We are proud to offer free access to SupportLinc, a global platform that provides on\-demand care as you navigate personal or professional challenges. This confidential and compassionate support system is available to you and your family members anytime you need help.
* Team Building: We may work across time zones and countries, but we’re still united. We host a monthly schedule of team activities, quarterly town halls, open Q\&amp;A sessions, and other special events…so many fun ways for us to connect and support one another.
* Growth Opportunities: When our people grow…we grow! We offer leadership training, development journeys for core teams, and coaching/mentoring opportunities. Constant growth and development are inherent in our culture.
* Tools To Do The Job: We ensure you are hooked up with the tools, equipment, and systems you need. We begin the process prior to your start date, so you are ready to rock ‘n roll on your first day.
* What Else? We provide a 401(k) company match and 100% company\-paid life/AD\&amp;D insurance/short\-term disability. Our ultimate goal is to support you and your overall wellness.
**Join our growing team and let’s have fun building this business together!**
 Salary Description
 $90,000 \+ 20% \= $108,000 USD</t>
        </is>
      </c>
    </row>
    <row r="124">
      <c r="A124" t="inlineStr">
        <is>
          <t>li-4359913876</t>
        </is>
      </c>
      <c r="B124" t="inlineStr">
        <is>
          <t>Product Manager</t>
        </is>
      </c>
      <c r="C124" t="inlineStr">
        <is>
          <t>HaloMD</t>
        </is>
      </c>
      <c r="D124" t="inlineStr">
        <is>
          <t>linkedin</t>
        </is>
      </c>
      <c r="E124" t="inlineStr"/>
      <c r="F124" t="inlineStr"/>
      <c r="G124" t="inlineStr"/>
      <c r="H124" t="inlineStr"/>
      <c r="I124" t="inlineStr">
        <is>
          <t>**Who We Are:** 
 HaloMD specializes in Independent Dispute Resolution (IDR) through The No Surprises Act and state regulations for out\-of\-network healthcare providers, leveraging advanced technology and deep industry expertise to secure optimized reimbursements.
 Job Summary
 The Finance Systems Product Manager is responsible for planning, coordinating, and managing the development, implementation, and optimization of financial systems and applications across the organization. This role involves working closely with Finance leadership, IT, vendors, and cross\-functional teams through the full SDLC process to ensure that ERP solutions and integrated financial applications are successfully deployed, meet business requirements, and maintain seamless interoperability with existing systems. The role also includes aspects of product ownership, including managing application backlogs, prioritizing enhancements, and ensuring that new features deliver business value to the Finance department.
 Responsibilities
**Project Management:** 
* Lead the planning, scheduling, and execution of ERP implementation, upgrade, and enhancement projects.
* Manage integration projects between the ERP system and third\-party financial applications (e.g., expense management, AP automation, treasury management, reporting tools).
* Ensure that projects are completed on time, within scope, and aligned with Finance department objectives and organizational strategy.
* Adopt agile methodology, apply its principles, and train users.
* Identify improvement opportunities (proactive and reactive) within financial systems and processes.
* Assist in tracking progress of deliverables and communicating status to Finance leadership.
* Build and maintain strong relationships with Finance, Accounting, IT, and external vendors.
* Ensure application development efforts are prioritized based on business value, compliance requirements, and alignment with Finance goals.
**ERP \&amp; Systems Integration:** 
* Serve as the subject matter expert for ERP solutions and their integration with the broader financial technology ecosystem.
* Manage interoperability between ERP modules and third\-party applications, ensuring data integrity and process efficiency.
* Oversee API integrations, data feeds, and middleware solutions connecting financial systems.
* Evaluate and recommend third\-party applications that complement or extend ERP functionality.
* Ensure system configurations support financial controls, audit requirements, and regulatory compliance.
**Business Analysis / Stakeholder Engagement:** 
* Work with Finance, Accounting, and other business units to gather and document requirements for financial systems.
* Act as the primary point of contact between Finance, IT, and vendors, ensuring alignment between technical delivery and business needs.
* Work with business users, technology team, and external vendors to identify and understand needs related to financial reporting, GL, AP/AR, budgeting, and forecasting.
* Elicit, analyze, and validate requirements; understand dependencies and perform gap analysis.
* Document requirements and specifications and provide to all stakeholders for approval.
* Coordinate closely with developers to ensure requirements are communicated, implemented, and aligned with the broader Finance systems vision.
* Work closely with Finance users to verify business requirements are met and assist them with UAT testing.
* Maintain a prioritized backlog of features and enhancements, incorporating input from Finance leadership, auditors, and internal teams.
**Team Coordination:** 
* Collaborate with cross\-functional teams, including IT, Finance, Accounting, and Operations, to ensure seamless integration and operation of financial applications.
**Quality Assurance:** 
* Oversee and participate in testing processes to ensure that financial systems function as intended and maintain data integrity.
* Identify and resolve issues during the implementation process.
* Ensure system changes comply with SOX controls and audit requirements where applicable.
**Training and Support:** 
* Develop and deliver training programs for Finance end\-users on ERP and integrated applications.
* Provide ongoing support post\-implementation to ensure user adoption and satisfaction.
**Risk Management:** 
* Identify potential risks related to system implementations, integrations, and data security, and develop mitigation strategies.
**Reporting:** 
* Generate reports on implementation progress, budget status, and key performance indicators.
* Present findings to senior management and Finance leadership.
 Qualifications
**Education and/or Experience**
**Education:** 
* Bachelor's degree in Finance, Accounting, Information Technology, Business Administration, or a related field.
**Experience:** 
* 10\+ years of experience in IT project management, business analysis, software implementation, or a related role with a focus on financial systems.
* 5\+ years of hands\-on experience with ERP solutions (e.g., Sage Intacct, SAP, Oracle, NetSuite, Microsoft Dynamics, Workday Financials).
* Demonstrated experience managing ERP integrations and third\-party application interoperability.
* Experience within the healthcare/healthcare technology industry preferred, not required.
**Technical Skills:** 
* Proficiency in project management software (e.g., Monday, Jira, Azure DevOps, etc.)
* Strong understanding of ERP architecture, modules (GL, AP, AR, FA, etc.), and integration patterns (APIs, EDI, middleware).
* Experience with financial system integrations including expense management, treasury, budgeting/planning, and reporting tools.
* Experience creating application USDI mockups/designs preferred.
* Understanding of software development life cycle (SDLC) in an Agile methodology.
* Familiarity with SOX compliance and financial controls preferred.
**Soft Skills:** 
* Excellent communication, leadership, and problem\-solving skills.
* Ability to work under pressure and manage multiple projects simultaneously.
* Strong analytical skills with the ability to translate Finance requirements into technical specifications.
**Perks \&amp; Benefits:** 
* Fully Remote – Work from anywhere within the United States with reliable high\-speed internet
* Multiple medical plan options
* Health Savings Account with company contributions
* Dental \&amp; vision coverage for you and your dependents
* 401k with Company match
* Vacation, sick time \&amp; Company paid holidays
* Company wellbeing program with health insurance incentives
**What’s Next?** 
 If you’re ready to bring your skills and passion to our growing team,
 **we want to hear from you!** 
 Apply today and help us create a future where success is the standard.</t>
        </is>
      </c>
    </row>
    <row r="125">
      <c r="A125" t="inlineStr">
        <is>
          <t>li-4345322435</t>
        </is>
      </c>
      <c r="B125" t="inlineStr">
        <is>
          <t>Product Manager</t>
        </is>
      </c>
      <c r="C125" t="inlineStr">
        <is>
          <t>MDpanel</t>
        </is>
      </c>
      <c r="D125" t="inlineStr">
        <is>
          <t>linkedin</t>
        </is>
      </c>
      <c r="E125" t="inlineStr"/>
      <c r="F125" t="inlineStr"/>
      <c r="G125" t="inlineStr"/>
      <c r="H125" t="inlineStr"/>
      <c r="I125" t="inlineStr">
        <is>
          <t>**Our Mission:** 
 MDpanel is one of the largest providers of expert medical opinions in the United States. We are committed to being the most coveted partner for physicians, carriers, attorneys, and patients by connecting those in need of medical opinions with the most qualified and highly regarded medical professionals in the U.S. MDpanel allows our member healthcare professional partners to maximize their time and produce unparalleled revenue opportunities. In return, our carrier and attorney clients receive timely, complete, thorough, and easy\-to\-understand opinions to support the medical legal inquiry. MDpanel is revolutionizing the medical opinion space by creating the first true marketplace to connect those in need of medical opinions to those capable of providing them. Unlike traditional, services\-based models, we are devoted to our healthcare professionals and are relentless about removing the burden of administration, securing exam volume, preparing for, and supporting physical examinations, backend processing, report submissions, and billing. And, at the heart of MDpanel, is our team committed to delivering an unparalleled experience for all stakeholders. We think big, start small, and move fast. Our culture is built on supporting each other with accountability, transparency, and passion for our mission.
**Position Summary:** 
 As a Product Manager II, you will play a pivotal role in delivering new products to MDpanel doctors and customers. You will work cross\-functionally to guide products from conception to launch and beyond by connecting the technical and business worlds. You will work with the sales team to understand our customer's needs. You will dig deep with the operations team to understand their workflow and pain points. You will work with product designers to develop simple, beautiful, and effective user experiences. You will collaborate with a world class engineering team to bring products to life. No two days will be the same as you work with senior company leadership and all of our teams to bring new products to a market that is ripe for disruption.
**Primary Responsibilities:** 
* Understand markets, competition, and user requirements.
* Launch new products and features, test their performance and improve.
* Collaborate with engineering, operations, legal, UX, and other teams to deliver new technology products.
* Develop solutions to problems by collaborating as needed across teams, product areas, and functions.
* Be a good teammate.
**Minimum Qualifications:** 
* Bachelor's degree in a technical field.
* 4 years of experience in product management or related technical role.
* 2 years of experience taking technical products from conception to launch.
* Self\-starter, comfortable with ambiguity, experience initiating and driving projects with minimal oversight and guidance.
**Preferred Qualifications:** 
* 2 years of experience in software development or engineering.
* 2 years of experience working cross\-functionally with engineering, UX/UI, business, finance, and other stakeholders.
**Why Should You Work With Us:** 
* MDpanel was founded as a remote\-work company. Our team works around the country and fully supports a positive remote\-work culture.
* You will work with a world\-class engineering team. Your coworkers come from companies like Google, Microsoft, and successful VC backed startups.
* You will have a large impact in a growing field. There are big problems to be solved that will move the needle for the entire company.
* We've got the basics covered \- competitive compensation, benefits, 401k, bonuses.
* The applicable salary range for this position is $160,000 \- $190,000 depending on a variety of factors such as relevant experience.
**Additional Information:** 
 The salary range for this position is provided as an estimate based on current market conditions and company benchmarks. Actual compensation may vary depending on factors such as experience, qualifications, skills, location, and internal equity.
 *Please note that we are unable to provide sponsorship assistance currently* 
 .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t>
        </is>
      </c>
    </row>
    <row r="126">
      <c r="A126" t="inlineStr">
        <is>
          <t>li-4359923379</t>
        </is>
      </c>
      <c r="B126" t="inlineStr">
        <is>
          <t>Product Manager</t>
        </is>
      </c>
      <c r="C126" t="inlineStr">
        <is>
          <t>Evenflo Company, Inc.</t>
        </is>
      </c>
      <c r="D126" t="inlineStr">
        <is>
          <t>linkedin</t>
        </is>
      </c>
      <c r="E126" t="inlineStr"/>
      <c r="F126" t="inlineStr"/>
      <c r="G126" t="inlineStr">
        <is>
          <t>Boston, MA</t>
        </is>
      </c>
      <c r="H126" t="inlineStr"/>
      <c r="I126" t="inlineStr">
        <is>
          <t>The Evenflo Product Manager for our Car Seats Category plays a pivotal role in understanding our consumers and delivering new products that meet their needs and exceed business goals. Acting as a consumer advocate, this role balances new product development with portfolio management to drive category growth.
 The Product Manager partners cross\-functionally with Project Management, Design, Softgoods/Fashion, Engineering, Quality, Sales, Brand, Finance, Supply Chain, Demand Planning, and Digital Marketing. Success in this role requires a strong desire to win, strategic focus, and disciplined execution.
 Accountable for delivering products that both grow in the category and achieve gross margin targets, this individual demonstrates strong analytical skills, leverages consumer insights, and communicates effectively across the organization. Travel is required.
**Responsibilities** 
* **Product Line Management:** 
 Lead development of new Car Seat products from concept to launch, ensuring projects are delivered on time, on cost, and to spec. Work closely with cross\-functional partners through the NPD phase gate process; may own a defined sub\-segment of the category portfolio.
* **Consumer Insights:** 
 Serve as the voice of the consumer, bringing forward their needs, lifestyles, and usage behaviors. Collaborate with the Consumer Insights team to frame research objectives, shape discussion guides, and create relevant product stimuli.
* **Market Analysis:** 
 Monitor category and channel trends, competitive activity, and product performance to inform strategy and guide new product development. Ensure Evenflo products succeed in both retail and digital channels.
* **Marketing Communications:** 
 Support consumer\-facing messaging through product naming, photography shot lists, packaging copy, e\-commerce content, and instructional “how\-to” videos that clearly communicate benefits and use.
**Business Management:** 
 Monitor category sales trends (by subcategory and retailer) to identify underperforming areas and accelerate growth opportunities. Contribute to gross margin performance through new product innovation, cost improvement initiatives, and portfolio mix management.
**Required Experience** 
* Bachelor’s Degree required; MBA preferred.
* Car Seat experience within the Juvenile Products Industry
* Minimum of 3–5 years of experience in product development, ideally within consumer\-packaged goods (consumer durables strongly preferred).</t>
        </is>
      </c>
    </row>
    <row r="127">
      <c r="A127" t="inlineStr">
        <is>
          <t>li-4359757926</t>
        </is>
      </c>
      <c r="B127" t="inlineStr">
        <is>
          <t>Senior Product Manager</t>
        </is>
      </c>
      <c r="C127" t="inlineStr">
        <is>
          <t>Olo</t>
        </is>
      </c>
      <c r="D127" t="inlineStr">
        <is>
          <t>linkedin</t>
        </is>
      </c>
      <c r="E127" t="inlineStr"/>
      <c r="F127" t="inlineStr"/>
      <c r="G127" t="inlineStr"/>
      <c r="H127" t="inlineStr"/>
      <c r="I127" t="inlineStr">
        <is>
          <t>Olo is a leading SaaS platform accelerating digital transformation in the restaurant industry, by helping customers deliver more personalized and profitable guest experiences. As a result, our digital ordering, payment, and guest engagement solutions enable brands to do more with less and make every guest feel like a regular.
 As a Senior Product Manager, you are on a mission to identify and solve our customers’ most perplexing challenges. You develop the vision and strategy for your product while achieving and maintaining alignment from executive stakeholders and your team. You lead your team on the prioritization, discovery, development and launch of solutions that support progress on your strategy and toward your vision. Your relentless focus on measuring impact ensures we continuously deliver value to our customers while expanding our position as the best\-in\-breed provider in our space.
 You will report to the Director of Product Management, Order, and can work remotely from anywhere in the U.S. or at Olo’s headquarters in NYC.
**What You'll Do**
* Proactively seeks opportunities to improve business processes, product development methodologies, and team workflows without explicit direction, demonstrating initiative and a commitment to continuous improvement
* Independently develop and refresh the long\-term vision and strategy for your product, ensuring alignment with leadership on strategic objectives
* Identify and present opportunities to invest in and monetize solutions for customer problems, developing coherent business cases to gain cross\-functional executive alignment
* Known expert on multiple products, customers, user personas and their respective pain points
* Frequently leverage data analytics and insights to inform decision\-making processes and drive product improvements and optimizations
* Develop and foster direct, ongoing relationships with customers to establish unencumbered access to customer insights
* Proactively balance technical and customer\-centric priorities to enhance product reliability and long\-term sustainability
* Ensure economic viability by managing budget and securing executive approval for major cost increases
* Lead the development and execution of feature launch plans in collaboration with Product Marketing to drive adoption and achieve KPI
* Independently identify and own failures to meet goals and determine the appropriate next steps without requiring management intervention
* Manage, mentor, and support the career growth of Product Managers or Associate Product Managers
* Provide frequent stakeholder updates on product development progress, ensuring regular feedback is sought and addressed to drive continuous improvement
**What We'll Expect From You**
* Bachelor’s Degree or higher from an accredited institution anywhere, or equivalent practical experience
* Minimum of 5 years experience in a software Product Management role
* Experience managing and optimizing ecommerce platforms using data, and experimentation to improve conversion, retention and revenue.
* Demonstrated experience leading experiment driven product development, with measurable impact on customer experience and business outcomes
* Proven ability to leverage data to define success metrics, identify growth opportunities, and guide product strategy
* Experienced track record of consistently delivering on your team's product objectives
* Able to collaborate with and influence senior executives, effectively communicating product vision and strategy, and driving alignment on high\-impact initiatives
* Strong cross functional leadership with a proven ability to collaborate effectively with Design, Engineering, Product Marketing and Customer Success to deliver aligned outcomes.
* Able to present complex ideas clearly and persuasively, navigate organizational dynamics, and build strong relationships at all levels of the organization
* Able to leverage a toolkit of proven strategies and techniques to tackle complex challenges, initiate feature initiatives, and drive accelerated progress
* Lead changes as new information arises, making sound tradeoff decisions to support customer and business needs
* Able to travel to customer, partner, conference, and Olo office locations as needed
**About Olo**
 Olo is a leading restaurant technology provider with ordering, payment, and guest engagement solutions that help brands increase orders, streamline operations, and improve the guest experience. Each day, Olo processes millions of orders on its open SaaS platform, gathering the right data from each touchpoint into a single source—so restaurants can better understand and better serve every guest on every channel, every time. Over 750 restaurant brands trust Olo and its network of more than 400 integration partners to innovate on behalf of the restaurant community, accelerating technology’s positive impact and creating a world where every restaurant guest feels like a regular. Learn more at olo.com.
**We’re remote\-friendly.** 
 Since 2015, we have been evolving our culture to continue to support a more distributed workforce and now over 75% of our team works remotely across the U.S. If you're in the New York City area, you can choose to work remotely or from Olo's headquarters.
 We offer great benefits, such as 20 days of paid time off, 10 sick days, 11 holidays, plus year\-end closure, health, dental, and vision coverage for yourself and your family, a 401k match, remote\-office stipend, a generous parental leave plan, volunteer time off, gift matching policy, and more!
 Our best estimate of the compensation range for this opportunity is $136,000 \- $185,725 annually, depending on the experience you bring and your location. We look forward to discussing your salary expectations and our full total rewards offerings throughout the interview process.
**We encourage you to apply!**
 At Olo, we believe bringing together people with varied experiences and viewpoints leads to better results. Don't check every box in the job description? Research shows many qualified candidates hold back from applying unless they meet all listed requirements. We're committed to creating a genuine workplace where everyone can contribute their best work—this improves our decision\-making and helps us better serve our communities. So if you're enthusiastic about this role but your background doesn't align perfectly with every qualification, we encourage you to apply anyway. You might be exactly the right fit for this or other positions.
 All applicants receive consideration for employment. We do not discriminate on the basis of race, religion, color, national origin, gender identity, sexual orientation, pregnancy, age, marital status, veteran status, or disability status.
 California Residents: CCPA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li-4345312600</t>
        </is>
      </c>
      <c r="B128" t="inlineStr">
        <is>
          <t>Senior Product Manager – Data &amp; Insights- Remote</t>
        </is>
      </c>
      <c r="C128" t="inlineStr">
        <is>
          <t>Learning Consultant</t>
        </is>
      </c>
      <c r="D128" t="inlineStr">
        <is>
          <t>linkedin</t>
        </is>
      </c>
      <c r="E128" t="inlineStr"/>
      <c r="F128" t="inlineStr"/>
      <c r="G128" t="inlineStr"/>
      <c r="H128" t="inlineStr"/>
      <c r="I128" t="inlineStr">
        <is>
          <t>Senior Product Manager
 Our client, an innovative financial technology organization, is looking for a Senior Product Manager to lead the evolution of data insight solutions used across internal teams.
 Key Responsibilities
* Lead the full product lifecycle for internal data insight tools, from discovery through delivery and optimization
* Convert intricate data systems into streamlined, user\-friendly solutions that provide measurable business value
* Partner closely with engineering, data science, and commercial teams to define requirements and deliver scalable products
* Gather and translate internal stakeholder feedback into clear product priorities and roadmaps
* Own product economics, including cost management, performance tracking, and value realization
* Present data\-driven insights and product outcomes in a clear and relatable way to technical and non\-technical audiences
**Qualifications**
* 4\+ years of experience in product management roles
* Background in developing analytics, reporting, or data\-centric products
* Comfortable operating in dynamic, evolving environments with minimal direction
* Bachelor’s degree in technology, analytics, data, or a related discipline
* Working knowledge of SQL, Python, or R preferred
* Visa sponsorship not provided
* Travel 25\-40% to customer sites
 Skills: sql,product manager,python,data</t>
        </is>
      </c>
    </row>
    <row r="129">
      <c r="A129" t="inlineStr">
        <is>
          <t>li-4351822567</t>
        </is>
      </c>
      <c r="B129" t="inlineStr">
        <is>
          <t>Monetization Data Product Manager</t>
        </is>
      </c>
      <c r="C129" t="inlineStr">
        <is>
          <t>TikTok</t>
        </is>
      </c>
      <c r="D129" t="inlineStr">
        <is>
          <t>linkedin</t>
        </is>
      </c>
      <c r="E129" t="inlineStr"/>
      <c r="F129" t="inlineStr"/>
      <c r="G129" t="inlineStr">
        <is>
          <t>San Jose, CA</t>
        </is>
      </c>
      <c r="H129" t="inlineStr"/>
      <c r="I129" t="inlineStr">
        <is>
          <t>**Responsibilities**
 We are the Monetization Data Foundation team, sitting within TikTok’s Global Monetization Product \&amp; Technology (GMPT) organization. We empower business and product teams with scalable data infrastructure, tools, and insights to drive revenue growth and operational efficiency.
 Our mission is to build a robust, data\-driven foundation that enables smarter decision\-making across TikTok’s global monetization ecosystem. By collaborating closely with engineering, analytics, and business teams, we deliver innovative solutions that turn raw data into actionable intelligence.
 We are seeking a Data Product Manager to lead the development and scaling of data\-driven products within TikTok’s Monetization organization. In this role, you will define the vision, strategy, and execution of data products that empower business teams with actionable insights and scalable solutions.
 You will act as a bridge between data, engineering, and business stakeholders, ensuring our data infrastructure and tools meet the needs of a fast\-growing global business. This is a high\-impact opportunity to shape how data drives decision\-making across TikTok’s monetization ecosystem.
 Responsibilities:
 \- Deeply understand monetization product details and business workflows and explore innovative but practical solutions to drive best practices for international business
 \- Identify key business metrics and translate them into actionable data solutions
 \- Deliver data products with framework\-driven insights to support decision\-making
 \- Work closely with stakeholders to identify business challenges and align with short\-term and long\-term goals
 \- Develop a clear and consensus\-driven roadmap, balancing immediate business needs with long\-term product development
**Qualifications**
 Minimum Qualifications
 \- Bachelor’s degree or higher, with 3\+ years of product management experience, including 2\+ years in data product roles
 \- Proficient in SQL for querying and debugging metadata
 \- Written and oral proficiency in Mandarin required. Both English and Mandarin skill sets are required to support clients in APAC and to communicate with stakeholders
 Preferred Qualifications:
 \- Strong understanding of data analysis frameworks and the ability to decompose complex business scenarios into structured data products
 \- Ability to independently identify issues and propose data\-driven solutions
 \- Experience in producing high\-quality product documentation and prototypes
 \- Background in data analysis, data science, data engineering, or statistical analysis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0">
      <c r="A130" t="inlineStr">
        <is>
          <t>li-4359765884</t>
        </is>
      </c>
      <c r="B130" t="inlineStr">
        <is>
          <t>Associate Product Manager</t>
        </is>
      </c>
      <c r="C130" t="inlineStr">
        <is>
          <t>Swooped</t>
        </is>
      </c>
      <c r="D130" t="inlineStr">
        <is>
          <t>linkedin</t>
        </is>
      </c>
      <c r="E130" t="inlineStr"/>
      <c r="F130" t="inlineStr"/>
      <c r="G130" t="inlineStr"/>
      <c r="H130" t="inlineStr"/>
      <c r="I130" t="inlineStr">
        <is>
          <t>**About Our Client** 
 This role is a key contributor on a team responsible for product line evolution. This responsibility spans the development of new products for Life Sciences companies within an extensive product portfolio. The position is part of a dynamic team that builds products from existing concepts and helps develop new ideas through engagement with internal and external stakeholders.
 To achieve this vision, the ideal candidate will possess a unique blend of business and technical acumen, drive, curiosity, and a strong aptitude for learning. The role requires enjoyment in engaging with customers and colleagues to discover requirements and find solutions to business challenges, with a meticulous attention to detail.
**About The Role** 
 A key attribute for this role is the ability to communicate effectively across all areas of the organization. The individual will collaborate with engineering counterparts to define product release requirements and assist in providing input to marketing and sales regarding product positioning, key benefits, and target customers. The role involves becoming an internal expert for the assigned product offering through dedicated learning.
 This position is primarily remote, with occasional travel for team meetings or project needs. The role reports to the Director of Product Management, ensuring clear alignment with organizational goals and priorities.
**Key Responsibilities** 
* Learn and continuously enhance vertical domain knowledge for the assigned product area.
* Support the Product Line team leader, participate in customer meetings, gather customer and prospect requirements, and meticulously follow up on customer needs.
* Act as a champion for the customer, consistently advocating for their needs throughout the product development lifecycle to ensure solutions deliver meaningful value and address real\-world challenges.
* Collaborate effectively with internal stakeholders and subject matter experts to devise innovative solutions.
* Develop User Journeys, Story Maps, User Stories, and Non\-Functional requirements to articulate business needs.
* Maintain and continuously groom the backlog for the assigned product.
* Participate in finalizing the release scope for assigned products, including preparing release communications for all stakeholders.
* Assist in the development of business scenarios for testing, conduct documentation reviews, contribute to internal training, and assist with customer demonstrations.
* Strive to become an expert on the assigned product.
**Required Qualifications** 
* Bachelor’s degree in information systems or computer science (or a similar degree).
* Up to 3 years of total experience in the software industry, or a role with emphasis on business intelligence report development, analytics, or data management (or a similar combination of internships and relevant coursework).
* Strong analytical skills, creative problem\-solving abilities, and resourcefulness.
* Strong verbal and written communication skills, along with polished presentation skills.
* Demonstrated exceptional time management skills.
* **Strong collaboration skills, adaptability, and resilience, enabling successful teamwork and effective navigation of a dynamic, fast\-paced environment.**
* Given the remote nature of the position, familiarity with collaboration tools such as Microsoft Teams is required.
**Preferred Qualifications** 
* Experience gathering functional requirements for software application development.
* Experience in developing test cases for B2B software applications.
* Prior exposure to the Life Sciences or Health Insurance industry.
* Prior experience with finance\-related software in a Business Analyst or similar role (e.g., ERP software, FP\&amp;A, Accounts Payable, Order Management).
* Extensive familiarity with Excel (e.g., complex formulas, pivot tables).
* General understanding of relational, OLAP, and No\-SQL databases.
* Basic SQL, Python, or VBA skills for data analysis.
* Exposure to analytics tools such as Tableau, Cognos, Looker, Jaspersoft, or similar.
* JIRA or similar portfolio management tools.
* Basic understanding of UI/UX skills to guide user\-centric design decisions.
* Awareness of current AI technologies and how they can be applied in software development.
* Product Management and Agile experience, especially working in Scrum teams and engaging in various Agile ceremonies.
**Salare Range** 
 The base salary for this position will be
 **$60,000\-$65,000\.** 
**Additional Information** 
 The organization offers a robust total rewards package designed to help employees thrive personally and professionally. Benefits include unlimited PTO for salaried employees, comprehensive medical, dental, and vision coverage, Health Savings \&amp; Flexible Spending Accounts, 401(k) with company match, Volunteer Time Off (VTO), life and pet insurance, Employee Assistance \&amp; Mental Health Programs, charitable giving opportunities, and professional coaching and career development.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31">
      <c r="A131" t="inlineStr">
        <is>
          <t>li-4360671251</t>
        </is>
      </c>
      <c r="B131" t="inlineStr">
        <is>
          <t>Product Manager</t>
        </is>
      </c>
      <c r="C131" t="inlineStr">
        <is>
          <t>Swooped</t>
        </is>
      </c>
      <c r="D131" t="inlineStr">
        <is>
          <t>linkedin</t>
        </is>
      </c>
      <c r="E131" t="inlineStr"/>
      <c r="F131" t="inlineStr"/>
      <c r="G131" t="inlineStr"/>
      <c r="H131" t="inlineStr"/>
      <c r="I131"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32">
      <c r="A132" t="inlineStr">
        <is>
          <t>li-4345372447</t>
        </is>
      </c>
      <c r="B132" t="inlineStr">
        <is>
          <t>AI Product Manager – Life Sciences &amp; eClinical Platforms</t>
        </is>
      </c>
      <c r="C132" t="inlineStr">
        <is>
          <t>Cloudbyz</t>
        </is>
      </c>
      <c r="D132" t="inlineStr">
        <is>
          <t>linkedin</t>
        </is>
      </c>
      <c r="E132" t="inlineStr"/>
      <c r="F132" t="inlineStr"/>
      <c r="G132" t="inlineStr">
        <is>
          <t>Naperville, IL</t>
        </is>
      </c>
      <c r="H132" t="inlineStr"/>
      <c r="I132" t="inlineStr">
        <is>
          <t>**Company Description** 
 Cloudbyz is a next\-generation eClinical platform, built natively on Salesforce, designed to modernize and streamline clinical trial operations for life sciences organizations. The platform eliminates silos by integrating critical functions like CTMS, EDC, eTMF, RTSM, ePRO \&amp; eCOA, and more into a single, comprehensive solution. Trusted by pharmaceutical companies, biotechs, medical device innovators, and CROs, Cloudbyz ensures real\-time oversight, operational efficiency, and regulatory compliance throughout the trial lifecycle. Known for its secure, scalable, and easily configurable platform, Cloudbyz helps organizations achieve faster study start\-up, centralized data management, and improved cross\-functional collaboration. The company is based in Warrenville, IL, and is committed to advancing smarter trials worldwide.
**Experience** 
 5\+ years Product Management, with 2\+ years in AI, data, or automation products
**Role Summary** 
 The AI Product Manager will own the strategy, roadmap, and delivery of AI\-powered products and AI Agents across Cloudbyz’s unified eClinical platform. You will translate real clinical, regulatory, and operational problems into scalable AI solutions that drive productivity, compliance, and business outcomes.
 This role sits at the intersection of clinical operations, AI engineering, and SaaS product leadership and will directly influence how AI transforms clinical trials, safety, regulatory, and financial workflows.
**Key Responsibilities** 
 AI Product Strategy \&amp; Roadmap
* Define and own the AI product vision for AI Agents, automation, and intelligence across CTMS, EDC, eTMF, Safety, RTSM, and CTFM
* Identify high\-ROI AI use cases from customer workflows and regulatory requirements
* Build and maintain the AI product roadmap aligned to business and customer priorities
* Prioritize features based on impact, feasibility, compliance, and adoption
 Customer \&amp; Domain\-Driven AI
* Work directly with clinical operations, QA, regulatory, and safety teams at customer organizations
* Translate workflows (e.g., study startup, TMF QC, safety case processing, regulatory reporting) into AI\-ready user stories
* Define Human\-in\-the\-Loop and compliance\-first AI workflows
* Validate value through pilots, proofs\-of\-concept, and early adopters
 AI \&amp; Engineering Collaboration
* Partner with AI engineers, data scientists, and platform teams to design models, pipelines, and architectures
* Define LLM, RAG, agent, and automation requirements
* Own data requirements, labeling strategy, evaluation metrics, and model performance KPIs
* Ensure AI features are scalable, explainable, and auditable
 Compliance \&amp; Trust
* Ensure AI products meet GxP, 21 CFR Part 11, ICH\-GCP, and validation requirements
* Design audit trails, explainability, confidence scoring, and override workflows
* Define risk controls, bias monitoring, and safety guardrails
 Go\-to\-Market Enablement
* Partner with Sales, Marketing, and Customer Success on AI positioning, demos, and value messaging
* Support RFPs, demos, and strategic deals with AI capabilities
* Create product documentation, use\-case libraries, and ROI narratives
**Required Qualifications** 
 Experience
* 5\+ years in Product Management for SaaS, enterprise software, or data platforms
* 2\+ years working on AI, ML, analytics, or automation products
* Experience in Life Sciences, Healthcare, Clinical Trials, or Regulated Software strongly preferred
 AI \&amp; Technical Knowledge
* Strong understanding of:
* LLMs, embeddings, RAG, agents, and prompt engineering
* ML pipelines, data labeling, and model evaluation
* APIs, microservices, and cloud architectures
* Ability to work effectively with engineering without being a coder
 Domain \&amp; Business Skills
* Strong understanding of clinical operations, regulatory workflows, or pharmacovigilance
* Ability to translate complex workflows into AI\-driven products
* Experience defining KPIs, ROI, and adoption metrics
* Excellent stakeholder and executive communication
 Nice to Have
* Experience with Salesforce platform, AWS Bedrock, or Google Vertex AI
* Prior experience with CTMS, eTMF, Safety, or EDC platforms
* Experience building AI Agents or workflow automation
**What Success Looks Like** 
* AI products adopted by customers and embedded in daily workflows
* Measurable productivity, quality, and compliance improvements
* Faster sales cycles driven by differentiated AI capabilities
* High customer satisfaction and product\-led expansion
**Why Join Cloudbyz** 
* Lead AI innovation in clinical research and life sciences
* Build real, production AI—not experiments
* Work on AI Agents that automate high\-value regulated workflows
* Influence the future of AI\-driven clinical operations globally</t>
        </is>
      </c>
    </row>
    <row r="133">
      <c r="A133" t="inlineStr">
        <is>
          <t>li-4360652307</t>
        </is>
      </c>
      <c r="B133" t="inlineStr">
        <is>
          <t>Principal Product Manager - REMOTE</t>
        </is>
      </c>
      <c r="C133" t="inlineStr">
        <is>
          <t>Jobgether</t>
        </is>
      </c>
      <c r="D133" t="inlineStr">
        <is>
          <t>linkedin</t>
        </is>
      </c>
      <c r="E133" t="inlineStr"/>
      <c r="F133" t="inlineStr"/>
      <c r="G133" t="inlineStr"/>
      <c r="H133" t="inlineStr"/>
      <c r="I133" t="inlineStr">
        <is>
          <t>This position is posted by Jobgether on behalf of a partner company. We are currently looking for a Principal Product Manager. In this high\-impact role, you will be responsible for conceiving, developing, and managing products that prioritize customer needs and enhance health outcomes. You will collaborate with cross\-functional teams to deliver innovative solutions efficiently while maintaining strategic alignment with enterprise objectives. The role requires leadership in overseeing analytics projects and engaging with stakeholders to ensure products are effective and meet the requirements of diverse customer segments.
**Accountabilities**
* Manage a clear, dynamic view of the analytics portfolio across teams, ensuring alignment with enterprise and program objectives.
* Serve as a key liaison with partners to align priorities and communicate progress.
* Lead the development of rapid solutions for cross\-team analytics needs.
* Oversee all phases of the product life cycle from inception to market introduction.
* Work with stakeholders to assess new requests, guiding decision\-making on projects.
**Requirements**
* Bachelor’s degree or equivalent experience.
* 10\+ years of technical experience.
* 2\-5 years of project or people leadership.
* Ability to lead cross\-functional teams and deliver aligned product outcomes.
* Experience in translating business needs into actionable product requirements.
**Benefits**
* Competitive salary range of $150,000 \- $206,300 per year.
* Bonus incentive plan based on performance.
* Medical, dental, and vision benefits.
* 401(k) retirement savings plan.
* Paid time off, including holidays and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li-4345392564</t>
        </is>
      </c>
      <c r="B134" t="inlineStr">
        <is>
          <t>Product Owner</t>
        </is>
      </c>
      <c r="C134" t="inlineStr">
        <is>
          <t>RemoteHunter</t>
        </is>
      </c>
      <c r="D134" t="inlineStr">
        <is>
          <t>linkedin</t>
        </is>
      </c>
      <c r="E134" t="inlineStr"/>
      <c r="F134" t="inlineStr"/>
      <c r="G134" t="inlineStr"/>
      <c r="H134" t="inlineStr"/>
      <c r="I134" t="inlineStr">
        <is>
          <t>About the Opportunity:
 The purpose of the organization is to help clients exceed their financial health goals through scalable solutions and clinical expertise across the reimbursement cycle. Leading technology and analytics guide solutions and maintain accountability for achieving goals.
 The Product Owner plays a key role in the success of the Product Management team. This role involves gathering, analyzing, and documenting customer business requirements and market drivers, serving as a liaison for functional requirements with internal and external stakeholders. The Product Owner ensures smooth coordination throughout requirements specification, design, implementation, testing, and deployment, while keeping all parties informed about solution capabilities and benefits.
 Responsibilities:
 • Gain and maintain thorough understanding of the product, its functionality, and the challenges it addresses in healthcare delivery
 • Define and maintain roadmap for designated product lines, coordinating with other roadmap owners
 • Manage and prioritize the product development backlog
 • Write user stories and acceptance criteria
 • Lead or participate in requirements specification and conceptual design teams to produce effective solutions
 • Use interviews, document analysis, workshops, surveys, site visits, use cases, scenarios, and workflow analysis to define complex market and customer needs and formulate solutions
 • Document business and end user requirements clearly and concisely
 • Track requirements status throughout projects and resolve arising issues
 • Incorporate all customer, market, and internal inputs systematically into work products
 • Ensure solutions comply with healthcare IT technical standards and conventions
 • Assist solution development and QA by researching and resolving defect questions; negotiate solutions and escalate issues as needed
 • Support account managers, documenters, and technical support by researching and providing product information to address customer issues; escalate as needed
 • Align conduct with the organization’s Code of Ethics and support the Ethics and Compliance Program
 • Comply with all internal policies and procedures
 • Participate actively in organization\-provided training and education
 • Ensure compliance with privacy and security regulations, protecting confidential information including Personal Health Information
 Requirements:
 • Bachelor’s degree in related field
 • Strong written, verbal, and interpersonal communication skills
 • 3\+ years of experience in product management, informatics, information technology, or software implementation; Healthcare Information Systems (HIS) experience preferred
 • Proven ability to manage multiple competing priorities and stakeholder interests while delivering high\-quality results on schedule in a matrix environment
 • Knowledge of HIS interoperability standards, methods, and technologies is a plus
 • Experience developing and delivering presentations effectively to internal stakeholders and clients
 Travel:
 Required: No
 Physical Demands:
 Must be able to remain stationary 80% of the time and operate a keyboard. Must communicate clearly and hear normal speech. Frequent sitting for long periods is required. Reasonable accommodations may be made for individuals with disabilities.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5">
      <c r="A135" t="inlineStr">
        <is>
          <t>li-4359943806</t>
        </is>
      </c>
      <c r="B135" t="inlineStr">
        <is>
          <t>Product Manager I/II</t>
        </is>
      </c>
      <c r="C135" t="inlineStr">
        <is>
          <t>Advantech USA</t>
        </is>
      </c>
      <c r="D135" t="inlineStr">
        <is>
          <t>linkedin</t>
        </is>
      </c>
      <c r="E135" t="inlineStr"/>
      <c r="F135" t="inlineStr"/>
      <c r="G135" t="inlineStr">
        <is>
          <t>Cincinnati, OH</t>
        </is>
      </c>
      <c r="H135" t="inlineStr"/>
      <c r="I135" t="inlineStr">
        <is>
          <t>**Job Title:** 
 Product Manager I/II, Edge Computing
 **Location(s):** 
 Downer Grove, IL \- Onsite
 **Compensation:** 
 $90,000 \- $110,000 Advantech is seeking a Product Manager level I or II who will be responsible for managing the business development and lifecycle of industrial computer hardware products. They will conduct market research and competitive analysis to identify opportunities and threats in the market, and work with cross\-functional teams to ensure product alignment with business objectives. The Product Manager will gather and prioritize customer requirements to guide product development and manage product lifecycles from conception to end\-of\-life, ensuring timely delivery and quality. They will also create and present product proposals, business cases, and go\-to\-market plans to stakeholders.
 **Responsibilities:**
* Develop and execute product strategies and roadmaps for edge computing hardware, including motherboards, computer peripherals, and network cards.
* Conduct market research and competitive analysis to identify opportunities and threats of vertical markets, such as manufacturing, automation, energy, and transportation.
* Collaborate with cross\-functional teams, including technical support, marketing, and sales, to ensure product alignment with business objectives.
* Gather and prioritize customer requirements to guide the direction of product roadmap.
* Manage product lifecycles from conception to end\-of\-life, ensuring timely delivery and quality.
* Create and present product proposals, business cases, and go\-to\-market plans to stakeholders.
**Qualifications:**
* Bachelor’s degree in electrical engineering, Computer Science, or a related technical field (preferred).
* 3–5\+ years of experience in product management, project management, or product engineering within the computer industry or related fields.
* Strong knowledge of Intel/AMD platforms and PC architecture.
* Experience with computer hardware including CPU/GPU, motherboards, memory, storage, and other add\-ons.
* Experience with OEM/ODM project management (preferred)
* Proven track record of managing product lifecycles and successfully bringing products to market.
* Proficiency in project management methodologies and tools.
* Ability to travel domestically and internationally as needed.
* Excellent written and verbal communication skills.
* Strong teamwork skills, with the ability to take initiative and execute tasks effectively.
**Benefits:**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row>
    <row r="136">
      <c r="A136" t="inlineStr">
        <is>
          <t>li-4345392588</t>
        </is>
      </c>
      <c r="B136" t="inlineStr">
        <is>
          <t>Product Manager, Fusion Data Management</t>
        </is>
      </c>
      <c r="C136" t="inlineStr">
        <is>
          <t>hackajob</t>
        </is>
      </c>
      <c r="D136" t="inlineStr">
        <is>
          <t>linkedin</t>
        </is>
      </c>
      <c r="E136" t="inlineStr"/>
      <c r="F136" t="inlineStr"/>
      <c r="G136" t="inlineStr">
        <is>
          <t>New York, NY</t>
        </is>
      </c>
      <c r="H136" t="inlineStr"/>
      <c r="I136" t="inlineStr">
        <is>
          <t>***hackajob** 
 is collaborating with
 **J.P. Morgan** 
 to connect them with exceptional tech professionals for this role.*
* Base Pay/SalaryNew York,NY $122,550\.00\-$201,000\.00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Fusion Data Management,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Manages all aspects the product development process, including but not limited to defining product requirements, overseeing implementation, ensuring product adoption, continuous product expansion and demonstrating advocacy for specific product and solutions across securities/asset services data.
* Contributes meaningfully to the analysis, design, quality control, and documentation for securities/asset services data.
* Serves as a key leader in production ideation, management, requirements gathering, vendor engagement and roadmap execution
* Documents and maintain clear product requirements that will act as a guide for business and technical teams to build, launch and market products
* Collaborates cross\-functionally with multiple lines of business (Sales, Client Solutions, Engineering, Product, Data Science)
* Serves as a trusted advisor for Sales and Client Solution teams to lean on and establish long\-term partnerships
* Identifies expansion opportunities through market research and customer interactions to develop strategies that align with business objectives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 strong relationship and interpersonal skills, along with the ability to interact with senior business and technology executives
* Familiarity with technical concepts, data models and a strong passion for product development
* Organize, prioritize and escalate critical issues and required information to facilitate efficient decision making; establish priorities, and provide oversight and guidance to team of those priorities
* Ability to distill widely variant feedback into root cause issues and provide actionable feedback to other stakeholders
* Excellent business presentation, writing and verbal communication skills
* Proven expertise in leading strategic product initiatives
* Strong facilitation, process and influencing skills
* Functional knowledge of common programming languages (such as Python or R) and database languages (such as SQL)
**Preferred Qualifications, Capabilities, And Skills**
* Demonstrated prior experience working in a highly matrixed, complex organization
* Experience applying data analysis to solve business problems in fast\-moving environment
* Prior experience with data management offerings, focusing on Securities Services Data
* Understanding of needs and obligations specific to Asset Owners and Asset Managers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7">
      <c r="A137" t="inlineStr">
        <is>
          <t>li-4332592614</t>
        </is>
      </c>
      <c r="B137" t="inlineStr">
        <is>
          <t>VP- Card Customer Experience Product Manager</t>
        </is>
      </c>
      <c r="C137" t="inlineStr">
        <is>
          <t>hackajob</t>
        </is>
      </c>
      <c r="D137" t="inlineStr">
        <is>
          <t>linkedin</t>
        </is>
      </c>
      <c r="E137" t="inlineStr"/>
      <c r="F137" t="inlineStr"/>
      <c r="G137" t="inlineStr">
        <is>
          <t>New York, NY</t>
        </is>
      </c>
      <c r="H137" t="inlineStr"/>
      <c r="I137" t="inlineStr">
        <is>
          <t>***hackajob** 
 is collaborating with
 **J.P. Morgan** 
 to connect them with exceptional tech professionals for this role.*
**Job Description**
 The Card Customer Experience Product team is seeking a highly effective, customer\-focused, and proactive Product Manager to help lead the rapidly growing product development and end\-to\-end capabilities within the Card organizations. The Product Manager will own a key product area with high leadership support and visibility. The ideal candidate has experience delivering customer experiences for web and mobile, and will work across the lines of businesses to execute on an ever\-evolving roadmap to drive business objectives forward. To keep Chase Credit Cards on the leading edge of the rapidly changing Customer Experience landscape, they’ll partner with cross functional teams of core engineering, design and business partners to bring robust features to market.
 As a Product Manager, the desired candidate will be outcome\-focused with a practical orientation to developing and maintaining an innovation lifecycle product roadmap. Candidates should have excellent written and oral communication skills, strong interpersonal skills, and outstanding analytical and research skills, as well as a passion for digital channels. In addition to being a seasoned, well trained professional, the successful candidate will be a strategic thinker with the ability to inspire confidence from, and to collaborate closely with technology and internal stakeholders.
**Job Responsibilities**
* Develops a product strategy and roadmap that delivers value to customers, with a focus on ensuring Chase is at leading edge of digital capabilities.
* Manages discovery efforts and market research to uncover customer problems, target customer segments, and solutions to solve those problems.
* Owns, maintains, and develops a product backlog that enables development to support the overall strategic roadmap and value proposition.
* Collaborate with design, engineering, research and marketing teams to drive new features and optimization of existing ones.
* Integrate data analytics, product metrics, user experience research, competitive and market analysis, and company goals to drive prioritization of initiatives.
* Identify and champion new ideas across key customer journeys to increase customer satisfaction and engagement, and ensure consistency for the customer across channels.
* Understand, manage, and communicate prioritization of features, with a mind toward user and business benefits and tradeoffs.
* Manage stakeholder communications to ensure business needs are met, set and manage expectations through effective written and oral communication
**Required Qualifications, Capabilities, And Skills**
* 5\+ years of experience in product management, preferably with experience in credit cards or digital banking
* Advanced knowledge of the product development life cycle, design, and data analytics
* Proven ability to lead product life cycle activities including discovery, ideation, strategic development, requirements definition, and value management
* Experience collaborating with UX design and research
* Demonstrable experience authoring business requirements, defining user stories and execution including bringing together cross functional teams within an Agile development framework
* Experience in defining and building out product roadmap, prioritizing the backlog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8">
      <c r="A138" t="inlineStr">
        <is>
          <t>li-4332553204</t>
        </is>
      </c>
      <c r="B138" t="inlineStr">
        <is>
          <t>Product Manager - Vice President</t>
        </is>
      </c>
      <c r="C138" t="inlineStr">
        <is>
          <t>hackajob</t>
        </is>
      </c>
      <c r="D138" t="inlineStr">
        <is>
          <t>linkedin</t>
        </is>
      </c>
      <c r="E138" t="inlineStr"/>
      <c r="F138" t="inlineStr"/>
      <c r="G138" t="inlineStr">
        <is>
          <t>Columbus, OH</t>
        </is>
      </c>
      <c r="H138" t="inlineStr"/>
      <c r="I138"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clients.As a Product Manager within the Consumer and Community Banking Controls Governance Organization as a part of Controls Product, you play a crucial role in innovating new product offerings and leading the entire product life cycle. You act as the voice of the customer, developing profitable products that deliver significant customer value. With your extensive knowledge of product development, you guide successful product launches, gather essential feedback, and ensure exceptional client experiences. Committed to scalability, resiliency, and stability, you work closely with cross\-functional teams to deliver high\-quality products that surpass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Understanding of CCB Change Management Processes
**Preferred qualifications, capabilities, and skills**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9">
      <c r="A139" t="inlineStr">
        <is>
          <t>li-4351812569</t>
        </is>
      </c>
      <c r="B139" t="inlineStr">
        <is>
          <t>Senior Product Manager II - Growth</t>
        </is>
      </c>
      <c r="C139" t="inlineStr">
        <is>
          <t>RemoteHunter</t>
        </is>
      </c>
      <c r="D139" t="inlineStr">
        <is>
          <t>linkedin</t>
        </is>
      </c>
      <c r="E139" t="inlineStr"/>
      <c r="F139" t="inlineStr"/>
      <c r="G139" t="inlineStr"/>
      <c r="H139" t="inlineStr"/>
      <c r="I139"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0">
      <c r="A140" t="inlineStr">
        <is>
          <t>li-4345322476</t>
        </is>
      </c>
      <c r="B140" t="inlineStr">
        <is>
          <t>Senior Product Manager (Data Platform) - User Privacy &amp; Transparency (San Jose)</t>
        </is>
      </c>
      <c r="C140" t="inlineStr">
        <is>
          <t>TikTok</t>
        </is>
      </c>
      <c r="D140" t="inlineStr">
        <is>
          <t>linkedin</t>
        </is>
      </c>
      <c r="E140" t="inlineStr"/>
      <c r="F140" t="inlineStr"/>
      <c r="G140" t="inlineStr">
        <is>
          <t>San Jose, CA</t>
        </is>
      </c>
      <c r="H140" t="inlineStr"/>
      <c r="I140" t="inlineStr">
        <is>
          <t>**Responsibilities**
 The TikTok Privacy \&amp; Responsibility Product division's goal is to meet all of our privacy, responsibility, and compliance requirements, while providing the best user experience to responsibly consume, create, and enjoy content on TikTok. We focus on building infrastructure and user\-facing tools that uphold data transparency, empower user control, and earn trust at scale. As part of this team, you'll help shape the future of privacy on one of the world's most influential platforms, balancing regulatory demands with innovation and usability.
 Responsibilities
 \- Lead the product vision and roadmap for TikTok's user\-facing data subject right tools, enabling users to manage their data securely and efficiently;
 \- Partner with Legal, Policy, Engineering, and UX teams to define system requirements, API contracts, and user flows that ensure both compliance and usability;
 \- Drive cross\-platform and cross\-region alignment, adapting portability solutions to different regulatory, technical, and product contexts.
**Qualifications**
 Minimum Qualifications
 \- 3\+ years of experience in product management with a focus on privacy or data management features for consumer\-facing products;
 \- Strong communication and documentation skills, especially when navigating legal, technical, and policy constraints;
 \- Comfort with data\-informed product design and basic familiarity with privacy and compliance concepts.
 Preferred Qualifications
 \- Experience launching or managing products related to user data access;
 \- Understanding of privacy regulations and frameworks.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41">
      <c r="A141" t="inlineStr">
        <is>
          <t>li-4351862468</t>
        </is>
      </c>
      <c r="B141" t="inlineStr">
        <is>
          <t>Growth Product Manager (Mandarin Speaking)</t>
        </is>
      </c>
      <c r="C141" t="inlineStr">
        <is>
          <t>Snaplii</t>
        </is>
      </c>
      <c r="D141" t="inlineStr">
        <is>
          <t>linkedin</t>
        </is>
      </c>
      <c r="E141" t="inlineStr"/>
      <c r="F141" t="inlineStr"/>
      <c r="G141" t="inlineStr"/>
      <c r="H141" t="inlineStr"/>
      <c r="I141" t="inlineStr">
        <is>
          <t>**About the Company** 
 Snaplii is one of Canada’s fastest\-growing fintech platforms, transforming how people pay, save, and earn rewards. With over $70M in annual transaction volume and 200,000\+ users across North America, we deliver unmatched utility and loyalty through a single seamless app. We’ve ranked as high as \#5 on the Apple App Store during peak shopping seasons, and consistently remain in the Top 40, driven by a highly engaged, high\-retention user base. Snaplii supports 500\+ leading brands including Walmart, Amazon, and Esso, with a platform fully built and maintained in\-house—engineered to scale and support a growing suite of financial products.
**About the Role** 
 We’re looking for a Growth Product Manager who will own the onboarding funnel end\-to\-end and design product\-led growth programs that drive acquisition efficiency, activation, and retention. You’ll be responsible for managing and tracking growth funnels, running experiments, and working cross\-functionally to turn insights into scalable product improvements.
**Responsibilities** 
* Own and optimize the entire onboarding funnel — from app install to registration to activation.
* Design and launch product growth programs (referrals, incentives, gamification, habit loops) that accelerate adoption and retention.
* Build dashboards and track growth funnels rigorously (CAC, activation, retention, LTV).
* Partner with design/engineering to ship features that remove friction and improve user experience.
* Collaborate with marketing and BD to ensure product supports acquisition and partnership initiatives.
**Qualifications** 
* 3–6 years of Product Management experience with a focus on growth in consumer apps, fintech, or financial services.
* Fluency in both Mandarin and English is required for this role to effectively collaborate with our cross\-border technical teams and stakeholders.
* Proven track record of improving onboarding flows and conversion funnels.
* Strong analytical skills — comfortable with funnel metrics, cohort analysis, and experiment design.
* Creative product sense with ability to design engaging, user\-centric growth programs.
* Willingness to work hard, move fast, and take ownership in a high\-growth environment.
**Pay range and compensation package** 
 Base salary: up to $180K
 Performance bonus: 20–25% of base
 Equity: $50K/year in RSUs or options
 Base location: San Jose, US (remote) or Toronto, Canada (onsite)
 Travel: Monthly travel to Toronto during the first three months.</t>
        </is>
      </c>
    </row>
    <row r="142">
      <c r="A142" t="inlineStr">
        <is>
          <t>li-4359775098</t>
        </is>
      </c>
      <c r="B142" t="inlineStr">
        <is>
          <t>Product Manager, TuneLab Platform</t>
        </is>
      </c>
      <c r="C142" t="inlineStr">
        <is>
          <t>BioSpace</t>
        </is>
      </c>
      <c r="D142" t="inlineStr">
        <is>
          <t>linkedin</t>
        </is>
      </c>
      <c r="E142" t="inlineStr"/>
      <c r="F142" t="inlineStr"/>
      <c r="G142" t="inlineStr">
        <is>
          <t>San Francisco, CA</t>
        </is>
      </c>
      <c r="H142" t="inlineStr"/>
      <c r="I14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43">
      <c r="A143" t="inlineStr">
        <is>
          <t>li-4359943972</t>
        </is>
      </c>
      <c r="B143" t="inlineStr">
        <is>
          <t>Payables &amp; Business Card Product Manager - REMOTE</t>
        </is>
      </c>
      <c r="C143" t="inlineStr">
        <is>
          <t>Jobgether</t>
        </is>
      </c>
      <c r="D143" t="inlineStr">
        <is>
          <t>linkedin</t>
        </is>
      </c>
      <c r="E143" t="inlineStr"/>
      <c r="F143" t="inlineStr"/>
      <c r="G143" t="inlineStr">
        <is>
          <t>Arizona, United States</t>
        </is>
      </c>
      <c r="H143" t="inlineStr"/>
      <c r="I143" t="inlineStr">
        <is>
          <t>This position is posted by Jobgether on behalf of a partner company. We are currently looking for a Payables \&amp; Business Card Product Manager. In this role, you will play a crucial part in the strategy and execution of payment solutions aimed at benefiting various client segments, particularly in Commercial Banking. You will work closely with cross\-functional teams and stakeholders to develop and enhance product offerings, focusing primarily on Integrated Payables. Your efforts will be pivotal in driving customer engagement and expanding the company's card solutions, reflecting a comprehensive understanding of market needs and client feedback.
**Accountabilities**
* Create product roadmaps leveraging market research and client feedback.
* Prioritize initiatives to align with overall corporate objectives.
* Develop Functional Requirements/Vision Documents for product enhancements.
* Manage prototypes that illustrate proposed product enhancements.
* Assess clients’ needs and market trends to define product requirements.
* Develop business cases for new product introductions or changes.
* Collaborate with internal departments to deliver new functionalities.
* Support product launches in conjunction with marketing and sales teams.
* Ensure all product documentation remains up to date.
* Manage project timelines and responsibilities for successful product launches.
* Engage suppliers to boost customer spend through outreach initiatives.
* Educate teams on the benefits of new and existing products.
**Requirements**
* An undergraduate degree in a relevant field and 7\+ years of product development experience.
* Proven experience in product marketing or project management.
* Familiarity with TSYS.
* Experience in supplier enablement.
* Understanding of Integrated Payables and Business Card use cases.
* Goal\-oriented with a strong ability to manage product lifecycles.
**Benefits**
* Competitive salary based on experience and location.
* Comprehensive benefits package including medical, dental, and vision.
* 401(k) matching program.
* Paid Time Off and holidays.
* Tuition reimbursement and fitness reimbursement programs.
* Employee assistance program and emergency fund.
* Adoption assistance and wellbeing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li-4352454060</t>
        </is>
      </c>
      <c r="B144" t="inlineStr">
        <is>
          <t>Senior Product Manager (SPM), P2P Engagements (Remote)</t>
        </is>
      </c>
      <c r="C144" t="inlineStr">
        <is>
          <t>Takeda</t>
        </is>
      </c>
      <c r="D144" t="inlineStr">
        <is>
          <t>linkedin</t>
        </is>
      </c>
      <c r="E144" t="inlineStr"/>
      <c r="F144" t="inlineStr"/>
      <c r="G144" t="inlineStr"/>
      <c r="H144" t="inlineStr"/>
      <c r="I144"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The Senior Product Manager (SPM), P2P Engagements, will partner with the Dermatology Brand Marketing team to support the development and implementation of peer\-to\-peer programs and engagements. This role involves coordinating logistics, facilitating participant engagement, and ensuring alignment with strategic objectives to foster meaningful education and knowledge exchange among peers
 You will report to the Associate Director, Customer Engagements and P2P Strategy
**How you will contribute:**
* Strong understanding and execution of the Dermatology Peer\-to\-Peer Engagement Strategy.
* Lead tactical pull\-through at product theaters and promotional speaker programs.
* Monitor the planning process from submission to execution of different formats, including but not limited to
+ Submit marketing\-led request forms, relevant documentation, content forms, and training records.
+ Identify areas that may need exceptions, escalations, or approvals.
+ Coordinate execution details with the field sales team and/or program owners, and close out all program activities.
* Develop Needs Assessment Forms (NAFS) for Ethics \&amp; Compliance (E\&amp;C) and Legal alignment on tactics, bureau, and consulting opportunities.
* Partner with Medical, Legal, Regulatory and Compliance to ensure all materials meet internal and external standards.
* Help identify appropriate HCP speakers who will compliantly present approved and educational content within the community, regional areas, and nation.
* Represent the brand as the 'Speaker Selector'. Understand the audience needs for each event and compliantly select speakers for programs from the bureau.
* Assist with on\-label training of speaker bureau members.
* Assist with development of educational content.
* Attend programs (minimum 1x per speaker) to observe, coach, and develop individual speakers to ensure medically accurate and compliant execution of approved content.
* Collaborate closely with program owners to help facilitate plans and execution to meet the objectives of each event and assume program performance.
* Manage the bureau with consistency and accuracy to ensure all speakers have an opportunity to reach the contractually agreed two\-event minimum per year.
* Stay abreast of industry trends and the competitive landscape to inform program types and opportunities.
* Assist program owners in identifying educational opportunities.
* Monitor and evaluate program performance and initiate recommendations and adjustments to align with strategy.
* Performance Measurement Define key performance indicators (KPIs) and metrics to track the progress and process of program planning and execution.
* Partner with brand and franchise marketing, professional engagements, ethics \&amp; compliance, and agency partners on the execution of peer\-to\-peer and contracted activities.
* Attend routine status meetings with cross\-functional partners and the brand to review progress weekly.
* Work with the highest degree of professionalism and in accordance with Takeda’s code of ethics and business conduct.
**Minimum Requirements/Qualifications:**
* A Bachelor’s degree is required, with a focus in Biology, Marketing, Strategy, and/or Business Administration preferred.
* 5\+ years of progressively responsible marketing or sales experience within the bio\-pharmaceutical industry, with a minimum of 2 years of experience in speaker bureau management.
* Experience working with a Speaker Bureau, speaker training, content development, and execution.
* Strong leadership skills with an ability to generate commitment, identify and resolve issues, and evaluate risk.
* Equally important is the ability to collaborate and work effectively with cross\-functional teams, with a proven ability to influence without authority.
* Strong analytical, problem\-solving, and strategic thinking skills.
* Strong financial management and budgeting capabilities.
* Willingness to travel to occasional programs that could include overnight stays
* High comfort level with emerging technologies, adaptability to digital tools, and openness to AI\-enabled processes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$137,000\.00 \- $215,270\.00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145">
      <c r="A145" t="inlineStr">
        <is>
          <t>li-4359784377</t>
        </is>
      </c>
      <c r="B145" t="inlineStr">
        <is>
          <t>Payables &amp; Business Card Product Manager REMOTE</t>
        </is>
      </c>
      <c r="C145" t="inlineStr">
        <is>
          <t>Jobgether</t>
        </is>
      </c>
      <c r="D145" t="inlineStr">
        <is>
          <t>linkedin</t>
        </is>
      </c>
      <c r="E145" t="inlineStr"/>
      <c r="F145" t="inlineStr"/>
      <c r="G145" t="inlineStr">
        <is>
          <t>New York, United States</t>
        </is>
      </c>
      <c r="H145" t="inlineStr"/>
      <c r="I145" t="inlineStr">
        <is>
          <t>This position is posted by Jobgether on behalf of a partner company. We are currently looking for a Payables \&amp; Business Card Product Manager. In this role, you will play a crucial part in the strategy and execution of payment solutions aimed at benefiting various client segments, particularly in Commercial Banking. You will work closely with cross\-functional teams and stakeholders to develop and enhance product offerings, focusing primarily on Integrated Payables. Your efforts will be pivotal in driving customer engagement and expanding the company's card solutions, reflecting a comprehensive understanding of market needs and client feedback.
**Accountabilities**
* Create product roadmaps leveraging market research and client feedback.
* Prioritize initiatives to align with overall corporate objectives.
* Develop Functional Requirements/Vision Documents for product enhancements.
* Manage prototypes that illustrate proposed product enhancements.
* Assess clients’ needs and market trends to define product requirements.
* Develop business cases for new product introductions or changes.
* Collaborate with internal departments to deliver new functionalities.
* Support product launches in conjunction with marketing and sales teams.
* Ensure all product documentation remains up to date.
* Manage project timelines and responsibilities for successful product launches.
* Engage suppliers to boost customer spend through outreach initiatives.
* Educate teams on the benefits of new and existing products.
**Requirements**
* An undergraduate degree in a relevant field and 7\+ years of product development experience.
* Proven experience in product marketing or project management.
* Familiarity with TSYS.
* Experience in supplier enablement.
* Understanding of Integrated Payables and Business Card use cases.
* Goal\-oriented with a strong ability to manage product lifecycles.
**Benefits**
* Competitive salary based on experience and location.
* Comprehensive benefits package including medical, dental, and vision.
* 401(k) matching program.
* Paid Time Off and holidays.
* Tuition reimbursement and fitness reimbursement programs.
* Employee assistance program and emergency fund.
* Adoption assistance and wellbeing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6">
      <c r="A146" t="inlineStr">
        <is>
          <t>li-4352471355</t>
        </is>
      </c>
      <c r="B146" t="inlineStr">
        <is>
          <t>Sr Product Manager - Tech , Leo BizOps, Amazon Leo</t>
        </is>
      </c>
      <c r="C146" t="inlineStr">
        <is>
          <t>myGwork - LGBTQ+ Business Community</t>
        </is>
      </c>
      <c r="D146" t="inlineStr">
        <is>
          <t>linkedin</t>
        </is>
      </c>
      <c r="E146" t="inlineStr"/>
      <c r="F146" t="inlineStr"/>
      <c r="G146" t="inlineStr">
        <is>
          <t>Redmond, WA</t>
        </is>
      </c>
      <c r="H146" t="inlineStr"/>
      <c r="I146" t="inlineStr">
        <is>
          <t>**This job is with Amazon, an inclusive employer and a member of myGwork – the largest global platform for the LGBTQ\+ business community. Please do not contact the recruiter directly.**
**Description**
 Amazon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The Product Manager \- Technical (PM\-T) will be at the forefront of defining Product vision, strategy, requirements and building systems to related to support both consumer and enterprise customers, catalog management, order management, broadband service provisioning and service life cycle management. This will include integrations into telecom customer systems, sales channel partners and internal upstream and downstream systems across Leo eCommerce.
 This PM\-T will be the single threaded owner (STO) for Leo's Catalog, APIs and business systems for management of Service plan life cycle. They will develop a common vision and scope, establish timelines, and drive system readiness and solutions are ready for launching Leo services. The role will engage with both consumers and enterprise customers and will work in partnership with Leo Engineering, and Amazon teams like Accounting, Tax, Legal, Finance to execute the plan.
 Key job responsibilities
 The successful candidate plays the role of a business liaison, product and technology leader, and own the delivery of systems across the end to end customer journey.
 Work closely with senior business and software engineering leaders and SMEs to understand requirements, conceptualize solutions, facilitate development, and deploy broadband customer onboarding and service activation capabilities
 Own tangible goals and deliverables to enable system development and readiness to scale globally and deliver the best customer experiences through service delivery.
 Possess outstanding written and verbal communication skills and facilitate collaboration across multiple teams.
 Be structured and flexible at the same time to learn as the business evolves.
 Provide visibility and communicate extremely well, with responsibility to provide updates to VPs, author operation plans, business reviews documents, and communicate to the broader Leo and Amazon team.
 Be a seasoned product leader with a demonstrated history of leading product strategy, technology solutions, data analytics, and customer experience.
 Thrive on ambiguity and have a track record of delivering large\-scale technology products and/or led large operational or technical teams.
 Lead large, global, and complex technology initiatives in a large business unit, working cross\-functionally with a number of business and technical teams.
 The ability to think and move quickly and is inspired to build mechanisms to simplify and continuously innovate.
 Demonstrated analytical and quantitative skills; ability to use hard data and metrics to back up assumptions and develop business cases.
**Basic Qualifications**
* Bachelor's degree in computer science, engineering, analytics, mathematics, statistics, IT or equivalent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QuickView,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47">
      <c r="A147" t="inlineStr">
        <is>
          <t>li-4330651339</t>
        </is>
      </c>
      <c r="B147" t="inlineStr">
        <is>
          <t>Product Manager</t>
        </is>
      </c>
      <c r="C147" t="inlineStr">
        <is>
          <t>Jobs via Dice</t>
        </is>
      </c>
      <c r="D147" t="inlineStr">
        <is>
          <t>linkedin</t>
        </is>
      </c>
      <c r="E147" t="inlineStr"/>
      <c r="F147" t="inlineStr"/>
      <c r="G147" t="inlineStr">
        <is>
          <t>Scottsdale, AZ</t>
        </is>
      </c>
      <c r="H147" t="inlineStr"/>
      <c r="I147" t="inlineStr">
        <is>
          <t>**Location:** 
 Scottsdale, AZ
**Salary:** 
 $55\.00 USD Hourly \- $65\.00 USD Hourly
**Description:** 
 Our client is currently seeking a Product Manager
**Job Title:** 
 Product Manager
**Experience Level:** 
 Mid\-level (3\-5 years)
**Location:** 
 Scottsdale, AZ 85258
**Employment Type:** 
 Contract
**About The Role**
 We are seeking a
 **Product Manager** 
 with strong experience in traditional product owner responsibilities. This role will collaborate closely with cross\-functional teams\-including UX/UI, engineering, digital, and marketing\-to shape product strategy, gather requirements, and deliver exceptional digital experiences. You will lead story mapping sessions, develop product roadmaps, and ensure timely execution of initiatives.
**Key Responsibilities**
* Develop and execute product vision and strategies in partnership with leadership and technical teams.
* Identify opportunities for product innovation and enhancements aligned with company goals and market trends.
* Collaborate with stakeholders to define requirements, prioritize features, and manage expectations.
* Manage the full product lifecycle, leveraging knowledge of IT operations and industry trends.
* Facilitate story mapping sessions and maintain comprehensive product roadmaps.
* Analyze performance metrics to inform product improvements and new feature development.
* Translate high\-level requirements into actionable deliverables with Product Owners.
* Occasionally work off\-hours (evenings, weekends, holidays) as needed.
**Qualifications**
* Bachelor's degree required.
* 3\-5 years of experience in product management or ownership roles, with expertise in Agile methodologies and end\-to\-end product lifecycle.
* Proficiency with Google Analytics, GTM, Tableau, and qualitative tools.
* Strong technical aptitude and ability to assess trade\-offs.
* Excellent communication and stakeholder management skills; proven ability to influence cross\-functional teams.
* Experience collaborating with designers, developers, and business stakeholders to deliver optimal UX across web and mobile (iOS, Android).
* Deep knowledge of UX/UI best practices.
* Proven track record in launching websites and mobile solutions.
**Preferred Skills**
* Ecommerce and shopping experience.
* Direct sales experience.
* Payment and credit card integration knowledge (Apple Pay, Google Pay, payment vendors).
* High emotional intelligence (EQ) and ability to work with brand ambassadors.
* Strong organizational skills and ability to deliver on time in fast\-paced environments.
**What We Value**
* Strategic and tactical thinking in ambiguous environments.
* Relationship\-building and influencing skills.
* Passion for digital innovation and customer\-centric product development.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48">
      <c r="A148" t="inlineStr">
        <is>
          <t>li-4360681195</t>
        </is>
      </c>
      <c r="B148" t="inlineStr">
        <is>
          <t>Manger, Product Manager - Enterprise Payments - OnePay</t>
        </is>
      </c>
      <c r="C148" t="inlineStr">
        <is>
          <t>Capital One</t>
        </is>
      </c>
      <c r="D148" t="inlineStr">
        <is>
          <t>linkedin</t>
        </is>
      </c>
      <c r="E148" t="inlineStr"/>
      <c r="F148" t="inlineStr"/>
      <c r="G148" t="inlineStr">
        <is>
          <t>New York, NY</t>
        </is>
      </c>
      <c r="H148" t="inlineStr"/>
      <c r="I148" t="inlineStr">
        <is>
          <t>****Manger,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The Product Manager for the Enterprise Payments team plays a critical role in achieving our goals. This is a highly collaborative role, where the individual will work closely with a team of product managers as well partnering with designers, engineers, data scientists, operations, and business partners to transform the experience for all of our customers. Through this collaboration, the individual will shape the product strategy and then develop, launch, and enhance payments experiences that will meet the unique needs of our customers, ranging from consumer to small business to commercial personas across both lending and deposit products.
 Your product forms a key cornerstone of Capital One’s payments experience – blending digital design with backend integration to provide our internal and external customers the ability to transact in real time with straight through processing. To fit the bill, you will need to have deep passion for Payments along with product\-centric thinking that analyzes problems, develops simple and intuitive solutions and then, working with our agile teams, delivers those user experiences on the latest technologies. You’ll need to be equally comfortable navigating the development with our tech partners as you are communicating user experience, operational fulfillment, and risk with our business partners.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9">
      <c r="A149" t="inlineStr">
        <is>
          <t>li-4330756441</t>
        </is>
      </c>
      <c r="B149" t="inlineStr">
        <is>
          <t>Digital Product Manager</t>
        </is>
      </c>
      <c r="C149" t="inlineStr">
        <is>
          <t>Jobs via Dice</t>
        </is>
      </c>
      <c r="D149" t="inlineStr">
        <is>
          <t>linkedin</t>
        </is>
      </c>
      <c r="E149" t="inlineStr"/>
      <c r="F149" t="inlineStr"/>
      <c r="G149" t="inlineStr">
        <is>
          <t>Anaheim, CA</t>
        </is>
      </c>
      <c r="H149" t="inlineStr"/>
      <c r="I149" t="inlineStr">
        <is>
          <t>job summary:
 As a Product Manager, you will collaborate with cross\-functional teams across Marketing, Sales, Operations, and Technology to drive digital excellence for consumer\-facing web and mobile platforms. Reporting to the Manager of Product Management, this role will focus on supporting and evolving the company's membership\-based programs from a digital perspective, ensuring a seamless and engaging experience across web and mobile applications. In addition to shaping the roadmap, enhancing functionality, and delivering innovative solutions that maximize member value and business impact, you will also support day\-to\-day operational updates and ongoing maintenance to ensure optimal performance and member satisfaction.
 location: Anaheim, California
 job type: Contract
 salary: $65 \- 71 per hour
 work hours: 9am to 6pm
 education: Bachelors
 responsibilities:
* Cultivates relationships and leads partner expectations, scope, budget discussions, and project communications. Ensures digital initiatives align with partner visions, goals, financial plans, and communication strategies.
* Provides partners with a consistent point of contact and accountability for their digital business needs
* Adapts swiftly to shifting priorities, maintaining focus on multiple concurrent projects and workstreams
* Builds and leads business requirements, guiding partners through digital strategy implementation
* Collaborates with other Product Owners across various product lines and brands to support a streamlined Guest experience
 Innovative Product Leadership \-
* Translates marketing visions and digital strategy into detailed product requirements, user stories, and actionable workstreams
* Crafts detailed project outlines that illustrate the critical elements of a project including objectives, strategies, target audience, background, and execution considerations
* Contributes to developing go\-to\-market strategies
* Responsible for the timely, on\-budget, on\-strategy delivery of marketing\- and operations\-related projects
* Leads and maintains feature development and backlog, attending daily scrums to help drive priority decisions and remove roadblocks
* Addresses and calls out unresolved business, strategy, scope, and budget issues as appropriate
* Develops presentations to share and build advocacy for the digital strategy with Executive audiences and partners across the organization, ensuring all outcomes meet stablished standards
* Support with delivery and ongoing maintenance, which may include product build, content configuration and on call collaboration to ensure successful uptime of the digital experience as needed
* Develop effective working relationships with Creative, Media, Copy, Product and Technology teams and often brokers solutions between them
* Communicates strategic direction changes or priority shifts to all relevant parties, ensuring alignment with business goals
 qualifications:
* 3\+ years of demonstrated expertise in digital product management roles working with Marketing, brand strategy, technology (web \&amp; mobile) and digital strategy
* 3\+ years of established experience in business, agency work, and/or digital environments
* Demonstrated ability to evolve and scale digital products, with experience driving continuous improvement for membership programs across web and mobile platforms through data\-driven iterative enhancements and innovation
* Effectively provide overall leadership across multiple teams, while working collaboratively to delivery with quality on time
* Strong familiarity with Agile methodologies in software development and tools, including JIRA/Confluence
* Proficient with technical, user and business challenges in a fast paced, dynamic digital organization
* Experience working with tools, systems and processes that support go\-to\-market delivery and triage of content, data configuration, and service integration
* Advanced experience working with complex content management or similar systems for building and maintaining websites and mobile apps (including daily updates to copy, media, building out new pages, and troubleshooting)
* Possesses analytical and quantitative skills; ability to use hard data and metrics to back up assumptions and develop project cases
* Outstanding verbal and written communication, including effective communication across cross\-functional teams and at Manager level
* Competent in interfacing across extensive matrix organizations
* Ability to lead and support cross\-functional teams to deliver high\-quality results promptly
* Experience with iOS/Android release lifecycle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150">
      <c r="A150" t="inlineStr">
        <is>
          <t>li-4352415339</t>
        </is>
      </c>
      <c r="B150" t="inlineStr">
        <is>
          <t>Senior Product Manager (SPM), P2P Engagements (Remote)</t>
        </is>
      </c>
      <c r="C150" t="inlineStr">
        <is>
          <t>Takeda</t>
        </is>
      </c>
      <c r="D150" t="inlineStr">
        <is>
          <t>linkedin</t>
        </is>
      </c>
      <c r="E150" t="inlineStr"/>
      <c r="F150" t="inlineStr"/>
      <c r="G150" t="inlineStr">
        <is>
          <t>Boston, MA</t>
        </is>
      </c>
      <c r="H150" t="inlineStr"/>
      <c r="I150"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The Senior Product Manager (SPM), P2P Engagements, will partner with the Dermatology Brand Marketing team to support the development and implementation of peer\-to\-peer programs and engagements. This role involves coordinating logistics, facilitating participant engagement, and ensuring alignment with strategic objectives to foster meaningful education and knowledge exchange among peers
 You will report to the Associate Director, Customer Engagements and P2P Strategy
**How you will contribute:**
* Strong understanding and execution of the Dermatology Peer\-to\-Peer Engagement Strategy.
* Lead tactical pull\-through at product theaters and promotional speaker programs.
* Monitor the planning process from submission to execution of different formats, including but not limited to
+ Submit marketing\-led request forms, relevant documentation, content forms, and training records.
+ Identify areas that may need exceptions, escalations, or approvals.
+ Coordinate execution details with the field sales team and/or program owners, and close out all program activities.
* Develop Needs Assessment Forms (NAFS) for Ethics \&amp; Compliance (E\&amp;C) and Legal alignment on tactics, bureau, and consulting opportunities.
* Partner with Medical, Legal, Regulatory and Compliance to ensure all materials meet internal and external standards.
* Help identify appropriate HCP speakers who will compliantly present approved and educational content within the community, regional areas, and nation.
* Represent the brand as the 'Speaker Selector'. Understand the audience needs for each event and compliantly select speakers for programs from the bureau.
* Assist with on\-label training of speaker bureau members.
* Assist with development of educational content.
* Attend programs (minimum 1x per speaker) to observe, coach, and develop individual speakers to ensure medically accurate and compliant execution of approved content.
* Collaborate closely with program owners to help facilitate plans and execution to meet the objectives of each event and assume program performance.
* Manage the bureau with consistency and accuracy to ensure all speakers have an opportunity to reach the contractually agreed two\-event minimum per year.
* Stay abreast of industry trends and the competitive landscape to inform program types and opportunities.
* Assist program owners in identifying educational opportunities.
* Monitor and evaluate program performance and initiate recommendations and adjustments to align with strategy.
* Performance Measurement Define key performance indicators (KPIs) and metrics to track the progress and process of program planning and execution.
* Partner with brand and franchise marketing, professional engagements, ethics \&amp; compliance, and agency partners on the execution of peer\-to\-peer and contracted activities.
* Attend routine status meetings with cross\-functional partners and the brand to review progress weekly.
* Work with the highest degree of professionalism and in accordance with Takeda’s code of ethics and business conduct.
**Minimum Requirements/Qualifications:**
* A Bachelor’s degree is required, with a focus in Biology, Marketing, Strategy, and/or Business Administration preferred.
* 5\+ years of progressively responsible marketing or sales experience within the bio\-pharmaceutical industry, with a minimum of 2 years of experience in speaker bureau management.
* Experience working with a Speaker Bureau, speaker training, content development, and execution.
* Strong leadership skills with an ability to generate commitment, identify and resolve issues, and evaluate risk.
* Equally important is the ability to collaborate and work effectively with cross\-functional teams, with a proven ability to influence without authority.
* Strong analytical, problem\-solving, and strategic thinking skills.
* Strong financial management and budgeting capabilities.
* Willingness to travel to occasional programs that could include overnight stays
* High comfort level with emerging technologies, adaptability to digital tools, and openness to AI\-enabled processes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$137,000\.00 \- $215,270\.00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151">
      <c r="A151" t="inlineStr">
        <is>
          <t>li-4330701297</t>
        </is>
      </c>
      <c r="B151" t="inlineStr">
        <is>
          <t>Product Owner III</t>
        </is>
      </c>
      <c r="C151" t="inlineStr">
        <is>
          <t>Jobs via Dice</t>
        </is>
      </c>
      <c r="D151" t="inlineStr">
        <is>
          <t>linkedin</t>
        </is>
      </c>
      <c r="E151" t="inlineStr"/>
      <c r="F151" t="inlineStr"/>
      <c r="G151" t="inlineStr">
        <is>
          <t>Philadelphia, PA</t>
        </is>
      </c>
      <c r="H151" t="inlineStr"/>
      <c r="I151" t="inlineStr">
        <is>
          <t>**Location:** 
 Philadelphia, PA
**Salary:** 
 $50\.00 USD Hourly \- $55\.00 USD Hourly
**Description:**
 Title : Product Owner Iii
 Location: Philadelphia, PA Fully On\-Site
 Contract \| 1\+ Years
 Responsibilities and qualifications include:
 Partner closely with business, technology, and architecture stakeholders to bring the business and architectural vision to life, delivering features in a lean, iterative, and nimble way
 Drive the story elaboration process for your team, ensuring at least 2 sprints worth of ready stories
 Define Acceptance Criteria for team stories
 Prioritize the team backlog to best achieve goals and outcomes
 Ensure that the teams User Story backlog is visible, transparent, and clear to all, showing what the team will work on next
 Accept user stories completed by team throughout the sprint on behalf of customers based on acceptance criteria
 Ensure the team understands items in the team backlog to the level needed
 Regularly attend and actively participate Scrum events: Sprint Planning, Daily Standup, Sprint Review, Sprint Retrospective
 Take feedback from demos back to teams and work to incorporate into backlog and upcoming iterations
 Collaborate with Product Managers and other Product Owners to define and coordinate feature development across other teams, where necessary
 Experience functioning as the PO for Scrum Teams (solely as PO, not hybrid)
 Experience writing and refining user stories for software teams
 Experience with Agile tools such as Rally, Jira, etc.
 Certified Scrum Product Owner (CSPO) strongly preferred
 Experience in the telecommunications industry a plus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52">
      <c r="A152" t="inlineStr">
        <is>
          <t>li-4359923576</t>
        </is>
      </c>
      <c r="B152" t="inlineStr">
        <is>
          <t>Senior Associate, Product Manager - Business Cards &amp; Payments</t>
        </is>
      </c>
      <c r="C152" t="inlineStr">
        <is>
          <t>Capital One</t>
        </is>
      </c>
      <c r="D152" t="inlineStr">
        <is>
          <t>linkedin</t>
        </is>
      </c>
      <c r="E152" t="inlineStr"/>
      <c r="F152" t="inlineStr"/>
      <c r="G152" t="inlineStr">
        <is>
          <t>New York, NY</t>
        </is>
      </c>
      <c r="H152" t="inlineStr"/>
      <c r="I152" t="inlineStr">
        <is>
          <t>**Product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**The Team:**
 The
 **Business Cards \&amp; Payments (BC\&amp;P)** 
 organization is committed to fueling the courageous entrepreneurial spirit that's at the heart of America's business owners. We offer financial products and services for small business owners through corporate clients, with the goal to pave the path for them to do more business. We’ve built an organization that is focused on listening to and learning from the millions of customers we serve to make sure our products, services, and experiences work as hard as they do.
****In this role, you’ll learn the essentials of being a product manager, and we’ll invest in you to grow in four key areas** 
 :**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3">
      <c r="A153" t="inlineStr">
        <is>
          <t>li-4359913637</t>
        </is>
      </c>
      <c r="B153" t="inlineStr">
        <is>
          <t>Senior Manager, Product Manager - Enterprise Payments</t>
        </is>
      </c>
      <c r="C153" t="inlineStr">
        <is>
          <t>Capital One</t>
        </is>
      </c>
      <c r="D153" t="inlineStr">
        <is>
          <t>linkedin</t>
        </is>
      </c>
      <c r="E153" t="inlineStr"/>
      <c r="F153" t="inlineStr"/>
      <c r="G153" t="inlineStr">
        <is>
          <t>New York, NY</t>
        </is>
      </c>
      <c r="H153" t="inlineStr"/>
      <c r="I15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a highly experienced and dedicated Senior Product Manager to serve as the Enterprise Product Check Items Processing Lead. In this critical individual contributor role, you will be the definitive product owner, setting the vision, strategy, and roadmap for all core check processing capabilities. You will leverage payment system domain expertise to drive modernization, efficiency, and compliance. This role requires exceptional analytical rigor and the ability to influence cross\-functional teams—including engineering, operations, risk/compliance, data science, data strategy and business partners across lines of business—without direct management authority. Your success will be measured by your ability to deliver seamless, secure, and scalable check processing solutions that enhance the customer and operational experience while minimizing fraud and cost.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4">
      <c r="A154" t="inlineStr">
        <is>
          <t>li-4352471485</t>
        </is>
      </c>
      <c r="B154" t="inlineStr">
        <is>
          <t>Senior Technical Program Manager</t>
        </is>
      </c>
      <c r="C154" t="inlineStr">
        <is>
          <t>Switch</t>
        </is>
      </c>
      <c r="D154" t="inlineStr">
        <is>
          <t>linkedin</t>
        </is>
      </c>
      <c r="E154" t="inlineStr"/>
      <c r="F154" t="inlineStr"/>
      <c r="G154" t="inlineStr"/>
      <c r="H154" t="inlineStr"/>
      <c r="I154" t="inlineStr">
        <is>
          <t>**Location: Remote**
**About Switch**
 At Switch, we don’t just design, build and operate data centers—we are enabling the technology of the future. Led by Founder \&amp; CEO, Rob Roy, we believe in revolutionary innovation, operational excellence and the principle of karma. Switch is where talented people come together to EVOLVE the digital world.
 We believe that innovation isn’t just about technology—it’s about the people, culture, and purpose that make it happen. Every Switch team member contributes to a mission greater than themselves: to create the world’s most advanced digital infrastructure that powers the progress of humanity.
 The Role: Senior Technical Program Manager – Regional Availability Engineering
 As a Senior Technical Program Manager at Switch, you will be part of a world\-class team that operates in excellence, delivering mission\-critical solutions that redefine what’s possible in AI, cloud and enterprise data center needs. Your work will directly impact the future of technology and the sustainable growth of the Internet.
 What You’ll Do
 This role leads a portfolio of programs that unify Availability, Commissioning, Ops, and Design to turn events into operational and engineering improvements.
 Scope of Programs
* Post Event Action Item Closure — drive findings to closure after incidents/events and verify sustained fixes.
* Continuous Design Improvement — ensure lessons learned during the operational cycle of a data center flow back into design standards and specifications.
* Commissioning Handover — establish and manage the structured handover of open items and risks.
* Event Role Definition — codify roles/responsibilities and decision paths during events.
* Reporting \&amp; Governance — manage recurring reports and reviews that demonstrate SLA compliance to customers.
**Program Leadership \&amp; Execution**
* Build and manage detailed program plans, roadmaps, and backlogs; set milestones, dependencies, and measurable outcomes. Develop dashboards and reporting.
* Run weekly/biweekly cadences (standups, risk reviews, stakeholder syncs) and quarterly business reviews; publish clear status, decisions, and blockers.
* Anticipate bottlenecks; drive escalation paths and tradeoffs between reliability, schedule, and cost; maintain a prioritized risk/issue register.
**Post Event Action Item Closure**
* Lead event postmortems and deliver high quality Root Cause Analysis (RCA), After Action Reports (AAR) and Corrective/Preventive actions (CAPA); define owners and due dates.
* Track action items end to end to closure.
* Institutionalize fix forward playbooks and guardrails to avoid recurrence; integrate learnings into actions increasing awareness across regions.
**Continuous Design Improvement**
* Develop and manage program FEED (Field Experience ? Engineering Design) with a target to convert operational learnings into design change proposals (DCPs) with quantified reliability/availability/cost impact; steward them through review/approval.
* Maintain a traceable feedback pipeline from operations incidents to design standards/specifications, and track adoption across regions
**Commissioning to Availability Engineering Handover**
* Define the authoritative handover package: open items, punch list, risk register, test results, waivers, as builts, and monitoring baselines.
* Run formal handover gates (Go/No Go) with sign offs; track outstanding Cx items to closure with accountable owners and due dates.
* Establish RACI and communication protocols between Commissioning, Availability, Operations, and vendors for post turnover support.
**Event Role Definition \&amp; Incident Readiness**
* Author and maintain event RACI and decision trees; clarify Responsible/Accountable roles for containment, communications and customer updates when needed.
* Work with Switch Mission Center to coordinate readiness activities and keep AE rosters/contact trees current.
* Integrate with broader Incident Response plans for high impact events requiring executive involvement and external notifications.
**Reporting \&amp; Governance**
* Define and maintain a database of client specific SLA metrics in terms of reporting that need to be met.
* Publish internal dashboards; manage review cadence and audit trails; resolve data disputes promptly.
* Drive remediation plans to meet customer needs and execute cross functional actions to restore engineering compliance.
 What We’re Looking For
* Innovators \&amp; Builders – You see challenges as opportunities and thrive in uncharted territories.
* High\-Performance Thinkers – You have a relentless drive for excellence and a passion for pushing the envelope. You thrive in high impact environments where execution is key.
* Integrity\-Driven Leaders – You operate with honor, responsibility, and purpose, recognizing that the energy you put out into the world will return to you.
* Tech Pioneers – You understand the power of technology to change the world and want to be at the forefront of that transformation.
 What You'll Bring
* Bachelor’s Degree or higher from an accredited institution.
* Minimum five years related work experience.
* Experience managing a portfolio of energy supply contracts.
* Exceptional data management skills with a proven ability to work with large datasets and extract actionable insights.
* Strong project management skills; advanced Microsoft Excel skills preferred.
* Excellent analytical, time management, communication, decision\-making, presentation, and organizational skills, with the ability to resolve problems in a timely manner.
* Demonstrated ability to innovate, think creatively, and drive business teams to develop executable projects quickly.
* Proven history of collaboration, problem\-solving, and communication that supports overall team success.
 Why Switch?
* A Culture of Karma – We are self\-motivated by karma, ensuring our actions contribute to a positive, supportive and forward\-thinking environment.
* Industry Leading Designs – Work with the most advanced data center technology on the planet and be a part of emerging technology development.
* Flexibility \&amp; Remote Opportunities – Whether in\-office, hybrid, or fully remote, we offer the technology and support to keep teams connected and productive.
* Career Stability \&amp; Growth – In this expanding industry, we invest in our people, providing opportunities \&amp; advancement in a stable, growing company.
* Generous Benefits Package \- Switch provides comprehensive coverage for you and your family that can be tailored to fit your personal needs, and more!
 Join Us \&amp; Make a Difference
 This is more than a job—it’s a mission. If you’re ready to be part of a culture that values innovation, karma, and limitless potential, we want to hear from you.
 Apply Now and Let’s Build the Future Together.
* Remote applicants must reside in one of our registered states: AL, AZ, CA, CO, GA, IL, LA, MA, MI, MO, NC, NV, NY, OR, TX, UT, VA, WA.</t>
        </is>
      </c>
    </row>
    <row r="155">
      <c r="A155" t="inlineStr">
        <is>
          <t>li-4359983423</t>
        </is>
      </c>
      <c r="B155" t="inlineStr">
        <is>
          <t>Senior Manager, Product Manager - Enterprise Payments</t>
        </is>
      </c>
      <c r="C155" t="inlineStr">
        <is>
          <t>Capital One</t>
        </is>
      </c>
      <c r="D155" t="inlineStr">
        <is>
          <t>linkedin</t>
        </is>
      </c>
      <c r="E155" t="inlineStr"/>
      <c r="F155" t="inlineStr"/>
      <c r="G155" t="inlineStr">
        <is>
          <t>Philadelphia, PA</t>
        </is>
      </c>
      <c r="H155" t="inlineStr"/>
      <c r="I155" t="inlineStr">
        <is>
          <t>Product Management at Capital One is a booming, vibrant profession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crucial to ensuring we meet evolving customer needs across the payment landscape. This translates into defining the roadmaps that will enable the company’s overall digital payments strategy, modernizing existing payment types and innovating in ways that will meet the future of customer payment needs. In an industry rooted in mainframe systems and batch processes, we are driving toward a cloud\-based, API/microservice architecture and real\-time data environment.
 The Senior Manager, Product Manager for the Enterprise Payments team plays a critical role in achieving our goals. This is a highly collaborative role, where the individual will work closely with a team of product managers as well partnering with engineers, data scientists, operations, and business partners to transform the payment experience for all of our customers, ranging from consumer to small business to commercial personas. Through this collaboration, the individual will shape the wires payment roadmap and define the data required to drive straight through processing and improve our overall risk posture across this payment type.
 The wires payment industry is currently undergoing significant data changes, driven by evolving regulatory requirements. This is an exciting opportunity to lead the strategy for leveraging this enriched data, ideate on automation capabilities for these high\-value payments, and enhance user\-friendly self\-service options. If you're passionate about innovating in the payments space and driving significant impact, this role offers a unique chance to shape the future of payments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6">
      <c r="A156" t="inlineStr">
        <is>
          <t>li-4360613270</t>
        </is>
      </c>
      <c r="B156" t="inlineStr">
        <is>
          <t>Manager, Product Manager - Platform Enablement</t>
        </is>
      </c>
      <c r="C156" t="inlineStr">
        <is>
          <t>Capital One</t>
        </is>
      </c>
      <c r="D156" t="inlineStr">
        <is>
          <t>linkedin</t>
        </is>
      </c>
      <c r="E156" t="inlineStr"/>
      <c r="F156" t="inlineStr"/>
      <c r="G156" t="inlineStr">
        <is>
          <t>McLean, VA</t>
        </is>
      </c>
      <c r="H156" t="inlineStr"/>
      <c r="I156"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This product manager will be pivotal in driving the enablement of Live Test Accounts (LTAs), initially within our new Core and expanding across the entire Capital One Retail Bank organization. Responsibilities will include partnering with technology teams to define a feasible and scalable technical approach for LTA identification \&amp; governance, establishing a comprehensive governance process with stakeholders across BankMod and legacy systems, and defining the roadmap for full enablement. This Product Manager will own the prioritization of the LTA rollout and manage the complete account lifecycle, from stand\-up and monitoring to eventual sunsetting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7">
      <c r="A157" t="inlineStr">
        <is>
          <t>li-4330847346</t>
        </is>
      </c>
      <c r="B157" t="inlineStr">
        <is>
          <t>Product Owner</t>
        </is>
      </c>
      <c r="C157" t="inlineStr">
        <is>
          <t>Jobs via Dice</t>
        </is>
      </c>
      <c r="D157" t="inlineStr">
        <is>
          <t>linkedin</t>
        </is>
      </c>
      <c r="E157" t="inlineStr"/>
      <c r="F157" t="inlineStr"/>
      <c r="G157" t="inlineStr">
        <is>
          <t>Philadelphia, PA</t>
        </is>
      </c>
      <c r="H157" t="inlineStr"/>
      <c r="I157" t="inlineStr">
        <is>
          <t>**Product Owner/Business Analyst**
**Long Term Contract**
**Hybrid \- 4 Days Per Week On\-Site**
**Philadelphia, PA**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**Additional Skills \&amp; Qualifications**
* This is someone who will work between the BA and Product space \- this role is the fulcrum to the wheel where they are bringing together product requirements, operations requirements and working with the engineering organization and translating between those functions.
* Strong communication \- speak to the business and to technology
* The systems they are supporting are sales, order management and delivery
* Day to day \- facilitation, deep solutioning sessions, pulling in the right tools and operational product teams, all of these are bringing together the SDD.
* They are accountable to this document but wont write it. From there they will break down the larger feature into the epic chunks and user stories.
* Previous Telecom experience is preferred.
**Job Type \&amp; Location**
 This is a Contract position based out of Philadelphia, PA.
**Pay And Benefits**
 The pay range for this position is $40\.00 \- $48\.00/hr.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Philadelphia,PA.
**Application Deadline**
 This position is anticipated to close on Jan 21,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58">
      <c r="A158" t="inlineStr">
        <is>
          <t>li-4359953506</t>
        </is>
      </c>
      <c r="B158" t="inlineStr">
        <is>
          <t>Manager, Product Manager - Retail Bank Funding, Onboarding &amp; Engagement Experiences</t>
        </is>
      </c>
      <c r="C158" t="inlineStr">
        <is>
          <t>Capital One</t>
        </is>
      </c>
      <c r="D158" t="inlineStr">
        <is>
          <t>linkedin</t>
        </is>
      </c>
      <c r="E158" t="inlineStr"/>
      <c r="F158" t="inlineStr"/>
      <c r="G158" t="inlineStr">
        <is>
          <t>Philadelphia, PA</t>
        </is>
      </c>
      <c r="H158" t="inlineStr"/>
      <c r="I15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focusing on our funding, onboarding \&amp; engagement experiences, you will be working with a cross\-functional team to help customers unlock the most value from their accounts. You’ll be responsible for ensuring our customers can fund and get set up after account opening, and for making sure we continue to meet their needs in the moments that matter to them. Every customer is different, so part of your job will be to figure out where and how we can optimize and personalize our experiences by leveraging real\-time, intelligent data and running experiments. Your work will be at the intersection of our customer and business goals, challenging you to unleash a multi\-discipline product craft combining business strategy, design best practices, data science, emerging technology, and a platform mindset.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9">
      <c r="A159" t="inlineStr">
        <is>
          <t>li-4352307554</t>
        </is>
      </c>
      <c r="B159" t="inlineStr">
        <is>
          <t>Technical Product Manager - Cloud Products &amp; Patterns</t>
        </is>
      </c>
      <c r="C159" t="inlineStr">
        <is>
          <t>Jobs via eFinancialCareers</t>
        </is>
      </c>
      <c r="D159" t="inlineStr">
        <is>
          <t>linkedin</t>
        </is>
      </c>
      <c r="E159" t="inlineStr"/>
      <c r="F159" t="inlineStr"/>
      <c r="G159" t="inlineStr">
        <is>
          <t>Charlotte, NC</t>
        </is>
      </c>
      <c r="H159" t="inlineStr"/>
      <c r="I159"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the
 **Technical Product Manager** 
 you will join our Cloud Products \&amp; Patterns team here at LSEG. You will play a pivotal role in defining, owning, and evolving a suite of Azure\-based infrastructure patterns delivered as Infrastructure\-as\-Code (IaC) using Terraform, to help accelerate application migrations to Azure. These patterns are tailored to meet our business and user requirements, enabling scalable, secure, and efficient cloud adoption across the enterprise.
 You will lead the product lifecycle\-from discovery to delivery\-of Azure Cloud Products and Infrastructure Patterns for use within LSEG, ensuring alignment with business needs and seamless integration into CI/CD pipelines to support application migrations to Azure.
**WHAT YOU'LL BE DOING:**
* Product Ownership \&amp; Strategy
+ Define and maintain the product roadmap for Azure Cloud Products \&amp; Infrastructure Patterns.
+ Lead feature discovery and define functional and non\-functional requirements.
+ Drive adoption of patterns through the Cloud Product Framework (CPF), a business framework for delivering infrastructure patterns through collecting user requirements
* Delivery \&amp; Implementation
+ Oversee the design, implementation, and lifecycle of reusable infrastructure patterns.
+ Ensure patterns are production\-ready, secure, and aligned with LSEG enterprise standards.
+ Support LSEG application teams in migrating workloads to Azure using these patterns.
* Governance \&amp; Standards
+ Contribute to the definition of policies, controls, and standards for infrastructure patterns and to enable cloud product consumption.
+ Ensure pattern compliance with internal governance and security requirements.
* Technical Leadership
+ Provide hands\-on expertise in Azure services, Terraform, and CI/CD practices.
+ Resolve engineering, coding, security, and architectural challenges.
+ Lead PoCs, evaluate tools, and provide recommendations.
* Enablement \&amp; Community
+ Create and maintain a library of reusable infrastructure patterns, templates and modules.
+ Deliver training, documentation, and mentoring to development teams.
+ Promote adoption, self\-service and reusability across the organization.
**What You'll Deliver**
* A well\-defined and maintained roadmap for Azure Cloud Products \&amp; Infrastructure Patterns.
* Standardized templates and scripts for IaC and CI/CD orchestration.
* A scalable service catalog of Azure cloud products and infrastructure patterns \- customised for use in LSEG.
* Educational materials and enablement sessions for internal teams.
* A consistent, compliant, and developer\-friendly pattern adoption experience.
**WHAT YOU'LL BRING:**
* Proven experience in product management or technical leadership roles in cloud infrastructure.
* Deep understanding of Azure architecture, services, and governance.
* Hands\-on experience with Terraform (or similar IaC tools) and CI/CD pipelines.
* Familiarity with Agile methodologies (Scrum, Kanban).
* Strong analytical and problem\-solving skills.
* Excellent communication and stakeholder management abilities.
**Preferred Qualifications**
* Azure Solutions Architect certification (or equivalent).
* Experience with multi\-cloud environments.
* Background in enterprise\-scale cloud migrations.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160">
      <c r="A160" t="inlineStr">
        <is>
          <t>li-4359775747</t>
        </is>
      </c>
      <c r="B160" t="inlineStr">
        <is>
          <t>Sr. Payables &amp; Business Card Product Manager (Remote)</t>
        </is>
      </c>
      <c r="C160" t="inlineStr">
        <is>
          <t>Jobgether</t>
        </is>
      </c>
      <c r="D160" t="inlineStr">
        <is>
          <t>linkedin</t>
        </is>
      </c>
      <c r="E160" t="inlineStr"/>
      <c r="F160" t="inlineStr"/>
      <c r="G160" t="inlineStr">
        <is>
          <t>Florida, United States</t>
        </is>
      </c>
      <c r="H160" t="inlineStr"/>
      <c r="I160" t="inlineStr">
        <is>
          <t>This position is posted by Jobgether on behalf of a partner company. We are currently looking for a Payables \&amp; Business Card Product Manager. In this role, you will play a crucial part in the strategy and execution of payment solutions aimed at benefiting various client segments, particularly in Commercial Banking. You will work closely with cross\-functional teams and stakeholders to develop and enhance product offerings, focusing primarily on Integrated Payables. Your efforts will be pivotal in driving customer engagement and expanding the company's card solutions, reflecting a comprehensive understanding of market needs and client feedback.
**Accountabilities**
* Create product roadmaps leveraging market research and client feedback.
* Prioritize initiatives to align with overall corporate objectives.
* Develop Functional Requirements/Vision Documents for product enhancements.
* Manage prototypes that illustrate proposed product enhancements.
* Assess clients’ needs and market trends to define product requirements.
* Develop business cases for new product introductions or changes.
* Collaborate with internal departments to deliver new functionalities.
* Support product launches in conjunction with marketing and sales teams.
* Ensure all product documentation remains up to date.
* Manage project timelines and responsibilities for successful product launches.
* Engage suppliers to boost customer spend through outreach initiatives.
* Educate teams on the benefits of new and existing products.
**Requirements**
* An undergraduate degree in a relevant field and 7\+ years of product development experience.
* Proven experience in product marketing or project management.
* Familiarity with TSYS.
* Experience in supplier enablement.
* Understanding of Integrated Payables and Business Card use cases.
* Goal\-oriented with a strong ability to manage product lifecycles.
**Benefits**
* Competitive salary based on experience and location.
* Comprehensive benefits package including medical, dental, and vision.
* 401(k) matching program.
* Paid Time Off and holidays.
* Tuition reimbursement and fitness reimbursement programs.
* Employee assistance program and emergency fund.
* Adoption assistance and wellbeing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1">
      <c r="A161" t="inlineStr">
        <is>
          <t>li-4330885175</t>
        </is>
      </c>
      <c r="B161" t="inlineStr">
        <is>
          <t>Product Manager IV (Contractor)</t>
        </is>
      </c>
      <c r="C161" t="inlineStr">
        <is>
          <t>Jobs via Dice</t>
        </is>
      </c>
      <c r="D161" t="inlineStr">
        <is>
          <t>linkedin</t>
        </is>
      </c>
      <c r="E161" t="inlineStr"/>
      <c r="F161" t="inlineStr"/>
      <c r="G161" t="inlineStr">
        <is>
          <t>Philadelphia, PA</t>
        </is>
      </c>
      <c r="H161" t="inlineStr"/>
      <c r="I161" t="inlineStr">
        <is>
          <t>**Description**
**Product Manager IV**
**Service Type:** 
 Temporary
**Location:** 
 Philadelphia, PA (Hybrid, 4x Onsite)
**Duration:** 
 49 Week Contract
**Pay:** 
 Hourly \- Available on W2
**About The Role**
 We are seeking an experienced
 **Product Manager IV** 
 to lead the development of innovative products from concept through delivery. This role requires a strategic thinker who can understand existing processes, assess their impact on end customers, and create new approaches to improve outcomes. You will work closely with large organizations and cross\-functional teams to ensure products meet customer needs and business objectives.
**Key Responsibilities**
* Identify and define product requirements, taking ownership from initial concept through delivery.
* Analyze existing processes and determine their impact on customers; develop new approaches where needed.
* Collaborate with cross\-functional teams and stakeholders to align product vision and execution.
* Understand customer behavior and needs, translating insights into actionable product requirements.
* Dive deep into technical considerations when necessary to ensure feasibility and quality.
**Requirements**
**Qualifications**
* Minimum of 8 years of experience in product management or a related field.
* Strong ability to translate customer needs into product requirements.
* Experience working with large organizations and cross\-functional teams.
* Ability to balance strategic thinking with technical detail.
**Skills**
* Excellent communication and collaboration skills.
* Strong analytical and problem\-solving abilities.
* Ability to manage multiple priorities in a fast\-paced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162">
      <c r="A162" t="inlineStr">
        <is>
          <t>li-4359757573</t>
        </is>
      </c>
      <c r="B162" t="inlineStr">
        <is>
          <t>Senior Product Manager - AI Safety and Security</t>
        </is>
      </c>
      <c r="C162" t="inlineStr">
        <is>
          <t>Microsoft</t>
        </is>
      </c>
      <c r="D162" t="inlineStr">
        <is>
          <t>linkedin</t>
        </is>
      </c>
      <c r="E162" t="inlineStr"/>
      <c r="F162" t="inlineStr"/>
      <c r="G162" t="inlineStr">
        <is>
          <t>Redmond, WA</t>
        </is>
      </c>
      <c r="H162" t="inlineStr"/>
      <c r="I16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Artificial Intelligence (AI) has the potential to change the world around us. At Microsoft, we are committed to the advancement of AI driven by ethical principles. We are looking for an experienced
 **Senior Product Manager \- AI Safety and Security** 
 to join a high\-impact team that sits at the intersection of Cybersecurity and Generative AI. As a Senior Product Manager, you will lead the development of internal platform capabilities that help to secure Microsoft’s flagship Generative AI and Agentic AI products through detecting threat activity and producing threat intelligence. You will partner closely with our core development team including engineers, data science, and applied science, and you will seek to deeply understand customer needs—our customers range from AI Incident Response and Threat Hunters to Security Researchers and engineers. You will also collaborate with stakeholders in Responsible AI, policy, legal, privacy and compliance. As Senior Product Manager on the team, you will operate independently within a defined product area and collaborate with other PMs and software engineers (SWEs) to deliver capabilities. For this role, you will need a technical background, a deep understanding of security use cases in generative AI, and the ability to collaboratively innovate to protect and secure Microsoft and our customers. Are you passionate about the safety and security of AI and how that intersects with our lives? Do you think critically about how adversaries exploit AI and do you obsess about things like cross\-prompt injection attacks? Do you dream about making developers’ lives easier? This may be a great opportunity for you!
**More About Our Team**
 We are the Artificial Generative Intelligence Security (AeGIS) team, and we are charged with ensuring justified confidence in the safety and security of Microsoft’s generative AI products. This encompasses providing an infrastructure for AI safety and security; serving as a coordination point for all things AI incident response; researching the quickly evolving threat landscape; red teaming AI systems for failures; and empowering Microsoft with this knowledge. We partner closely with product engineering teams to mitigate and address the full range of threats that face AI services – from traditional security risks to novel security threats like indirect prompt injection and entirely AI\-native threats like the manufacture of sexual exploitation and abuse material (SEAM) or deep fake production or the use of AI to run automated scams. We are a mission\-driven team intent on delivering trustworthy AI and response processes when it does not live up to those standards. We are always learning. Insatiably curious. We lean into uncertainty, take risks, and learn quickly from our mistakes. We build on each other’s ideas, because we are better together.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and life experiences, and we are eager to maintain and grow that diversity. Our diversity of backgrounds and experiences enables us to create innovative solutions for our customers. Our culture is collaborative and customer\-focused.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Logging and Telemetry: Contribute to roadmap definition and own execution for logging and detection features, including helping to define what must be logged to reconstruct attacks and build reliable detections; understand architecture and pipelines for existing logging, data storage, and observability systems; and identify what additional infrastructure should be built. Help to develop policy and engineering standards.
* Detection: Contribute to roadmap planning and own feature execution for advanced detection capabilities, including building infrastructure for anomaly detection, scaling attack pattern identification, and enabling signature\-based threat hunting. Continuously update detection signals as attackers evolve new techniques.
* Threat Intelligence: Help shape feature requirements and deliver capabilities that meet diverse stakeholder needs. Partner with data science to design pipelines for aggregating and correlating multi\-source signals. Deliver actionable insights, trend analyses, and automated reporting on malicious activity, integrated into detection and response workflows.
* Mitigations: Partner with the AI red team and security research to turn new attack techniques into prioritized product capabilities for mitigation and detection.
* User Discovery: Conduct user discovery to deeply understand end\-to\-end workflows, pain points, and priorities. Translate customer needs into clear use cases and Product Requirements Documents (PRDs). Work closely with engineering to assess technical tradeoffs and feasibility.
* Customer Awareness/Top of Funnel: Support adoption and onboarding for teams using the platform.
* Define and track success metrics, and commensurately make product improvements and changes based on metrics.
* Stay at the forefront of the AI threat landscape by following research, model evolution, real\-world AI cyberattacks, and changes to frameworks and standards (NIST, MITRE, OWASP, etc.).
* Collaborate with adjacent teams to identify integration opportunities.
* Embody our Culture and Values
**Qualifications**
**Required Qualifications:**
* Bachelor's Degree AND 5\+ years experience in product/service/project/program management or software development OR equivalent experience.
**Preferred Qualifications**
* 7\+ years driving complex platform, data, or security products end\-to\-end, including discovery, prioritization, and launch.
* 3\+ years of experience leading ambiguous product areas, defining requirements, developing roadmaps, and working with multi\-disciplinary teams to execute them.
* Demonstrated experience in cybersecurity (SIEM, SOAR, XDR/EDR, cloud security, log/observability platforms, threat detection, security research, or similar).
* Demonstrated understanding of vulnerabilities and mitigations in AI systems.
* Ability to drive results in ambiguous environments, maintain strong attention to detail, and collaborate effectively across a large organization.
* Deep understanding of LLM\-based systems—prompts, system instructions, agents/tools, RAG, embeddings—and experience in leading execution to build and/or secure AI copilots or agent\-based products.
* Familiarity with advanced concepts in AI safety, such as metacognition and mechanistic interpretability.
* Familiarity with large\-scale telemetry systems (data lakes, streaming pipelines, etc.).
* Experience with cloud\-native environments (Azure preferred), Kubernetes, and modern data/LLM/ML stacks.
* Exceptional written and verbal skills; adept at articulating business needs and driving alignment across engineering, research, and security teams.
 \#MSFT Security \#MSECAI \#AI \#RAI \#Safety \#Security \#MSECAI \#AEGIS \#AIIR \#AISP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li-4359766125</t>
        </is>
      </c>
      <c r="B163" t="inlineStr">
        <is>
          <t>Sr. Manager, Data Product Manager- Retail Bank Marketing and Operations</t>
        </is>
      </c>
      <c r="C163" t="inlineStr">
        <is>
          <t>Capital One</t>
        </is>
      </c>
      <c r="D163" t="inlineStr">
        <is>
          <t>linkedin</t>
        </is>
      </c>
      <c r="E163" t="inlineStr"/>
      <c r="F163" t="inlineStr"/>
      <c r="G163" t="inlineStr">
        <is>
          <t>New York, NY</t>
        </is>
      </c>
      <c r="H163" t="inlineStr"/>
      <c r="I16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Retail Bank Marketing Operations and Technology is an amazing crew on the forefront of the biggest strategies influencing Capital One at the enterprise level, as well as customers and prospects everywhere. You will lead a high\-performing, blended team of talented data analysts and product managers, owning the vision and execution of our marketing performance data products. Your mission is to transform vast, complex datasets into a suite of intuitive, actionable reporting tools that directly influence multi\-million dollar marketing investments and enhance customer engagement and prospect acquisition across all owned and paid channels. This is a unique opportunity to enhance the data\-driven engine that powers our growth and directly impacts the bottom line by empowering leadership, marketers and analysts with crystal\-clear insights.
 In this role, you will be responsible for the entire product lifecycle, from defining the strategic roadmap and gathering stakeholder requirements to overseeing the development and maintenance of the robust data infrastructure that powers your products. We are seeking a visionary leader who blends a strong product mindset with deep technical data expertise and a proven track record of managing and mentoring high\-achieving teams. If you are passionate about building world\-class data products and reports, influencing executive\-level strategy, and fostering a culture of innovation and analytical rigor, this is the gig for you.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Riverwoods, IL: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4">
      <c r="A164" t="inlineStr">
        <is>
          <t>li-4352347499</t>
        </is>
      </c>
      <c r="B164" t="inlineStr">
        <is>
          <t>Program Manager II, Produce Program Management</t>
        </is>
      </c>
      <c r="C164" t="inlineStr">
        <is>
          <t>myGwork - LGBTQ+ Business Community</t>
        </is>
      </c>
      <c r="D164" t="inlineStr">
        <is>
          <t>linkedin</t>
        </is>
      </c>
      <c r="E164" t="inlineStr"/>
      <c r="F164" t="inlineStr"/>
      <c r="G164" t="inlineStr">
        <is>
          <t>Seattle, WA</t>
        </is>
      </c>
      <c r="H164" t="inlineStr"/>
      <c r="I164" t="inlineStr">
        <is>
          <t>**This job is with Amazon, an inclusive employer and a member of myGwork – the largest global platform for the LGBTQ\+ business community. Please do not contact the recruiter directly.**
**Description**
 Join our Produce organization to drive strategic programs that optimize our produce business from end to end. In this role, you will tackle challenging problems related to product quality, sourceability, seasonal product lifecycles, and emerging retail technologies that enhance both distribution and store\-level operations. You will leverage your data analysis capabilities to identify trends, develop strategic solutions, and collaborate across functional boundaries to deliver measurable improvements.
 This position offers a unique opportunity to make a significant impact on Amazon's produce business while gaining exposure to broader grocery verticals. Your ability to translate complex data into actionable insights will help shape how Amazon delivers fresh, high\-quality produce to customers.
 Key job responsibilities
* Manage and prioritize complex, cross\-functional program lifecycles within the Produce business
* Define new programs with clear scope and objectives, analyze business and operations data to identify trends, and implement improvements quantified by specific metrics.
* Lead weekly and monthly meetings with cross\-functional stakeholders, ensuring effective collaboration across merchandising, operations, technology, and store teams.
* Apply relevant tools, including Excel and SQL, to track program progress and measure effectiveness against defined goals and timelines.
* Develop strategic documents and presentations that clearly communicate program status, results, and recommended changes in strategy to stakeholders at various levels.
 A day in the life
 Your day begins by reviewing key performance metrics related to your produce programs, identifying any concerning trends that require immediate attention. You'll lead cross\-functional meetings where you'll guide discussions on program performance, collect stakeholder input, and align on next steps. Throughout the day, you'll analyze business and operations data using Excel and SQL, looking for patterns and insights to drive program improvements. You'll document your findings and recommendations in well\-structured presentations or documents that articulate the business impact and strategic direction for leadership review.
**About The Team**
 Our program management team within the Produce organization is dedicated to optimizing the end\-to\-end produce business through data\-driven strategies and cross\-functional collaboration. We work at the intersection of merchandising, operations, and technology to enhance the quality, availability, and presentation of fresh produce for our customers.
 The team focuses on implementing innovative solutions to complex challenges in the grocery space, with particular emphasis on reducing waste, improving quality, and enhancing operational efficiency. We partner closely with merchandising systems experts, store operations teams, and technology groups to develop and execute programs that drive meaningful business outcomes while improving the customer experience.
**Basic Qualifications**
* 2\+ years of program or project management experience
* 2\+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65">
      <c r="A165" t="inlineStr">
        <is>
          <t>li-4359783909</t>
        </is>
      </c>
      <c r="B165" t="inlineStr">
        <is>
          <t>Senior Associate, Product Manager - Retail Bank Marketing</t>
        </is>
      </c>
      <c r="C165" t="inlineStr">
        <is>
          <t>Capital One</t>
        </is>
      </c>
      <c r="D165" t="inlineStr">
        <is>
          <t>linkedin</t>
        </is>
      </c>
      <c r="E165" t="inlineStr"/>
      <c r="F165" t="inlineStr"/>
      <c r="G165" t="inlineStr">
        <is>
          <t>New York, NY</t>
        </is>
      </c>
      <c r="H165" t="inlineStr"/>
      <c r="I165"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Our Retail Bank Marketing team has a complex strategic roadmap for its core technology (Salesforce, Adobe), but the existing Senior Product Manager requires dedicated support to translate this vision into daily execution. This new Senior Associate Product Manager will provide that hands\-on leadership by embedding directly with the agile pod to manage the product backlog, lead scrum ceremonies, and work with engineers. The primary justification is to accelerate the delivery of tangible features and bridge the gap between high\-level strategy and the day\-to\-day work required to "turn plans into action.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Wilmington, DE: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6">
      <c r="A166" t="inlineStr">
        <is>
          <t>li-4360613265</t>
        </is>
      </c>
      <c r="B166" t="inlineStr">
        <is>
          <t>Senior Associate, Product Manager - Retail Bank Funds Availability</t>
        </is>
      </c>
      <c r="C166" t="inlineStr">
        <is>
          <t>Capital One</t>
        </is>
      </c>
      <c r="D166" t="inlineStr">
        <is>
          <t>linkedin</t>
        </is>
      </c>
      <c r="E166" t="inlineStr"/>
      <c r="F166" t="inlineStr"/>
      <c r="G166" t="inlineStr">
        <is>
          <t>McLean, VA</t>
        </is>
      </c>
      <c r="H166" t="inlineStr"/>
      <c r="I166"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Funds Availability Team**
 Every time our customers make a deposit, we make real\-time, data\-driven decisions that determine how quickly our customers can use that money. This is a business\-critical space that directly impacts the lives of millions of customers. Our mission is to give our customers faster access to their money while protecting them from bad actors. The space has high visibility and sits at the intersection of customer experience, fraud prevention, and regulatory compliance. This highly collaborative role works closely with engineers, data scientists, business partners, and Product Managers across Capital One to solve complex problems and create a best\-in\-class deposit experience for our customers.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7">
      <c r="A167" t="inlineStr">
        <is>
          <t>li-4360623188</t>
        </is>
      </c>
      <c r="B167" t="inlineStr">
        <is>
          <t>Senior Manager, Product Manager, Small Business Bank Data Modernization</t>
        </is>
      </c>
      <c r="C167" t="inlineStr">
        <is>
          <t>Capital One</t>
        </is>
      </c>
      <c r="D167" t="inlineStr">
        <is>
          <t>linkedin</t>
        </is>
      </c>
      <c r="E167" t="inlineStr"/>
      <c r="F167" t="inlineStr"/>
      <c r="G167" t="inlineStr">
        <is>
          <t>Richmond, VA</t>
        </is>
      </c>
      <c r="H167" t="inlineStr"/>
      <c r="I167"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Small Business Bank Data Modernization team is building a data destination of platforms, products, and processes that is well\-managed and easy to govern, and where data is easy to find, understand, and use to enable real\-time intelligent experiences. We excel in building, and supporting adoption of, scalable data tools and products as we build towards a modern, real\-time, data environment.
 The Senior Manager, Product Manager for the Small Business Bank Data Modernization team plays a critical people leadership role in achieving our goals. This individual will lead and mentor a team of product managers in building our universe of data products covering our most used data for our data consumers; analysts, engineers, data scientists, product managers, and business partners. This role is crucial for transforming the data experience for all of our customer personas across Small Business Bank and will play a leading role in shaping local and partner roadmaps as we define shared capabilities that can be scaled across our line of business, and Enterprise.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8">
      <c r="A168" t="inlineStr">
        <is>
          <t>li-4359783921</t>
        </is>
      </c>
      <c r="B168" t="inlineStr">
        <is>
          <t>Sr. Manager, Data Product Manager- Retail Bank Marketing and Operations</t>
        </is>
      </c>
      <c r="C168" t="inlineStr">
        <is>
          <t>Capital One</t>
        </is>
      </c>
      <c r="D168" t="inlineStr">
        <is>
          <t>linkedin</t>
        </is>
      </c>
      <c r="E168" t="inlineStr"/>
      <c r="F168" t="inlineStr"/>
      <c r="G168" t="inlineStr">
        <is>
          <t>McLean, VA</t>
        </is>
      </c>
      <c r="H168" t="inlineStr"/>
      <c r="I16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Retail Bank Marketing Operations and Technology is an amazing crew on the forefront of the biggest strategies influencing Capital One at the enterprise level, as well as customers and prospects everywhere. You will lead a high\-performing, blended team of talented data analysts and product managers, owning the vision and execution of our marketing performance data products. Your mission is to transform vast, complex datasets into a suite of intuitive, actionable reporting tools that directly influence multi\-million dollar marketing investments and enhance customer engagement and prospect acquisition across all owned and paid channels. This is a unique opportunity to enhance the data\-driven engine that powers our growth and directly impacts the bottom line by empowering leadership, marketers and analysts with crystal\-clear insights.
 In this role, you will be responsible for the entire product lifecycle, from defining the strategic roadmap and gathering stakeholder requirements to overseeing the development and maintenance of the robust data infrastructure that powers your products. We are seeking a visionary leader who blends a strong product mindset with deep technical data expertise and a proven track record of managing and mentoring high\-achieving teams. If you are passionate about building world\-class data products and reports, influencing executive\-level strategy, and fostering a culture of innovation and analytical rigor, this is the gig for you.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Riverwoods, IL: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9">
      <c r="A169" t="inlineStr">
        <is>
          <t>li-4352377285</t>
        </is>
      </c>
      <c r="B169" t="inlineStr">
        <is>
          <t>Program Manager, Special Projects and Investigations</t>
        </is>
      </c>
      <c r="C169" t="inlineStr">
        <is>
          <t>myGwork - LGBTQ+ Business Community</t>
        </is>
      </c>
      <c r="D169" t="inlineStr">
        <is>
          <t>linkedin</t>
        </is>
      </c>
      <c r="E169" t="inlineStr"/>
      <c r="F169" t="inlineStr"/>
      <c r="G169" t="inlineStr">
        <is>
          <t>Tempe, AZ</t>
        </is>
      </c>
      <c r="H169" t="inlineStr"/>
      <c r="I169" t="inlineStr">
        <is>
          <t>**This job is with Amazon, an inclusive employer and a member of myGwork – the largest global platform for the LGBTQ\+ business community. Please do not contact the recruiter directly.**
**Description**
 Selling Partner Trust and Store Integrity (TSI) is responsible for creating a trustworthy shopping experience across Amazon stores worldwide by protecting customers, brands, selling partners, vendors and Amazon from fraud, counterfeit, and abuse as well as providing world‐class support and building loyalty with Amazon's millions of selling partners. The Special Projects \&amp; Investigations (SPI) team protects Amazon's WW stores store by creating projects and programs focused on the detection of abuse at its earliest point and identifying the root causes, vulnerabilities or exploits to systematically address to prevent future abuse. Our growth requires highly skilled candidates who move fast, have an entrepreneurial spirit to create new solutions, a tenacity to get things done, thrive in an environment of ambiguity and change, and are capable of breaking down and solving complex problems. We value individual expression, respect different opinions, and work together to create a culture where each of us is able to contribute fully. The combination of our unique backgrounds and perspectives strengthens our ability to achieve Amazon's mission of being Earth's most customer\-centric company.
 We catch bad actors and stop online fraud; It's fun! It's hard! It matters! We are passionate about protecting our selling partners and customers from bad actors and want a candidate that shares that passion. We are looking for an experienced Program Manager to own a portfolio of global risk mitigation programs partnering with teams across the company to design, build, and maintain processes focused around risk mitigation and enforcement. You will set the vision, direction and execution of key deliverables in the risk management space, developing business cases and requirements, and prioritizing competing opportunities. You will work with a wide range of global cross\-functional teams to build protections, and partner with technology and science teams to build scalable risk detection systems, understanding customer needs, defining clear project plans and executing to high expectations in a fast\-paced and highly visible delivery area. The ideal candidate should be passionate about using and understanding data to discover bad actor trends and help us ensure that customers make great purchase decisions and our selling partners using Amazon are successful listing and selling their products. Your decisions and deliverables will help proactively mitigate risk and empower partner teams in making high confidence decisions that are fundamental to protecting Amazon customers, selling partners, and will help maintain the overall health of Amazon's WW stores.
 Key job responsibilities
* Develop and lead end\-to\-end execution of catalog and discovery\-related abuse programs and initiatives worldwide, coordinating efforts across business, science, analytics, legal, operations, technology and industry experts.
* Deep dive catalog and discovery fraud and abuse trends, identify vulnerabilities, assess risk and implement measures to mitigate risk, close gaps and address abuse by collaborating with partner teams and sharing trends and signals used to identify abuse.
* Work with Amazon's tools and systems used in fulfillment , catalog, and or discovery as well as outline the seller, brand, and product lifecycle as it relates to actioning and detecting bad actors.
* Set up mechanisms including reports, KPIs and docs to drive engagement and/or monitor the health of catalog and discovery\-related metrics, measure performance and impact, highlight successes, challenges and areas of opportunity.
* Establish feedback loops with partner teams to share missed opportunities and signals that can be used to identify those use cases.
* Analyze large datasets and conduct investigations to ensure accuracy of actions and decisions.
* Define strategy and drive goals across multiple stakeholders and orgs through leadership document reviews and actions items. Conduct thorough investigations, providing meaningful summaries, recommendation, updates and escalation to leadership when goals are at risk.
* Influence teams, remove roadblocks, gain buy\-in from tech and policy stakeholders to deliver in an ambiguous environment.
 A day in the life
 This role is focused on managing a portfolio of programs focused on the goal of proactively mitigating risk in Amazon's WW stores from bad actors manipulating catalog and discovery systems and functions. Each day is different as new behaviors and trends are constantly discovered. You will regularly partner with investigation and data experts to finetune anomaly detection mechanisms and intake requests from WW teams to quickly analyze and execute key functions to stop abuse. You will gain an understanding of the Amazon's seller, brand and ASIN framework and lifecycle, and the mental model around bad actor detection and signal creation within our team. You will gain an understanding of the various mechanism sellers use to increase traffic on their ASINs (e.g. deals, reviews, promotions, sponsored Ads, bots, etc). You will coordinate with internal partner teams understand their priorities, capabilities, and workflows around catalog and discovery to see how/if your program should interact with their tools and goals. You will be making decisions that drive the strategic vision of catalog and discovery programs in alignment with broader organizational goals and working with partner teams across Amazon to collaborate around strategic initiatives. You are on the front lines of protecting Amazon customers and stopping abuse in our stores.
**About The Team**
 Our team is comprised of experts in the risk domains like fraud, cybersecurity, data security, internal risk, threat intelligence, regulatory compliance, vendor risk, etc. with data analysis and/or technical skills. We complement specialized industry skills with broad risk experiences gathered through years of experience to deliver results \- we wear a lot of hats and take ownership of hard to solve problem areas whenever possible. We speak 7 languages, write code in 3 (mostly self taught, on the job), and celebrate learning and taking risks. We encourage experimentation and curiosity while supporting each other to constantly learn and grow.
 Our work is to solve hard puzzles and identify what hasn't already been discovered \- typically with data and always with a lot persistence and curiosity. If you like the sound of that, come join us.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Bachelor's degree, or 3\+ years of professional experience
* Proven ability to deliver complex projects across multiple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Master's degree in BI, finance, engineering, statistics, computer science, mathematics, finance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AZ, Tempe \- 74,200\.00 \- 129,800\.00 USD annually]]\&gt;</t>
        </is>
      </c>
    </row>
    <row r="170">
      <c r="A170" t="inlineStr">
        <is>
          <t>li-4359983147</t>
        </is>
      </c>
      <c r="B170" t="inlineStr">
        <is>
          <t>Program Manager</t>
        </is>
      </c>
      <c r="C170" t="inlineStr">
        <is>
          <t>Tyto Athene, LLC</t>
        </is>
      </c>
      <c r="D170" t="inlineStr">
        <is>
          <t>linkedin</t>
        </is>
      </c>
      <c r="E170" t="inlineStr"/>
      <c r="F170" t="inlineStr"/>
      <c r="G170" t="inlineStr">
        <is>
          <t>Orlando, FL</t>
        </is>
      </c>
      <c r="H170" t="inlineStr"/>
      <c r="I170" t="inlineStr">
        <is>
          <t>Tyto Athene is searching for a
 **Program Manager** 
 who will be responsible for overall mission\-critical DoD hybrid /wireless network solutions for our customer. Our success depends on a Program Manager joining our team to meet the operational and administrative needs of our Federal Government customer. The PM shall be responsible for the quality and efficiency of TO execution and management, including both technical issues and business processes. The PM will have the authority to make decisions for the contractor’s organization in response to Government issues, concerns, and comments, as well as be proactive in alerting the Government to potential contractual, programmatic, and/or resource limitation issues. This position may require OCONUS and CONUS Long\-Distance Travel.
**Responsibilities:** 
* Replace, modernize, and protect future customer test network equipment
* Meet evolving cyber\-security and increased bandwidth requirements
* Support the upgrade of existing test data networks to ensure the infrastructure it can provide reliable and secure transport of data, communications for customer test activities, and a revitalized fiber network
* Administers and is responsible for overall mission\-critical DoD IT infrastructure operations, and delivery of network infrastructure modernization projects.
* Oversees fiscal, operational, administrative, and human resources management of the program.
* Coordinates Tyto members and Subcontractor Teammates in the delivery of customer requirements.
* Supervises program upgrades as needed in accordance with requirements.
* Oversees documentation of design challenges and coordinates courses of action with local U.S. Army customers, stakeholders, and permitting authorities to support comprehensive engineering approval and subsequent implementation.
* Manages resource allocation to meet contractual requirements (cost, technical, schedule) to include performance, quality, regulatory compliance, etc.
* Develops the Program Plan with the team and conducts regular program reviews to report and track performance to the Plan
* Works with the team and customer to address and mitigate the impact of unplanned events (failures, realized risks, material issues, etc.) on the organization and customer
* Coordinates with Human Resources to meet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Translates understanding of customer mission and objectives into company/account strategic goals; provides input to the company's strategic planning process and recommends/leads new business pursuits and/or possible expansions
**Required:** 
* Holds an active Project Management Professional (PMP) or Program Management Professional (PgMP) certification from the Project Management Institute (PMI)
* At least ten (5\) years of project management experience within a DoD/Intelligence Community environment, with specific roles in IT and network infrastructure modernization across the customer's Developmental Test Centers and Operational Test locations
* Expertise in Earned Value Management (EVM), a strong foundation in project management principles, cost control, and financial analysis is essential
* Minimum of ten (10\) years of recent experience managing complex IT and Network Modernization projects with 100\+ employees and more than $50M of annual revenue in the Fixed Price, and Time and Materials environments.
**Desired:** 
* Bachelor’s Degree or 10\+ years of engineering experience
* Possess current Information Technology Infrastructure Library (ITIL) Certification
* Possess a process improvement certification or 3\-5 years of experience implementing process optimization methodologies
* Possess a Security\+ (SEC\+) and/or other Information Assurance Technical (IAT) II Level Certification
**Clearance:** 
* Secret Clearance required, Top Secret eligibility desired
**Location:** 
* Considering candidates willing to work in Orlando, FL or Aberdeen Proving Ground, MD
* 25% CONUS travel</t>
        </is>
      </c>
    </row>
    <row r="171">
      <c r="A171" t="inlineStr">
        <is>
          <t>li-4359973882</t>
        </is>
      </c>
      <c r="B171" t="inlineStr">
        <is>
          <t>People Operations Program Manager - REMOTE</t>
        </is>
      </c>
      <c r="C171" t="inlineStr">
        <is>
          <t>Jobgether</t>
        </is>
      </c>
      <c r="D171" t="inlineStr">
        <is>
          <t>linkedin</t>
        </is>
      </c>
      <c r="E171" t="inlineStr"/>
      <c r="F171" t="inlineStr"/>
      <c r="G171" t="inlineStr"/>
      <c r="H171" t="inlineStr"/>
      <c r="I171" t="inlineStr">
        <is>
          <t>This position is posted by Jobgether on behalf of a partner company. We are currently looking for a People Operations Program Manager. In this role, you will play a vital part in designing and managing the infrastructure that enhances the employee experience. You will ensure that our People processes are seamless, scalable, and centered around human needs. By partnering with various teams including Finance and Legal, you will manage daily operations and the People tech stack, ensuring robust support for all employees. Your work will not only improve efficiency but also uphold a culture of excellence and integrity within the organization.
**Accountabilities**
* Optimize our People Tech stack to improve employee lifecycle tools.
* Administer core People offerings, ensuring smooth operations during critical life events.
* Lead compliance and governance strategies to safeguard employee data.
* Drive operational scalability by assessing workflows for bottlenecks.
* Uphold data integrity to support informed decision\-making across teams.
**Requirements**
* Minimum of 5 years experience in People Operations or HR Systems roles.
* Expertise in managing HRIS and tools like Rippling and Lattice.
* Knowledge of US benefits and federal/state employment laws.
* Experience in vendor management and building strong relationships.
* Proficiency in Google Sheets/Excel for data auditing and reporting.
**Benefits**
* Competitive salary ranging from $130,000 to $165,000\.
* Participation in an equity program.
* 401(k) retirement plan with company matching.
* Comprehensive health, dental, and vision insurance.
* Generous paid parental leave and vacation days.
* Access to mental health and wellness resources.
* Learning and development stipend for personal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2">
      <c r="A172" t="inlineStr">
        <is>
          <t>li-4360661560</t>
        </is>
      </c>
      <c r="B172" t="inlineStr">
        <is>
          <t>Staff Technical Program Manager – AI Foundations</t>
        </is>
      </c>
      <c r="C172" t="inlineStr">
        <is>
          <t>Intuit</t>
        </is>
      </c>
      <c r="D172" t="inlineStr">
        <is>
          <t>linkedin</t>
        </is>
      </c>
      <c r="E172" t="inlineStr"/>
      <c r="F172" t="inlineStr"/>
      <c r="G172" t="inlineStr">
        <is>
          <t>San Diego, CA</t>
        </is>
      </c>
      <c r="H172" t="inlineStr"/>
      <c r="I172" t="inlineStr">
        <is>
          <t>**Overview**
 Come join Intuit’s AI Foundations (AIF) organization as a Staff Technical Program Manager in our Mountain View office. AI Foundations (AIF) team is responsible for empowering the democratization of AI across Intuit by building scalable, intuitive platforms, tools, and best practices that enable teams to confidently apply the right AI technologies to solve business problems.
 In this role, you will operate as a Program\-level TPM, leading some of Intuit’s most complex and high\-impact AI platform initiatives. You will partner closely with engineering, product, architecture, Responsible AI, and business leaders to drive execution across GenOS, AI/ML lifecycles, agentic systems, observability, and platform adoption.
 This is a highly ambiguous, fast\-moving environment. We’re looking for someone who is comfortable operating in complex, evolving AI ecosystems, can bring structure to ambiguity, and can scale execution as the AI Foundations portfolio continues to expand.
 Intuit has embraced a hybrid working model and this role requires 3 days in office per week.
**Responsibilities**
 What You’ll Do
* Own delivery of critical AI Foundations programs spanning AI/ML platforms, GenOS capabilities, agentic ecosystems, observability, Responsible AI, and platform adoption.
* Lead cross\-functional execution across 20–30\+ engineering, product, infrastructure, data, and governance teams distributed globally.
* Drive end\-to\-end AI platform initiatives, covering the full lifecycle:
* AI/ML and GenAI SDLC \&amp; MDLC
* Model experimentation, evaluation, and observability
* Agentic systems and orchestration
* Deployment, governance, and adoption at scale
* Partner with engineering and architecture leaders to translate AI strategy into executable roadmaps, milestones, and success metrics.
* Establish execution rigor: dependency management, risk identification, trade\-off decisions, and proactive mitigation in highly ambiguous environments.
* Support AI platform adoption and maturity, ensuring teams can move from experimentation to production safely and efficiently.
* Drive alignment across AI standards and Responsible AI, helping embed governance, compliance, and quality into paved roads rather than manual processes.
* Provide executive\-level visibility through clear, concise updates that synthesize technical complexity into business\-relevant insights.
* Influence without authority, building trust and alignment across senior stakeholders in Engineering, Product, Security, Legal, and Data.
**Qualifications**
 What We’re Looking For
**Required Experience**
* 8\+ years of Technical Program Management experience, leading large\-scale, cross\-org platform or infrastructure initiatives.
* Strong experience with AI/ML or GenAI platforms, including understanding of:
* AI/ML lifecycles (experimentation → evaluation → deployment → iteration)
* Model training, inference, and observability concepts
* Platform enablement for developers (paved roads, tooling, standards)
* Experience operating in highly complex, ambiguous environments with rapidly evolving technology and priorities.
* Proven ability to scale execution across multiple concurrent programs with interdependencies.
* Strong technical depth across cloud, platform, and infrastructure systems (e.g., AWS, distributed systems, APIs, CI/CD).
* Demonstrated success influencing senior engineering and product leaders without direct authority.
**Strongly Preferred**
* Experience with AI/ML platforms, GenAI systems, or agentic architectures.
* Familiarity with concepts such as model orchestration, RAG, evaluation frameworks, observability, and Responsible AI.
* Experience driving platform adoption and capabilities across multiple teams, not just delivering platform features
* Background working on foundational platforms used by many product teams.
* Ability to reason about cost, scale, and efficiency in AI/ML systems (e.g., model usage, infrastructure trade\-offs).
 How You’ll Be Successful
* You bring structure to ambiguity and clarity to complex AI initiatives.
* You operate at the portfolio level, not just individual programs.
* You balance technical depth with business impact, knowing when to go deep and when to abstract.
* You are comfortable making progress without perfect information.
* You care deeply about execution quality, developer experience, and long\-term platform sustainability.
 Why AI Foundations
* AI Foundations sits at the center of Intuit’s AI strategy. This role offers the opportunity to:
* Shape how AI is built, governed, and scaled across Intuit.
* Work at the intersection of research, platform engineering, and production systems.
* Influence the future of GenOS, agentic AI, and AI\-native product development.
* Drive real impact across TurboTax, QuickBooks, Credit Karma, Mailchimp, and beyond.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$177,500 \- $240,500
 Southern California: $165,500 \- $224,000</t>
        </is>
      </c>
    </row>
    <row r="173">
      <c r="A173" t="inlineStr">
        <is>
          <t>li-4360612986</t>
        </is>
      </c>
      <c r="B173" t="inlineStr">
        <is>
          <t>Senior Clinical Research Program Manager</t>
        </is>
      </c>
      <c r="C173" t="inlineStr">
        <is>
          <t>Northwell Health</t>
        </is>
      </c>
      <c r="D173" t="inlineStr">
        <is>
          <t>linkedin</t>
        </is>
      </c>
      <c r="E173" t="inlineStr"/>
      <c r="F173" t="inlineStr"/>
      <c r="G173" t="inlineStr">
        <is>
          <t>Westbury, NY</t>
        </is>
      </c>
      <c r="H173" t="inlineStr"/>
      <c r="I173" t="inlineStr">
        <is>
          <t>163952
**Job Description**
 Provides management of research administration at a clinical site(s) including monitoring the quality and accuracy of clinical trial data. Follows the established monitoring Standard Operating Procedures (SOP) and protocol\- specific monitoring plan. Participates in site initiations and trainings.
 Job Responsibility
* Trains, coaches, supports and mentors Site Clinical Research Managers and other team members.
* Manages the clinical research sites including, but not limited to acting as primary contact for clinical research sites for questions related to the protocol conduct protocol, regulatory document completion, study supplies, client scheduling, and electronic data capture.
* Provides on\-site or remote monitoring of clinical research site activities to ensure compliance with protocols, SOPs and relevant federal and state regulatory and institutional policies.
* Provides consultation during study start\-up activities regarding development of study protocol, SOP or Case Report Forms (CRFs), site qualification, data collection and study conduct.
* Patricipates in site initiations and trainings.
* Assesses accuracy, completeness and timeliness of study records by performing source data verification, regulatory document and consent form review, adverse event reporting compliance review, and investigational product accountability.
* Performs study close\-out monitoring activities.
* Provides pre\-review assistance prior to regulatory inspections and submissions.
* Provides guidance on regulatory submissions to the FDA which may include an Investigational New Drug (IND), Investigational Device Exemption (IDE), New Drug Application (NDA) or other research under the purview of the FDA.
* Prepares and forwarding monitoring reports to program manager. Working with study staff to address any concerns.
* Promotes overall compliance and quality with research conduct through participation in education and training activities for professional staff.
* Assists in developing appropriate education and training sessions for investigators and clinicians involved in research.
* Works on assignments that involve moderately complex to complex issues where the analysis of situations or data requires in\-depth evaluation of variable factors.
* Regularly makes new recommendations on new processes, tools, and services that can impact multiple projects and other functions.
* May provide technical guidance and direction to support team members, contractors and/or other vendors.
* May serve as project/technical lead for ongoing processes or short\-term projects within function or family.
* Performs related duties, as required.
 Job Qualification
* Bachelor’s Degree or equivalent combination of education/related experience, required.
**3\.3\-5 Years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74">
      <c r="A174" t="inlineStr">
        <is>
          <t>li-4330824196</t>
        </is>
      </c>
      <c r="B174" t="inlineStr">
        <is>
          <t>Program Manager</t>
        </is>
      </c>
      <c r="C174" t="inlineStr">
        <is>
          <t>Jobs via Dice</t>
        </is>
      </c>
      <c r="D174" t="inlineStr">
        <is>
          <t>linkedin</t>
        </is>
      </c>
      <c r="E174" t="inlineStr"/>
      <c r="F174" t="inlineStr"/>
      <c r="G174" t="inlineStr">
        <is>
          <t>San Bruno, CA</t>
        </is>
      </c>
      <c r="H174" t="inlineStr"/>
      <c r="I174" t="inlineStr">
        <is>
          <t>job summary:
 As a Program Manager, you independently manage the full lifecycle of programs which may reach beyond your immediate team. You drive, organize, and manage program activities that drive business outcomes while developing systems to proactively identify improvements and drive future optimizations including change management and performance metrics. You define and address undefined cross\-functional challenges independently using program management methodologies to monitor and manage programs and stakeholders. You use independent judgment to adjust programs effectively while navigating changing circumstances. You understand and manage the expectations of cross\-functional stakeholders. You have proficient knowledge of the domain of your program.
 location: San Bruno, California
 job type: Contract
 salary: $93\.89 \- 111\.37 per hour
 work hours: 9am to 5pm
 education: Bachelors
 responsibilities:
 Responsibilities include:
* Independently author program charter that addresses scope, timeline, OKRs, resourcing and risks/dependencies of an advanced program. Create project plans that break down a project into discrete phases, include risks/dependencies and provide visibility into program constraints.
* Effectively build trusted relationships with program stakeholders to enable effective decision making. Optimize program team roles and responsibilities. Manage program escalations in close collaboration with program stakeholders.
* Design and deliver predictable program communication plans in collaboration with program stakeholders, targeted by stakeholder type. Represent the program team across a wide range of touchpoints.
* Execute change management requirements that are identified by program stakeholders. Develop change management rollout plans including impact analysis in close collaboration with program stakeholders. Monitor progress of change management rollout and resolve misalignments.
* Independently determine and collect data required to execute and govern programs effectively. Independently maintain project trackers and status reports. Identify and execute on program tasks, including proactively managing dependencies, while incorporating Product Excellence values, Product Inclusion, and brand trust and reputation. Define program governance structure by determining effective management of mitigations, postmortems, and escalations. drive effective program team meetings.
* Determine program phasing and metrics that effectively drive continuous improvement including Resource Stewardship in close collaboration with program stakeholders. Establish regular checkpoints to deliver and assess improvement metrics. Provide transparency into and rationale for program pivots.
 qualifications:
 Minimum role qualification requires proficiency in:
* Communications Management (PgM/TPM)
* Team Management
* Managing Organizational Change (PgM/TPM)
* Technical Judgment (TPM)
* Stakeholder Management (PgM/TPM)
* Planning (PgM/TPM)
* Portfolio Management (PgM/TPM)
* User understanding and empathy
* Execution and Governance (PgM/TPM)
* Continuous Improvement (PgM/TPM)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175">
      <c r="A175" t="inlineStr">
        <is>
          <t>li-4332582471</t>
        </is>
      </c>
      <c r="B175" t="inlineStr">
        <is>
          <t>Senior Program Manager</t>
        </is>
      </c>
      <c r="C175" t="inlineStr">
        <is>
          <t>Astrion</t>
        </is>
      </c>
      <c r="D175" t="inlineStr">
        <is>
          <t>linkedin</t>
        </is>
      </c>
      <c r="E175" t="inlineStr"/>
      <c r="F175" t="inlineStr"/>
      <c r="G175" t="inlineStr">
        <is>
          <t>Bedford, MA</t>
        </is>
      </c>
      <c r="H175" t="inlineStr"/>
      <c r="I175" t="inlineStr">
        <is>
          <t>**Overview**
**Senior Program Manager**
**WORK LOCATION:** 
 Hanscom AFB, MA
**Salary Range:** 
 $125\-$145,000 annually
* depending on experience, certifications, and qualifications
**JOB STATUS:** 
 Full\-time; salaried
**CLEARANCE: MUST** 
 have an active US Secret clearance
**TRAVEL:** 
 Limited, as needed
 Astrion has an exciting opportunity for a
 **Senior Program Manager** 
 to directly support the USAF Mission Planning Division (AFLCMC/HBM), which is within the USAF Digital Directorate and located at
 **Hanscom AFB, MA.**
**Duties Include, But Not Limited To**
*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**Education:** 
 Bachelor’s degree in a professional engineering discipline from an ABET\-accredited program, and minimum of 12 years of experience in the respective technical/professional discipline, including at least 5 years supporting DoD programs
*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 Familiarity with Electronic Warfare and/or Air Combat operations, including live aircrew training, development of tactics, techniques, and procedures, and Range Infrastructure architectures and systems</t>
        </is>
      </c>
    </row>
    <row r="176">
      <c r="A176" t="inlineStr">
        <is>
          <t>li-4327295132</t>
        </is>
      </c>
      <c r="B176" t="inlineStr">
        <is>
          <t>Imaging Clinical Program Manager - 248936</t>
        </is>
      </c>
      <c r="C176" t="inlineStr">
        <is>
          <t>Medix™</t>
        </is>
      </c>
      <c r="D176" t="inlineStr">
        <is>
          <t>linkedin</t>
        </is>
      </c>
      <c r="E176" t="inlineStr"/>
      <c r="F176" t="inlineStr"/>
      <c r="G176" t="inlineStr">
        <is>
          <t>Beverly Hills, CA</t>
        </is>
      </c>
      <c r="H176" t="inlineStr"/>
      <c r="I176" t="inlineStr">
        <is>
          <t>**Imaging Clinical Program Manager \- MRI Safety** 
**Location:** 
 Beverly Hills, CA
**Shift:** 
 Full\-Time, Monday \- Friday 8:00 am \- 5:00 pm
**Compensation:** 
 $120,224 \- $192,358 Annually
**The Opportunity: MRI Clinical Program Manager** 
 We are seeking a dynamic and experienced
 **Imaging Clinical Program Manager** 
 to take the lead in planning, directing, managing, and coordinating all aspects of our enterprise\-wide
 **MRI Safety and Implant Safety Program** 
 .
 This role requires a dedicated professional who can interact with all imaging sections to provide leadership, operational support, policies, procedures, and technical guidance. You will collaborate across the enterprise to ensure seamless program implementation, staff training, proper use of program resources, and compliance with all state, federal, and regulatory bodies.
 Reporting to an Associate Director or Executive Director, this position is crucial to maintaining the highest standards of patient safety and quality in Magnetic Resonance Imaging (MRI).
**Summary of Essential Duties and Responsibilities** 
* **Program Management \&amp; Compliance:** 
 Oversee and manage the assigned imaging program, holding authority for day\-to\-day operations and administration.
* **Safety Protocol Supervision:** 
 In partnership with Imaging Physics, supervise all MR protocol changes and enhancements to guarantee strict compliance with all MRI safety requirements mandated by state, federal, and accreditation agencies within the health system's imaging operations.
* **Implant Safety Expertise:** 
 Serve as the key resource for research, protocols, and safety guidelines for all MRI patients with implants and implanted devices.
* **Training \&amp; Competency:** 
 Develop and deliver initial training, and continuously monitor ongoing competency, for all Magnetic Resonance Imaging Technologists (MR Techs) performing scans across the health system.
* **Documentation \&amp; Accreditation:** 
 Develop and maintain comprehensive MR Tech training records. Manage and ensure the accreditation of all MR scanners within the system.
* **Leadership:** 
 May supervise staff (either indirectly or directly) with regard to service excellence and human capital development.
**Required Qualifications** 
**Experience** 
* Minimum of
 **3 years** 
 of experience as an MRI Technologist.
**Education** 
* High School Diploma or GED required.
* Graduate of a JRCERT\-accredited radiological program required.
* *Preferred:* 
 Bachelor's Degree in Radiology.
**Certifications/Licensure** 
* ARRT (American Registry of Radiologic Technologists) or ARMIT certification required.
* **MRSO (Magnetic Resonance Safety Officer) certification from the American Board of Magnetic Resonance Safety required.**
* Basic Life Support (BLS) from the American Red Cross or American Heart Association required.
* *Preferred:* 
 California Radiologic Technologist (CRT) license.
**Benefits** 
* Comprehensive Health Insurance (Medical, Vision, Dental)
* 401(K) Retirement Plan</t>
        </is>
      </c>
    </row>
    <row r="177">
      <c r="A177" t="inlineStr">
        <is>
          <t>li-4332562458</t>
        </is>
      </c>
      <c r="B177" t="inlineStr">
        <is>
          <t>Senior Clinical Research Program Manager</t>
        </is>
      </c>
      <c r="C177" t="inlineStr">
        <is>
          <t>Jobs via Dice</t>
        </is>
      </c>
      <c r="D177" t="inlineStr">
        <is>
          <t>linkedin</t>
        </is>
      </c>
      <c r="E177" t="inlineStr"/>
      <c r="F177" t="inlineStr"/>
      <c r="G177" t="inlineStr">
        <is>
          <t>Westbury, NY</t>
        </is>
      </c>
      <c r="H177" t="inlineStr"/>
      <c r="I177" t="inlineStr">
        <is>
          <t>**Job Description**
 Provides management of research administration at a clinical site(s) including monitoring the quality and accuracy of clinical trial data. Follows the established monitoring Standard Operating Procedures (SOP) and protocol\- specific monitoring plan. Participates in site initiations and trainings.
 Job Responsibility
* Trains, coaches, supports and mentors Site Clinical Research Managers and other team members.
* Manages the clinical research sites including, but not limited to acting as primary contact for clinical research sites for questions related to the protocol conduct protocol, regulatory document completion, study supplies, client scheduling, and electronic data capture.
* Provides on\-site or remote monitoring of clinical research site activities to ensure compliance with protocols, SOPs and relevant federal and state regulatory and institutional policies.
* Provides consultation during study start\-up activities regarding development of study protocol, SOP or Case Report Forms (CRFs), site qualification, data collection and study conduct.
* Patricipates in site initiations and trainings.
* Assesses accuracy, completeness and timeliness of study records by performing source data verification, regulatory document and consent form review, adverse event reporting compliance review, and investigational product accountability.
* Performs study close\-out monitoring activities.
* Provides pre\-review assistance prior to regulatory inspections and submissions.
* Provides guidance on regulatory submissions to the FDA which may include an Investigational New Drug (IND), Investigational Device Exemption (IDE), New Drug Application (NDA) or other research under the purview of the FDA.
* Prepares and forwarding monitoring reports to program manager. Working with study staff to address any concerns.
* Promotes overall compliance and quality with research conduct through participation in education and training activities for professional staff.
* Assists in developing appropriate education and training sessions for investigators and clinicians involved in research.
* Works on assignments that involve moderately complex to complex issues where the analysis of situations or data requires in\-depth evaluation of variable factors.
* Regularly makes new recommendations on new processes, tools, and services that can impact multiple projects and other functions.
* May provide technical guidance and direction to support team members, contractors and/or other vendors.
* May serve as project/technical lead for ongoing processes or short\-term projects within function or family.
* Performs related duties, as required.
 Job Qualification
* Bachelor's Degree or equivalent combination of education/related experience, required.
**3\.3\-5 Years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78">
      <c r="A178" t="inlineStr">
        <is>
          <t>li-4352297603</t>
        </is>
      </c>
      <c r="B178" t="inlineStr">
        <is>
          <t>FBM Advanced Mission S&amp;T Program Manager with Security Clearance</t>
        </is>
      </c>
      <c r="C178" t="inlineStr">
        <is>
          <t>ClearanceJobs</t>
        </is>
      </c>
      <c r="D178" t="inlineStr">
        <is>
          <t>linkedin</t>
        </is>
      </c>
      <c r="E178" t="inlineStr"/>
      <c r="F178" t="inlineStr"/>
      <c r="G178" t="inlineStr">
        <is>
          <t>Washington, DC</t>
        </is>
      </c>
      <c r="H178" t="inlineStr"/>
      <c r="I178" t="inlineStr">
        <is>
          <t>Job Number 714667BR Description: The mission matters. So do the people behind it. With advancing defense technology at our core, what sets us apart is a culture of collaboration, purpose, and impact. What is the mission? For over 60 years, the Fleet Ballistic Missile (FBM) team has supported the Navy's mission to provide affordable and credible strategic defense. We offer unique career opportunities and challenges on a program with a rich history and exciting future. We help keep this nation and our allies secure. The FBM Program is experiencing significant growth and we need your expertise to deliver amazing new technologies to our customers while maintaining the technical requirements of the strategic deterrence. FBM is a reliable program that has been a part of the United States for over 60 years with many years to come. As we enter the next phase of FBM there are large opportunities for growth and career development. As a part of the FBM team, we can build, replenish, \&amp; modernize this crucial national asset with today's tools \&amp; technology to benefit the world, the nation, our states, and our communities! Learn about the Trident II D5 Fleet Ballistic Missile. What does this role look like? This position reports to the Fleet Ballistic Missile (FBM) Advanced Mission Programs (AMP) Senior Manager. In this role, you will work closely with other members of the FBM AMP staff, as well as across the FBM Program Office and Product Directorates (Reentry, Avionics, PSOC, and SEIT) to mature technologies and advanced capabilities across the FBM Flight System to meet evolving customer needs in a dynamic environment. In this role will offer you the following daily key responsibilities: 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and administrative areas. Although this position does support some teleworking; the preferred candidate will be located near our Lockheed Martin Space facility in Washington, DC , and be expected to work in the office as needed and as appropriate.
**Basic Qualifications**
 To be effective, you will need to possess these basic qualifications:
* Bachelor's Degree from an accredited college, with degree in a STEM field or equivalent experience/combined education.
* 8\+ Years prior experience in project/program management or project leadership
* Experience in working with contract technical documentation, technical baseline, technical planning factors and processes
* Experience with customer and supplier interface
* You will need to be a US Citizen, and currently possess and be able to maintain a US SECRET clearance, with ability to obtain TS Clearance, to support this government contract, as well as successfully pass a drug and background check, in order to meet eligibility requirements for access to classified information.
**Desired Skills**
 To be effective, ideally, you should also have:
* Master's degree in Engineering or Operations
* US Strategic Systems Experience
* Demonstrated capabilities in managing complex programs or projects
* Familiarity with the Navy SSP/SPF customer and knowledge of the FBM program and processes
* Project Management (PM), Control Account Management (CAM), Finance \&amp; Business Operations (F\&amp;BO), and/or proposal experience preferred
* Ability to work within a multi\-disciplinary environment
* Ability to work and integrate with technical team members to understand all aspects of the product being developed/produced and the corresponding program performance implications
* Strong interpersonal and organizational skills
* Excellent verbal, written and presentation communication skills
* Understanding of CRAD contracts
* Proven experience in the application of risk and opportunity management processes and procedures
* Program/project related experience across multiple programs, lines of business, and disciplines
* Experience prioritizing and deploying resources
* Active Top Secret security clearance The ideal candidate will be a self\-starter capable of interfacing with multi\-disciplinary Integrated Project Teams (IPTs) to solve problems with minimal supervision. This will require the candidate to be organized, flexible, have strong interpersonal skills, take initiative, manage multiple tasks effectively, and thrive in a fast\-paced, dynamic environment.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Experienced Professional
 Business Unit: SPACE
 Relocation Available: Possible
 Career Area: Program Management
 Type: Full\-Time
 Shift: First</t>
        </is>
      </c>
    </row>
    <row r="179">
      <c r="A179" t="inlineStr">
        <is>
          <t>li-4359955084</t>
        </is>
      </c>
      <c r="B179" t="inlineStr">
        <is>
          <t>AI Product Manager, Customer Implementations</t>
        </is>
      </c>
      <c r="C179" t="inlineStr">
        <is>
          <t>Hello Patient</t>
        </is>
      </c>
      <c r="D179" t="inlineStr">
        <is>
          <t>linkedin</t>
        </is>
      </c>
      <c r="E179">
        <f>HYPERLINK("https://www.linkedin.com/jobs/view/4359955084", "https://www.linkedin.com/jobs/view/4359955084")</f>
        <v/>
      </c>
      <c r="F179">
        <f>HYPERLINK("https://app.dover.com/apply/hello-patient/effd6fd9-85f8-4c5d-899b-88b2c12a6db8?rs=42706078&amp;urlHash=Egqc", "https://app.dover.com/apply/hello-patient/effd6fd9-85f8-4c5d-899b-88b2c12a6db8?rs=42706078&amp;urlHash=Egqc")</f>
        <v/>
      </c>
      <c r="G179" t="inlineStr">
        <is>
          <t>Austin, TX</t>
        </is>
      </c>
      <c r="H179" t="inlineStr"/>
      <c r="I179" t="inlineStr">
        <is>
          <t>**About The Role**
 Hello Patient is hiring a technical, high\-agency Product Manager to own the end\-to\-end delivery of AI agents in real customer environments.
 We build AI\-powered voice, sms, and chat agents that integrate deeply into how healthcare practices actually operate. Every new customer deployment is a product launch—new workflows, new edge cases, new integration requirements, new ways the agent needs to behave in the real world. This role exists to own that launch from scoping through go\-live.
**How we build agents:** 
 Our Conversational Designers are the builders. They craft agent behavior, gather requirements directly from customers, design conversation flows, and ship working agents—much like engineers ship code. This PM role doesn't build agents. It owns everything else that needs to happen for a launch to succeed: scoping net\-new integrations, managing cross\-functional dependencies, driving timeline and scope decisions, coordinating across teams, and ensuring the full deployment lands successfully.
 You'll work alongside Conversational Designers and Customer Engineers as peers, owning the work around the edges while they own the core build. Your job is to make sure all the pieces come together and to turn unknown territory into repeatable playbooks.
 What You'll Do
 Own launches, not projects
* Lead end\-to\-end delivery of net\-new AI agent deployments for customers
* Treat every deployment as a product launch: define scope, manage tradeoffs, hit timelines, ensure quality
* Own the 'what are we actually shipping and why' question, and make sure the answer is clear to everyone involved
 Drive zero\-to\-one execution
* Lead deployments for new workflows, integrations, and verticals where no playbook exists yet
* Own the work around the edges: net\-new integration requirements, unknown product surface area, cross\-functional dependencies, scope decisions, and launch coordination
* Identify unknowns early, de\-risk them, and make tradeoff decisions to maintain velocity
 Work alongside Conversational Design and Customer Engineering
* Conversational Designers build the agent—they gather requirements from customers, design conversation flows, and ship agent behavior. You don't direct this work; you work alongside it.
* You own everything else: integration scoping with Customer Engineering, cross\-team coordination, timeline management, stakeholder communication, and unblocking whatever's in the way
* When integrations require net\-new engineering work, you own requirements and prioritization with the engineering team
 Build toward repeatability
* Identify patterns across launches and codify them into playbooks
* Know when a workflow or integration is ready to transition from zero\-to\-one ownership to steady\-state implementation
* Hand off proven patterns to implementation teams and move on to the next net\-new challenge
 What We're Looking For
**Must Have**
* 3\+ years in Product Management or a closely related role (e.g., technical program management at a product\-led company, founder/early employee wearing the PM hat)
* Strong technical product background—comfortable with APIs, integrations, and understanding how systems connect
* Experience shipping in ambiguous, fast\-moving environments where the playbook doesn't exist yet
* Proven ability to work across functions through influence, not authority
* Bias toward ownership and action—you'd rather make a call and course\-correct than wait for clarity
**Nice To Have**
* Experience with AI\-native products, agents, LLMs, or automation platforms
* Background in healthcare, revenue cycle, or other legacy\-system\-heavy industries
* Founder, co\-founder, or early startup experience
* Familiarity with voice AI or real\-time orchestration systems
**Compensation**
**Base salary:** 
 $140K–$180K
**Equity:** 
 Meaningful ownership in a fast\-growing healthtech startup
**About Hello Patient**
 Hello Patient is transforming healthcare communication through advanced conversational AI. Our founding team spent 3\.5 years scaling Carbon Health's technology during hypergrowth, where we saw firsthand how much clinical time gets wasted on basic communication, leading to great providers buried in admin work, patients stuck in phone tag.
 Our AI platform proactively engages patients through perfectly timed calls and texts, resolving complex interactions end\-to\-end—from scheduling to billing to retention. Built with security and compliance at its core, our technology integrates with existing healthcare infrastructure to deliver 24/7 patient engagement.
 Backed by Scale and 8VC, we're building the future of healthcare communication, one conversation at a time.</t>
        </is>
      </c>
    </row>
    <row r="180">
      <c r="A180" t="inlineStr">
        <is>
          <t>li-4345312600</t>
        </is>
      </c>
      <c r="B180" t="inlineStr">
        <is>
          <t>Senior Product Manager – Data &amp; Insights- Remote</t>
        </is>
      </c>
      <c r="C180" t="inlineStr">
        <is>
          <t>Learning Consultant</t>
        </is>
      </c>
      <c r="D180" t="inlineStr">
        <is>
          <t>linkedin</t>
        </is>
      </c>
      <c r="E180">
        <f>HYPERLINK("https://www.linkedin.com/jobs/view/4345312600", "https://www.linkedin.com/jobs/view/4345312600")</f>
        <v/>
      </c>
      <c r="F180" t="inlineStr"/>
      <c r="G180" t="inlineStr"/>
      <c r="H180" t="inlineStr"/>
      <c r="I180" t="inlineStr">
        <is>
          <t>Senior Product Manager
 Our client, an innovative financial technology organization, is looking for a Senior Product Manager to lead the evolution of data insight solutions used across internal teams.
 Key Responsibilities
* Lead the full product lifecycle for internal data insight tools, from discovery through delivery and optimization
* Convert intricate data systems into streamlined, user\-friendly solutions that provide measurable business value
* Partner closely with engineering, data science, and commercial teams to define requirements and deliver scalable products
* Gather and translate internal stakeholder feedback into clear product priorities and roadmaps
* Own product economics, including cost management, performance tracking, and value realization
* Present data\-driven insights and product outcomes in a clear and relatable way to technical and non\-technical audiences
**Qualifications**
* 4\+ years of experience in product management roles
* Background in developing analytics, reporting, or data\-centric products
* Comfortable operating in dynamic, evolving environments with minimal direction
* Bachelor’s degree in technology, analytics, data, or a related discipline
* Working knowledge of SQL, Python, or R preferred
* Visa sponsorship not provided
* Travel 25\-40% to customer sites
 Skills: sql,product manager,python,data</t>
        </is>
      </c>
    </row>
    <row r="181">
      <c r="A181" t="inlineStr">
        <is>
          <t>li-4345372447</t>
        </is>
      </c>
      <c r="B181" t="inlineStr">
        <is>
          <t>AI Product Manager – Life Sciences &amp; eClinical Platforms</t>
        </is>
      </c>
      <c r="C181" t="inlineStr">
        <is>
          <t>Cloudbyz</t>
        </is>
      </c>
      <c r="D181" t="inlineStr">
        <is>
          <t>linkedin</t>
        </is>
      </c>
      <c r="E181">
        <f>HYPERLINK("https://www.linkedin.com/jobs/view/4345372447", "https://www.linkedin.com/jobs/view/4345372447")</f>
        <v/>
      </c>
      <c r="F181" t="inlineStr"/>
      <c r="G181" t="inlineStr">
        <is>
          <t>Naperville, IL</t>
        </is>
      </c>
      <c r="H181" t="inlineStr"/>
      <c r="I181" t="inlineStr">
        <is>
          <t>**Company Description** 
 Cloudbyz is a next\-generation eClinical platform, built natively on Salesforce, designed to modernize and streamline clinical trial operations for life sciences organizations. The platform eliminates silos by integrating critical functions like CTMS, EDC, eTMF, RTSM, ePRO \&amp; eCOA, and more into a single, comprehensive solution. Trusted by pharmaceutical companies, biotechs, medical device innovators, and CROs, Cloudbyz ensures real\-time oversight, operational efficiency, and regulatory compliance throughout the trial lifecycle. Known for its secure, scalable, and easily configurable platform, Cloudbyz helps organizations achieve faster study start\-up, centralized data management, and improved cross\-functional collaboration. The company is based in Warrenville, IL, and is committed to advancing smarter trials worldwide.
**Experience** 
 5\+ years Product Management, with 2\+ years in AI, data, or automation products
**Role Summary** 
 The AI Product Manager will own the strategy, roadmap, and delivery of AI\-powered products and AI Agents across Cloudbyz’s unified eClinical platform. You will translate real clinical, regulatory, and operational problems into scalable AI solutions that drive productivity, compliance, and business outcomes.
 This role sits at the intersection of clinical operations, AI engineering, and SaaS product leadership and will directly influence how AI transforms clinical trials, safety, regulatory, and financial workflows.
**Key Responsibilities** 
 AI Product Strategy \&amp; Roadmap
* Define and own the AI product vision for AI Agents, automation, and intelligence across CTMS, EDC, eTMF, Safety, RTSM, and CTFM
* Identify high\-ROI AI use cases from customer workflows and regulatory requirements
* Build and maintain the AI product roadmap aligned to business and customer priorities
* Prioritize features based on impact, feasibility, compliance, and adoption
 Customer \&amp; Domain\-Driven AI
* Work directly with clinical operations, QA, regulatory, and safety teams at customer organizations
* Translate workflows (e.g., study startup, TMF QC, safety case processing, regulatory reporting) into AI\-ready user stories
* Define Human\-in\-the\-Loop and compliance\-first AI workflows
* Validate value through pilots, proofs\-of\-concept, and early adopters
 AI \&amp; Engineering Collaboration
* Partner with AI engineers, data scientists, and platform teams to design models, pipelines, and architectures
* Define LLM, RAG, agent, and automation requirements
* Own data requirements, labeling strategy, evaluation metrics, and model performance KPIs
* Ensure AI features are scalable, explainable, and auditable
 Compliance \&amp; Trust
* Ensure AI products meet GxP, 21 CFR Part 11, ICH\-GCP, and validation requirements
* Design audit trails, explainability, confidence scoring, and override workflows
* Define risk controls, bias monitoring, and safety guardrails
 Go\-to\-Market Enablement
* Partner with Sales, Marketing, and Customer Success on AI positioning, demos, and value messaging
* Support RFPs, demos, and strategic deals with AI capabilities
* Create product documentation, use\-case libraries, and ROI narratives
**Required Qualifications** 
 Experience
* 5\+ years in Product Management for SaaS, enterprise software, or data platforms
* 2\+ years working on AI, ML, analytics, or automation products
* Experience in Life Sciences, Healthcare, Clinical Trials, or Regulated Software strongly preferred
 AI \&amp; Technical Knowledge
* Strong understanding of:
* LLMs, embeddings, RAG, agents, and prompt engineering
* ML pipelines, data labeling, and model evaluation
* APIs, microservices, and cloud architectures
* Ability to work effectively with engineering without being a coder
 Domain \&amp; Business Skills
* Strong understanding of clinical operations, regulatory workflows, or pharmacovigilance
* Ability to translate complex workflows into AI\-driven products
* Experience defining KPIs, ROI, and adoption metrics
* Excellent stakeholder and executive communication
 Nice to Have
* Experience with Salesforce platform, AWS Bedrock, or Google Vertex AI
* Prior experience with CTMS, eTMF, Safety, or EDC platforms
* Experience building AI Agents or workflow automation
**What Success Looks Like** 
* AI products adopted by customers and embedded in daily workflows
* Measurable productivity, quality, and compliance improvements
* Faster sales cycles driven by differentiated AI capabilities
* High customer satisfaction and product\-led expansion
**Why Join Cloudbyz** 
* Lead AI innovation in clinical research and life sciences
* Build real, production AI—not experiments
* Work on AI Agents that automate high\-value regulated workflows
* Influence the future of AI\-driven clinical operations globally</t>
        </is>
      </c>
    </row>
    <row r="182">
      <c r="A182" t="inlineStr">
        <is>
          <t>li-4351813198</t>
        </is>
      </c>
      <c r="B182" t="inlineStr">
        <is>
          <t>Technical Product Owner</t>
        </is>
      </c>
      <c r="C182" t="inlineStr">
        <is>
          <t>Dragonfile.io</t>
        </is>
      </c>
      <c r="D182" t="inlineStr">
        <is>
          <t>linkedin</t>
        </is>
      </c>
      <c r="E182">
        <f>HYPERLINK("https://www.linkedin.com/jobs/view/4351813198", "https://www.linkedin.com/jobs/view/4351813198")</f>
        <v/>
      </c>
      <c r="F182" t="inlineStr"/>
      <c r="G182" t="inlineStr">
        <is>
          <t>Lake Mary, FL</t>
        </is>
      </c>
      <c r="H182" t="inlineStr"/>
      <c r="I182" t="inlineStr">
        <is>
          <t>About the Role
 We’re Dragonfile \- an early\-stage InsureTech claims management SaaS product seeking a hands\-on leader to own our AWS cloud architecture and application operations, while also partnering with stakeholders to define and deliver product requirements. You’ll be responsible for designing and operating a secure, scalable, and cost\-efficient cloud environment; managing application performance and release cycles for our Java/Spring Boot \+ Angular platform; and helping shape the roadmap to deliver user\-focused outcomes.
 Tech Stack (for Context)
* **Backend:** 
  Java 8\+/Spring Boot (JHipster), Maven
* **Frontend:** 
  Angular/TypeScript, Webpack
* **Data:** 
  MySQL/Aurora
* **Infrastructure:** 
  AWS (VPC, ECS/EKS/EC2, ALB, Route 53, S3, CloudFront, WAF, IAM, KMS, Secrets Manager)
* **CI/CD:** 
  GitHub Actions or Jenkins
* **Observability:** 
  CloudWatch (logs, metrics, alarms)
 What You’ll DoAWS Architecture \&amp; Operations
* Own AWS networking, IAM, encryption (KMS), secrets, and perimeter security (WAF, Security Groups).
* Design scalable, resilient infrastructures with ECS/EKS/EC2, ALB, autoscaling, multi\-AZ architecture, DR, and backups.
* Manage and tune RDS/Aurora databases, caching, S3 storage, CloudFront CDN, and Route 53 DNS.
* Drive improvements in system reliability, performance, security, and cost optimization, including leading AWS Well\-Architected reviews.
 CI/CD and Release Management
* Build and maintain CI/CD pipelines for backend (Maven) and frontend (Node) through GitHub Actions or Jenkins.
* Implement deployment strategies that allow safe releases and rollbacks.
* Own configuration and secret management across dev, QA, and production environments.
 Application Performance \&amp; Operations
* Monitor and tune JVM performance, SQL queries, and dependencies.
* Lead production troubleshooting, root cause analysis, and manage SLAs and on\-call response.
* Maintain detailed operational playbooks and ensure smooth release cycles.
 Product \&amp; Requirements Leadership
* Work with business owners and SMEs to capture goals and define clear requirements.
* Write user stories and acceptance criteria; prioritize and groom the product backlog.
* Translate functional needs into technical tasks; coordinate end\-to\-end delivery across teams.
 Security \&amp; Compliance
* Enforce least\-privilege access, patching, vulnerability scanning, and auditability across cloud and app layers.
* Maintain security posture and ensure compliance with internal standards and external requirements.
 Documentation \&amp; Enablement
* Create and maintain architecture diagrams, runbooks, and onboarding documentation.
* Mentor team members and foster engineering best practices.
 What Makes You a Great Fit
* 5\-7\+ years building and operating cloud\-hosted applications, with at least 3\+ years on AWS.
* Strong experience with Java/Spring Boot and familiarity with Angular/TypeScript build and deploy workflows.
* Deep expertise with AWS services: VPC, IAM, KMS, RDS/Aurora, ECS/EKS/EC2, ALB, CloudFront, S3, Route 53, WAF, CloudWatch.
* Skilled with CI/CD concepts and tools such as GitHub Actions or Jenkins.
* Strong SQL/MySQL performance tuning; experience with Elasticsearch/OpenSearch is a plus.
* Demonstrated experience managing production systems and leading incident response.
* Excellent communicator with the ability to translate business needs into clear user stories.
 Nice to Have
* Experience with JHipster, Spring Security/OIDC, or SSO/Cognito.
* Familiarity with AWS serverless services (Lambda, API Gateway).
* Background in insurance/claims or document/PDF workflows.
* AWS certifications such as Solutions Architect or DevOps Engineer.
 What Success Looks Like (First 90 Days)
* Documented current\-state AWS architecture; initial Well\-Architected review findings and cost optimization plan delivered.
* Fully functional CI/CD pipelines with rollback support.
* Production runbooks and alerting system in place.
* Prioritized and groomed product backlog with clear acceptance criteria.
* Predictable release cadence established.
 Job Type: Full\-time
 Benefits:
* Flexible schedule
* Paid time off
* Professional development assistance
* Annual Bonus
* Equity Stock Options
 Ability to Commute:
* Lake Mary, FL 32746 (Required)
 Work Location: In person/Remote depending on candidate</t>
        </is>
      </c>
    </row>
    <row r="183">
      <c r="A183" t="inlineStr">
        <is>
          <t>li-4360632801</t>
        </is>
      </c>
      <c r="B183" t="inlineStr">
        <is>
          <t>Product Manager II, Partner Identity</t>
        </is>
      </c>
      <c r="C183" t="inlineStr">
        <is>
          <t>Uber</t>
        </is>
      </c>
      <c r="D183" t="inlineStr">
        <is>
          <t>linkedin</t>
        </is>
      </c>
      <c r="E183">
        <f>HYPERLINK("https://www.linkedin.com/jobs/view/4360632801", "https://www.linkedin.com/jobs/view/4360632801")</f>
        <v/>
      </c>
      <c r="F183" t="inlineStr"/>
      <c r="G183" t="inlineStr">
        <is>
          <t>San Francisco, CA</t>
        </is>
      </c>
      <c r="H183" t="inlineStr"/>
      <c r="I183" t="inlineStr">
        <is>
          <t>**About The Role**
 Uber actively partners with third parties to enhance the user experience. The Partner Identity team enables these experiences by connecting an Uber identity and a 3rd party identity in a seamless and secure way. We help enable embedded Uber experiences on a third party, loyalty program integrations, M\&amp;A integrations, social signup \&amp; login and other use cases.
**What The Candidate Will Do**
* Create platform features to enable seamless and secure linking of a third party identity and Uber
* Manage complex stakeholder groups across multiple products and geographies
* Built superb documentation \+ easy to use products that any team at Uber can use
**Basic Qualifications**
* 3\+ years of experience as a technical product manager working on consumer facing products
* Bachelors degree in Computer Science or similar
* Experience working with cross functional and external stakeholders
* Aptitude and excitement to constantly learn about new partnerships / products within Uber
**Preferred Qualifications**
* Experience with Identity domain
* Experience with consumer growth and A/B testing
* Technical background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184">
      <c r="A184" t="inlineStr">
        <is>
          <t>li-4330134834</t>
        </is>
      </c>
      <c r="B184" t="inlineStr">
        <is>
          <t>Product Owner</t>
        </is>
      </c>
      <c r="C184" t="inlineStr">
        <is>
          <t>fjorge</t>
        </is>
      </c>
      <c r="D184" t="inlineStr">
        <is>
          <t>linkedin</t>
        </is>
      </c>
      <c r="E184">
        <f>HYPERLINK("https://www.linkedin.com/jobs/view/4330134834", "https://www.linkedin.com/jobs/view/4330134834")</f>
        <v/>
      </c>
      <c r="F184" t="inlineStr"/>
      <c r="G184" t="inlineStr">
        <is>
          <t>Minneapolis, MN</t>
        </is>
      </c>
      <c r="H184" t="inlineStr"/>
      <c r="I184" t="inlineStr">
        <is>
          <t>The role is centered on ownership and collaboration, leading the product from concept to completion while valuing every team member’s contribution. As a steward of the product vision, the Product Owner balances client needs with development capabilities, guiding teams through challenges and delivering high\-quality products that meet business goals and delight users.
 You create great. → Great products. Great client experiences.
**Requirements**
* 3–5 years successfully delivering digital products on time, on budget, and within scope
* Proven ability to turn business requirements into product outcomes
* Skilled at building trust, leading client conversations, and managing expectations
* Strong ability to anticipate challenges and create actionable solutions
* Certifications (any below are applicable):
+ Project Management certifications: PMI\-ACP, CAPM, PMP, or Certified Scrum Master (CSM)
+ Product Owner certifications: Certified Scrum Product Owner (CSPO) or Professional Scrum Product Owner (PSPO I/II)
 Accountable for
* Effective Project Execution
* Client Experience
* Risk Management
* Project Team Leadership
* Operational Efficiency
* Effective Project Execution
 Product owners develop, implement and manage projects to ensure they are delivered on time and on budget. They drive great client experiences and help maintain a positive reputation for fjorge.
 Key responsibilities include managing timelines, budgets and resources, reducing the likelihood of projects becoming “red.” They create effective implementation plans in alignment with the impact statement and can articulate the product and business impact to their clients and team. They coordinate and provide direction for the team, clearing any roadblocks that can disrupt productivity.
 Client\-Centric Communication \&amp; Experience
 Create great client experiences through collaboration and empathetic transparency. Product owners are able to gather and translate requirements, effectively managing the needs of various stakeholders. They understand that a fully aligned team with clear expectations strengthens client relationships and they are able to balance competing priorities and facilitate collaboration and direction within the team. They are able to envision the end goal and create actionable project plans to communicate to their clients, providing clarity and reassurance.
 Risk Management
 Identify, assess, and mitigate risks to ensure project health and prevent disruptions or issues that could impact project delivery or quality. Product Owners are adept at addressing potential problems early to maintain client satisfaction and project success. They are front line defenders of the project scope and are able to communicate potential risks and roadblocks to both their clients and team with composure and create contingency plans when needed.
 Project Team Leadership
 Help foster a collaborative environment for the project team by providing encouragement and guidance. You are able to provide clear expectations and value building trust to drive momentum to achieve shared goals. You help your team maintain a solutions\-oriented mindset, leading by example through your communication and actions. You are effective at leading meetings with purpose, clearing roadblocks, and resolving conflicts when they arise.
 Operational Efficiency
 Product owners are the stewards of our processes and best practices. They oversee reporting, documentation, and resource management to ensure optimal project performance and high\-quality results. They are diligent about tracking progress and have a high attention to detail, avoiding bottlenecks to productivity, invoicing errors, and negative impact to utilization.
 Key Behaviors
* You are client\-centric. You are an empathetic listener and proactive problem solver, skilled at actively listening to clients and stakeholders to deeply understand their needs and concerns. You are able to anticipate client needs and potential issues before they arise and address them head on. You take on a service\-oriented mindset and make your clients feel seen and heard.
* You are results\-driven. You understand the importance of operational excellence, seeing beyond individual projects to grasp how each task fits into the larger goals. You set clear, measurable goals and consistently track progress against them, always focused on successful outcomes. You are highly strategic and utilize data and metrics to guide your decision\-making\- your strategies and actions are rooted in evidence.
* You are able to adapt and pivot on the fly. You are a solution\-seeker at your core and approach problems with creativity, curiosity, and willingness to explore different solutions. You strive for continuous improvement in an ever\-evolving environment, keeping your composure under high stress situations and interactions. You understand that the best defense is a solid offense and you work hard to create a plan that sets your team up for success</t>
        </is>
      </c>
    </row>
    <row r="185">
      <c r="A185" t="inlineStr">
        <is>
          <t>li-4351813266</t>
        </is>
      </c>
      <c r="B185" t="inlineStr">
        <is>
          <t>Product Manager, AI Platforms</t>
        </is>
      </c>
      <c r="C185" t="inlineStr">
        <is>
          <t>hackajob</t>
        </is>
      </c>
      <c r="D185" t="inlineStr">
        <is>
          <t>linkedin</t>
        </is>
      </c>
      <c r="E185">
        <f>HYPERLINK("https://www.linkedin.com/jobs/view/4351813266", "https://www.linkedin.com/jobs/view/4351813266")</f>
        <v/>
      </c>
      <c r="F185" t="inlineStr"/>
      <c r="G185" t="inlineStr">
        <is>
          <t>Philadelphia, PA</t>
        </is>
      </c>
      <c r="H185" t="inlineStr"/>
      <c r="I185"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We build Concierge OS—the intelligence layer that makes Xfinity experiences personalized and proactive. As a Product Manager, you’ll turn real customer signals into simple, reusable standards and feedback loops that improve recommendations, service, and commerce across digital and assisted channels. The scale is unique: impact millions of households today, with a clear path to enterprise use (Comcast Business) and syndication partners (e.g. Rogers). You’ll directly support generative experiences powered by LLMs, shipping with engineering at high velocity and measuring outcomes week over week. If you want to shape AI products at national scale and see your work translate into better customer moments fast, this is the place to grow. We are seeking a curious, collaborative, and user\-focused Product Manager to join our team and help shape the future of personalized digital experiences. This role will focus on enabling data\-driven capabilities that power smarter interactions across multiple channels and platforms. You’ll work at the intersection of technology, data, and customer experience, helping to unlock value for both customers and the business. As a Product Manager, AI Platforms, you will partner with business stakeholders and technology teams to define requirements, prioritize initiatives, and deliver solutions that improve personalization, decisioning, and contextualization across our ecosystem.
**Job Description**
***This position is ineligible for visa sponsorship. To be considered for this role, you must be legally authorized to work in the United States and not require sponsorship for employment now or in the future.***
**What You’ll Do**
* Define and evolve product capabilities tha tenable personalized, data\-driven experiences.
* Collaborate with engineering, analytics, and business teams to discover and deliver solutions.
* Support governance and adoption processes that improve data quality and integration.
* Translate complex concepts into clear, concise communication for stakeholders at all levels.
* Prioritize initiatives based on impact, feasibility, and strategic alignment, making trade\-offs where necessary.
* Advocate for user empathy and ensure solutions deliver meaningful customer outcomes.
* Monitor performance metrics and identify opportunities for optimization.
* Stay curious and continuously learn about AI, data platforms, and emerging technologies.
**What We’re Looking For**
* Excellent communicator – strong written, verbal, and presentation skills.
* User\-centric mindset – ability to empathize with customers and design experiences that meet their needs.
* Critical thinker – asks “why,” challenges assumptions, and focuses on high\-impact activities.
* Comfortable with data – understands the role of data in personalization and AI platforms.
* Curious and adaptable – eager to learn and grow in a fast\-changing environment.
* Collaborative team player – works effectively with cross\-functional teams.
* Strong prioritization skills – able to make trade\-offs and manage competing demands.
* Ownership mentality – accountable for product success and committed to holding partners accountable.
**Preferred Qualifications**
* 1–3 years of experience in product management, business analysis, or related field.
* Familiarity with data\-driven products, schemas, or event\-based architectures is a plus.
* Experience working with AI or personalization technologies preferred.
* Bachelor’s degree in Business, Computer Science, or related discipline.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Customer\-Focused; Stakeholder Management; Product Management; Data Literacy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row>
    <row r="186">
      <c r="A186" t="inlineStr">
        <is>
          <t>li-4360672835</t>
        </is>
      </c>
      <c r="B186" t="inlineStr">
        <is>
          <t>Group Product Manager, Enterprise Admin</t>
        </is>
      </c>
      <c r="C186" t="inlineStr">
        <is>
          <t>Box</t>
        </is>
      </c>
      <c r="D186" t="inlineStr">
        <is>
          <t>linkedin</t>
        </is>
      </c>
      <c r="E186">
        <f>HYPERLINK("https://www.linkedin.com/jobs/view/4360672835", "https://www.linkedin.com/jobs/view/4360672835")</f>
        <v/>
      </c>
      <c r="F186" t="inlineStr"/>
      <c r="G186" t="inlineStr">
        <is>
          <t>Redwood City, CA</t>
        </is>
      </c>
      <c r="H186" t="inlineStr"/>
      <c r="I186"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Enterprise Admins are at the heart of how customers deploy, secure, and scale Box. We’re looking for a Group Product Manager to lead our Enterprise Administration portfolio—users and groups, reporting and insights, and the core admin experience. You’ll drive strategy and execution that reduce churn, increase adoption, and make admins love managing Box.
 In this role, you’ll manage a team of Product Managers while staying close to the work. You’ll set priorities across planned and unplanned initiatives, partner cross‑functionally to deliver outcomes, and help steer key initiatives like Project Centurion that deepen admin engagement across our largest customers.
**What You'll Do**
* Define a strategic vision and roadmap for enterprise administration features, encompassing user management, reporting and insights, and overall Admin experience to meet the complex governance and compliance needs of large organizations.
* Lead a team of product managers to deliver scalable, intuitive solutions that streamline administrative workflows while aligning with the platform's overall product strategy and enhancing operational efficiency for administrators.
* Collaborate closely with enterprise customers and internal stakeholders (such as GTM, customer success, and security teams) to deeply understand pain points, gather requirements, and prioritize initiatives that drive enterprise adoption and retention.
* Identify key metrics, objectives, and results that will define success.
**Who You Are**
 We are an AI\-first company. This means you approach your work with a growth mindset and find ways to leverage AI to help make faster, smarter decisions that will 10X your impact at Box.
* 6\+ years of product management experience building enterprise SaaS products; track record in admin, governance, security, or platform experiences is a plus.
* People leadership experience hiring, mentoring, and leading Product Managers with a focus on outcomes and craft.
* Proven success owning end\-to\-end product lifecycle, including discovery, launch, and scaling of enterprise\-grade features.
* Strong collaborator who drives cross\-functional alignment with Product, Engineering, Design, Security, Legal, Support, and GTM.
* Comfortable setting a multi\-year vision and translating it into clear strategies, roadmaps, and measurable goals.
* Customer advocate with excellent discovery skills and the ability to turn complex needs into simple, usable solutions.
* Bachelor’s degree in a relevant field (Business, Computer Science, Engineering) or equivalent practical experience.
* Nice to have
+ Experience in content management, collaboration platforms, or security/governance domains.
+ Familiarity with admin analytics, telemetry, and reporting frameworks.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$224,000 \- $280,000 USD</t>
        </is>
      </c>
    </row>
    <row r="187">
      <c r="A187" t="inlineStr">
        <is>
          <t>li-4358284259</t>
        </is>
      </c>
      <c r="B187" t="inlineStr">
        <is>
          <t>Senior Product Manager- Novelty &amp; Engraving</t>
        </is>
      </c>
      <c r="C187" t="inlineStr">
        <is>
          <t>The Hillman Group</t>
        </is>
      </c>
      <c r="D187" t="inlineStr">
        <is>
          <t>linkedin</t>
        </is>
      </c>
      <c r="E187">
        <f>HYPERLINK("https://www.linkedin.com/jobs/view/4358284259", "https://www.linkedin.com/jobs/view/4358284259")</f>
        <v/>
      </c>
      <c r="F187">
        <f>HYPERLINK("https://jobs.dayforcehcm.com/en-US/hillman/HillmanUSJB/jobs/53672&amp;urlHash=G805", "https://jobs.dayforcehcm.com/en-US/hillman/HillmanUSJB/jobs/53672&amp;urlHash=G805")</f>
        <v/>
      </c>
      <c r="G187" t="inlineStr">
        <is>
          <t>Tempe, AZ</t>
        </is>
      </c>
      <c r="H187" t="inlineStr"/>
      <c r="I187" t="inlineStr">
        <is>
          <t>**Job Summary**
 The
 **Senior Product Manager** 
 leads product development, portfolio planning, and lifecycle management across the full product portfolio. Key responsibilities include evaluating and prioritizing new product and customer requirements, defining performance specifications, and developing merchandising and POP solutions that support business growth. This role works closely with Engineering, Operations, and Sales to ensure products meet revenue targets, customer expectations, and overall business objectives.
 The
 **Senior Product Manager** 
 also oversees the personalized engraving product line for major customers like Disney, Universal and Zoo's as examples. The role drives cross‑functional initiatives focused on product innovation, digital growth, and strategic channel development specifically supporting personalized engraving within the Novelty channel.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Own the product strategy and lifecycle for engraving solutions, with emphasis on the Personalized Engraving product line within the Quick Tag robotics platform.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Novelty Engraving business,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Novelty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188">
      <c r="A188" t="inlineStr">
        <is>
          <t>li-4344515864</t>
        </is>
      </c>
      <c r="B188" t="inlineStr">
        <is>
          <t>Principal Product Manager - NEA</t>
        </is>
      </c>
      <c r="C188" t="inlineStr">
        <is>
          <t>NextEra Energy, Inc.</t>
        </is>
      </c>
      <c r="D188" t="inlineStr">
        <is>
          <t>linkedin</t>
        </is>
      </c>
      <c r="E188">
        <f>HYPERLINK("https://www.linkedin.com/jobs/view/4344515864", "https://www.linkedin.com/jobs/view/4344515864")</f>
        <v/>
      </c>
      <c r="F188" t="inlineStr"/>
      <c r="G188" t="inlineStr">
        <is>
          <t>Juno Beach, FL</t>
        </is>
      </c>
      <c r="H188" t="inlineStr"/>
      <c r="I188" t="inlineStr">
        <is>
          <t>NextEra Analytics offers energy consulting services using industry\-leading scientific analysis for planning, siting, forecasting and optimizing all forms of energy projects. Our optimization and analytics platforms integrate open\-source technologies to leverage massive, diverse sets of utility operating data. This enables rapid development of operational solutions. Applying expertise in advanced mathematics, data and physical sciences, we solve some of the hardest problems facing the energy industry.
**Position Specific Description**
 The Principal Product Manager serves as a strategic leader and key influencer within NextEra Analytics, responsible for driving the complete product lifecycle from ideation through customer delivery while maintaining close alignment with NextEra's long\-term strategic goals and market leadership objectives. This role requires proven experience engaging with senior leadership across the enterprise to communicate compelling product strategies, build long\-term partnerships, and influence roadmaps across vertical business units. The successful candidate will excel at customer discovery and problem\-solving, working directly with customers to uncover underlying business challenges, pain points, and opportunities rather than simply collecting feature requests, then developing innovative SaaS solutions that address the root business problems. This position demands a strategic thinker who can balance market analysis, stakeholder communication, and agile product management to deliver measurable value through comprehensive product roadmaps, while serving as a mentor and coach across multiple NextEra Energy teams and acting as a subject matter expert in their domain.
**Job Overview**
 Employees in this role will set the product direction and strategy, oversee comprehensive roadmaps for product portfolios, and drive strategic innovation. This job will play a pivotal role in shaping strategic product vision, influencing organizational direction, and delivering products that define the future of renewable energy.
**Job Duties \&amp; Responsibilities**
* Develop and communicate a compelling product vision and strategy that aligns with NextEra's long\-term goals and market leadership objectives
* Oversee multiple product lines, ensuring alignment with business priorities, seamless integration, and strategic prioritization across the product portfolio
* Drive innovation by identifying market opportunities, emerging trends, and unmet customer needs, and translating these insights into breakthrough product concepts and strategies
* Act as a key influencer within the organization, working closely with business line leadership, engineering, data science, marketing, and sales to drive product success
* Engage deeply with customers, partners, and stakeholders to understand their needs, gather strategic insights, and ensure the delivery of high\-value products
* Lead Agile development processes at a strategic level, including roadmap planning, backlog grooming, and empowering cross\-functional teams to deliver results
* Define, monitor, and optimize KPIs and metrics to measure the success and impact of products, driving continuous improvement and innovation
* Provide strategic updates, insights, and recommendations to executive leaders, highlighting product progress, key achievements, and future roadmaps
* Mentor and develop product team members, fostering a culture of continuous learning and professional growth
* Performs other job\-related duties as assigned
**Required Qualifications**
* Bachelor's Degree
* Experience: 6\+ years
**Preferred Qualifications**
* None
 NextEra Energy offers a wide range of benefits to support our employees and their eligible family members. Click
 **here** 
 to learn more.
**Employee Group:** 
 Exempt
**Employee Type:** 
 Full Time
**Job Category:** 
 Information Technology
**Organization:** 
 NextEra Analytics, Inc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189">
      <c r="A189" t="inlineStr">
        <is>
          <t>li-4352297748</t>
        </is>
      </c>
      <c r="B189" t="inlineStr">
        <is>
          <t>Product Manager/Strategy 4-ProdDev</t>
        </is>
      </c>
      <c r="C189" t="inlineStr">
        <is>
          <t>Oracle</t>
        </is>
      </c>
      <c r="D189" t="inlineStr">
        <is>
          <t>linkedin</t>
        </is>
      </c>
      <c r="E189">
        <f>HYPERLINK("https://www.linkedin.com/jobs/view/4352297748", "https://www.linkedin.com/jobs/view/4352297748")</f>
        <v/>
      </c>
      <c r="F189" t="inlineStr"/>
      <c r="G189" t="inlineStr"/>
      <c r="H189" t="inlineStr"/>
      <c r="I189" t="inlineStr">
        <is>
          <t>**Job Description**
 Oracle Database Cloud is one of the fastest\-growing Oracle cloud product portfolios which includes Autonomous Database, Exadata Database, NoSQL Database, Blockchain, GoldenGate and more. We are seeking a dynamic and creative addition to the Global Strategy and Outbound Product Management (PM) team for Oracle Database Cloud offerings, whose primary goal will be to help accelerate the growth of database cloud services across all the worldwide regions. This person will focus on implementing business development activities, defining and refining the GTM programs, commercializing products and services, and working cross\-functionally to grow Database Cloud products and services as dictated by priorities. The priorities may change from quarter to quarter.
 At a strategic level, this individual needs to cross\-functionally define and execute the growth strategy of Oracle Database Cloud offerings, including seeking out market segments and partners that represent the growth opportunity.
 At a tactical level, this individual needs to enthusiastically interact with various internal business groups, operations units, product release teams, and test and development teams to manage the entire life cycle process of the services and products within the Mission Critical Database Technologies group. Furthermore, this individual also needs to actively
 engage with the sales and business development teams to understand, prioritize, and progressively eliminate roadblocks to the growth of Oracle Database Cloud, wherever they exist.
**Responsibilities**
 Among other items, potential responsibilities may include:
* Working with the technology\-focused Product Management team to understand and develop key differentiation and
 success factors for Oracle Database Cloud offerings.
* Working with various stakeholders to commercialize and launch service updates.
* Working with the marketing teams to align the messages to the core product value proposition, with the aim of developing the market and enhancing the pipeline.
* Working with the regional sales and business development teams to structure the sale plays, sale programs, and GTM market models, specifically tuned to the dynamics of each global region, as well as providing periodic training \&amp; support to the regional sales ecosystem.
* Working with partner teams to develop and enhance partner ecosystems. Activities involve aligning Oracle Database Cloud value proposition with partner’s GTM frameworks, evangelization, product positioning, vertical alignment, roadmap updates, solution support, and training.
* Working with the regional sale and business development teams to perform win\-loss analysis, create Point\-of\-View on regional success factors, and provide routine feedback to the executive management and technology\-focused product teams.
* Helping to build credible references, as well as create success stories, white papers, and field training material. We seek someone with a very can\-do attitude, who thinks creatively, is capable of creating independent Points\-of\-View, can build support/consensus in a large multi\-functional organization, and is aggressive at introducing new and evolving cloud concepts across all global regions.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0">
      <c r="A190" t="inlineStr">
        <is>
          <t>li-4352415991</t>
        </is>
      </c>
      <c r="B190" t="inlineStr">
        <is>
          <t>Senior Product Manager- Advisor Services Product Experience</t>
        </is>
      </c>
      <c r="C190" t="inlineStr">
        <is>
          <t>Charles Schwab</t>
        </is>
      </c>
      <c r="D190" t="inlineStr">
        <is>
          <t>linkedin</t>
        </is>
      </c>
      <c r="E190">
        <f>HYPERLINK("https://www.linkedin.com/jobs/view/4352415991", "https://www.linkedin.com/jobs/view/4352415991")</f>
        <v/>
      </c>
      <c r="F190" t="inlineStr"/>
      <c r="G190" t="inlineStr">
        <is>
          <t>Raleigh, NC</t>
        </is>
      </c>
      <c r="H190" t="inlineStr"/>
      <c r="I190" t="inlineStr">
        <is>
          <t>Your opportunity
 Advisor Services (AS) is the industry leader in providing custody, trading, technology, and practice management services to independent advisory firms. We provide access to sophisticated wealth services that help Registered Investment Advisors (RIAs) attract and retain affluent clients, as well as profitably grow, compete, and succeed in their business efforts.
 As part of the Advisor Experience \&amp; Platform Services organization, the Advisor Services Investment Product Experience team supports investment products such as funds, managed accounts and alternative investments as well as Turnkey Asset Management Providers (TAMPs) that custody with Schwab and those actively converting to Schwab. We work to define, develop and launch new initiatives and enhance existing offers in support of Advisor Services’ strategic objectives.
 The Investment Product team works on a wide range of projects driven by Advisor Services’ priorities, and this Senior Manager role will focus on initiatives related to the TAMP program: designing, delivering and integrating this key platform with a focus on the three distinct experiences: TAMP, advisor and client. This role will involve developing streamlined onboarding and ongoing support processes for TAMPs, understanding their unique needs, and executing on a roadmap guiding how AS can fully and efficiently provide a successful end\-to\-end support model for these firms that addresses. The Senior Manager will serve as a Subject Matter Expert and advocate for TAMPs both internally and externally with these third\-party firms and ensure that any goals and milestones align with Advisor Services’ strategic objectives and address the needs of our TAMPs, advisors and their clients.
**Key Contributions**
* As a member of a team of three senior managers supporting TAMPs and their needs, you’ll directly manage and own the TAMP experience in Advisor Services in conjunction with sales and transition teams.
* Work collaboratively across multiple stakeholders to develop and deliver a cohesive vision, experience and roadmap for TAMP clients as well as the advisors who use them.
* Develop a well\-informed and trusted point of view on the TAMP experience that can help facilitate the business and product investment planning processes within Advisor Services.
* As TAMP SME, become an expert in the needs, expectations and pain points of TAMPs and the Advisor Services’ teams supporting them. Assess the competitive environment, industry trends, current strengths and gaps.
* Maintain an ongoing dialogue with TAMP firms, including onboarding walk throughs, surveys and feedback collecting, and general partnership work.
* In partnership with our Sales and Service teams, proactively develop ways that these firms’ experiences can be streamlined and/or modernized to work best for them as well as our sales and support teams.
* Champion and communicate to management and key partners the TAMP platform experience and associated projects, with a focus on managing day\-to\-day support
* Regularly partner with stakeholder teams cross\-functionally and cross\-enterprise. Key partners include those across Advisor Services, including Sales, Business Development, Service, Strategy, Legal \&amp; Compliance, Risk, and Marketing, as well as teams throughout the Schwab organization, including Wealth \&amp; Advice Solutions, Schwab Asset Management and Digital Services.
 What you have
**Your Qualifications And Impact**
**Technical \&amp; Industry Expertise**
* Extensive experience (5–10\+ years) in financial services, with a focus on client experience, product development, and project management.
* Analytical and problem\-solving skills, with the ability to develop actionable recommendations and execution plans.
* Knowledge of Schwab’s TAMP platform and ability to define, present, and create actionable strategies.
**Success Drivers**
* Influence and leadership: Ability to shape decisions, develop roadmaps, and lead working groups to resolve issues.
* Exceptional communication: Skilled at simplifying complex concepts, synthesizing data, and delivering clear recommendations to stakeholders at all levels.
* Relationship building: Proven ability to create and leverage internal networks to drive platform initiatives.
* Proactive mindset: Demonstrated initiative in gathering insights, understanding business priorities, and driving solutions.
**Preferred Qualifications**
* Familiarity with RIAs, TAMPs, Outsource Agents and/or Managed Accounts preferred.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91">
      <c r="A191" t="inlineStr">
        <is>
          <t>li-4352317915</t>
        </is>
      </c>
      <c r="B191" t="inlineStr">
        <is>
          <t>Senior Product Manager- Advisor Services Product Experience</t>
        </is>
      </c>
      <c r="C191" t="inlineStr">
        <is>
          <t>Charles Schwab</t>
        </is>
      </c>
      <c r="D191" t="inlineStr">
        <is>
          <t>linkedin</t>
        </is>
      </c>
      <c r="E191">
        <f>HYPERLINK("https://www.linkedin.com/jobs/view/4352317915", "https://www.linkedin.com/jobs/view/4352317915")</f>
        <v/>
      </c>
      <c r="F191" t="inlineStr"/>
      <c r="G191" t="inlineStr">
        <is>
          <t>Westlake, TX</t>
        </is>
      </c>
      <c r="H191" t="inlineStr"/>
      <c r="I191" t="inlineStr">
        <is>
          <t>Your opportunity
 Advisor Services (AS) is the industry leader in providing custody, trading, technology, and practice management services to independent advisory firms. We provide access to sophisticated wealth services that help Registered Investment Advisors (RIAs) attract and retain affluent clients, as well as profitably grow, compete, and succeed in their business efforts.
 As part of the Advisor Experience \&amp; Platform Services organization, the Advisor Services Investment Product Experience team supports investment products such as funds, managed accounts and alternative investments as well as Turnkey Asset Management Providers (TAMPs) that custody with Schwab and those actively converting to Schwab. We work to define, develop and launch new initiatives and enhance existing offers in support of Advisor Services’ strategic objectives.
 The Investment Product team works on a wide range of projects driven by Advisor Services’ priorities, and this Senior Manager role will focus on initiatives related to the TAMP program: designing, delivering and integrating this key platform with a focus on the three distinct experiences: TAMP, advisor and client. This role will involve developing streamlined onboarding and ongoing support processes for TAMPs, understanding their unique needs, and executing on a roadmap guiding how AS can fully and efficiently provide a successful end\-to\-end support model for these firms that addresses. The Senior Manager will serve as a Subject Matter Expert and advocate for TAMPs both internally and externally with these third\-party firms and ensure that any goals and milestones align with Advisor Services’ strategic objectives and address the needs of our TAMPs, advisors and their clients.
**Key Contributions**
* As a member of a team of three senior managers supporting TAMPs and their needs, you’ll directly manage and own the TAMP experience in Advisor Services in conjunction with sales and transition teams.
* Work collaboratively across multiple stakeholders to develop and deliver a cohesive vision, experience and roadmap for TAMP clients as well as the advisors who use them.
* Develop a well\-informed and trusted point of view on the TAMP experience that can help facilitate the business and product investment planning processes within Advisor Services.
* As TAMP SME, become an expert in the needs, expectations and pain points of TAMPs and the Advisor Services’ teams supporting them. Assess the competitive environment, industry trends, current strengths and gaps.
* Maintain an ongoing dialogue with TAMP firms, including onboarding walk throughs, surveys and feedback collecting, and general partnership work.
* In partnership with our Sales and Service teams, proactively develop ways that these firms’ experiences can be streamlined and/or modernized to work best for them as well as our sales and support teams.
* Champion and communicate to management and key partners the TAMP platform experience and associated projects, with a focus on managing day\-to\-day support
* Regularly partner with stakeholder teams cross\-functionally and cross\-enterprise. Key partners include those across Advisor Services, including Sales, Business Development, Service, Strategy, Legal \&amp; Compliance, Risk, and Marketing, as well as teams throughout the Schwab organization, including Wealth \&amp; Advice Solutions, Schwab Asset Management and Digital Services.
 What you have
**Your Qualifications And Impact**
**Technical \&amp; Industry Expertise**
* Extensive experience (5–10\+ years) in financial services, with a focus on client experience, product development, and project management.
* Analytical and problem\-solving skills, with the ability to develop actionable recommendations and execution plans.
* Knowledge of Schwab’s TAMP platform and ability to define, present, and create actionable strategies.
**Success Drivers**
* Influence and leadership: Ability to shape decisions, develop roadmaps, and lead working groups to resolve issues.
* Exceptional communication: Skilled at simplifying complex concepts, synthesizing data, and delivering clear recommendations to stakeholders at all levels.
* Relationship building: Proven ability to create and leverage internal networks to drive platform initiatives.
* Proactive mindset: Demonstrated initiative in gathering insights, understanding business priorities, and driving solutions.
**Preferred Qualifications**
* Familiarity with RIAs, TAMPs, Outsource Agents and/or Managed Accounts preferred.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92">
      <c r="A192" t="inlineStr">
        <is>
          <t>li-4360663251</t>
        </is>
      </c>
      <c r="B192" t="inlineStr">
        <is>
          <t>Compliance Product Owner</t>
        </is>
      </c>
      <c r="C192" t="inlineStr">
        <is>
          <t>JLL</t>
        </is>
      </c>
      <c r="D192" t="inlineStr">
        <is>
          <t>linkedin</t>
        </is>
      </c>
      <c r="E192">
        <f>HYPERLINK("https://www.linkedin.com/jobs/view/4360663251", "https://www.linkedin.com/jobs/view/4360663251")</f>
        <v/>
      </c>
      <c r="F192">
        <f>HYPERLINK("https://jll.wd1.myworkdayjobs.com/jllcareers/job/Chicago-IL/Compliance-Product-Owner_REQ465778&amp;urlHash=pPaW", "https://jll.wd1.myworkdayjobs.com/jllcareers/job/Chicago-IL/Compliance-Product-Owner_REQ465778&amp;urlHash=pPaW")</f>
        <v/>
      </c>
      <c r="G192" t="inlineStr">
        <is>
          <t>Chicago, IL</t>
        </is>
      </c>
      <c r="H192" t="inlineStr"/>
      <c r="I192" t="inlineStr">
        <is>
          <t>**What This Job Involves**
 As a key member of the Global Ethics \&amp; Compliance team, this role leads product management and strategic alignment for JLL's multi\-year Anti Financial Crime (AFC) transformation program. You will serve as the primary bridge between Ethics \&amp; Compliance (E\&amp;C) and Technology teams, managing the product roadmap for AFC applications to facilitate the department delivering on regulatory compliance and operational excellence across JLL's global operations.
 This position combines strategic product ownership with hands\-on tactical management, driving requirements gathering, vendor relationships, and cross\-functional collaboration to deliver comprehensive AFC solutions spanning sanctions, AML, CTF and KYC activities. Reporting to the Head of Anti Financial Crime, you will be instrumental in aligning AFC development needs with enterprise data strategy and ensuring successful program delivery within budget and timeline parameters.
**Responsibilities**
* Manage and align AFC development needs to multi\-year program roadmap
* Act as Compliance application owner of both internal and external applications that deliver AFC coverage
* Assist in managing the technology backlog for Global E\&amp;C, ensuring priorities align with AFC goals and deliver tangible outcomes
* Make recommendations for solutions to functional and technical requirements needed for development
* Proactively identify opportunities to add value beyond current activities and address unmet needs to drive a continuous improvement cycle.
* Follow a disciplined product development approach including regimented requirements gathering, development and tracking of success metrics, budget vs. actuals, and net impact to annual compliance department goals
* Serve as Compliance lead and ambassador between Technology and E\&amp;C to capture and document functional requirements from E\&amp;C SMEs
* Write clear user stories, requirements, and acceptance criteria to guide technology development team
* Hold internal stakeholders accountable for executing within established development process and delivering within budget and timeline, escalating timely to Head of AFC when estimates are in jeopardy
* Remain connected with vendors and guide E\&amp;C SMEs through vendor relationship
* Collaborate with cross\-functional teams including technology, data governance, operations, and E\&amp;C SMEs to deliver high\-quality solutions
**Abilities / Skills**
* Global Agility: Must work effectively across cultures with multi\-geographical cross\-functional teams and provide guidance that drives results
* Problem Solving: Exceptional analytical and critical thinking abilities to identify complex issues, clarify requirements, and propose innovative solutions that meet policy and compliance standards.
* Attention to Detail: Execute tasks accurately while avoiding unnecessary corrections
* Role\-model Integrity: Uphold and champion the highest standards of Ethics \&amp; Compliance, demonstrating transparency and appropriate escalation
* Effective Communication (verbal and written): Translate functional requirements into technical specifications and communicate complex concepts to diverse stakeholders
**Education \&amp; Experience**
* Undergraduate degree in Computer Science, Accounting, Finance, Business Administration or related business field
* 8\+ years of experience of product development and transformation experience with at least 5 years of direct experience in the financial crime, AML, or compliance technology space within a global organization
* Strong technical acumen and understanding of system integrations, data governance, and compliance technology solutions
* Proven track record contributing to enterprise\-wide transformation
* Proficiency in agile methodologies and tools (e.g., Azure DevOps, Confluence, Jira)
* Recognized professional qualification in AML/CTF (e.g., CAMS) is a plus
* Project/program management experience a plus</t>
        </is>
      </c>
    </row>
    <row r="193">
      <c r="A193" t="inlineStr">
        <is>
          <t>li-4345392790</t>
        </is>
      </c>
      <c r="B193" t="inlineStr">
        <is>
          <t>Treasury Management Product Manager</t>
        </is>
      </c>
      <c r="C193" t="inlineStr">
        <is>
          <t>Navitas Credit Corp.</t>
        </is>
      </c>
      <c r="D193" t="inlineStr">
        <is>
          <t>linkedin</t>
        </is>
      </c>
      <c r="E193">
        <f>HYPERLINK("https://www.linkedin.com/jobs/view/4345392790", "https://www.linkedin.com/jobs/view/4345392790")</f>
        <v/>
      </c>
      <c r="F193" t="inlineStr"/>
      <c r="G193" t="inlineStr">
        <is>
          <t>Atlanta, GA</t>
        </is>
      </c>
      <c r="H193" t="inlineStr"/>
      <c r="I193" t="inlineStr">
        <is>
          <t>**Hiring In Atlanta, GA; Brentwood, TN; Nashville, TN; Greenville, SC**
 We are seeking a strategic and experienced
 **Treasury Management Product Manager** 
 to lead the development, enhancement, and delivery of treasury services across our organization. This role is responsible for managing product lifecycle activities, driving innovation, and supporting complex client implementations. The ideal candidate will lead cross\-functional teams, collaborate with internal and external partners, and ensure our treasury offerings remain competitive and compliant. This position plays a key role in supporting commercial banking relationships, optimizing pricing strategies, and representing the bank in business development and community engagement efforts.
* Lead and Develop the Product Management, Sales Enablement, and Treasury Billing teams.
* Drive product strategy and deliver new features aligned with customer needs and strategic goals.
* Serve as a subject matter expert for treasury solutions across departments and vendors.
* Support sales teams with complex client solutions and direct client engagement.
* Oversee onboarding and implementation for commercial clients, resolving escalated issues.
* Conduct competitive pricing reviews and ensure accurate service charge application.
* Maintain documentation for product features and functionality.
* Ensure product initiatives align with risk and compliance standards.
* Represent the bank at industry events and in community outreach efforts.
* Lead or contribute to special projects related to treasury management services.
* Bachelor’s degree in business, finance, economics, or related field, or equivalent experience
* 10\+ years in financial services, including treasury management or product/project management
* 3\+ years of direct management experience leading sales or financial professionals
* Certified Treasury Professional (CTP) preferred
* Accredited ACH Professional (AAP) preferred
* Strong knowledge of Treasury Management products and consultative sales techniques
* Familiarity with bank systems and commercial banking products including deposits, sweep accounts, account analysis, and loans
* Proficiency in Microsoft Office Suite (Excel, Word, PowerPoint, etc.)
* Excellent interpersonal, written, and presentation skills
* Proven ability to evaluate financial data and deliver persuasive sales presentations
* Strong organizational and time management skills
* Ability to communicate effectively across all levels of customers and internal teams
* Must be able to pass a criminal background check
* This is a full\-time position
* Up to 25% of travel required
**FLSA Status**
* Exempt
**Ready to take your grow your career with a team that values your contributions? Apply today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USD $84,136\.00 \- USD $139,486\.00 /Yr.</t>
        </is>
      </c>
    </row>
    <row r="194">
      <c r="A194" t="inlineStr">
        <is>
          <t>li-4359915197</t>
        </is>
      </c>
      <c r="B194" t="inlineStr">
        <is>
          <t>Program Manager - Research Operations - SYNERGY</t>
        </is>
      </c>
      <c r="C194" t="inlineStr">
        <is>
          <t>Dartmouth Health</t>
        </is>
      </c>
      <c r="D194" t="inlineStr">
        <is>
          <t>linkedin</t>
        </is>
      </c>
      <c r="E194">
        <f>HYPERLINK("https://www.linkedin.com/jobs/view/4359915197", "https://www.linkedin.com/jobs/view/4359915197")</f>
        <v/>
      </c>
      <c r="F194" t="inlineStr"/>
      <c r="G194" t="inlineStr">
        <is>
          <t>Lebanon, NH</t>
        </is>
      </c>
      <c r="H194" t="inlineStr"/>
      <c r="I194" t="inlineStr">
        <is>
          <t>**Overview**
 Provide administrative and programmatic support for the Dartmouth CTSI K12 Career Development Award, ensuring smooth operations, compliance with NIH requirements, and coordination between SYNERGY, ORO, and faculty leadership.
**Responsibilities**
* Provides oversight for all programmatic activities related to SYNERGY, the Dartmouth Clinical and Translational Science Institute (CTSI).
* Provides logistical support for all programmatic activities related to the C. Everett Koop Institute.
* Manages project communications and relationships with stakeholders, including those affiliated with Dartmouth Health, Dartmouth College, the White River Junction VA, and non\-Dartmouth institutions.
* Networks and collaborates on methods and tools with other CTSI program managers.
* Attends annual CTSI meeting and/or other relevant professional meetings.
* Coordinates materials to be presented at annual national CTSI/translational science meetings.
* Keeps leadership and the project team apprised of project progress through routine progress reports and other communications. Provides ongoing updates to the CTSI team.
* Manages meeting
* Manages and completes multiple priorities by the established deadline. Screens and assesses relative priorities of correspondence, inquiries and projects; organizes systems of tracking tasks. Organizes systems of distribution and review of these items in order to ensure proper handling, including support for Board of Trustees'
* Drafts documents based on
* Maintains both electronic and hard copy files.
* Composes drafts and answers routine Completes special studies, and/or finishes documents independently.
* Prepares and distributes meeting notices, agendas, and
* Gathers, investigates and analyzes speciifi issues as requested and provides the appropriate individuals with background information; suggests
* Researches, schedules and makes arrangements for special meetings,
* Devises and maintains consistent administrative office procedures and systems including ?ling systems, scheduling, drafting and document processing systems, and distribution/routing
* Explores opportunities for improving the work and systems of the office, implements and seeks consultation as
* Directs people and inquiries for appropriate
* Facilitates the use of new and existing data/telecommunications technology to enhance time
* Works in a team environment to handle phone coverage and other coverage for team
* Performs other duties as required or assigned
**Qualifications**
* Bachelor's degree with 5 years of experience (at least 3 of which are supporting an executive or comparable level position) or the equivalent in education and experience
* Master's degree
* Microsoft Word, Excel, PowerPoint, and Outlook skills required
* Outstanding written and verbal communication skills
* Ability to review and edit scientific manuscripts preferred.
* Ability to work independently, prioritize tasks, with attention to detail
* Previous experience in university or healthcare setting preferred</t>
        </is>
      </c>
    </row>
    <row r="195">
      <c r="A195" t="inlineStr">
        <is>
          <t>li-4359964024</t>
        </is>
      </c>
      <c r="B195" t="inlineStr">
        <is>
          <t>Software Application Program Manager</t>
        </is>
      </c>
      <c r="C195" t="inlineStr">
        <is>
          <t>Thayer Infrastructure Services</t>
        </is>
      </c>
      <c r="D195" t="inlineStr">
        <is>
          <t>linkedin</t>
        </is>
      </c>
      <c r="E195">
        <f>HYPERLINK("https://www.linkedin.com/jobs/view/4359964024", "https://www.linkedin.com/jobs/view/4359964024")</f>
        <v/>
      </c>
      <c r="F195" t="inlineStr"/>
      <c r="G195" t="inlineStr">
        <is>
          <t>Columbus, Ohio Metropolitan Area</t>
        </is>
      </c>
      <c r="H195" t="inlineStr"/>
      <c r="I195" t="inlineStr">
        <is>
          <t>Self\-starter, comfortable outlining and planning all aspects of work related to a given project such as budget, timelines, and tasks. Strong communication and influence. Able to foresee any problems related to the completion of a project and act in a timely manner to mitigate any issues. Requires hands\-on tactical work to deliver outcomes as we are a small team.
 If you want to lead a team of direct reports, this role is not for you. If you want to leverage your very wide range of people, technical, and problem solving skills to make a big impact on a whole company, it might be. You'll be joining a 9\-person IT department serving thousands of employees across several states.
**Responsibilities** 
* Develop and execute project plans
* Build relationships and influence business units to embrace change
* Anticipate and solve any problems
* Facilitate communication between stakeholders
**Qualifications** 
* Bachelor's degree 3\+ years of experience in program management
* Proficient in Microsoft Office suite
* Strong communication, organizational, analytical and critical thinking skills</t>
        </is>
      </c>
    </row>
    <row r="196">
      <c r="A196" t="inlineStr">
        <is>
          <t>li-4359795166</t>
        </is>
      </c>
      <c r="B196" t="inlineStr">
        <is>
          <t>Program Manager (5459)</t>
        </is>
      </c>
      <c r="C196" t="inlineStr">
        <is>
          <t>Three Saints Bay, LLC</t>
        </is>
      </c>
      <c r="D196" t="inlineStr">
        <is>
          <t>linkedin</t>
        </is>
      </c>
      <c r="E196">
        <f>HYPERLINK("https://www.linkedin.com/jobs/view/4359795166", "https://www.linkedin.com/jobs/view/4359795166")</f>
        <v/>
      </c>
      <c r="F196" t="inlineStr"/>
      <c r="G196" t="inlineStr">
        <is>
          <t>Suitland, MD</t>
        </is>
      </c>
      <c r="H196" t="inlineStr"/>
      <c r="I196" t="inlineStr">
        <is>
          <t>Location
 **Camp Springs, MD**
 Job Code
 **5459**
 \# of Openings
 **1**
 Apply Now (https://phg.tbe.taleo.net/phg01/ats/careers/v2/applyRequisition?org\=GATEWAYVENT\&amp;cws\=55\&amp;rid\=5459\)
**Kiliuda** 
 , a subsidiary of Three Saints Bay, LLC, and a Federal Government Contractor industry leader, is seeking a
 **Program Manager** 
 to join our Team in
 **Camp Springs, MD.**
**Requirements**
* The Program Manager shall have a bachelor's degree and a minimum of 6 years of experience serving as a Program Manager.
* The Program Manager shall have demonstrated experience planning, organizing, directing, supervising, and controlling program functions to ensure all contractual obligations are fulfilled, quality standards are met, and associated expectations of performance are achieved.
* The Program Manager shall have experience managing multiple personnel that are located in different performance locations across the United States.
**Apply at:** 
 https://phg.tbe.taleo.net/phg01/ats/careers/v2/viewRequisition?org\=GATEWAYVENT\&amp;cws\=55\&amp;rid\=5459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197">
      <c r="A197" t="inlineStr">
        <is>
          <t>li-4360643268</t>
        </is>
      </c>
      <c r="B197" t="inlineStr">
        <is>
          <t>Software Application Program Manager</t>
        </is>
      </c>
      <c r="C197" t="inlineStr">
        <is>
          <t>Thayer Infrastructure Services</t>
        </is>
      </c>
      <c r="D197" t="inlineStr">
        <is>
          <t>linkedin</t>
        </is>
      </c>
      <c r="E197">
        <f>HYPERLINK("https://www.linkedin.com/jobs/view/4360643268", "https://www.linkedin.com/jobs/view/4360643268")</f>
        <v/>
      </c>
      <c r="F197" t="inlineStr"/>
      <c r="G197" t="inlineStr">
        <is>
          <t>Columbus, Ohio Metropolitan Area</t>
        </is>
      </c>
      <c r="H197" t="inlineStr"/>
      <c r="I197" t="inlineStr">
        <is>
          <t>Self\-starter, comfortable outlining and planning all aspects of work related to a given project such as budget, timelines, and tasks. Strong communication and influence. Able to foresee any problems related to the completion of a project and act in a timely manner to mitigate any issues. Requires hands\-on tactical work to deliver outcomes as we are a small team.
 If you want to lead a team of direct reports, this role is not for you. If you want to leverage your very wide range of people, technical, and problem solving skills to make a big impact on a whole company, it might be. You'll be joining a 9\-person IT department serving thousands of employees across several states.
**Responsibilities** 
* Develop and execute project plans
* Build relationships and influence business units to embrace change
* Anticipate and solve any problems
* Facilitate communication between stakeholders
**Qualifications** 
* Bachelor's degree 3\+ years of experience in program management
* Proficient in Microsoft Office suite
* Strong communication, organizational, analytical and critical thinking skills</t>
        </is>
      </c>
    </row>
    <row r="198">
      <c r="A198" t="inlineStr">
        <is>
          <t>li-4327295132</t>
        </is>
      </c>
      <c r="B198" t="inlineStr">
        <is>
          <t>Imaging Clinical Program Manager - 248936</t>
        </is>
      </c>
      <c r="C198" t="inlineStr">
        <is>
          <t>Medix™</t>
        </is>
      </c>
      <c r="D198" t="inlineStr">
        <is>
          <t>linkedin</t>
        </is>
      </c>
      <c r="E198">
        <f>HYPERLINK("https://www.linkedin.com/jobs/view/4327295132", "https://www.linkedin.com/jobs/view/4327295132")</f>
        <v/>
      </c>
      <c r="F198" t="inlineStr"/>
      <c r="G198" t="inlineStr">
        <is>
          <t>Beverly Hills, CA</t>
        </is>
      </c>
      <c r="H198" t="inlineStr"/>
      <c r="I198" t="inlineStr">
        <is>
          <t>**Imaging Clinical Program Manager \- MRI Safety** 
**Location:** 
 Beverly Hills, CA
**Shift:** 
 Full\-Time, Monday \- Friday 8:00 am \- 5:00 pm
**Compensation:** 
 $120,224 \- $192,358 Annually
**The Opportunity: MRI Clinical Program Manager** 
 We are seeking a dynamic and experienced
 **Imaging Clinical Program Manager** 
 to take the lead in planning, directing, managing, and coordinating all aspects of our enterprise\-wide
 **MRI Safety and Implant Safety Program** 
 .
 This role requires a dedicated professional who can interact with all imaging sections to provide leadership, operational support, policies, procedures, and technical guidance. You will collaborate across the enterprise to ensure seamless program implementation, staff training, proper use of program resources, and compliance with all state, federal, and regulatory bodies.
 Reporting to an Associate Director or Executive Director, this position is crucial to maintaining the highest standards of patient safety and quality in Magnetic Resonance Imaging (MRI).
**Summary of Essential Duties and Responsibilities** 
* **Program Management \&amp; Compliance:** 
 Oversee and manage the assigned imaging program, holding authority for day\-to\-day operations and administration.
* **Safety Protocol Supervision:** 
 In partnership with Imaging Physics, supervise all MR protocol changes and enhancements to guarantee strict compliance with all MRI safety requirements mandated by state, federal, and accreditation agencies within the health system's imaging operations.
* **Implant Safety Expertise:** 
 Serve as the key resource for research, protocols, and safety guidelines for all MRI patients with implants and implanted devices.
* **Training \&amp; Competency:** 
 Develop and deliver initial training, and continuously monitor ongoing competency, for all Magnetic Resonance Imaging Technologists (MR Techs) performing scans across the health system.
* **Documentation \&amp; Accreditation:** 
 Develop and maintain comprehensive MR Tech training records. Manage and ensure the accreditation of all MR scanners within the system.
* **Leadership:** 
 May supervise staff (either indirectly or directly) with regard to service excellence and human capital development.
**Required Qualifications** 
**Experience** 
* Minimum of
 **3 years** 
 of experience as an MRI Technologist.
**Education** 
* High School Diploma or GED required.
* Graduate of a JRCERT\-accredited radiological program required.
* *Preferred:* 
 Bachelor's Degree in Radiology.
**Certifications/Licensure** 
* ARRT (American Registry of Radiologic Technologists) or ARMIT certification required.
* **MRSO (Magnetic Resonance Safety Officer) certification from the American Board of Magnetic Resonance Safety required.**
* Basic Life Support (BLS) from the American Red Cross or American Heart Association required.
* *Preferred:* 
 California Radiologic Technologist (CRT) license.
**Benefits** 
* Comprehensive Health Insurance (Medical, Vision, Dental)
* 401(K) Retirement Plan</t>
        </is>
      </c>
    </row>
    <row r="199">
      <c r="A199" t="inlineStr">
        <is>
          <t>li-4345313142</t>
        </is>
      </c>
      <c r="B199" t="inlineStr">
        <is>
          <t>Program Manager</t>
        </is>
      </c>
      <c r="C199" t="inlineStr">
        <is>
          <t>Richardson Sales Performance</t>
        </is>
      </c>
      <c r="D199" t="inlineStr">
        <is>
          <t>linkedin</t>
        </is>
      </c>
      <c r="E199">
        <f>HYPERLINK("https://www.linkedin.com/jobs/view/4345313142", "https://www.linkedin.com/jobs/view/4345313142")</f>
        <v/>
      </c>
      <c r="F199" t="inlineStr"/>
      <c r="G199" t="inlineStr">
        <is>
          <t>Philadelphia, PA</t>
        </is>
      </c>
      <c r="H199" t="inlineStr"/>
      <c r="I199" t="inlineStr">
        <is>
          <t>**Program Manager:** 
 When sales professionals across the globe want to advance their careers, they turn to Richardson for training and help. So, it’s no surprise that many of the world’s top sales leaders, thinkers, trainers, and other professionals ultimately chose to work for Richardson itself. Not only has Richardson been an industry leader since 1978, but this is where the latest thinking in agile sales training and other innovations are continuing to be developed. And because the same highly personalized approach that we take to sales training informs our approach to employee development, Richardson has created the ideal environment for great careers to take off.
 We engage clients and find ways to turn potential into progress; we create solutions to unlock what is possible – managers who know exactly how to drive growth from their teams, customers who see the difference in how their sales teams show up, and a clear path to outperformance. We provide a modern performance improvement solution with collaborative customization, that drives process change, enhances selling skills, and provides comprehensive curricula to equip sales professionals with all they need to get ahead and stay ahead. We stay at the forefront of business trends that are driving significant change across all industries, and we provide thought leadership and market guidance in response. Our goal is to consistently exceed client expectations and bring them the full value of our exceptional solutions to drive their business forward.
**Our company is growing \&amp; evolving and now is an exciting time to join our team** 
 .
**That’s where you come in** 
 …
 The Program Manager is responsible for the implementation of Richardson’s products and services for clients and serves as the primary business contact for the client and internal team during the implementation period. The Implementation Specialist is assigned to client relationships and after onboarding to the project, drives all phases of implementation, which is determined on a project\-by\-project basis.
 The Program Manager is expected to liaise between the client and internal project teams, including but not limited to Customer Success, Sales, Design, Scheduling/Trainer Management, and Finance/Billing. The Program Manager will clearly represent client needs, expectations, and limitations, resolve potential red flags, as well as proactively manage the implementation to ensure that deliverables meet client expectations through effective communication of scope and scope changes, while managing to timelines on both sides.
 The primary objectives of this role include but are not limited to:
* Guide clients through and ensure satisfaction with the implementation of Richardson solutions.
* Ensure profitability of projects (ensure efficiency in delivering value, and get paid accordingly)
* Take ownership of project implementation to increase selling time for the RVP
**Responsibilities:** 
* Drives and oversees the onboarding and implementation of Richardson solutions.
* Builds and maintains projects plans for the implementation process.
* Ensures that all implementation processes and procedures are completed, quality standards are met, and deliverables are profitable.
* Acts as primary point of contact for client communication during implementation and oversees implementation of services.
* Liaises with internal resources to ensure that calls and trainings are properly staffed, all participants are informed, and special requests are appropriately resolved.
* Resolves or escalates client needs, questions, requests, or issues
* Clearly communicates, confirms client’s understanding, and requires compliance to internal policies; for ex. trainer hold and training day cancellation, observer policy etc.
* Provides regular updates to the Customer Success Manager and Sales Representative regarding the status of implementation and customer satisfaction, including any scope issues.
* Ensures transition to the Customer Success Manager after successful implementation onboarding.
**Job requirements:** 
***Qualifications***
* Minimum of 3 years’ experience in account management, project management, and/or service delivery required; training/consulting industry experience and/or experience with a high growth firm that delivers customized solutions preferred
* Bachelor’s Degree in related field preferred
* Project management skills and tools
* Detail and process oriented; highly organized and able to multi\-task
* Takes ownership of ensuring client expectations are met in a profitable and efficient manner
* Ability to build positive internal and external relationships in person and virtually
* Simultaneously client and profitability\-focused
* Highly motivated, goal\-oriented, and self\-directed
* Experience with CRM and sales operation tools
* Advanced Microsoft Excel, as well as Microsoft Outlook, Word and PowerPoint Skills, and Project Management tools a plus
* Exhibits business acumen skills
* Strong, client\-focused communication skills – written and verbal
* Ability to recognize and refer sales opportunities to salesperson
* Ability to think creatively and problem\-solve
* Builder of collaborative cross\-functional relationships
* Ability to manage multiple priorities and meet deadlines within a demanding and deadline\-driven environment
* Minimal travel required (10% or less)
* **Customer Intimacy** 
 : Models a culture of customer success to deliver on customer needs and insights during implementation.
* **Engaging Customers** 
 ; Actively engages in onboarding activities to drive customer satisfaction.
* **Need Analysis** 
 : Understand customer’s needs in terms of both the customer’s business situation and challenges and products/services.
* **Presentations \&amp; Demos** 
 : Prepares and presents formal recommendations for how the organization can meet the customer’s needs. Discovers what benefits will be most important to solving a customer’s challenges and highlight the business value of those features.
* **Product Knowledge** 
 : Uses knowledge of specific prducts/services to detail how each product/service works, what business value it offers, and the reason it appeals to our customers.
* **Project Management** 
 : Plans, organizes and executes a project within scope, time, cost, and quality.
* **Accountability:** 
 Self\-motivated and reliable to be accountable for outcomes
***Abilities, Attributes \&amp; Other:***
**Additional Information** 
* The Customer Success Specialist is a salaried, full\-time role, with standard working hours of 8:30 am – 5:30 pm, Monday \- Friday; additional hours may be needed at times, upon request. Richardson Sales Performance has a remote\-first hybrid work policy, meaning that employees are empowered to choose the work location that will allow them to be most productive. Employees within commuting distance of the Philadelphia HQ office are expected to go into the office 2\-3 times per month for team meetings; employees outside of commuting distance may be asked to travel in on occasion.
* We offer a comprehensive employee health \&amp; wellness benefits program. Salary is commensurate with experience.
**Equal Opportunity Employer:** 
 Richardson Sales Performance is committed to cultivating a workplace that is diverse, equitable, and inclusive, and we are continuously evolving our DE\&amp;I practices to make progress in this area. Our business policies and practices, including those around hiring, protect all individuals and organizations that we do business with from discrimination based on any and all non\-merit based factors, including race, color, religion, sex (including pregnancy, gender identity, and sexual orientation), parental status, national origin, age, disability, genetic information (including family medical history), political affiliation, or military service.</t>
        </is>
      </c>
    </row>
    <row r="200">
      <c r="A200" t="inlineStr">
        <is>
          <t>li-4352406947</t>
        </is>
      </c>
      <c r="B200" t="inlineStr">
        <is>
          <t>Sr Principal Technical Program Manager - Engineering Architecture</t>
        </is>
      </c>
      <c r="C200" t="inlineStr">
        <is>
          <t>Oracle</t>
        </is>
      </c>
      <c r="D200" t="inlineStr">
        <is>
          <t>linkedin</t>
        </is>
      </c>
      <c r="E200">
        <f>HYPERLINK("https://www.linkedin.com/jobs/view/4352406947", "https://www.linkedin.com/jobs/view/4352406947")</f>
        <v/>
      </c>
      <c r="F200">
        <f>HYPERLINK("https://eeho.fa.us2.oraclecloud.com/hcmUI/CandidateExperience/en/job/322075/?utm_medium=jobboard&amp;utm_source=LinkedIn&amp;urlHash=zgf1", "https://eeho.fa.us2.oraclecloud.com/hcmUI/CandidateExperience/en/job/322075/?utm_medium=jobboard&amp;utm_source=LinkedIn&amp;urlHash=zgf1")</f>
        <v/>
      </c>
      <c r="G200" t="inlineStr">
        <is>
          <t>Seattle, WA</t>
        </is>
      </c>
      <c r="H200" t="inlineStr"/>
      <c r="I200"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rare opportunities for creative, hands\-on technical program owners with the expertise and passion to seek hard problems in distributed, highly available cloud services and virtualized infrastructure. Our TPMs have a significant business impact crafting and building new systems to power our customers business critical applications.
 In this Sr Principal Technical Program Management role, you will be working across multiple functional teams and lead us through planning and designing technical solutions on software development and GPU Data Center Infrastructure to solve the business\-critical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our technical architects,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in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with cross\-functional teams to establish and maintain roadmaps, setting appropriate expectations while maintaining standards.
* Thrive and succeed in an innovative and fast\-paced environment and not be hindered by ambiguity or conflicting priorities.
* Work as a lead contributor individually, and as a team member, providing direction and mentoring others as needed/requested.
* Drive other obligations management duties, as needed.
**Minimum Qualifications**
* Bachelor's degree in computer sciences, software engineering, technology management, business management, or similar.
* 5\+ years of experience as a member of a software development or product development team in cloud technologies
* 10\+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 Highly analytical, technically proficient, and able to learn about new tools, software, and market opportunities quickly.
**Preferred Qualifications**
* 10\+ years of program/project management, product design or related experience
* Bachelor’s degree in computer science or relevant technical field or equivalent work experience
* Thorough understanding of public cloud infrastructure services, such as Compute, Storage, Identity and Networking
* Demonstrated knowledge of either OCI, AWS, Azure or Google IaaS, SaaS and PaaS services.
* Exposure working on GPU, GPU Infrastructure and Data Center design.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1">
      <c r="A201" t="inlineStr">
        <is>
          <t>li-4352357670</t>
        </is>
      </c>
      <c r="B201" t="inlineStr">
        <is>
          <t>Sr Principal Technical Program Manager - Engineering Architecture</t>
        </is>
      </c>
      <c r="C201" t="inlineStr">
        <is>
          <t>Oracle</t>
        </is>
      </c>
      <c r="D201" t="inlineStr">
        <is>
          <t>linkedin</t>
        </is>
      </c>
      <c r="E201">
        <f>HYPERLINK("https://www.linkedin.com/jobs/view/4352357670", "https://www.linkedin.com/jobs/view/4352357670")</f>
        <v/>
      </c>
      <c r="F201">
        <f>HYPERLINK("https://eeho.fa.us2.oraclecloud.com/hcmUI/CandidateExperience/en/job/322075/?utm_medium=jobboard&amp;utm_source=LinkedIn&amp;urlHash=zgf1", "https://eeho.fa.us2.oraclecloud.com/hcmUI/CandidateExperience/en/job/322075/?utm_medium=jobboard&amp;utm_source=LinkedIn&amp;urlHash=zgf1")</f>
        <v/>
      </c>
      <c r="G201" t="inlineStr">
        <is>
          <t>Austin, TX</t>
        </is>
      </c>
      <c r="H201" t="inlineStr"/>
      <c r="I201"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rare opportunities for creative, hands\-on technical program owners with the expertise and passion to seek hard problems in distributed, highly available cloud services and virtualized infrastructure. Our TPMs have a significant business impact crafting and building new systems to power our customers business critical applications.
 In this Sr Principal Technical Program Management role, you will be working across multiple functional teams and lead us through planning and designing technical solutions on software development and GPU Data Center Infrastructure to solve the business\-critical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our technical architects,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in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with cross\-functional teams to establish and maintain roadmaps, setting appropriate expectations while maintaining standards.
* Thrive and succeed in an innovative and fast\-paced environment and not be hindered by ambiguity or conflicting priorities.
* Work as a lead contributor individually, and as a team member, providing direction and mentoring others as needed/requested.
* Drive other obligations management duties, as needed.
**Minimum Qualifications**
* Bachelor's degree in computer sciences, software engineering, technology management, business management, or similar.
* 5\+ years of experience as a member of a software development or product development team in cloud technologies
* 10\+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 Highly analytical, technically proficient, and able to learn about new tools, software, and market opportunities quickly.
**Preferred Qualifications**
* 10\+ years of program/project management, product design or related experience
* Bachelor’s degree in computer science or relevant technical field or equivalent work experience
* Thorough understanding of public cloud infrastructure services, such as Compute, Storage, Identity and Networking
* Demonstrated knowledge of either OCI, AWS, Azure or Google IaaS, SaaS and PaaS services.
* Exposure working on GPU, GPU Infrastructure and Data Center design.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2">
      <c r="A202" t="inlineStr">
        <is>
          <t>li-4352454483</t>
        </is>
      </c>
      <c r="B202" t="inlineStr">
        <is>
          <t>Sr Principal Technical Program Manager - Engineering Architecture</t>
        </is>
      </c>
      <c r="C202" t="inlineStr">
        <is>
          <t>Oracle</t>
        </is>
      </c>
      <c r="D202" t="inlineStr">
        <is>
          <t>linkedin</t>
        </is>
      </c>
      <c r="E202">
        <f>HYPERLINK("https://www.linkedin.com/jobs/view/4352454483", "https://www.linkedin.com/jobs/view/4352454483")</f>
        <v/>
      </c>
      <c r="F202" t="inlineStr"/>
      <c r="G202" t="inlineStr">
        <is>
          <t>Nashville, TN</t>
        </is>
      </c>
      <c r="H202" t="inlineStr"/>
      <c r="I202"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rare opportunities for creative, hands\-on technical program owners with the expertise and passion to seek hard problems in distributed, highly available cloud services and virtualized infrastructure. Our TPMs have a significant business impact crafting and building new systems to power our customers business critical applications.
 In this Sr Principal Technical Program Management role, you will be working across multiple functional teams and lead us through planning and designing technical solutions on software development and GPU Data Center Infrastructure to solve the business\-critical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our technical architects,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in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with cross\-functional teams to establish and maintain roadmaps, setting appropriate expectations while maintaining standards.
* Thrive and succeed in an innovative and fast\-paced environment and not be hindered by ambiguity or conflicting priorities.
* Work as a lead contributor individually, and as a team member, providing direction and mentoring others as needed/requested.
* Drive other obligations management duties, as needed.
**Minimum Qualifications**
* Bachelor's degree in computer sciences, software engineering, technology management, business management, or similar.
* 5\+ years of experience as a member of a software development or product development team in cloud technologies
* 10\+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 Highly analytical, technically proficient, and able to learn about new tools, software, and market opportunities quickly.
**Preferred Qualifications**
* 10\+ years of program/project management, product design or related experience
* Bachelor’s degree in computer science or relevant technical field or equivalent work experience
* Thorough understanding of public cloud infrastructure services, such as Compute, Storage, Identity and Networking
* Demonstrated knowledge of either OCI, AWS, Azure or Google IaaS, SaaS and PaaS services.
* Exposure working on GPU, GPU Infrastructure and Data Center design.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3">
      <c r="A203" t="inlineStr">
        <is>
          <t>li-4352397316</t>
        </is>
      </c>
      <c r="B203" t="inlineStr">
        <is>
          <t>Sr Principal Technical Program Manager - Engineering Architecture</t>
        </is>
      </c>
      <c r="C203" t="inlineStr">
        <is>
          <t>Oracle</t>
        </is>
      </c>
      <c r="D203" t="inlineStr">
        <is>
          <t>linkedin</t>
        </is>
      </c>
      <c r="E203">
        <f>HYPERLINK("https://www.linkedin.com/jobs/view/4352397316", "https://www.linkedin.com/jobs/view/4352397316")</f>
        <v/>
      </c>
      <c r="F203" t="inlineStr"/>
      <c r="G203" t="inlineStr"/>
      <c r="H203" t="inlineStr"/>
      <c r="I203"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rare opportunities for creative, hands\-on technical program owners with the expertise and passion to seek hard problems in distributed, highly available cloud services and virtualized infrastructure. Our TPMs have a significant business impact crafting and building new systems to power our customers business critical applications.
 In this Sr Principal Technical Program Management role, you will be working across multiple functional teams and lead us through planning and designing technical solutions on software development and GPU Data Center Infrastructure to solve the business\-critical problems in a very agile, fast\-paced, and collaborative environment. The position relies heavily on influence rather than authority to drive projects.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will monitor the project from initiation through delivery. Organize the interdepartmental activities ensuring completion of the project/product on schedule and within budget constraints. You will assign and monitor work of systems analysis and program staff, providing technical support and direction.
 You will collaborate closely with our technical architects, partners in program and product management to understand our customers and build the right solutions and products that makes their needs and businesses complete.
 You should possess exceptional problem\-solving skills, strong business judgment, and notable experience collaborating in hybrid teams. You are a self\-starter technical leader with a shown ability to execute both strategically and tactically, and someone who is excited to take on new projects.
 You have strong interpersonal skills including mentoring, coaching, collaborating, and team building. You should be customer\-focused with a passion for the cloud. You will partner closely with peers, developers, and customers to create solutions, while simultaneously evolving existing capabilities.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in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Work with cross\-functional teams to establish and maintain roadmaps, setting appropriate expectations while maintaining standards.
* Thrive and succeed in an innovative and fast\-paced environment and not be hindered by ambiguity or conflicting priorities.
* Work as a lead contributor individually, and as a team member, providing direction and mentoring others as needed/requested.
* Drive other obligations management duties, as needed.
**Minimum Qualifications**
* Bachelor's degree in computer sciences, software engineering, technology management, business management, or similar.
* 5\+ years of experience as a member of a software development or product development team in cloud technologies
* 10\+ years of experience as hands\-on technical program manager; preferably in a related industry.
* Advanced knowledge of the full life cycle of product development and experience launching and operating customer\-facing cloud services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 Highly analytical, technically proficient, and able to learn about new tools, software, and market opportunities quickly.
**Preferred Qualifications**
* 10\+ years of program/project management, product design or related experience
* Bachelor’s degree in computer science or relevant technical field or equivalent work experience
* Thorough understanding of public cloud infrastructure services, such as Compute, Storage, Identity and Networking
* Demonstrated knowledge of either OCI, AWS, Azure or Google IaaS, SaaS and PaaS services.
* Exposure working on GPU, GPU Infrastructure and Data Center design.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4">
      <c r="A204" t="inlineStr">
        <is>
          <t>li-4352471812</t>
        </is>
      </c>
      <c r="B204" t="inlineStr">
        <is>
          <t>Grants &amp; Program Manager</t>
        </is>
      </c>
      <c r="C204" t="inlineStr">
        <is>
          <t>Jobot</t>
        </is>
      </c>
      <c r="D204" t="inlineStr">
        <is>
          <t>linkedin</t>
        </is>
      </c>
      <c r="E204">
        <f>HYPERLINK("https://www.linkedin.com/jobs/view/4352471812", "https://www.linkedin.com/jobs/view/4352471812")</f>
        <v/>
      </c>
      <c r="F204" t="inlineStr"/>
      <c r="G204" t="inlineStr">
        <is>
          <t>Los Angeles, CA</t>
        </is>
      </c>
      <c r="H204" t="inlineStr"/>
      <c r="I204" t="inlineStr">
        <is>
          <t>Want to learn more about this role and Jobot? Click our Jobot logo and follow
 our LinkedIn page!
 Job details:
**Leading Non\-Profit. Accelerating ideas into action to advance the public good!**
 This Jobot Job is hosted by: Milan Kacar
 Are you a fit? Easy Apply now by clicking the "Easy Apply" button
 and sending us your resume.
 Salary: $80,000 \- $100,000 per year
**A bit about us:**
 Los Angeles based nonprofit that creates new charitable projects, and manages major philanthropic initiatives to benefit the region.
**Why join us?**
* Great compensation
* Opportunity to work with a company that has a strong impact on its community
* Comprehensive Health Benefits as a consultant through Jobot!
**Job Details**
 We are seeking a Grant Accountant, ideally someone with a Non\-Profit background, to join our team on an interim basis:
* Managing revenue related to grants, contracts, cooperative agreements, and subawards.
* Oversee the invoicing with crossover responsibilities in fiscal and program compliance
* Review journal entries created by staff to ensure GAAP compliance
* Lead the optimization of the AR team’s business processes and workflows
 DO YOU HAVE:
* 2\+ years of experience in grant management and grant accounting
* Strong written and verbal communication skills
* Bachelors Degree or equivalent work experience
* Experience with multiple financial systems
 PLEASE APPLY IF YOU MEET MOST OF THESE REQUIREMENTS!
 Interested in hearing more? Easy Apply now by clicking the "Easy Apply" button.
**Want to learn more about this role
 and Jobot?**
 Click our Jobot logo and follow our LinkedIn page!\\n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2026-01-11T03:02:20Z</dcterms:created>
  <dcterms:modified xsi:type="dcterms:W3CDTF">2026-01-11T03:02:20Z</dcterms:modified>
</cp:coreProperties>
</file>