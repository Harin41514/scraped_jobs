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in-7249a04431fe8e44</t>
        </is>
      </c>
      <c r="B2" t="inlineStr">
        <is>
          <t>Principal Data Scientist</t>
        </is>
      </c>
      <c r="C2" t="inlineStr">
        <is>
          <t>Capital One</t>
        </is>
      </c>
      <c r="D2" t="inlineStr">
        <is>
          <t>indeed</t>
        </is>
      </c>
      <c r="E2" t="inlineStr"/>
      <c r="F2" t="inlineStr"/>
      <c r="G2" t="inlineStr">
        <is>
          <t>McLean, VA, US</t>
        </is>
      </c>
      <c r="H2" s="2" t="n">
        <v>46030</v>
      </c>
      <c r="I2" t="inlineStr">
        <is>
          <t>Principal Data Scientist**Principal Associate, Data Scientist \- Business Card and Payments**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Business Card \&amp; Payments Data Science team builds industry leading machine learning models to power real\-time credit underwriting decisions. This gives us the opportunity to make an impact on every Capital One business applicant by granting the right access to credit to grow their business. Our team builds full\-spectrum credit models to support new and existing credit products and marketing strategies. We use new modeling techniques, develop new data sources, and engage in strong collaboration across multiple areas of our business to problem solve and develop innovative approaches that define our long term modeling and data strategy.**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3 years’ experience in Python**
* **At least 3 years’ experience with machine learning\- end\-to\-end development through deployment experience is a plus.**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Richmond, VA: $147,100 \- $167,900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
      <c r="A3" t="inlineStr">
        <is>
          <t>in-466385445f9e1552</t>
        </is>
      </c>
      <c r="B3" t="inlineStr">
        <is>
          <t>Applied Scientist, Copilot Shared Services</t>
        </is>
      </c>
      <c r="C3" t="inlineStr">
        <is>
          <t>Microsoft</t>
        </is>
      </c>
      <c r="D3" t="inlineStr">
        <is>
          <t>indeed</t>
        </is>
      </c>
      <c r="E3" t="inlineStr"/>
      <c r="F3" t="inlineStr"/>
      <c r="G3" t="inlineStr">
        <is>
          <t>Redmond, WA, US</t>
        </is>
      </c>
      <c r="H3" s="2" t="n">
        <v>46023</v>
      </c>
      <c r="I3" t="inlineStr">
        <is>
          <t>**Overview**  
Join an innovative team that delivers core Copilot Shared Services for our flagship Office Apps such as Word, Excel, and PowerPoint. Our mission is to deliver the next generation of personalized Copilot experiences leveraging best of breed Microsoft technologies across Copilot Platform, Microsoft Substrate, and beyond. Consider this opportunity to advance our approach in ways that benefits millions of people. We will achieve this through innovation and vision for our next\-gen solutions, connecting key partnerships across Microsoft, and influencing best\-of\-breed advancements leveraging AI technology.  
Within Copilot Shared Services, we apply new foundational LLMs, create advanced ML techniques, develop rich algorithms, and leverage AI and the skills of Applied Science to accelerate developmental advancements and improve quality of our customer experiences. We invest in agentic solutions and are working to advance methods of evaluation and automated customer solutions.  
We are looking for a **Senior Applied Scientist** to join our team to help establish the vision of the future. In this role, you’ll work closely with engineers, program managers, data scientists and applied scientists to improve our approach to personalized experiences, best leverage and fine tune foundational models, advance evaluation techniques, and improve engineering productivity.  
If you're excited about an opportunity to advance applied AI and making a difference in the future of Copilot for Office apps, we’d love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lead, and help to conduct research projects and workstreams that directly benefit our customers, drive positive usage, and improve Microsoft’s core productivity products.
* Formulation of advanced prompt engineering, selecting and fine\-tuning LLMs, designing and managing evaluation datasets, develop concepts for more efficient and accurate solutions, and researching and assessing different architectures and approaches from across the M365 ecosystem.
* Collaborate and coordinate with people in a range of roles, including researchers, engineers, product managers, designers, and product leaders and other key product stakeholders.
* Generate ML / AI based models that can be shipped to customers to improve their experience and used internally to generate data insights to shape the features and products we ship to customers.
* Teach, guide, and tutor colleagues without research backgrounds in state\-of\-the\-art techniques and research best practices.
* Many of the things you will try should lead to unexpected outcomes. You must be comfortable learning from experience, developing new hypotheses, and iterating.
* Share project outcomes and insights with others via a range of means, including publication, to enable others to build on your work and to contribute to the understanding of our products as cutting\-edge and science driven.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1\+ year(s) experience developing and deploying products or systems at multiple points in the product cycle from ideation to shipping.
* 3\+ years of experience in machine learning, deep learning, natural language processing, computer vision, and/or statistics.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2\+ years related experience (e.g., statistics, predictive analytics, research)
	+ OR equivalent experience
* Ability to apply research, preferring the large\-scale application of new ideas over theory and prototypes.
* Experience working on successful applied research projects in industry environments.
* Experience coding and hands\-on experience working with foundation models.
* Demonstrated collaboration and communication skills, both within\-team and cross\-team, and experience working through problems in ambiguous environments adapting to new research challenges as technology develops.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
      <c r="A4" t="inlineStr">
        <is>
          <t>in-304d5f21e401694f</t>
        </is>
      </c>
      <c r="B4" t="inlineStr">
        <is>
          <t>Senior Data Scientist</t>
        </is>
      </c>
      <c r="C4" t="inlineStr">
        <is>
          <t>Microsoft</t>
        </is>
      </c>
      <c r="D4" t="inlineStr">
        <is>
          <t>indeed</t>
        </is>
      </c>
      <c r="E4" t="inlineStr"/>
      <c r="F4" t="inlineStr"/>
      <c r="G4" t="inlineStr">
        <is>
          <t>Redmond, WA, US</t>
        </is>
      </c>
      <c r="H4" s="2" t="n">
        <v>46005</v>
      </c>
      <c r="I4" t="inlineStr">
        <is>
          <t>**Overview**  
Are you passionate about applying your knowledge of statistics, machine learning, AI, and data analytics to help deliver new software innovation that delights our customers and increases the satisfaction of the engineers who write the code? Are you looking for big, creative challenges that show immediate results since your customers will be just down the virtual hall? If so, come join the **Engineering Systems 365 (ES365\) team**! Our systems are key to ensuring that code changes move quickly and efficiently from inception to release with provable high quality, at scale, across multiple endpoints, platforms, and device form factors – all while doing so securely and managing costs responsibly.
The team is looking for a **Senior Data Scientist** with a proven track record of understanding complex business problems and using industry\-leading analytical techniques to find insights that transform our business and customer experiences. A well\-qualified candidate is highly technical and possesses the drive and persistence needed to tackle complex business problems and create scalable, impactful insights from diverse data sets and pipelines. The candidate should be experienced working with leadership to identify business or engineering problems, translate them to Data Science problems, conduct the appropriate analysis \&amp; modeling to reveal actionable insights, and then communicate the impact to the leadership team to drive change.
This is a high visibility role with focus on big transformations and large gains. Engineers, product managers, applied researchers and other disciplines in the Experiences \+ Devices division and across Microsoft will be customers of your work. You’ll have the M365 Leadership Team heavily invested in your success and impact. You will build connections with other Engineering Systems teams across Microsoft, and together you will work to identify, define, and adopt best practices from within the company and the industry.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Engage with stakeholders to understand and address their business problems with data\-driven solutions. Have curiosity and apply analytical skills to dive deep into data to find key insights that impact the business
* Serve as a subject matter expert on advanced analytics, partnering with other teams to apply and leverage this skillset to guide data\-driven decision making while mentoring product managers, researchers, and engineers in data best practices
* Work with coworkers, partners and customers to define data needs, research questions, analysis plans, and deliverable timelines
* Translate complex technical findings into succinct, actionable business insights, often in coordination with partners who help you tell a holistic story
* Occasionally support high priority ad hoc requests from company and Engineering leadership
* Passion for innovation and discovering new insights into engineering analytics by leveraging advanced machine learning techniques and AI as well as continued learning in these disciplines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 science experience (e.g., managing structured and unstructured data, applying statistical techniques and reporting results)
	+ OR equivalent experience
**Preferred Qualifications:**
* Solid understanding of the Software Development Lifecycle and familiarity with common software engineering tools (Git, Azure DevOps/GitHub, etc)
* 2\+ years customer\-facing, project\-delivery experience, professional services, and/or consulting experience
* 3\+ years of experience working with data analysis languages and tools such as Python, R, Kusto, etc
* Demonstrated ability to deliver the right business impact by working with stakeholders to turn business problems into data analysis questions and unearthing deep insights from data via predictive analytics, statistical modeling, data mining, AI, or machine learning algorithms
* Have a track record of innovative thinking and problem\-solving skills by developing data pipelines and leveraging large data sets
* Be self\-driven and show the ability to deliver on ambiguous projects with incomplete data while collaborating on a multi\-disciplinary team
* Excellent problem solving and data analysis skills, with expertise in developing or applying predictive analytics, statistical modeling, data mining, AI, A/B experiments, or machine learning algorithms, especially at scale.
* Demonstrated communication skills and ability to collaborate in a multi\-disciplinary team.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
      <c r="A5" t="inlineStr">
        <is>
          <t>in-8dd2fbed063f6552</t>
        </is>
      </c>
      <c r="B5" t="inlineStr">
        <is>
          <t>AI &amp; GenAI Data Scientist - Manager</t>
        </is>
      </c>
      <c r="C5" t="inlineStr">
        <is>
          <t>PwC</t>
        </is>
      </c>
      <c r="D5" t="inlineStr">
        <is>
          <t>indeed</t>
        </is>
      </c>
      <c r="E5" t="inlineStr"/>
      <c r="F5" t="inlineStr"/>
      <c r="G5" t="inlineStr">
        <is>
          <t>Las Vegas, NV, US</t>
        </is>
      </c>
      <c r="H5" s="2" t="n">
        <v>46030</v>
      </c>
      <c r="I5"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
      <c r="A6" t="inlineStr">
        <is>
          <t>in-12630c20acf848ab</t>
        </is>
      </c>
      <c r="B6" t="inlineStr">
        <is>
          <t>AI &amp; GenAI Data Scientist - Manager</t>
        </is>
      </c>
      <c r="C6" t="inlineStr">
        <is>
          <t>PwC</t>
        </is>
      </c>
      <c r="D6" t="inlineStr">
        <is>
          <t>indeed</t>
        </is>
      </c>
      <c r="E6" t="inlineStr"/>
      <c r="F6" t="inlineStr"/>
      <c r="G6" t="inlineStr">
        <is>
          <t>Des Moines, IA, US</t>
        </is>
      </c>
      <c r="H6" s="2" t="n">
        <v>46030</v>
      </c>
      <c r="I6"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
      <c r="A7" t="inlineStr">
        <is>
          <t>in-92b1460ec8e89d38</t>
        </is>
      </c>
      <c r="B7" t="inlineStr">
        <is>
          <t>AI &amp; GenAI Data Scientist - Manager</t>
        </is>
      </c>
      <c r="C7" t="inlineStr">
        <is>
          <t>PwC</t>
        </is>
      </c>
      <c r="D7" t="inlineStr">
        <is>
          <t>indeed</t>
        </is>
      </c>
      <c r="E7" t="inlineStr"/>
      <c r="F7" t="inlineStr"/>
      <c r="G7" t="inlineStr">
        <is>
          <t>Pittsburgh, PA, US</t>
        </is>
      </c>
      <c r="H7" s="2" t="n">
        <v>46030</v>
      </c>
      <c r="I7"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
      <c r="A8" t="inlineStr">
        <is>
          <t>in-01a4fed11eed91ca</t>
        </is>
      </c>
      <c r="B8" t="inlineStr">
        <is>
          <t>AI &amp; GenAI Data Scientist - Manager</t>
        </is>
      </c>
      <c r="C8" t="inlineStr">
        <is>
          <t>PwC</t>
        </is>
      </c>
      <c r="D8" t="inlineStr">
        <is>
          <t>indeed</t>
        </is>
      </c>
      <c r="E8" t="inlineStr"/>
      <c r="F8" t="inlineStr"/>
      <c r="G8" t="inlineStr">
        <is>
          <t>Indianapolis, IN, US</t>
        </is>
      </c>
      <c r="H8" s="2" t="n">
        <v>46030</v>
      </c>
      <c r="I8"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
      <c r="A9" t="inlineStr">
        <is>
          <t>in-351caf8d1c7ba156</t>
        </is>
      </c>
      <c r="B9" t="inlineStr">
        <is>
          <t>AI &amp; GenAI Data Scientist - Manager</t>
        </is>
      </c>
      <c r="C9" t="inlineStr">
        <is>
          <t>PwC</t>
        </is>
      </c>
      <c r="D9" t="inlineStr">
        <is>
          <t>indeed</t>
        </is>
      </c>
      <c r="E9" t="inlineStr"/>
      <c r="F9" t="inlineStr"/>
      <c r="G9" t="inlineStr">
        <is>
          <t>San Antonio, TX, US</t>
        </is>
      </c>
      <c r="H9" s="2" t="n">
        <v>46030</v>
      </c>
      <c r="I9"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
      <c r="A10" t="inlineStr">
        <is>
          <t>in-673a624cac45b209</t>
        </is>
      </c>
      <c r="B10" t="inlineStr">
        <is>
          <t>AI &amp; GenAI Data Scientist - Manager</t>
        </is>
      </c>
      <c r="C10" t="inlineStr">
        <is>
          <t>PwC</t>
        </is>
      </c>
      <c r="D10" t="inlineStr">
        <is>
          <t>indeed</t>
        </is>
      </c>
      <c r="E10" t="inlineStr"/>
      <c r="F10" t="inlineStr"/>
      <c r="G10" t="inlineStr">
        <is>
          <t>Minneapolis, MN, US</t>
        </is>
      </c>
      <c r="H10" s="2" t="n">
        <v>46030</v>
      </c>
      <c r="I10"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
      <c r="A11" t="inlineStr">
        <is>
          <t>in-8572651bcd8e6667</t>
        </is>
      </c>
      <c r="B11" t="inlineStr">
        <is>
          <t>AI &amp; GenAI Data Scientist - Manager</t>
        </is>
      </c>
      <c r="C11" t="inlineStr">
        <is>
          <t>PwC</t>
        </is>
      </c>
      <c r="D11" t="inlineStr">
        <is>
          <t>indeed</t>
        </is>
      </c>
      <c r="E11" t="inlineStr"/>
      <c r="F11" t="inlineStr"/>
      <c r="G11" t="inlineStr">
        <is>
          <t>Los Angeles, CA, US</t>
        </is>
      </c>
      <c r="H11" s="2" t="n">
        <v>46030</v>
      </c>
      <c r="I11"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
      <c r="A12" t="inlineStr">
        <is>
          <t>in-10eb1985c376fd0d</t>
        </is>
      </c>
      <c r="B12" t="inlineStr">
        <is>
          <t>AI &amp; GenAI Data Scientist - Manager</t>
        </is>
      </c>
      <c r="C12" t="inlineStr">
        <is>
          <t>PwC</t>
        </is>
      </c>
      <c r="D12" t="inlineStr">
        <is>
          <t>indeed</t>
        </is>
      </c>
      <c r="E12" t="inlineStr"/>
      <c r="F12" t="inlineStr"/>
      <c r="G12" t="inlineStr">
        <is>
          <t>Tampa, FL, US</t>
        </is>
      </c>
      <c r="H12" s="2" t="n">
        <v>46030</v>
      </c>
      <c r="I12"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
      <c r="A13" t="inlineStr">
        <is>
          <t>in-2947395f72fd8cf4</t>
        </is>
      </c>
      <c r="B13" t="inlineStr">
        <is>
          <t>AI &amp; GenAI Data Scientist - Manager</t>
        </is>
      </c>
      <c r="C13" t="inlineStr">
        <is>
          <t>PwC</t>
        </is>
      </c>
      <c r="D13" t="inlineStr">
        <is>
          <t>indeed</t>
        </is>
      </c>
      <c r="E13" t="inlineStr"/>
      <c r="F13" t="inlineStr"/>
      <c r="G13" t="inlineStr">
        <is>
          <t>Birmingham, AL, US</t>
        </is>
      </c>
      <c r="H13" s="2" t="n">
        <v>46030</v>
      </c>
      <c r="I13"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
      <c r="A14" t="inlineStr">
        <is>
          <t>in-d019e56564fad3df</t>
        </is>
      </c>
      <c r="B14" t="inlineStr">
        <is>
          <t>AI &amp; GenAI Data Scientist - Manager</t>
        </is>
      </c>
      <c r="C14" t="inlineStr">
        <is>
          <t>PwC</t>
        </is>
      </c>
      <c r="D14" t="inlineStr">
        <is>
          <t>indeed</t>
        </is>
      </c>
      <c r="E14" t="inlineStr"/>
      <c r="F14" t="inlineStr"/>
      <c r="G14" t="inlineStr">
        <is>
          <t>Greensboro, NC, US</t>
        </is>
      </c>
      <c r="H14" s="2" t="n">
        <v>46030</v>
      </c>
      <c r="I14"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5">
      <c r="A15" t="inlineStr">
        <is>
          <t>in-6c91613ebd2fe1e7</t>
        </is>
      </c>
      <c r="B15" t="inlineStr">
        <is>
          <t>AI &amp; GenAI Data Scientist - Manager</t>
        </is>
      </c>
      <c r="C15" t="inlineStr">
        <is>
          <t>PwC</t>
        </is>
      </c>
      <c r="D15" t="inlineStr">
        <is>
          <t>indeed</t>
        </is>
      </c>
      <c r="E15" t="inlineStr"/>
      <c r="F15" t="inlineStr"/>
      <c r="G15" t="inlineStr">
        <is>
          <t>Toledo, OH, US</t>
        </is>
      </c>
      <c r="H15" s="2" t="n">
        <v>46030</v>
      </c>
      <c r="I15"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6">
      <c r="A16" t="inlineStr">
        <is>
          <t>in-8fe2510429d9e535</t>
        </is>
      </c>
      <c r="B16" t="inlineStr">
        <is>
          <t>AI &amp; GenAI Data Scientist - Manager</t>
        </is>
      </c>
      <c r="C16" t="inlineStr">
        <is>
          <t>PwC</t>
        </is>
      </c>
      <c r="D16" t="inlineStr">
        <is>
          <t>indeed</t>
        </is>
      </c>
      <c r="E16" t="inlineStr"/>
      <c r="F16" t="inlineStr"/>
      <c r="G16" t="inlineStr">
        <is>
          <t>Tulsa, OK, US</t>
        </is>
      </c>
      <c r="H16" s="2" t="n">
        <v>46030</v>
      </c>
      <c r="I16"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7">
      <c r="A17" t="inlineStr">
        <is>
          <t>in-7bc53756475dedbd</t>
        </is>
      </c>
      <c r="B17" t="inlineStr">
        <is>
          <t>AI &amp; GenAI Data Scientist - Manager</t>
        </is>
      </c>
      <c r="C17" t="inlineStr">
        <is>
          <t>PwC</t>
        </is>
      </c>
      <c r="D17" t="inlineStr">
        <is>
          <t>indeed</t>
        </is>
      </c>
      <c r="E17" t="inlineStr"/>
      <c r="F17" t="inlineStr"/>
      <c r="G17" t="inlineStr">
        <is>
          <t>Louisville, KY, US</t>
        </is>
      </c>
      <c r="H17" s="2" t="n">
        <v>46030</v>
      </c>
      <c r="I17"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8">
      <c r="A18" t="inlineStr">
        <is>
          <t>in-8cd0c2a25e63e8d5</t>
        </is>
      </c>
      <c r="B18" t="inlineStr">
        <is>
          <t>AI &amp; GenAI Data Scientist - Manager</t>
        </is>
      </c>
      <c r="C18" t="inlineStr">
        <is>
          <t>PwC</t>
        </is>
      </c>
      <c r="D18" t="inlineStr">
        <is>
          <t>indeed</t>
        </is>
      </c>
      <c r="E18" t="inlineStr"/>
      <c r="F18" t="inlineStr"/>
      <c r="G18" t="inlineStr">
        <is>
          <t>Orlando, FL, US</t>
        </is>
      </c>
      <c r="H18" s="2" t="n">
        <v>46030</v>
      </c>
      <c r="I18"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9">
      <c r="A19" t="inlineStr">
        <is>
          <t>in-934aad0530bbbfd1</t>
        </is>
      </c>
      <c r="B19" t="inlineStr">
        <is>
          <t>AI &amp; GenAI Data Scientist - Manager</t>
        </is>
      </c>
      <c r="C19" t="inlineStr">
        <is>
          <t>PwC</t>
        </is>
      </c>
      <c r="D19" t="inlineStr">
        <is>
          <t>indeed</t>
        </is>
      </c>
      <c r="E19" t="inlineStr"/>
      <c r="F19" t="inlineStr"/>
      <c r="G19" t="inlineStr">
        <is>
          <t>Jacksonville, FL, US</t>
        </is>
      </c>
      <c r="H19" s="2" t="n">
        <v>46030</v>
      </c>
      <c r="I19"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0">
      <c r="A20" t="inlineStr">
        <is>
          <t>in-c389163cf654a666</t>
        </is>
      </c>
      <c r="B20" t="inlineStr">
        <is>
          <t>AI &amp; GenAI Data Scientist - Manager</t>
        </is>
      </c>
      <c r="C20" t="inlineStr">
        <is>
          <t>PwC</t>
        </is>
      </c>
      <c r="D20" t="inlineStr">
        <is>
          <t>indeed</t>
        </is>
      </c>
      <c r="E20" t="inlineStr"/>
      <c r="F20" t="inlineStr"/>
      <c r="G20" t="inlineStr">
        <is>
          <t>Fort Worth, TX, US</t>
        </is>
      </c>
      <c r="H20" s="2" t="n">
        <v>46030</v>
      </c>
      <c r="I20"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1">
      <c r="A21" t="inlineStr">
        <is>
          <t>in-2799511c56cec160</t>
        </is>
      </c>
      <c r="B21" t="inlineStr">
        <is>
          <t>AI &amp; GenAI Data Scientist - Manager</t>
        </is>
      </c>
      <c r="C21" t="inlineStr">
        <is>
          <t>PwC</t>
        </is>
      </c>
      <c r="D21" t="inlineStr">
        <is>
          <t>indeed</t>
        </is>
      </c>
      <c r="E21" t="inlineStr"/>
      <c r="F21" t="inlineStr"/>
      <c r="G21" t="inlineStr">
        <is>
          <t>St. Louis, MO, US</t>
        </is>
      </c>
      <c r="H21" s="2" t="n">
        <v>46030</v>
      </c>
      <c r="I21"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2">
      <c r="A22" t="inlineStr">
        <is>
          <t>in-0582f78b561a2a78</t>
        </is>
      </c>
      <c r="B22" t="inlineStr">
        <is>
          <t>AI &amp; GenAI Data Scientist - Manager</t>
        </is>
      </c>
      <c r="C22" t="inlineStr">
        <is>
          <t>PwC</t>
        </is>
      </c>
      <c r="D22" t="inlineStr">
        <is>
          <t>indeed</t>
        </is>
      </c>
      <c r="E22" t="inlineStr"/>
      <c r="F22" t="inlineStr"/>
      <c r="G22" t="inlineStr">
        <is>
          <t>Philadelphia, PA, US</t>
        </is>
      </c>
      <c r="H22" s="2" t="n">
        <v>46030</v>
      </c>
      <c r="I22"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3">
      <c r="A23" t="inlineStr">
        <is>
          <t>in-81fdfa48f8166877</t>
        </is>
      </c>
      <c r="B23" t="inlineStr">
        <is>
          <t>AI &amp; GenAI Data Scientist - Manager</t>
        </is>
      </c>
      <c r="C23" t="inlineStr">
        <is>
          <t>PwC</t>
        </is>
      </c>
      <c r="D23" t="inlineStr">
        <is>
          <t>indeed</t>
        </is>
      </c>
      <c r="E23" t="inlineStr"/>
      <c r="F23" t="inlineStr"/>
      <c r="G23" t="inlineStr">
        <is>
          <t>Denver, CO, US</t>
        </is>
      </c>
      <c r="H23" s="2" t="n">
        <v>46030</v>
      </c>
      <c r="I23"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4">
      <c r="A24" t="inlineStr">
        <is>
          <t>in-0ff4285dd94f562f</t>
        </is>
      </c>
      <c r="B24" t="inlineStr">
        <is>
          <t>AI &amp; GenAI Data Scientist - Manager</t>
        </is>
      </c>
      <c r="C24" t="inlineStr">
        <is>
          <t>PwC</t>
        </is>
      </c>
      <c r="D24" t="inlineStr">
        <is>
          <t>indeed</t>
        </is>
      </c>
      <c r="E24" t="inlineStr"/>
      <c r="F24" t="inlineStr"/>
      <c r="G24" t="inlineStr">
        <is>
          <t>Oklahoma City, OK, US</t>
        </is>
      </c>
      <c r="H24" s="2" t="n">
        <v>46030</v>
      </c>
      <c r="I24"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5">
      <c r="A25" t="inlineStr">
        <is>
          <t>in-ec196bcf81480db5</t>
        </is>
      </c>
      <c r="B25" t="inlineStr">
        <is>
          <t>AI &amp; GenAI Data Scientist - Manager</t>
        </is>
      </c>
      <c r="C25" t="inlineStr">
        <is>
          <t>PwC</t>
        </is>
      </c>
      <c r="D25" t="inlineStr">
        <is>
          <t>indeed</t>
        </is>
      </c>
      <c r="E25" t="inlineStr"/>
      <c r="F25" t="inlineStr"/>
      <c r="G25" t="inlineStr">
        <is>
          <t>Houston, TX, US</t>
        </is>
      </c>
      <c r="H25" s="2" t="n">
        <v>46030</v>
      </c>
      <c r="I25"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6">
      <c r="A26" t="inlineStr">
        <is>
          <t>in-1eee2d2145cec5b5</t>
        </is>
      </c>
      <c r="B26" t="inlineStr">
        <is>
          <t>AI &amp; GenAI Data Scientist - Manager</t>
        </is>
      </c>
      <c r="C26" t="inlineStr">
        <is>
          <t>PwC</t>
        </is>
      </c>
      <c r="D26" t="inlineStr">
        <is>
          <t>indeed</t>
        </is>
      </c>
      <c r="E26" t="inlineStr"/>
      <c r="F26" t="inlineStr"/>
      <c r="G26" t="inlineStr">
        <is>
          <t>Fayetteville, AR, US</t>
        </is>
      </c>
      <c r="H26" s="2" t="n">
        <v>46030</v>
      </c>
      <c r="I26"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
      <c r="A27" t="inlineStr">
        <is>
          <t>in-f4c9f7f5faa31aab</t>
        </is>
      </c>
      <c r="B27" t="inlineStr">
        <is>
          <t>AI &amp; GenAI Data Scientist - Manager</t>
        </is>
      </c>
      <c r="C27" t="inlineStr">
        <is>
          <t>PwC</t>
        </is>
      </c>
      <c r="D27" t="inlineStr">
        <is>
          <t>indeed</t>
        </is>
      </c>
      <c r="E27" t="inlineStr"/>
      <c r="F27" t="inlineStr"/>
      <c r="G27" t="inlineStr">
        <is>
          <t>Little Rock, AR, US</t>
        </is>
      </c>
      <c r="H27" s="2" t="n">
        <v>46030</v>
      </c>
      <c r="I27"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8">
      <c r="A28" t="inlineStr">
        <is>
          <t>in-101966ed76513a26</t>
        </is>
      </c>
      <c r="B28" t="inlineStr">
        <is>
          <t>AI &amp; GenAI Data Scientist - Manager</t>
        </is>
      </c>
      <c r="C28" t="inlineStr">
        <is>
          <t>PwC</t>
        </is>
      </c>
      <c r="D28" t="inlineStr">
        <is>
          <t>indeed</t>
        </is>
      </c>
      <c r="E28" t="inlineStr"/>
      <c r="F28" t="inlineStr"/>
      <c r="G28" t="inlineStr">
        <is>
          <t>Kansas City, MO, US</t>
        </is>
      </c>
      <c r="H28" s="2" t="n">
        <v>46030</v>
      </c>
      <c r="I28"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9">
      <c r="A29" t="inlineStr">
        <is>
          <t>in-ae4f17fc101a779a</t>
        </is>
      </c>
      <c r="B29" t="inlineStr">
        <is>
          <t>AI &amp; GenAI Data Scientist - Manager</t>
        </is>
      </c>
      <c r="C29" t="inlineStr">
        <is>
          <t>PwC</t>
        </is>
      </c>
      <c r="D29" t="inlineStr">
        <is>
          <t>indeed</t>
        </is>
      </c>
      <c r="E29" t="inlineStr"/>
      <c r="F29" t="inlineStr"/>
      <c r="G29" t="inlineStr">
        <is>
          <t>Spartanburg, SC, US</t>
        </is>
      </c>
      <c r="H29" s="2" t="n">
        <v>46030</v>
      </c>
      <c r="I29"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0">
      <c r="A30" t="inlineStr">
        <is>
          <t>in-a6b02c58f9a3906e</t>
        </is>
      </c>
      <c r="B30" t="inlineStr">
        <is>
          <t>AI &amp; GenAI Data Scientist - Manager</t>
        </is>
      </c>
      <c r="C30" t="inlineStr">
        <is>
          <t>PwC</t>
        </is>
      </c>
      <c r="D30" t="inlineStr">
        <is>
          <t>indeed</t>
        </is>
      </c>
      <c r="E30" t="inlineStr"/>
      <c r="F30" t="inlineStr"/>
      <c r="G30" t="inlineStr">
        <is>
          <t>Miami, FL, US</t>
        </is>
      </c>
      <c r="H30" s="2" t="n">
        <v>46030</v>
      </c>
      <c r="I30"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
      <c r="A31" t="inlineStr">
        <is>
          <t>in-0d399c6a87902806</t>
        </is>
      </c>
      <c r="B31" t="inlineStr">
        <is>
          <t>AI &amp; GenAI Data Scientist - Manager</t>
        </is>
      </c>
      <c r="C31" t="inlineStr">
        <is>
          <t>PwC</t>
        </is>
      </c>
      <c r="D31" t="inlineStr">
        <is>
          <t>indeed</t>
        </is>
      </c>
      <c r="E31" t="inlineStr"/>
      <c r="F31" t="inlineStr"/>
      <c r="G31" t="inlineStr">
        <is>
          <t>Melville, NY, US</t>
        </is>
      </c>
      <c r="H31" s="2" t="n">
        <v>46030</v>
      </c>
      <c r="I31"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2">
      <c r="A32" t="inlineStr">
        <is>
          <t>in-2589b28df4a0a969</t>
        </is>
      </c>
      <c r="B32" t="inlineStr">
        <is>
          <t>AI &amp; GenAI Data Scientist - Manager</t>
        </is>
      </c>
      <c r="C32" t="inlineStr">
        <is>
          <t>PwC</t>
        </is>
      </c>
      <c r="D32" t="inlineStr">
        <is>
          <t>indeed</t>
        </is>
      </c>
      <c r="E32" t="inlineStr"/>
      <c r="F32" t="inlineStr"/>
      <c r="G32" t="inlineStr">
        <is>
          <t>Albany, NY, US</t>
        </is>
      </c>
      <c r="H32" s="2" t="n">
        <v>46030</v>
      </c>
      <c r="I32"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3">
      <c r="A33" t="inlineStr">
        <is>
          <t>in-b4cf69a689ec2db2</t>
        </is>
      </c>
      <c r="B33" t="inlineStr">
        <is>
          <t>AI &amp; GenAI Data Scientist - Manager</t>
        </is>
      </c>
      <c r="C33" t="inlineStr">
        <is>
          <t>PwC</t>
        </is>
      </c>
      <c r="D33" t="inlineStr">
        <is>
          <t>indeed</t>
        </is>
      </c>
      <c r="E33" t="inlineStr"/>
      <c r="F33" t="inlineStr"/>
      <c r="G33" t="inlineStr">
        <is>
          <t>Grand Rapids, MI, US</t>
        </is>
      </c>
      <c r="H33" s="2" t="n">
        <v>46030</v>
      </c>
      <c r="I33"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4">
      <c r="A34" t="inlineStr">
        <is>
          <t>in-855d2a4ddc845424</t>
        </is>
      </c>
      <c r="B34" t="inlineStr">
        <is>
          <t>AI &amp; GenAI Data Scientist - Manager</t>
        </is>
      </c>
      <c r="C34" t="inlineStr">
        <is>
          <t>PwC</t>
        </is>
      </c>
      <c r="D34" t="inlineStr">
        <is>
          <t>indeed</t>
        </is>
      </c>
      <c r="E34" t="inlineStr"/>
      <c r="F34" t="inlineStr"/>
      <c r="G34" t="inlineStr">
        <is>
          <t>Seattle, WA, US</t>
        </is>
      </c>
      <c r="H34" s="2" t="n">
        <v>46030</v>
      </c>
      <c r="I34"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5">
      <c r="A35" t="inlineStr">
        <is>
          <t>in-daf9714f1a581bb3</t>
        </is>
      </c>
      <c r="B35" t="inlineStr">
        <is>
          <t>AI &amp; GenAI Data Scientist - Manager</t>
        </is>
      </c>
      <c r="C35" t="inlineStr">
        <is>
          <t>PwC</t>
        </is>
      </c>
      <c r="D35" t="inlineStr">
        <is>
          <t>indeed</t>
        </is>
      </c>
      <c r="E35" t="inlineStr"/>
      <c r="F35" t="inlineStr"/>
      <c r="G35" t="inlineStr">
        <is>
          <t>Hartford, CT, US</t>
        </is>
      </c>
      <c r="H35" s="2" t="n">
        <v>46030</v>
      </c>
      <c r="I35"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6">
      <c r="A36" t="inlineStr">
        <is>
          <t>in-c0344f1334d411b5</t>
        </is>
      </c>
      <c r="B36" t="inlineStr">
        <is>
          <t>AI &amp; GenAI Data Scientist - Manager</t>
        </is>
      </c>
      <c r="C36" t="inlineStr">
        <is>
          <t>PwC</t>
        </is>
      </c>
      <c r="D36" t="inlineStr">
        <is>
          <t>indeed</t>
        </is>
      </c>
      <c r="E36" t="inlineStr"/>
      <c r="F36" t="inlineStr"/>
      <c r="G36" t="inlineStr">
        <is>
          <t>Austin, TX, US</t>
        </is>
      </c>
      <c r="H36" s="2" t="n">
        <v>46030</v>
      </c>
      <c r="I36"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7">
      <c r="A37" t="inlineStr">
        <is>
          <t>in-8f8052e76b4cb877</t>
        </is>
      </c>
      <c r="B37" t="inlineStr">
        <is>
          <t>AI &amp; GenAI Data Scientist - Manager</t>
        </is>
      </c>
      <c r="C37" t="inlineStr">
        <is>
          <t>PwC</t>
        </is>
      </c>
      <c r="D37" t="inlineStr">
        <is>
          <t>indeed</t>
        </is>
      </c>
      <c r="E37" t="inlineStr"/>
      <c r="F37" t="inlineStr"/>
      <c r="G37" t="inlineStr">
        <is>
          <t>Irvine, CA, US</t>
        </is>
      </c>
      <c r="H37" s="2" t="n">
        <v>46030</v>
      </c>
      <c r="I37"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8">
      <c r="A38" t="inlineStr">
        <is>
          <t>in-6e78c454158527d4</t>
        </is>
      </c>
      <c r="B38" t="inlineStr">
        <is>
          <t>AI &amp; GenAI Data Scientist - Manager</t>
        </is>
      </c>
      <c r="C38" t="inlineStr">
        <is>
          <t>PwC</t>
        </is>
      </c>
      <c r="D38" t="inlineStr">
        <is>
          <t>indeed</t>
        </is>
      </c>
      <c r="E38" t="inlineStr"/>
      <c r="F38" t="inlineStr"/>
      <c r="G38" t="inlineStr">
        <is>
          <t>Detroit, MI, US</t>
        </is>
      </c>
      <c r="H38" s="2" t="n">
        <v>46030</v>
      </c>
      <c r="I38"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9">
      <c r="A39" t="inlineStr">
        <is>
          <t>in-7a7bb8b94d60dc5d</t>
        </is>
      </c>
      <c r="B39" t="inlineStr">
        <is>
          <t>AI &amp; GenAI Data Scientist - Manager</t>
        </is>
      </c>
      <c r="C39" t="inlineStr">
        <is>
          <t>PwC</t>
        </is>
      </c>
      <c r="D39" t="inlineStr">
        <is>
          <t>indeed</t>
        </is>
      </c>
      <c r="E39" t="inlineStr"/>
      <c r="F39" t="inlineStr"/>
      <c r="G39" t="inlineStr">
        <is>
          <t>Portland, OR, US</t>
        </is>
      </c>
      <c r="H39" s="2" t="n">
        <v>46030</v>
      </c>
      <c r="I39"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0">
      <c r="A40" t="inlineStr">
        <is>
          <t>in-1272ff4133ba0d65</t>
        </is>
      </c>
      <c r="B40" t="inlineStr">
        <is>
          <t>AI &amp; GenAI Data Scientist - Manager</t>
        </is>
      </c>
      <c r="C40" t="inlineStr">
        <is>
          <t>PwC</t>
        </is>
      </c>
      <c r="D40" t="inlineStr">
        <is>
          <t>indeed</t>
        </is>
      </c>
      <c r="E40" t="inlineStr"/>
      <c r="F40" t="inlineStr"/>
      <c r="G40" t="inlineStr">
        <is>
          <t>Milwaukee, WI, US</t>
        </is>
      </c>
      <c r="H40" s="2" t="n">
        <v>46030</v>
      </c>
      <c r="I40"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1">
      <c r="A41" t="inlineStr">
        <is>
          <t>in-854aac1f3c17fbf4</t>
        </is>
      </c>
      <c r="B41" t="inlineStr">
        <is>
          <t>AI &amp; GenAI Data Scientist - Manager</t>
        </is>
      </c>
      <c r="C41" t="inlineStr">
        <is>
          <t>PwC</t>
        </is>
      </c>
      <c r="D41" t="inlineStr">
        <is>
          <t>indeed</t>
        </is>
      </c>
      <c r="E41" t="inlineStr"/>
      <c r="F41" t="inlineStr"/>
      <c r="G41" t="inlineStr">
        <is>
          <t>Phoenix, AZ, US</t>
        </is>
      </c>
      <c r="H41" s="2" t="n">
        <v>46030</v>
      </c>
      <c r="I41"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2">
      <c r="A42" t="inlineStr">
        <is>
          <t>in-92b6b5062593814e</t>
        </is>
      </c>
      <c r="B42" t="inlineStr">
        <is>
          <t>AI &amp; GenAI Data Scientist - Manager</t>
        </is>
      </c>
      <c r="C42" t="inlineStr">
        <is>
          <t>PwC</t>
        </is>
      </c>
      <c r="D42" t="inlineStr">
        <is>
          <t>indeed</t>
        </is>
      </c>
      <c r="E42" t="inlineStr"/>
      <c r="F42" t="inlineStr"/>
      <c r="G42" t="inlineStr">
        <is>
          <t>Florham Park, NJ, US</t>
        </is>
      </c>
      <c r="H42" s="2" t="n">
        <v>46030</v>
      </c>
      <c r="I42"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3">
      <c r="A43" t="inlineStr">
        <is>
          <t>in-c19980b891ee0b47</t>
        </is>
      </c>
      <c r="B43" t="inlineStr">
        <is>
          <t>AI &amp; GenAI Data Scientist - Manager</t>
        </is>
      </c>
      <c r="C43" t="inlineStr">
        <is>
          <t>PwC</t>
        </is>
      </c>
      <c r="D43" t="inlineStr">
        <is>
          <t>indeed</t>
        </is>
      </c>
      <c r="E43" t="inlineStr"/>
      <c r="F43" t="inlineStr"/>
      <c r="G43" t="inlineStr">
        <is>
          <t>San Francisco, CA, US</t>
        </is>
      </c>
      <c r="H43" s="2" t="n">
        <v>46030</v>
      </c>
      <c r="I43"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4">
      <c r="A44" t="inlineStr">
        <is>
          <t>in-7e39fab199cdf31d</t>
        </is>
      </c>
      <c r="B44" t="inlineStr">
        <is>
          <t>AI &amp; GenAI Data Scientist - Manager</t>
        </is>
      </c>
      <c r="C44" t="inlineStr">
        <is>
          <t>PwC</t>
        </is>
      </c>
      <c r="D44" t="inlineStr">
        <is>
          <t>indeed</t>
        </is>
      </c>
      <c r="E44" t="inlineStr"/>
      <c r="F44" t="inlineStr"/>
      <c r="G44" t="inlineStr">
        <is>
          <t>New Orleans, LA, US</t>
        </is>
      </c>
      <c r="H44" s="2" t="n">
        <v>46030</v>
      </c>
      <c r="I44"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5">
      <c r="A45" t="inlineStr">
        <is>
          <t>in-7ff8c8dab719f02b</t>
        </is>
      </c>
      <c r="B45" t="inlineStr">
        <is>
          <t>AI &amp; GenAI Data Scientist - Manager</t>
        </is>
      </c>
      <c r="C45" t="inlineStr">
        <is>
          <t>PwC</t>
        </is>
      </c>
      <c r="D45" t="inlineStr">
        <is>
          <t>indeed</t>
        </is>
      </c>
      <c r="E45" t="inlineStr"/>
      <c r="F45" t="inlineStr"/>
      <c r="G45" t="inlineStr">
        <is>
          <t>Nashville, TN, US</t>
        </is>
      </c>
      <c r="H45" s="2" t="n">
        <v>46030</v>
      </c>
      <c r="I45"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6">
      <c r="A46" t="inlineStr">
        <is>
          <t>in-14e5ce6e2a836c63</t>
        </is>
      </c>
      <c r="B46" t="inlineStr">
        <is>
          <t>AI &amp; GenAI Data Scientist - Manager</t>
        </is>
      </c>
      <c r="C46" t="inlineStr">
        <is>
          <t>PwC</t>
        </is>
      </c>
      <c r="D46" t="inlineStr">
        <is>
          <t>indeed</t>
        </is>
      </c>
      <c r="E46" t="inlineStr"/>
      <c r="F46" t="inlineStr"/>
      <c r="G46" t="inlineStr">
        <is>
          <t>Atlanta, GA, US</t>
        </is>
      </c>
      <c r="H46" s="2" t="n">
        <v>46030</v>
      </c>
      <c r="I46"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7">
      <c r="A47" t="inlineStr">
        <is>
          <t>in-a3d15a7641467d40</t>
        </is>
      </c>
      <c r="B47" t="inlineStr">
        <is>
          <t>AI &amp; GenAI Data Scientist - Manager</t>
        </is>
      </c>
      <c r="C47" t="inlineStr">
        <is>
          <t>PwC</t>
        </is>
      </c>
      <c r="D47" t="inlineStr">
        <is>
          <t>indeed</t>
        </is>
      </c>
      <c r="E47" t="inlineStr"/>
      <c r="F47" t="inlineStr"/>
      <c r="G47" t="inlineStr">
        <is>
          <t>Washington, DC, US</t>
        </is>
      </c>
      <c r="H47" s="2" t="n">
        <v>46030</v>
      </c>
      <c r="I47"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8">
      <c r="A48" t="inlineStr">
        <is>
          <t>in-b31df571311a6d25</t>
        </is>
      </c>
      <c r="B48" t="inlineStr">
        <is>
          <t>AI &amp; GenAI Data Scientist - Manager</t>
        </is>
      </c>
      <c r="C48" t="inlineStr">
        <is>
          <t>PwC</t>
        </is>
      </c>
      <c r="D48" t="inlineStr">
        <is>
          <t>indeed</t>
        </is>
      </c>
      <c r="E48" t="inlineStr"/>
      <c r="F48" t="inlineStr"/>
      <c r="G48" t="inlineStr">
        <is>
          <t>San Diego, CA, US</t>
        </is>
      </c>
      <c r="H48" s="2" t="n">
        <v>46030</v>
      </c>
      <c r="I48"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9">
      <c r="A49" t="inlineStr">
        <is>
          <t>in-a625e64a8d84379f</t>
        </is>
      </c>
      <c r="B49" t="inlineStr">
        <is>
          <t>AI &amp; GenAI Data Scientist - Manager</t>
        </is>
      </c>
      <c r="C49" t="inlineStr">
        <is>
          <t>PwC</t>
        </is>
      </c>
      <c r="D49" t="inlineStr">
        <is>
          <t>indeed</t>
        </is>
      </c>
      <c r="E49" t="inlineStr"/>
      <c r="F49" t="inlineStr"/>
      <c r="G49" t="inlineStr">
        <is>
          <t>Salt Lake City, UT, US</t>
        </is>
      </c>
      <c r="H49" s="2" t="n">
        <v>46030</v>
      </c>
      <c r="I49"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0">
      <c r="A50" t="inlineStr">
        <is>
          <t>in-857e6234460dd0af</t>
        </is>
      </c>
      <c r="B50" t="inlineStr">
        <is>
          <t>AI &amp; GenAI Data Scientist - Manager</t>
        </is>
      </c>
      <c r="C50" t="inlineStr">
        <is>
          <t>PwC</t>
        </is>
      </c>
      <c r="D50" t="inlineStr">
        <is>
          <t>indeed</t>
        </is>
      </c>
      <c r="E50" t="inlineStr"/>
      <c r="F50" t="inlineStr"/>
      <c r="G50" t="inlineStr">
        <is>
          <t>Buffalo, NY, US</t>
        </is>
      </c>
      <c r="H50" s="2" t="n">
        <v>46030</v>
      </c>
      <c r="I50"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1">
      <c r="A51" t="inlineStr">
        <is>
          <t>in-b34fe3ac710227b1</t>
        </is>
      </c>
      <c r="B51" t="inlineStr">
        <is>
          <t>AI &amp; GenAI Data Scientist - Manager</t>
        </is>
      </c>
      <c r="C51" t="inlineStr">
        <is>
          <t>PwC</t>
        </is>
      </c>
      <c r="D51" t="inlineStr">
        <is>
          <t>indeed</t>
        </is>
      </c>
      <c r="E51" t="inlineStr"/>
      <c r="F51" t="inlineStr"/>
      <c r="G51" t="inlineStr">
        <is>
          <t>Boston, MA, US</t>
        </is>
      </c>
      <c r="H51" s="2" t="n">
        <v>46030</v>
      </c>
      <c r="I51"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2">
      <c r="A52" t="inlineStr">
        <is>
          <t>in-392eb8498a2c5428</t>
        </is>
      </c>
      <c r="B52" t="inlineStr">
        <is>
          <t>AI &amp; GenAI Data Scientist - Manager</t>
        </is>
      </c>
      <c r="C52" t="inlineStr">
        <is>
          <t>PwC</t>
        </is>
      </c>
      <c r="D52" t="inlineStr">
        <is>
          <t>indeed</t>
        </is>
      </c>
      <c r="E52" t="inlineStr"/>
      <c r="F52" t="inlineStr"/>
      <c r="G52" t="inlineStr">
        <is>
          <t>Stamford, CT, US</t>
        </is>
      </c>
      <c r="H52" s="2" t="n">
        <v>46030</v>
      </c>
      <c r="I52"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3">
      <c r="A53" t="inlineStr">
        <is>
          <t>in-2ddb342d44227bc8</t>
        </is>
      </c>
      <c r="B53" t="inlineStr">
        <is>
          <t>AI &amp; GenAI Data Scientist - Manager</t>
        </is>
      </c>
      <c r="C53" t="inlineStr">
        <is>
          <t>PwC</t>
        </is>
      </c>
      <c r="D53" t="inlineStr">
        <is>
          <t>indeed</t>
        </is>
      </c>
      <c r="E53" t="inlineStr"/>
      <c r="F53" t="inlineStr"/>
      <c r="G53" t="inlineStr">
        <is>
          <t>Baltimore, MD, US</t>
        </is>
      </c>
      <c r="H53" s="2" t="n">
        <v>46030</v>
      </c>
      <c r="I53"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4">
      <c r="A54" t="inlineStr">
        <is>
          <t>in-287941f9b673b4bd</t>
        </is>
      </c>
      <c r="B54" t="inlineStr">
        <is>
          <t>AI &amp; GenAI Data Scientist - Manager</t>
        </is>
      </c>
      <c r="C54" t="inlineStr">
        <is>
          <t>PwC</t>
        </is>
      </c>
      <c r="D54" t="inlineStr">
        <is>
          <t>indeed</t>
        </is>
      </c>
      <c r="E54" t="inlineStr"/>
      <c r="F54" t="inlineStr"/>
      <c r="G54" t="inlineStr">
        <is>
          <t>Sacramento, CA, US</t>
        </is>
      </c>
      <c r="H54" s="2" t="n">
        <v>46030</v>
      </c>
      <c r="I54"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5">
      <c r="A55" t="inlineStr">
        <is>
          <t>in-88711605a19b451a</t>
        </is>
      </c>
      <c r="B55" t="inlineStr">
        <is>
          <t>AI &amp; GenAI Data Scientist - Manager</t>
        </is>
      </c>
      <c r="C55" t="inlineStr">
        <is>
          <t>PwC</t>
        </is>
      </c>
      <c r="D55" t="inlineStr">
        <is>
          <t>indeed</t>
        </is>
      </c>
      <c r="E55" t="inlineStr"/>
      <c r="F55" t="inlineStr"/>
      <c r="G55" t="inlineStr">
        <is>
          <t>Rosemont, IL, US</t>
        </is>
      </c>
      <c r="H55" s="2" t="n">
        <v>46030</v>
      </c>
      <c r="I55"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6">
      <c r="A56" t="inlineStr">
        <is>
          <t>in-372a463ebbb3c6ff</t>
        </is>
      </c>
      <c r="B56" t="inlineStr">
        <is>
          <t>AI &amp; GenAI Data Scientist - Manager</t>
        </is>
      </c>
      <c r="C56" t="inlineStr">
        <is>
          <t>PwC</t>
        </is>
      </c>
      <c r="D56" t="inlineStr">
        <is>
          <t>indeed</t>
        </is>
      </c>
      <c r="E56" t="inlineStr"/>
      <c r="F56" t="inlineStr"/>
      <c r="G56" t="inlineStr">
        <is>
          <t>Silicon Valley, CA, US</t>
        </is>
      </c>
      <c r="H56" s="2" t="n">
        <v>46030</v>
      </c>
      <c r="I56"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7">
      <c r="A57" t="inlineStr">
        <is>
          <t>in-2368ee09e6d1ff67</t>
        </is>
      </c>
      <c r="B57" t="inlineStr">
        <is>
          <t>AI &amp; GenAI Data Scientist - Manager</t>
        </is>
      </c>
      <c r="C57" t="inlineStr">
        <is>
          <t>PwC</t>
        </is>
      </c>
      <c r="D57" t="inlineStr">
        <is>
          <t>indeed</t>
        </is>
      </c>
      <c r="E57" t="inlineStr"/>
      <c r="F57" t="inlineStr"/>
      <c r="G57" t="inlineStr">
        <is>
          <t>Richmond, VA, US</t>
        </is>
      </c>
      <c r="H57" s="2" t="n">
        <v>46030</v>
      </c>
      <c r="I57"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8">
      <c r="A58" t="inlineStr">
        <is>
          <t>in-9b06c84c8edffb20</t>
        </is>
      </c>
      <c r="B58" t="inlineStr">
        <is>
          <t>AI &amp; GenAI Data Scientist - Manager</t>
        </is>
      </c>
      <c r="C58" t="inlineStr">
        <is>
          <t>PwC</t>
        </is>
      </c>
      <c r="D58" t="inlineStr">
        <is>
          <t>indeed</t>
        </is>
      </c>
      <c r="E58" t="inlineStr"/>
      <c r="F58" t="inlineStr"/>
      <c r="G58" t="inlineStr">
        <is>
          <t>Charlotte, NC, US</t>
        </is>
      </c>
      <c r="H58" s="2" t="n">
        <v>46030</v>
      </c>
      <c r="I58"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9">
      <c r="A59" t="inlineStr">
        <is>
          <t>in-f8709d4addb4c07f</t>
        </is>
      </c>
      <c r="B59" t="inlineStr">
        <is>
          <t>AI &amp; GenAI Data Scientist - Manager</t>
        </is>
      </c>
      <c r="C59" t="inlineStr">
        <is>
          <t>PwC</t>
        </is>
      </c>
      <c r="D59" t="inlineStr">
        <is>
          <t>indeed</t>
        </is>
      </c>
      <c r="E59" t="inlineStr"/>
      <c r="F59" t="inlineStr"/>
      <c r="G59" t="inlineStr">
        <is>
          <t>Raleigh, NC, US</t>
        </is>
      </c>
      <c r="H59" s="2" t="n">
        <v>46030</v>
      </c>
      <c r="I59"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0">
      <c r="A60" t="inlineStr">
        <is>
          <t>in-f032cdfaabc43f1f</t>
        </is>
      </c>
      <c r="B60" t="inlineStr">
        <is>
          <t>AI &amp; GenAI Data Scientist - Manager</t>
        </is>
      </c>
      <c r="C60" t="inlineStr">
        <is>
          <t>PwC</t>
        </is>
      </c>
      <c r="D60" t="inlineStr">
        <is>
          <t>indeed</t>
        </is>
      </c>
      <c r="E60" t="inlineStr"/>
      <c r="F60" t="inlineStr"/>
      <c r="G60" t="inlineStr">
        <is>
          <t>Columbia, SC, US</t>
        </is>
      </c>
      <c r="H60" s="2" t="n">
        <v>46030</v>
      </c>
      <c r="I60"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1">
      <c r="A61" t="inlineStr">
        <is>
          <t>in-8511bdca173e3353</t>
        </is>
      </c>
      <c r="B61" t="inlineStr">
        <is>
          <t>AI &amp; GenAI Data Scientist - Manager</t>
        </is>
      </c>
      <c r="C61" t="inlineStr">
        <is>
          <t>PwC</t>
        </is>
      </c>
      <c r="D61" t="inlineStr">
        <is>
          <t>indeed</t>
        </is>
      </c>
      <c r="E61" t="inlineStr"/>
      <c r="F61" t="inlineStr"/>
      <c r="G61" t="inlineStr">
        <is>
          <t>Columbus, OH, US</t>
        </is>
      </c>
      <c r="H61" s="2" t="n">
        <v>46030</v>
      </c>
      <c r="I61"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2">
      <c r="A62" t="inlineStr">
        <is>
          <t>in-3bfe3b6db582cdca</t>
        </is>
      </c>
      <c r="B62" t="inlineStr">
        <is>
          <t>AI &amp; GenAI Data Scientist - Manager</t>
        </is>
      </c>
      <c r="C62" t="inlineStr">
        <is>
          <t>PwC</t>
        </is>
      </c>
      <c r="D62" t="inlineStr">
        <is>
          <t>indeed</t>
        </is>
      </c>
      <c r="E62" t="inlineStr"/>
      <c r="F62" t="inlineStr"/>
      <c r="G62" t="inlineStr">
        <is>
          <t>Cleveland, OH, US</t>
        </is>
      </c>
      <c r="H62" s="2" t="n">
        <v>46030</v>
      </c>
      <c r="I62"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3">
      <c r="A63" t="inlineStr">
        <is>
          <t>in-fc943ce03b8e0eda</t>
        </is>
      </c>
      <c r="B63" t="inlineStr">
        <is>
          <t>AI &amp; GenAI Data Scientist - Manager</t>
        </is>
      </c>
      <c r="C63" t="inlineStr">
        <is>
          <t>PwC</t>
        </is>
      </c>
      <c r="D63" t="inlineStr">
        <is>
          <t>indeed</t>
        </is>
      </c>
      <c r="E63" t="inlineStr"/>
      <c r="F63" t="inlineStr"/>
      <c r="G63" t="inlineStr">
        <is>
          <t>Dallas, TX, US</t>
        </is>
      </c>
      <c r="H63" s="2" t="n">
        <v>46030</v>
      </c>
      <c r="I63"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4">
      <c r="A64" t="inlineStr">
        <is>
          <t>in-06a456a702c0a776</t>
        </is>
      </c>
      <c r="B64" t="inlineStr">
        <is>
          <t>AI &amp; GenAI Data Scientist - Manager</t>
        </is>
      </c>
      <c r="C64" t="inlineStr">
        <is>
          <t>PwC</t>
        </is>
      </c>
      <c r="D64" t="inlineStr">
        <is>
          <t>indeed</t>
        </is>
      </c>
      <c r="E64" t="inlineStr"/>
      <c r="F64" t="inlineStr"/>
      <c r="G64" t="inlineStr">
        <is>
          <t>Cincinnati, OH, US</t>
        </is>
      </c>
      <c r="H64" s="2" t="n">
        <v>46030</v>
      </c>
      <c r="I64"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5">
      <c r="A65" t="inlineStr">
        <is>
          <t>in-ebbd68df3231d7f9</t>
        </is>
      </c>
      <c r="B65" t="inlineStr">
        <is>
          <t>AI &amp; GenAI Data Scientist - Manager</t>
        </is>
      </c>
      <c r="C65" t="inlineStr">
        <is>
          <t>PwC</t>
        </is>
      </c>
      <c r="D65" t="inlineStr">
        <is>
          <t>indeed</t>
        </is>
      </c>
      <c r="E65" t="inlineStr"/>
      <c r="F65" t="inlineStr"/>
      <c r="G65" t="inlineStr">
        <is>
          <t>Chicago, IL, US</t>
        </is>
      </c>
      <c r="H65" s="2" t="n">
        <v>46030</v>
      </c>
      <c r="I65"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6">
      <c r="A66" t="inlineStr">
        <is>
          <t>in-116ee593b25dab53</t>
        </is>
      </c>
      <c r="B66" t="inlineStr">
        <is>
          <t>AI &amp; GenAI Data Scientist - Manager</t>
        </is>
      </c>
      <c r="C66" t="inlineStr">
        <is>
          <t>PwC</t>
        </is>
      </c>
      <c r="D66" t="inlineStr">
        <is>
          <t>indeed</t>
        </is>
      </c>
      <c r="E66" t="inlineStr"/>
      <c r="F66" t="inlineStr"/>
      <c r="G66" t="inlineStr">
        <is>
          <t>Rochester, NY, US</t>
        </is>
      </c>
      <c r="H66" s="2" t="n">
        <v>46030</v>
      </c>
      <c r="I66"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7">
      <c r="A67" t="inlineStr">
        <is>
          <t>in-0718ed885a205f23</t>
        </is>
      </c>
      <c r="B67" t="inlineStr">
        <is>
          <t>AI &amp; GenAI Data Scientist - Manager</t>
        </is>
      </c>
      <c r="C67" t="inlineStr">
        <is>
          <t>PwC</t>
        </is>
      </c>
      <c r="D67" t="inlineStr">
        <is>
          <t>indeed</t>
        </is>
      </c>
      <c r="E67" t="inlineStr"/>
      <c r="F67" t="inlineStr"/>
      <c r="G67" t="inlineStr">
        <is>
          <t>New York, NY, US</t>
        </is>
      </c>
      <c r="H67" s="2" t="n">
        <v>46030</v>
      </c>
      <c r="I67"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8">
      <c r="A68" t="inlineStr">
        <is>
          <t>in-f733a65db311cf18</t>
        </is>
      </c>
      <c r="B68" t="inlineStr">
        <is>
          <t>Senior Data Scientist, Research and Development</t>
        </is>
      </c>
      <c r="C68" t="inlineStr">
        <is>
          <t>Cargill</t>
        </is>
      </c>
      <c r="D68" t="inlineStr">
        <is>
          <t>indeed</t>
        </is>
      </c>
      <c r="E68" t="inlineStr"/>
      <c r="F68" t="inlineStr"/>
      <c r="G68" t="inlineStr">
        <is>
          <t>Wayzata, MN, US</t>
        </is>
      </c>
      <c r="H68" s="2" t="n">
        <v>46030</v>
      </c>
      <c r="I68"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
As a Senior Data Scientist in Research and Development, your work will have a direct impact on efficient, sustainable food manufacturing solutions. This role will work collaboratively in multidisciplinary teams to develop complex proofs of concept, minimum viable products, and scale fully deployed solutions across multiple manufacturing facilities. In this role, you will create complex predictive and computer vision models that help deliver significant value to the company's businesses.
**Key Accountabilities**
------------------------
* Work on multidisciplinary teams of data engineers, software engineers, data scientists and business subject matter experts to deliver complex projects on time and within budgets.
* Translate ambiguous and complex business problems into project charters clearly identifying technical risks and project scope.
* Take ownership for the entire data science workflow that includes a well\-defined, complex project scope, exploratory data analysis, model development, deployment and monitoring.
* Continuously seek out best practices and develop skills.
* Create scalable structures to accelerate deployment to multiple facilities.
* Independently handle complex issues with minimal supervision, while escalating only the most complex issues to appropriate staff.
* Other duties as assigned
 ***This position is preferred to work from the Wayzata, MN headquarters location but could also work remote from a home\-office location anywhere in the United States.***
**Qualifications**
------------------
### **MINIMUM QUALIFICATIONS**
* Bachelor’s degree in Data Science, Computer Science, Mathematics, Engineering, or a related field; or equivalent practical experience.
* Minimum of 4 years of relevant professional experience, OR 3 years experience with a Master’s degree, OR 2 years experience with a Ph.D. in a related discipline.
* Proficiency in Python programming.
* Hands\-on experience developing computer vision models for image classification, object detection, and segmentation.
* Experience with computer vision tools, both traditional and deep learning, such as OpenCV, PyTorch, etc including transfer learning and fine\-tuning deep learning models.
* Experience deploying ML models using a containerized deployment framework (Docker, Podman, etc).
* Proven ability to develop proofs of concept and scale them into full production solutions.
* Demonstrated ability to present complex concepts to non\-technical audiences.
### **PREFERRED QUALIFICATIONS**
* Master's degree or PhD in data science, computer science, math, engineering or related field
* Solid understanding of Computer Vision fundamentals.
* Knowledge of MLOps practices for productionizing vision models.
* Experience scaling a production solution to multiple sites
* Experience working with continuous integration and delivery (CI/CD) pipelines
* Experience working with AWS
* Experience in manufacturing, supply chain, or agriculture
**Compensation Data**
---------------------
The expected annual salary for this position is $120,000\-$150,000\.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https://www.cargill.com/page/my\-health/mh\-health\-and\-wellness to learn more (subject to certain collective bargaining agreements for Union positions).  
Minnesota Sick and Safe Leave accruals of one hour for every 30 worked, up to 48 hours per calendar year unless otherwise provided by law.
\#LI\-HS1 \#themuse\#fbg\#LI\-Remote
Equal Opportunity Employer, including Disability/Vet.</t>
        </is>
      </c>
    </row>
    <row r="69">
      <c r="A69" t="inlineStr">
        <is>
          <t>in-4b5dd44d2d34a008</t>
        </is>
      </c>
      <c r="B69" t="inlineStr">
        <is>
          <t>Senior Data Scientist, Research and Development</t>
        </is>
      </c>
      <c r="C69" t="inlineStr">
        <is>
          <t>Cargill</t>
        </is>
      </c>
      <c r="D69" t="inlineStr">
        <is>
          <t>indeed</t>
        </is>
      </c>
      <c r="E69" t="inlineStr"/>
      <c r="F69" t="inlineStr"/>
      <c r="G69" t="inlineStr">
        <is>
          <t>Minneapolis, MN, US</t>
        </is>
      </c>
      <c r="H69" s="2" t="n">
        <v>46030</v>
      </c>
      <c r="I69"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
As a Senior Data Scientist in Research and Development, your work will have a direct impact on efficient, sustainable food manufacturing solutions. This role will work collaboratively in multidisciplinary teams to develop complex proofs of concept, minimum viable products, and scale fully deployed solutions across multiple manufacturing facilities. In this role, you will create complex predictive and computer vision models that help deliver significant value to the company's businesses.
**Key Accountabilities**
------------------------
* Work on multidisciplinary teams of data engineers, software engineers, data scientists and business subject matter experts to deliver complex projects on time and within budgets.
* Translate ambiguous and complex business problems into project charters clearly identifying technical risks and project scope.
* Take ownership for the entire data science workflow that includes a well\-defined, complex project scope, exploratory data analysis, model development, deployment and monitoring.
* Continuously seek out best practices and develop skills.
* Create scalable structures to accelerate deployment to multiple facilities.
* Independently handle complex issues with minimal supervision, while escalating only the most complex issues to appropriate staff.
* Other duties as assigned
 ***This position is preferred to work from the Wayzata, MN headquarters location but could also work remote from a home\-office location anywhere in the United States.***
**Qualifications**
------------------
### **MINIMUM QUALIFICATIONS**
* Bachelor’s degree in Data Science, Computer Science, Mathematics, Engineering, or a related field; or equivalent practical experience.
* Minimum of 4 years of relevant professional experience, OR 3 years experience with a Master’s degree, OR 2 years experience with a Ph.D. in a related discipline.
* Proficiency in Python programming.
* Hands\-on experience developing computer vision models for image classification, object detection, and segmentation.
* Experience with computer vision tools, both traditional and deep learning, such as OpenCV, PyTorch, etc including transfer learning and fine\-tuning deep learning models.
* Experience deploying ML models using a containerized deployment framework (Docker, Podman, etc).
* Proven ability to develop proofs of concept and scale them into full production solutions.
* Demonstrated ability to present complex concepts to non\-technical audiences.
### **PREFERRED QUALIFICATIONS**
* Master's degree or PhD in data science, computer science, math, engineering or related field
* Solid understanding of Computer Vision fundamentals.
* Knowledge of MLOps practices for productionizing vision models.
* Experience scaling a production solution to multiple sites
* Experience working with continuous integration and delivery (CI/CD) pipelines
* Experience working with AWS
* Experience in manufacturing, supply chain, or agriculture
**Compensation Data**
---------------------
The expected annual salary for this position is $120,000\-$150,000\.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https://www.cargill.com/page/my\-health/mh\-health\-and\-wellness to learn more (subject to certain collective bargaining agreements for Union positions).  
Minnesota Sick and Safe Leave accruals of one hour for every 30 worked, up to 48 hours per calendar year unless otherwise provided by law.
\#LI\-HS1 \#themuse\#fbg\#LI\-Remote
Equal Opportunity Employer, including Disability/Vet.</t>
        </is>
      </c>
    </row>
    <row r="70">
      <c r="A70" t="inlineStr">
        <is>
          <t>in-b12012c479f5d51b</t>
        </is>
      </c>
      <c r="B70" t="inlineStr">
        <is>
          <t>Sr Staff Data Scientist</t>
        </is>
      </c>
      <c r="C70" t="inlineStr">
        <is>
          <t>Intuit</t>
        </is>
      </c>
      <c r="D70" t="inlineStr">
        <is>
          <t>indeed</t>
        </is>
      </c>
      <c r="E70" t="inlineStr"/>
      <c r="F70" t="inlineStr"/>
      <c r="G70" t="inlineStr">
        <is>
          <t>San Diego, CA, US</t>
        </is>
      </c>
      <c r="H70" s="2" t="n">
        <v>46031</v>
      </c>
      <c r="I70" t="inlineStr">
        <is>
          <t>**Overview**
------------
Join the Intuit Customer Success team as a Principal Data Scientist within our Expert Network.  
In this role, you will help shape the AI strategy for our product support and live experiences. You’ll be central to optimizing our greatest resource, our people, through innovating, experimenting, learning, pivoting, and scaling AI\-driven solutions.  
This is a mission\-critical role requiring a strategic thought partner who brings cutting\-edge data science techniques and deep domain expertise to influence our Customer Success strategy and drive business growth at scale. You will partner directly with cross\-functional leaders—across Product Management, Engineering, Data, Customer Success, and Service Delivery—to architect the analytical frameworks and modeling solutions that shape our Expert Network and our AI Driven platform.
This role demands a strong foundation in statistical methods, machine learning, experimentation design, and causal inference, coupled with a demonstrated ability to lead with influence, navigate ambiguity, and execute with precision. **Responsibilities**
* Advanced Predictive Modeling \&amp; Machine Learning: Design, build, and deploy scalable
models—including ensemble methods, time\-series forecasting, LTV modeling, deep learning architectures, and uplift modeling—to uncover high\-impact growth opportunities and drive personalization.  
* 
Experimentation Science \&amp; Design: Own the end\-to\-end experimentation pipeline—from hypothesis generation and design (e.g., CUPED, multi\-armed bandits, Bayesian Inference) to rigorous causal interpretation and impact quantification.
* Causal Inference: Lead causal inference and econometric analyses to understand and influence key levers of business growth with a crisp understanding of incremental impact.
* Metric Design \&amp; Impact Attribution: Define and evolve success metrics using
state\-of\-the\-art measurement frameworks, ensuring that business KPIs are both predictive and causally informative.  
* 
Communication: Deliver compelling, data\-driven narratives to VP and Director stakeholders; distill complex findings into clear, actionable strategy recommendations with quantified business impact.  
* ML Engineering \&amp; Native AI: Collaborate with the Central AI team to
productionalize models that enhance personalization and automation throughout the user experience.  
* Thought Leadership \&amp; Mentorship: Mentor senior data scientists and establish best practices in experimental design, model validation, and responsible AI usage; drive a culture of analytical excellence and scientific rigor.
* Strategic Influence: Demonstrate extreme ownership across
cross\-functional initiatives, influencing product vision and delivering measurable impact through analytics innovation. **Qualifications**
* Master’s or PhD degree in Computer Science, Statistics, Econometrics, Data Science, or a quantitative field.
* 10\+ years of progressive experience in applied data science roles with increasing scope and complexity.
* Proven experience applying
state\-of\-the\-art machine learning and causal inference methodologies in high\-impact, product\-facing applications.  
* Expert\-level proficiency in SQL as well as Python or R
* Demonstrated success integrating ML models into production environments, especially within
personalization, recommendation, or AI\-assisted UX.  
* Deep understanding of Generative AI and other evolving technologies. Application of GenAI at scale in a production environment
* Deep knowledge of experimental design, including non\-standard A/B testing methods, uplift modeling, and sequential testing frameworks.
* Hands\-on experience with data visualization tools like Tableau or Qlik.
* Strong communication and storytelling
abilities—adept at translating sophisticated analytics into strategic guidance.  
* Proven leadership in mentoring technical talent and driving cross\-team alignment through data science innovation.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71">
      <c r="A71" t="inlineStr">
        <is>
          <t>in-4fbe3fcd684bda8c</t>
        </is>
      </c>
      <c r="B71" t="inlineStr">
        <is>
          <t>Business Model Staff Data Scientist</t>
        </is>
      </c>
      <c r="C71" t="inlineStr">
        <is>
          <t>Intuit</t>
        </is>
      </c>
      <c r="D71" t="inlineStr">
        <is>
          <t>indeed</t>
        </is>
      </c>
      <c r="E71" t="inlineStr"/>
      <c r="F71" t="inlineStr"/>
      <c r="G71" t="inlineStr">
        <is>
          <t>Mountain View, CA, US</t>
        </is>
      </c>
      <c r="H71" s="2" t="n">
        <v>46031</v>
      </c>
      <c r="I71" t="inlineStr">
        <is>
          <t>**Overview**
------------
We are seeking an experienced Staff Data Scientist to join our Business Strategy Data Science Team. This role is focused on product lineup and pricing strategy of Intuit’s core TurboTax business as it relates to driving growth and monetization. This is a high\-impact role where your work will directly influence product, marketing, and business model strategies.
As a Staff Data Scientist, you will serve as a strategic thought partner to cross\-functional leaders, bringing deep analytical expertise and business acumen to bear on Intuit’s most critical growth questions. You’ll lead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**Responsibilities**
Causal Inference: Lead causal inference and econometric analyses to understand and influence key levers of business growth with a crisp understanding of incremental impact.
Experimentation: Design, implement, and analyze experiments and quasi\-experiments to measure the impact of new initiatives in product and marketing.
Define KPIs and Success Metrics: Establish key business indicators for projects, ensuring alignment with company objectives and clear measures of success.
Communication: Translate complex technical findings into clear, actionable insights for senior leadership, including product, finance, and marketing executives.
Mentorship: Mentor junior team members and help shape the team’s analytical rigor and methodology standards in causal inference and A/B testing.
Leadership and Ownership: Demonstrate boundaryless leadership and extreme accountability \- proactively drives outcomes across teams and leads with influence, not authority.
 **Qualifications**
A Bachelor's degree in Statistics, Economics, Computer Science or a related quantitative field is required. Advanced degrees, particularly a Master's or PhD in economics or statistics, are highly desirable.
At least 6 years of experience applying statistical / econometric and modeling skills in decision making without an advanced degree, 2 years of experience with an advanced degree.
Demonstrated expertise in causal inference—including but not limited to advanced experimentation, synthetic controls, regression discontinuity, and instrumental variables—with a track record of rigorously solving problems with these methods.
A demonstrated ability to navigate through ambiguity and deliver results that significantly impact the business.
Excellent communication skills and the ability to work effectively with both technical and non\-technical colleagues.
Proficiency in SQL and a statistical programming language such as Python and/or 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72">
      <c r="A72" t="inlineStr">
        <is>
          <t>in-e64bc5dd6c570b49</t>
        </is>
      </c>
      <c r="B72" t="inlineStr">
        <is>
          <t>Data Scientist Associate Senior - Data Analytics Report Team</t>
        </is>
      </c>
      <c r="C72" t="inlineStr">
        <is>
          <t>JPMorganChase</t>
        </is>
      </c>
      <c r="D72" t="inlineStr">
        <is>
          <t>indeed</t>
        </is>
      </c>
      <c r="E72" t="inlineStr"/>
      <c r="F72" t="inlineStr"/>
      <c r="G72" t="inlineStr">
        <is>
          <t>Plano, TX, US</t>
        </is>
      </c>
      <c r="H72" s="2" t="n">
        <v>46031</v>
      </c>
      <c r="I72" t="inlineStr">
        <is>
          <t>**JOB DESCRIPTION**  
Join our Data Analytics Reporting Team (DART) to build modular agentic components and ship production\-ready AI features. You’ll leverage Python, AWS, and leading agentic frameworks to automate workflows, scale securely, and deliver measurable business outcomes.
As a Data Scientist Associate Sr within the Data Analytics Reporting Team at JPMorganChase, you will design, build, and maintain modular components for agentic systems that automate and orchestrate workflows across business platforms. You will own workstreams and Jira stories, delivering high\-quality, scalable Python code and features within larger AI/ML initiatives. You will containerize and deploy solutions to cloud environments using Docker and infrastructure as code with Terraform, and collaborate closely with cross\-functional partners to integrate agentic capabilities into existing systems. You will stay current on agentic frameworks such as LangGraph, Google ADK, and AutoGen, as well as LLMs and GenAI techniques including retrieval\-augmented generation, applying them pragmatically to solve business problems. You will document designs, communicate progress and technical concepts to stakeholders, and uphold code quality, security, and compliance through testing and peer reviews. Exposure to Kubernetes and EKS, MLOps tooling, and core AWS services (S3, RDS, CloudFormation) will help you drive resilient, production\-grade solutions aligned to business goals  
**Job Responsibilities**
* Build, test, and maintain modular components for agentic systems, enabling intelligent automation and orchestration within business platforms.
* Take ownership of individual workstreams and Jira stories, delivering high\-quality code and features as part of larger AI/ML initiatives.
* Work closely with team members to integrate agentic capabilities into existing systems and support solution delivery.
* Containerize and deploy agentic system components on cloud platforms, following established DevOps and infrastructure\-as\-code practices.
* Stay current with advancements in agentic frameworks (e.g., LangGraph, Google ADK, AutoGen), LLMs, and GenAI, and apply these technologies to assigned tasks and features.
* Document design decisions, implementation details, and results; communicate progress and technical concepts to team members and stakeholders.
* Ensure code quality, security, and compliance through testing, peer reviews, and adherence to best practices
 **Required Qualifications, Capabilities, and Skills**
* Bachelor’s degree with 3\+ years’ experience or Master’s degree with 1\+ year experience in a quantitative field (e.g., Computer Science, Data Science, Applied Mathematics, Statistics, Engineering).
* Hands\-on experience developing and delivering agentic system components or autonomous AI features in production environments.
* Strong Python programming skills, with a focus on modular, scalable, and maintainable code.
* Experience with AWS cloud platform.
* Familiarity with agentic frameworks (LangGraph, Google ADK, AutoGen) and integrating AI capabilities into business processes.
* Ability to work collaboratively in agile, cross\-functional teams and deliver on assigned workstreams.
* Excellent problem\-solving, communication, and documentation skills.
* Exposure to agentic system design patterns, orchestration, and workflow automation.
**Preferred Qualifications, Capabilities, and Skills**
* Experience with Large Language Models (LLMs), GenAI, and retrieval\-augmented generation (RAG).
* Experience with distributed computing, cloud orchestration (Kubernetes, EKS), and MLOps tools.
* Financial services industry experience.
* Ability to design and evaluate autonomous system features aligned with business goals.
* Experience with additional cloud services (EKS, S3, RDS, CloudFormation).
* Experience with containerization (Docker), and infrastructure as code (Terraform).
 **This role is 5 days a week in office full time. This role is not hybrid nor remote.**
**This role is not eligible for any visa sponsorship or transfer support at this time.**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73">
      <c r="A73" t="inlineStr">
        <is>
          <t>in-91d523a04b12b2aa</t>
        </is>
      </c>
      <c r="B73" t="inlineStr">
        <is>
          <t>Data Scientist Senior Associate - Regulatory Operations</t>
        </is>
      </c>
      <c r="C73" t="inlineStr">
        <is>
          <t>JPMorganChase</t>
        </is>
      </c>
      <c r="D73" t="inlineStr">
        <is>
          <t>indeed</t>
        </is>
      </c>
      <c r="E73" t="inlineStr"/>
      <c r="F73" t="inlineStr"/>
      <c r="G73" t="inlineStr">
        <is>
          <t>Plano, TX, US</t>
        </is>
      </c>
      <c r="H73" s="2" t="n">
        <v>46031</v>
      </c>
      <c r="I73" t="inlineStr">
        <is>
          <t>**JOB DESCRIPTION**  
Join our Regulatory Services Reporting \&amp; Analytics team as a Data Scientist Associate Senior and help shape the future of data\-driven decision making at JPMorgan Chase.
As a Data Scientist Senior Associate in Regulatory Services Reporting \&amp; Analytics team, you will spearhead data\-driven initiatives by designing and implementing advanced analytics solutions including AI, machine learning, and large language models to achieve operational efficiency. You will require a deep expertise in statistical analysis, data science, and automation, along with strong proficiency in Python, and data visualization tools. You will work collaboratively with stakeholders across multiple functions and lines of business, leveraging consulting skills and analytical expertise to deliver actionable insights and drive process improvements.
**Job Responsibilities:**
* Apply strategic, data science and quantitative skills within Regulatory Operations.
* Engage stakeholders and consolidate partnerships to continuously understand business drivers, goals, priorities and opportunities.
* Develop knowledge of operational processes managed within the pillar and help uncover opportunities using advanced analytics (AI/ML/LLM), research, and automation.
* Partner with subject matter experts and management to deliver automation solutions from idea conception through implementation.
* Manage data science and analytics strategies including recommendations on analytical products, services, protocols, and standards across the firm.
* Invent creative and innovative ways to answer key business questions by leveraging advanced analytics (AI/ML/LLM) \&amp; automation ; to improve efficiency and productivity of business user through automation and self\-service.
* Decrease the analytics development lifecycle and increase the velocity at which analysts can disseminate insights.
* Socialize, promote and support the implementation of the analytic solutions, working with teams across all business units to identify and recommend ways to leverage it for specific deliverables, including automation solutions, dashboards, reports, Ad\-hoc requests, deep dives, Industry study research etc.
* Be a storyteller capable of delivering practical data insights in a compelling manner actionable by senior leadership using presentations, discussions, and visualizations.
**Required Qualifications, Capabilities, and Skills:**
* Bachelor’s degree in relevant quantitative field (e.g., Statistics, Economics, Applied Math, Operations Research, Physics, Data Science fields).
* Strong understanding of math behind machine learning algos.
* Demonstrated experience in modern data mining, quantitative research, and data science techniques (e.g., machine learning, behavioral analytics).
* Able to work in large and medium sized project teams, as self\-directed contributor with a proven track record of being detail orientated, innovative, creative, and strategic.
* Be a team player who can help build around other people’s work and can be a strong collaborator.
* Experience working across multiple database platforms, both on premises, such as Teradata, Oracle, Hadoop, as well as on Cloud solutions such as AWS and Snowflake
* Demonstrated experience with process automation using tools such as Alteryx, Python, R, Tableau, SAS, SQL/PLSQL, VBA, SharePoint and other Business Intelligence tools.
* Demonstrated experience conducting data analysis with ability to tell compelling stories using data.
**Preferred Qualifications, Capabilities, and Skills:**
* Financial services background
* M.S. equivalent
* Bachelor’s degree in a relevant quantitative field
* 4\+ years of data analytics experience or advanced degree in an analytical field
* Experience in recommendation systems
**This role is not eligible for visa sponsorship. This role is 5 days a week fully in\-office.**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74">
      <c r="A74" t="inlineStr">
        <is>
          <t>in-e285f10c36129f02</t>
        </is>
      </c>
      <c r="B74" t="inlineStr">
        <is>
          <t>Sr Data Scientist I</t>
        </is>
      </c>
      <c r="C74" t="inlineStr">
        <is>
          <t>Staples</t>
        </is>
      </c>
      <c r="D74" t="inlineStr">
        <is>
          <t>indeed</t>
        </is>
      </c>
      <c r="E74" t="inlineStr"/>
      <c r="F74" t="inlineStr"/>
      <c r="G74" t="inlineStr">
        <is>
          <t>Framingham, MA, US</t>
        </is>
      </c>
      <c r="H74" s="2" t="n">
        <v>46030</v>
      </c>
      <c r="I74" t="inlineStr">
        <is>
          <t>**Staples is business to business. You’re what binds us together.** **Data scientists** use statistical modeling to make predictions about future outcomes and in multiple scenarios. They interpret and apply data in analyses, and explain findings to business audiences typically, to improve products and processes. Develops and executes statistical and mathematical analyses to support business decision making for multiple business functions. Develops complex algorithms and statistical predictive models and determines analytical approaches and modeling techniques to evaluate scenarios and potential future outcomes. Applies analytical rigor and statistical methods to analyze large amounts of data, using advanced statistical techniques such as predictive statistical models, customer profiling, segmentation analysis, survey design and analysis and data mining. Documents projects including business objectives, data gathering and processing, leading approaches, final algorithm, detailed set of results and analytical metrics. Develops materials to explain project findings. Implements activities that generally impact multiple components / processes and the work of own and possibly other units / teams / projects. Typically assigned to strategic / complex undertakings. Demonstrates proficiency in all areas of the professional function and advanced in\-depth specialization in some. Participates in developing technical / business approaches and new or enhanced technical tools. Interacts with internal and external peers and management to share highly complex information related to areas of expertise and/or to gain acceptance of new or enhanced technology / business solutions. Receives work in the form of short\- and mid\-term outcomes that regularly require the application of independent judgment and creativity. Mentors less experienced members of the team. May lead projects. Provides guidance regarding analytical approach and iteration of algorithms. Work is subject to management review at defined milestones. Operates within the context of defined operating outcomes.
 **What you’ll be doing:**
* Mines and analyzes complex and unstructured data sets using advanced statistical, machine learning and artificial intelligence methods methods for use in data driven decision making.
* Performs research, analysis, and modeling on organizational data.
* Develops and applies algorithms or models to key business metrics with the goal of improving operations or answering business questions.
* Provides findings and analysis for use in decision making.
* Performs work with a high degree of latitude.
* Handles the most complex issues.
* Possesses expert knowledge of subject matter.
* Provides leadership, coaching, and/or mentoring to subordinate group.
**What You Bring to the Table:**
* Strong problem\-solving and critical\-thinking skills.
* Excellent communication and leadership abilities.
* Collaborative spirit and proven ability to work effectively within a team.
* Expertise in data analysis, statistical modeling, and machine learning.
* Programming proficiency (Python, R or similar languages).
* Solid understanding of business dynamics and industry challenges.
**What’s needed\- Basic Qualifications:**
* BA/BS degree in Data Science, Statistics, Computer Science, or related field or equivalent work experience.
* 7\+ years of progressively complex related experience in the tools and practice of data science, including statistical modeling, machine learning and artificial intelligence.
* Expertise in programming languages such as Python, with good familiarity in big data frameworks and platforms such as PySpark, Apache Spark, Databricks and Snowflake.
**What’s needed\- Preferred Qualifications:**
* Master’s degree in a relevant field.
* Proven track record of leading large\-scale data science projects.
* Advanced knowledge in a specialized field of data science, such as Deep learning, Large language Models or Natural language processing.
**We Offer:**
* Inclusive culture with associate\-led Business Resource Groups
* 22 days of PTO and Holiday Schedule (7 observed paid holidays \+ 1 floating holiday)
* Online and Retail Discounts, Company Match 401(k), Physical and Mental Health Wellness programs, and more!
*The salary range represents the expected compensation for this role at the time of posting. The specific base pay may be influenced by a variety of factors to include the candidate's experience, skill set, education, geography, business considerations, and internal equity. In addition to base pay, this role may be eligible for bonuses, or other forms of variable compensation.*
*It is unlawful in Massachusetts to require or administer a lie detector test as a condition of employment or continued employment. An employer who violates this law shall be subject to criminal penalties and civil liability.*</t>
        </is>
      </c>
    </row>
    <row r="75">
      <c r="A75" t="inlineStr">
        <is>
          <t>in-087f46de091892a6</t>
        </is>
      </c>
      <c r="B75" t="inlineStr">
        <is>
          <t>Senior Data Scientist, Growth</t>
        </is>
      </c>
      <c r="C75" t="inlineStr">
        <is>
          <t>Thistle Health Inc.</t>
        </is>
      </c>
      <c r="D75" t="inlineStr">
        <is>
          <t>indeed</t>
        </is>
      </c>
      <c r="E75" t="inlineStr"/>
      <c r="F75" t="inlineStr"/>
      <c r="G75" t="inlineStr">
        <is>
          <t>CA, US</t>
        </is>
      </c>
      <c r="H75" s="2" t="n">
        <v>46030</v>
      </c>
      <c r="I75" t="inlineStr">
        <is>
          <t>### **TITLE:** Senior Data Scientist
### **DEPARTMENT:** Product \&amp; Data
### **REPORTS TO:** Director of Data
### **WHO WE ARE:**
### Founded in 2013, Thistle is a food\-tech startup empowering our customers to get and stay healthy while improving the sustainability of our food system. We make delicious, ready\-to\-eat plant\-forward meals, snacks, and juices delivered right to our customers’ doorsteps. Our convenient subscription service empowers customers to improve their personal and planetary health by incorporating more plants into their diet.
### **About the Role**
As a Senior Data Scientist focused on growth, you’ll be pivotal in shaping and implementing the strategic vision for growth marketing at Thistle. You’ll apply analysis, modeling, and experimentation to drive efficient spend allocation locally by channel and globally across our entire portfolio, leading the charge to expand our customer base and enhance brand equity. You’ll help us think holistically about the impact of promotional events, creative design, targeting strategy, and more, driving a shared understanding of performance that optimizes for long\-run business health.
### **How You’ll Make a Difference**
* Develop and oversee the implementation of a comprehensive growth marketing strategy that aligns with Thistle's business objectives and brand values.
* Optimize marketing spend across channels to drive efficient, high\-value customer acquisition. Take a hands\-on role in allocating and managing spend, continuously improving efficiency through automation, analysis, modeling, and experimentation.
* Deploy A/B experiments and causal inference methods to measure the efficacy of new and existing ad channels. Interpret data collected internally and via third\-party platforms through a critical lens, leveraging insights to deliver long\-run business value.
* Clearly communicate insights to executive leadership and other stakeholders, facilitating a shared understanding of performance while surfacing actionable, data\-driven recommendations
* Collaborate with senior leadership to determine appropriate key metrics, performance goals, and budgets. Allocate long\-run marketing spend by appropriately forecasting the impact of seasonality, geographic expansion, and other business factors.
* Partner with our marketing team to optimize Thistle’s promotional calendar. Collaboratively design and evaluate key sales levers, including promotional duration, frequency, and offer structure.
* Act as a thought leader within the organization, staying ahead of industry trends and growth marketing innovations.
### **Who You Are**
* 5\+ years of hands\-on data science experience, including a focus on marketing optimization \- preferably within a D2C business context.
* Experience managing spend through major ad platforms (Meta, Google, TikTok, etc.)
* Strong statistical knowledge and intuition, including causal inference, experimentation, and statistical modeling. Experience designing and analyzing tests in conjunction with third\-party advertising platforms.
* Strong proficiency in 1\+ programming languages (e.g., R, Python)
* Strong SQL and data visualization skills
* Excellent communication skills, with a passion for distilling complex findings into actionable recommendations
* Bachelor's/Master's/PhD in a quantitative discipline or equivalent practical experience
* A passion for our mission: to make it easy for everyone to get and stay healthy while improving the sustainability of our food system
### **Our Culture**
Diversity, equity, and inclusion are essential values at Thistle. We know we do our best and most impactful work when we feel we are represented and belong. We're proud to actively recruit and hire talented individuals from a diverse range of backgrounds and experiences. We do not discriminate against employees or applicants for employment on any legally recognized basis (“protected class”), including, but not limited to, race, ethnicity, citizenship, national origin, color, hairstyles, hair texture,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t>
        </is>
      </c>
    </row>
    <row r="76">
      <c r="A76" t="inlineStr">
        <is>
          <t>in-094e80f8eea825b6</t>
        </is>
      </c>
      <c r="B76" t="inlineStr">
        <is>
          <t>Supply Chain Data Scientist</t>
        </is>
      </c>
      <c r="C76" t="inlineStr">
        <is>
          <t>HP</t>
        </is>
      </c>
      <c r="D76" t="inlineStr">
        <is>
          <t>indeed</t>
        </is>
      </c>
      <c r="E76" t="inlineStr"/>
      <c r="F76" t="inlineStr"/>
      <c r="G76" t="inlineStr">
        <is>
          <t>Spring, TX, US</t>
        </is>
      </c>
      <c r="H76" s="2" t="n">
        <v>46030</v>
      </c>
      <c r="I76" t="inlineStr">
        <is>
          <t>HP is the world’s leading personal systems and printing company, dedicated to creating technology that enriches lives everywhere. Our innovation thrives on the passion, talent, and curiosity of our people—each bringing unique perspectives, expertise, and ideas to shape the future of how the world works and lives.
**Join HP’s Strategic Planning and Modeling (SPaM) Data Science Team – Where Vision Meets Impact**
Are you a visionary thinker with a passion for learning and innovation? Join our **Strategic Planning and Modeling (SPaM) Data Science team**, where we tackle complex supply chain challenges and drive strategic decision\-making through advanced analytics.
As a member of SPaM, you will:  
✅ **Evaluate** supply chain investment and improvement opportunities.  
✅ **Develop** cutting\-edge predictive, prescriptive, and generative AI models to optimize business outcomes.  
✅ **Deliver** strategic recommendations that shape HP’s global supply chain.  
✅ **Collaborate** with senior executives to set direction and drive innovation.  
✅ **Lead** with technical and analytical expertise to translate theory into impactful business solutions through strong execution and cross\-functional orchestration.
At SPaM, we bring over **35 years of supply chain innovation**. We value flexibility, invest in your growth through **formal training and mentorship**, and foster a culture where creativity and data\-driven insights power the future. **If pioneering data\-based innovations to transform HP’s supply chain excites you, we want to hear from you!**
**Responsibilities**
* **Collaborate \&amp; Strategize:** Work closely with SPaM team members and cross\-functional partners to define business challenges, develop analytical frameworks, gather key data, evaluate solutions, and deliver well\-supported recommendations to leadership.
* **Drive Supply Chain Innovation:** Develop and implement cutting\-edge solutions in inventory management, working capital optimization, network design, forecasting, complexity reduction, product planning, manufacturing, and distribution to enhance efficiency and decision\-making.
* **Transform Data into Impact:** Leverage data visualization techniques to craft compelling narratives that communicate insights, drive action, and demonstrate business value.
* **Build \&amp; Scale Advanced Analytics Solutions:** Design, deploy, and support predictive, prescriptive, and generative analytics models that drive measurable impact at scale.
* **Enable Change \&amp; Adoption:** Apply proven change management strategies to facilitate smooth adoption of new analytics\-driven solutions across the organization.
* **Stay Ahead of the Curve:** Continuously enhance expertise in data science and supply chain management by staying informed on the latest advancements and industry trends.
**Education and Experience Required**
* MS/PhD in a business analytics field (i.e. Industrial Engineering, Management Science, Operations Research, Statistics, Data Science) or MBA with Supply Chain or Operations concentration
* Operational experience in one of the following: inventory optimization, demand forecasting, network design, planning, forecasting, procurement, logistics, warranty, product quality, product variety management, or similar supply chain domain area
* 10\+ years of experience
**Knowledge and Skills**
* Expertise with inventory optimization math and deployment of the mathematical formulas into a business process
* Applied experience with machine learning and optimization on large datasets
* Proficient with Python, SQL, GitHub Co\-Pilot, PowerBI, Excel
* Experience with GenAI
* Passion for data science \&amp; delivering data\-driven outcomes
* Demonstrated innovation across the supply chain domains (Plan, Source, Make, Deliver, Return)
* Demonstrated practical experience in an operational environment
* Experience implementing and handing off operational analytical solutions to business users
* Demonstrated ability to deal well with ambiguity and work collaboratively in a fast\-paced environment
* Demonstrated ability to communicate concisely with diplomacy, credibility, and confidence
* Experience with data visualization and data presentation in a clear and effective manner
* Experience leading, collaborating with, and delivering results in cross\-functional teams
* Familiarity with statistics, forecasting, simulation, and spreadsheet modelling
* A desire to be a part of the HP team with a commitment to build upon our brand that is synonymous with innovation, trust, reliability, and sustainability
The base pay range for this role is **$147,050 to $232,850**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are accurate as of the date of this posting. The Company reserves the right to modify this information at any time, with or without notice, subject to applicable law.
**\#LI\-POST**</t>
        </is>
      </c>
    </row>
    <row r="77">
      <c r="A77" t="inlineStr">
        <is>
          <t>in-0db15dc567f81250</t>
        </is>
      </c>
      <c r="B77" t="inlineStr">
        <is>
          <t>Principal Applied Scientist</t>
        </is>
      </c>
      <c r="C77" t="inlineStr">
        <is>
          <t>Microsoft</t>
        </is>
      </c>
      <c r="D77" t="inlineStr">
        <is>
          <t>indeed</t>
        </is>
      </c>
      <c r="E77" t="inlineStr"/>
      <c r="F77" t="inlineStr"/>
      <c r="G77" t="inlineStr">
        <is>
          <t>Redmond, WA, US</t>
        </is>
      </c>
      <c r="H77" s="2" t="n">
        <v>46027</v>
      </c>
      <c r="I77"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and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This is an exciting time to join our group and work on something strategic to Microsoft. Microsoft Dataverse and the Power Platform Managed Platform provide secure, scalable, and cost\-efficient foundations for building AI\-powered, governed, and compliant applications at global scale. This team builds platform capabilities and microservices that deliver global scale, security, governance, and managed runtime for customers across Power Platform. You will be part of a team of engineers who thrive on solving complex problems at scale with impeccable quality.  
We are looking for a **Principal Research Engineer** to join the Managed Platform team, which provides the foundation for global scale, security, governance, and compliance across Power Platform and Dataverse. In this role, you will apply data science techniques to improve platform reliability, optimize performance, and enable AI\-driven insights that shape the future of enterprise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Apply a deep understanding of fairness and bias in AI by proactively identifying and mitigating ethical and security risks—including XPIA (Cross\-Prompt Injection Attack) unfairness, bias, and privacy concerns—to ensure equitable and responsible outcomes.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 OR equivalent experience.
* 5\+ years experience creating publications (e.g., patents, libraries, peer\-reviewed academic papers).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 OR Doctorate in Statistics, Econometrics, Computer Science, Electrical or Computer Engineering, or related field AND 6\+ years related experience (e.g., statistics, predictive analytics, research)
	+ OR equivalent experience.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2\+ years experience presenting at conferences or other events in the outside research/industry community as an invited speaker.
\#BICJOBS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8">
      <c r="A78" t="inlineStr">
        <is>
          <t>in-c42d898f7e335606</t>
        </is>
      </c>
      <c r="B78" t="inlineStr">
        <is>
          <t>Applied Scientist ||</t>
        </is>
      </c>
      <c r="C78" t="inlineStr">
        <is>
          <t>Microsoft</t>
        </is>
      </c>
      <c r="D78" t="inlineStr">
        <is>
          <t>indeed</t>
        </is>
      </c>
      <c r="E78" t="inlineStr"/>
      <c r="F78" t="inlineStr"/>
      <c r="G78" t="inlineStr">
        <is>
          <t>Redmond, WA, US</t>
        </is>
      </c>
      <c r="H78" s="2" t="n">
        <v>45985</v>
      </c>
      <c r="I78" t="inlineStr">
        <is>
          <t>**Overview**  
Join the forefront of data center innovation with Microsoft’s Cloud Operations \&amp; Innovation (CO\+I) Cloud Applied Artificial Intelligence (CAAI) group as an **Applied Scientist II**. In this pivotal role, you’ll help drive sustainability and efficiency across Microsoft’s core infrastructure that powers services like Bing, Office 365, Xbox, OneDrive, and Azure.
As an Applied Scientist II, you will leverage machine learning, big data, predictive analytics, and time series analysis to transform data center efficiency. With over 400 data centers in 32 countries and millions of servers, our infrastructure offers a unique opportunity to make a global impact. You’ll collaborate with cross\-discipline teams to push the boundaries of data center sustainability and efficiency. With environmental sustainability and optimization at the heart of our design and operations, we continue to evolve to meet the ever\-changing business demands that position Microsoft as a world\-class cloud provider.
Microsoft’s mission is to empower every person and every organization on the planet to achieve more. We embrace a growth mindset, innovate to empower others, and collaborate to achieve shared goals. Each day we build on our values of respect, integrity, and accountability to create a culture of inclusion where everyone can thrive.
 **Responsibilities**  
* Apply advanced techniques in data science, machine learning, and AI to improve data center sustainability and efficiency.
* Translate complex datasets into actionable insights and communicate findings clearly to stakeholders.
* Design and execute experiments to validate hypotheses and evaluate new approaches, ensuring rigor and reproducibility.
* Provide strategic input on business opportunities and product enhancements based on data\-driven insights.
* Collaborate with engineering teams to deploy and optimize models at scale.
* Contribute to product strategy, aligning scientific solutions with business objectives to deliver measurable impact.
* Partner with cross\-functional stakeholders to drive initiatives that achieve tangible business outcomes.
Embody our culture and values.
 **Qualifications** **Required Qualifications:**
* Doctorate in Data Science, Mathematics, Statistics, Econometrics, Economics, Operations Research, Computer Science, or related field **AND** 1\+ year of data science experience
	+ **OR** Master’s degree in related field **AND** 3\+ years of data science experience
	+ **OR** Bachelor’s degree in related field **AND** 5\+ years of data science experience
	+ **OR** equivalent experience.
While not required, we also look for the following**Preferred Qualifications:**
* Doctorate in related field **AND** 3\+ years of data science experience
	+ **OR** Master’s degree **AND** 5\+ years
	+ **OR** Bachelor’s degree **AND** 7\+ years
	+ **OR** equivalent experience.
* Experience with large\-scale telemetry systems, data collection, processing, and analytics.
* Expertise in Exploratory Data Analysis, Inference, Predictive Modeling (Regression, Classification), Time Series Analysis, and Machine Learning (SVMs, Gradient Boosted Trees, Neural Networks, CNNs).
* Strong foundation in applied statistics and mathematics with ability to apply advanced analytical techniques to solve complex problems.
* 4\+ years of experience applying statistical techniques (e.g., experimentation, statistical modeling).
* 2\+ years of customer\-facing, project\-delivery experience.
* Proficiency with Spark and Python.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9">
      <c r="A79" t="inlineStr">
        <is>
          <t>in-0e4d7e81d8e879d6</t>
        </is>
      </c>
      <c r="B79" t="inlineStr">
        <is>
          <t>ML Data Scientist - Apple Ads Marketplace</t>
        </is>
      </c>
      <c r="C79" t="inlineStr">
        <is>
          <t>Apple</t>
        </is>
      </c>
      <c r="D79" t="inlineStr">
        <is>
          <t>indeed</t>
        </is>
      </c>
      <c r="E79" t="inlineStr"/>
      <c r="F79" t="inlineStr"/>
      <c r="G79" t="inlineStr">
        <is>
          <t>Cupertino, CA, US</t>
        </is>
      </c>
      <c r="H79" s="2" t="n">
        <v>46031</v>
      </c>
      <c r="I79" t="inlineStr">
        <is>
          <t>At Apple, we believe in the power of technology to enrich people's lives. Everything we build is designed to empower people, including our advertising platform. We deliver ads in a way that benefits both consumers and advertisers \- helping people discover content, supporting creators, and protecting and respecting everyone’s privacy.  
Our technology makes advertising possible on the App Store, Apple News, Stocks, and Apple TV. We help developers and marketers of all sizes drive app discovery across the App Store. Our display ads on Apple News and Stocks let advertisers promote their products alongside trusted content in a brand\-safe environment, while supporting publishers and journalists. Sponsorship integrations and experiences in live sports on Apple TV help advertisers connect with captivated audiences. Everything we do is with the unwavering commitment to privacy you expect from Apple. Because when advertising is done right, it benefits everyone.  
**Description**  
Our platforms are highly performant, deployed at scale, and set new standards for enabling effective advertising while protecting user privacy. The Ad Platforms Data Insights team is seeking a Data Scientist to join in developing the next generation of analytical solutions in collaboration with Engineering, Product, Sales, Marketing, and Finance. In this role you will work as a key member of a data\-centric team to drive the exploration, analysis, development, execution, and measurement solutions that are essential to running and growing the ads marketplace. Responsibilities include turning the huge amounts of data generated by user searches, app content, and App Store context into business insights that improve the customer experience for the end\-user as well as drive discovery and efficiency for app developers.  
This role requires both a broad knowledge of statistics and creativity to invent and customize when vital. You'll dig in and get into the details. The theory behind the techniques are just the beginning. You'll be working on projects where practical applications of these approaches get applied in real\-world scenarios. Successful analytics teams involve data scientists and data engineers working hand in hand to build insightful and efficient solutions. In your role, you will be a key player in a multi\-functional team that delivers insights that have direct and measurable impact. We're looking for an inquisitive, collaborative, and passionate person to join this amazing team.","responsibilities":"Support Marketplace Product, Engineering, and the Executive Team with analyses, and data products to improve product performance, deepen customer insight and deliver business impact.  
Empower the product and algorithm engineering team with insights to advise and fulfill their strategic objectives and goals.  
Quantify the impact of marketplace initiatives on advertiser impact, and business performance.  
Design experiments that help define opportunities for pricing, matching, and prediction models leading to improved marketplace performance, and positive advertiser impact.  
Monitor usage metrics and provide business\-based explanations for large scale trends and patterns in advertiser lifecycle behavior.  
Develop reusable models and data products working closely with Data Engineering team to ensure scalability of models and products in production.  
Lead business analytics projects through all phases, including defining investigations, exploring data, conducting analysis, interpreting, and presenting results for customers  
**Preferred Qualifications**  
2\+ years of recent experience in a data science role.  
Experience in the mobile advertising industry or related field.  
Familiarity with job orchestration frameworks such as Airflow.  
Demonstrated ability to build visualizations, dashboards and enable broader consumption of insights and tools for investigations.  
Post\-Bachelor's degree in Data Science, Applied Mathematics, Statistics, Computer Science or relevant field/experience  
**Minimum Qualifications**  
Recent experience in a data science role.  
Programming skills in Python and SQL, and familiarity with machine learning, such as scikit\-learn, xgboost, PyTorch, SciPy is necessary.  
Familiar with statistical analysis methods, most notably regression analysis, causal inference, statistical learning and A/B and quasi\-experimentation methods.  
Demonstrated experience in applying statistics and machine learning to generate clear actionable insights.  
Comfortable with a variety of data stores such as Hadoop, and Snowflake, familiar with distributed analytics engines such as Spark/PySpark.  
Possess exceptional communication skills to communicate analyses in a clear and effective manner to technical audience and executive leadership.  
Demonstrated ability to partner with engineering, meet the data needs of the business, finding creative analytical solutions and develop initial prototypes to address messy business problems.  
Proven ability to operate comfortably and optimally in a fast\-paced and constantly evolving environment.  
Bachelor's degree in Data Science, Applied Mathematics, Statistics, Computer Science or relevant field/experience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0">
      <c r="A80" t="inlineStr">
        <is>
          <t>in-0367dd5cc08d8ed9</t>
        </is>
      </c>
      <c r="B80" t="inlineStr">
        <is>
          <t>Sr Staff Data Scientist</t>
        </is>
      </c>
      <c r="C80" t="inlineStr">
        <is>
          <t>Intuit</t>
        </is>
      </c>
      <c r="D80" t="inlineStr">
        <is>
          <t>indeed</t>
        </is>
      </c>
      <c r="E80" t="inlineStr"/>
      <c r="F80" t="inlineStr"/>
      <c r="G80" t="inlineStr">
        <is>
          <t>San Diego, CA, US</t>
        </is>
      </c>
      <c r="H80" s="2" t="n">
        <v>46031</v>
      </c>
      <c r="I80" t="inlineStr">
        <is>
          <t>Category Data
Location San Diego, California
Job ID 18843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Join the Intuit Customer Success team as a Principal Data Scientist within our Expert Network.  
In this role, you will help shape the AI strategy for our product support and live experiences. You’ll be central to optimizing our greatest resource, our people, through innovating, experimenting, learning, pivoting, and scaling AI\-driven solutions.  
This is a mission\-critical role requiring a strategic thought partner who brings cutting\-edge data science techniques and deep domain expertise to influence our Customer Success strategy and drive business growth at scale. You will partner directly with cross\-functional leaders—across Product Management, Engineering, Data, Customer Success, and Service Delivery—to architect the analytical frameworks and modeling solutions that shape our Expert Network and our AI Driven platform.
This role demands a strong foundation in statistical methods, machine learning, experimentation design, and causal inference, coupled with a demonstrated ability to lead with influence, navigate ambiguity, and execute with precision. **Responsibilities**
* Advanced Predictive Modeling \&amp; Machine Learning: Design, build, and deploy scalable
models—including ensemble methods, time\-series forecasting, LTV modeling, deep learning architectures, and uplift modeling—to uncover high\-impact growth opportunities and drive personalization.  
* 
Experimentation Science \&amp; Design: Own the end\-to\-end experimentation pipeline—from hypothesis generation and design (e.g., CUPED, multi\-armed bandits, Bayesian Inference) to rigorous causal interpretation and impact quantification.  
* Causal Inference: Lead causal inference and econometric analyses to understand and influence key levers of business growth with a crisp understanding of incremental impact.
* Metric Design \&amp; Impact Attribution: Define and evolve success metrics using
state\-of\-the\-art measurement frameworks, ensuring that business KPIs are both predictive and causally informative.  
* 
Communication: Deliver compelling, data\-driven narratives to VP and Director stakeholders; distill complex findings into clear, actionable strategy recommendations with quantified business impact.  
* ML Engineering \&amp; Native AI: Collaborate with the Central AI team to
productionalize models that enhance personalization and automation throughout the user experience.  
* Thought Leadership \&amp; Mentorship: Mentor senior data scientists and establish best practices in experimental design, model validation, and responsible AI usage; drive a culture of analytical excellence and scientific rigor.
* Strategic Influence: Demonstrate extreme ownership across
cross\-functional initiatives, influencing product vision and delivering measurable impact through analytics innovation. **Qualifications**
* Master’s or PhD degree in Computer Science, Statistics, Econometrics, Data Science, or a quantitative field.
* 10\+ years of progressive experience in applied data science roles with increasing scope and complexity.
* Proven experience applying
state\-of\-the\-art machine learning and causal inference methodologies in high\-impact, product\-facing applications.  
* Expert\-level proficiency in SQL as well as Python or R
* Demonstrated success integrating ML models into production environments, especially within
personalization, recommendation, or AI\-assisted UX.  
* Deep understanding of Generative AI and other evolving technologies. Application of GenAI at scale in a production environment
* Deep knowledge of experimental design, including non\-standard A/B testing methods, uplift modeling, and sequential testing frameworks.
* Hands\-on experience with data visualization tools like Tableau or Qlik.
* Strong communication and storytelling
abilities—adept at translating sophisticated analytics into strategic guidance.  
* Proven leadership in mentoring technical talent and driving cross\-team alignment through data science innovation.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81">
      <c r="A81" t="inlineStr">
        <is>
          <t>in-23042c7f39816c90</t>
        </is>
      </c>
      <c r="B81" t="inlineStr">
        <is>
          <t>Data Scientist</t>
        </is>
      </c>
      <c r="C81" t="inlineStr">
        <is>
          <t>ExxonMobil</t>
        </is>
      </c>
      <c r="D81" t="inlineStr">
        <is>
          <t>indeed</t>
        </is>
      </c>
      <c r="E81" t="inlineStr"/>
      <c r="F81" t="inlineStr"/>
      <c r="G81" t="inlineStr">
        <is>
          <t>Houston, TX, US</t>
        </is>
      </c>
      <c r="H81" s="2" t="n">
        <v>46031</v>
      </c>
      <c r="I81"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**What you will do**
--------------------
We are hiring multiple Data Scientists to lead the design, development, and deployment of advanced AI/ML solutions across diverse domains, including:
* Generative AI \&amp; NLP (LLMs, agentic workflows)
* Time Series Forecasting \&amp; Anomaly Detection
* Optimization \&amp; Prescriptive Analytics
* Commercial Analytics (pricing, marketing, supply chain)
* Subsurface \&amp; Wells (physics\-informed ML, production optimization)
* Computer Vision \&amp; Document Intelligence
You will work end\-to\-end—from problem framing and experimentation through production and sustainment—partnering with engineers and business stakeholders to deliver scalable, reliable, and impactful solutions.
**What role will you play in the team**
---------------------------------------
* Lead end\-to\-end delivery of AI/ML solutions: scoping, modeling, evaluation, deployment, and monitoring.
* Collaborate with cross\-functional teams to translate business problems into mathematical frameworks.
* Build solutions in one or more domains listed above, applying best practices for data quality, explainability, and governance.
* Develop GenAI applications (chatbots, copilots, multi\-agent workflows) and/or time series, optimization, or commercial analytics models.
* Ensure production readiness through MLOps practices (CI/CD, MLflow, monitoring, cost optimization).
* Mentor peers and contribute to internal AI capability building.
**About you**
-------------
 **Desired Skills**
* 5\+ years of direct experience delivering production AI/ML solutions.
* Expertise in one or more of the following: NLP/GenAI, time series, optimization, commercial analytics, subsurface/wells, computer vision.
* Strong foundations in statistics, probability, and algorithm design.
* Proficiency in Python and ML frameworks (PyTorch, TensorFlow, scikit\-learn); experience with Databricks/Spark.
* Familiarity with GenAI frameworks (LangChain, Promptflow) and/or optimization libraries.
* Experience with MLOps, model governance, and explainable AI techniques (e.g., SHAP, LIME).
* Excellent communication and collaboration skills.
 **Preferred Knowledge/Skills**
* Cloud platforms (Azure ML, Azure OpenAI, Databricks).
* Commercial domain experience (pricing, forecasting, supply chain) or energy/subsurface expertise.
* Knowledge graphs, hybrid search/RAG, and semantic technologies.
* Agile development and software engineering best practices.
 **Educational Background Recommended**
* Master’s or PhD in Data Science, Computer Science, Engineering, Applied Math, or related field.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**Employee equal opportunity**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82223**
\#LI\-Onsite</t>
        </is>
      </c>
    </row>
    <row r="82">
      <c r="A82" t="inlineStr">
        <is>
          <t>in-dd04d50d6eb2c1c3</t>
        </is>
      </c>
      <c r="B82" t="inlineStr">
        <is>
          <t>Data Scientist Network Fault Management (Wireless &amp; IEN Alarms)</t>
        </is>
      </c>
      <c r="C82" t="inlineStr">
        <is>
          <t>Realign</t>
        </is>
      </c>
      <c r="D82" t="inlineStr">
        <is>
          <t>indeed</t>
        </is>
      </c>
      <c r="E82" t="inlineStr"/>
      <c r="F82" t="inlineStr"/>
      <c r="G82" t="inlineStr">
        <is>
          <t>Basking Ridge, NJ, US</t>
        </is>
      </c>
      <c r="H82" s="2" t="n">
        <v>46031</v>
      </c>
      <c r="I82" t="inlineStr">
        <is>
          <t>Job Type: Contract
Job Category: IT
Job Description
**Role: Data Scientist – Network Fault Management (Wireless \&amp; IEN Alarms)****Location: Basking Ridge, NJ**  
**Duration: Long term Contract**  
* Analyze large\-scale wireless (RAN, Core) and IEN network alarm data from OSS/NMS systems
* Identify patterns, trends, and recurring fault signatures across network domains
* Develop KPIs and dashboards to track network health and fault trends
* Build machine learning models for alarm correlation, noise reduction, root cause analysis, anomaly detection, and predictive fault forecasting
* Apply supervised and unsupervised learning techniques such as clustering, classification, and time\-series analysis
* Clean, normalize, and enrich alarm data from multiple sources
* Integrate data from OSS, EMS, NMS, CMDB, and performance systems
* Automate fault insight pipelines and model deployment
* Collaborate with NOC, Network Engineering, and Reliability teams to translate analytical findings into operational recommendations
* Support proactive maintenance and incident prevention initiatives
* Create interactive dashboards and reports for real\-time fault monitoring
* Present insights clearly to technical and non\-technical stakeholders
* Strong proficiency in Python or R (Pandas, NumPy, Scikit\-learn, PySpark)
* Experience with time\-series data and event/alarm analytics
* Knowledge of machine learning algorithms for classification, clustering, and anomaly detection
* Experience with SQL and big data platforms such as Spark or Hadoop
* Familiarity with visualization tools like Tableau, Power BI, Grafana, or Python visualization libraries
* Understanding of wireless networks (2G/3G/4G/5G, RAN, Core)
* Knowledge of IEN/IP/Ethernet networking concepts
* Familiarity with network alarms, fault management, and OSS/NMS systems
* Understanding of MTTR, SLA, availability, and reliability metrics
* Strong analytical and problem\-solving skills
* Ability to communicate insights effectively and work in cross\-functional operational teams
* Experience in telecom, ISP, or network operations environments preferred
* Knowledge of AIOps or network intelligence platforms preferred
* Experience with real\-time streaming data tools such as Kafka or Flink preferred
* Exposure to ITIL and incident/problem management frameworks preferred
* Deliverables include alarm correlation and RCA models reducing false positives, predictive fault alerts improving proactive maintenance, operational dashboards for NOC and engineering teams, and documentation with model performance reports
Required Skills
DATA ANALYST</t>
        </is>
      </c>
    </row>
    <row r="83">
      <c r="A83" t="inlineStr">
        <is>
          <t>in-4969f5be81a89857</t>
        </is>
      </c>
      <c r="B83" t="inlineStr">
        <is>
          <t>Senior Applied Scientist, Sponsored Products and Brands</t>
        </is>
      </c>
      <c r="C83" t="inlineStr">
        <is>
          <t>Amazon.com</t>
        </is>
      </c>
      <c r="D83" t="inlineStr">
        <is>
          <t>indeed</t>
        </is>
      </c>
      <c r="E83">
        <f>HYPERLINK("https://www.indeed.com/viewjob?jk=4969f5be81a89857", "https://www.indeed.com/viewjob?jk=4969f5be81a89857")</f>
        <v/>
      </c>
      <c r="F83">
        <f>HYPERLINK("https://www.amazon.jobs/jobs/3130062/senior-applied-scientist-sponsored-products-and-brands?cmpid=DA_INAD200785B", "https://www.amazon.jobs/jobs/3130062/senior-applied-scientist-sponsored-products-and-brands?cmpid=DA_INAD200785B")</f>
        <v/>
      </c>
      <c r="G83" t="inlineStr">
        <is>
          <t>Seattle, WA, US</t>
        </is>
      </c>
      <c r="H83" s="3" t="n">
        <v>45979</v>
      </c>
      <c r="I8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in-77287af5246fd2d2</t>
        </is>
      </c>
      <c r="B84" t="inlineStr">
        <is>
          <t>Sr. Applied Scientist, AGI Foundations</t>
        </is>
      </c>
      <c r="C84" t="inlineStr">
        <is>
          <t>Amazon.com</t>
        </is>
      </c>
      <c r="D84" t="inlineStr">
        <is>
          <t>indeed</t>
        </is>
      </c>
      <c r="E84">
        <f>HYPERLINK("https://www.indeed.com/viewjob?jk=77287af5246fd2d2", "https://www.indeed.com/viewjob?jk=77287af5246fd2d2")</f>
        <v/>
      </c>
      <c r="F84">
        <f>HYPERLINK("https://www.amazon.jobs/jobs/3128807/sr-applied-scientist-agi-foundations?cmpid=DA_INAD200785B", "https://www.amazon.jobs/jobs/3128807/sr-applied-scientist-agi-foundations?cmpid=DA_INAD200785B")</f>
        <v/>
      </c>
      <c r="G84" t="inlineStr">
        <is>
          <t>New York, NY, US</t>
        </is>
      </c>
      <c r="H84" s="3" t="n">
        <v>45978</v>
      </c>
      <c r="I8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in-06e728a1f06fc9b4</t>
        </is>
      </c>
      <c r="B85" t="inlineStr">
        <is>
          <t>Sr. Applied Scientist, AGI Foundations</t>
        </is>
      </c>
      <c r="C85" t="inlineStr">
        <is>
          <t>Amazon.com</t>
        </is>
      </c>
      <c r="D85" t="inlineStr">
        <is>
          <t>indeed</t>
        </is>
      </c>
      <c r="E85">
        <f>HYPERLINK("https://www.indeed.com/viewjob?jk=06e728a1f06fc9b4", "https://www.indeed.com/viewjob?jk=06e728a1f06fc9b4")</f>
        <v/>
      </c>
      <c r="F85">
        <f>HYPERLINK("https://www.amazon.jobs/jobs/3128807/sr-applied-scientist-agi-foundations?cmpid=DA_INAD200785B", "https://www.amazon.jobs/jobs/3128807/sr-applied-scientist-agi-foundations?cmpid=DA_INAD200785B")</f>
        <v/>
      </c>
      <c r="G85" t="inlineStr">
        <is>
          <t>Sunnyvale, CA, US</t>
        </is>
      </c>
      <c r="H85" s="3" t="n">
        <v>45978</v>
      </c>
      <c r="I8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in-626781437b388dd5</t>
        </is>
      </c>
      <c r="B86" t="inlineStr">
        <is>
          <t>Sr. Applied Scientist, AGI Foundations</t>
        </is>
      </c>
      <c r="C86" t="inlineStr">
        <is>
          <t>Amazon.com</t>
        </is>
      </c>
      <c r="D86" t="inlineStr">
        <is>
          <t>indeed</t>
        </is>
      </c>
      <c r="E86">
        <f>HYPERLINK("https://www.indeed.com/viewjob?jk=626781437b388dd5", "https://www.indeed.com/viewjob?jk=626781437b388dd5")</f>
        <v/>
      </c>
      <c r="F86">
        <f>HYPERLINK("https://www.amazon.jobs/jobs/3128807/sr-applied-scientist-agi-foundations?cmpid=DA_INAD200785B", "https://www.amazon.jobs/jobs/3128807/sr-applied-scientist-agi-foundations?cmpid=DA_INAD200785B")</f>
        <v/>
      </c>
      <c r="G86" t="inlineStr">
        <is>
          <t>Bellevue, WA, US</t>
        </is>
      </c>
      <c r="H86" s="3" t="n">
        <v>45978</v>
      </c>
      <c r="I8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in-7e1ba59dad65b405</t>
        </is>
      </c>
      <c r="B87" t="inlineStr">
        <is>
          <t>Sr. Applied Scientist, AGI Foundations</t>
        </is>
      </c>
      <c r="C87" t="inlineStr">
        <is>
          <t>Amazon.com</t>
        </is>
      </c>
      <c r="D87" t="inlineStr">
        <is>
          <t>indeed</t>
        </is>
      </c>
      <c r="E87">
        <f>HYPERLINK("https://www.indeed.com/viewjob?jk=7e1ba59dad65b405", "https://www.indeed.com/viewjob?jk=7e1ba59dad65b405")</f>
        <v/>
      </c>
      <c r="F87">
        <f>HYPERLINK("https://www.amazon.jobs/jobs/3128807/sr-applied-scientist-agi-foundations?cmpid=DA_INAD200785B", "https://www.amazon.jobs/jobs/3128807/sr-applied-scientist-agi-foundations?cmpid=DA_INAD200785B")</f>
        <v/>
      </c>
      <c r="G87" t="inlineStr">
        <is>
          <t>Boston, MA, US</t>
        </is>
      </c>
      <c r="H87" s="3" t="n">
        <v>45978</v>
      </c>
      <c r="I8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in-762813cb41848249</t>
        </is>
      </c>
      <c r="B88" t="inlineStr">
        <is>
          <t>Applied Scientist II, Prime Video Personalization and Discovery Science</t>
        </is>
      </c>
      <c r="C88" t="inlineStr">
        <is>
          <t>Amazon.com</t>
        </is>
      </c>
      <c r="D88" t="inlineStr">
        <is>
          <t>indeed</t>
        </is>
      </c>
      <c r="E88">
        <f>HYPERLINK("https://www.indeed.com/viewjob?jk=762813cb41848249", "https://www.indeed.com/viewjob?jk=762813cb41848249")</f>
        <v/>
      </c>
      <c r="F88">
        <f>HYPERLINK("https://www.amazon.jobs/jobs/3129475/applied-scientist-ii-prime-video-personalization-and-discovery-science?cmpid=DA_INAD200785B", "https://www.amazon.jobs/jobs/3129475/applied-scientist-ii-prime-video-personalization-and-discovery-science?cmpid=DA_INAD200785B")</f>
        <v/>
      </c>
      <c r="G88" t="inlineStr">
        <is>
          <t>New York, NY, US</t>
        </is>
      </c>
      <c r="H88" s="3" t="n">
        <v>45978</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in-95153da2407506db</t>
        </is>
      </c>
      <c r="B89" t="inlineStr">
        <is>
          <t>Sr. Applied Scientist, AGI Foundations</t>
        </is>
      </c>
      <c r="C89" t="inlineStr">
        <is>
          <t>Amazon.com</t>
        </is>
      </c>
      <c r="D89" t="inlineStr">
        <is>
          <t>indeed</t>
        </is>
      </c>
      <c r="E89">
        <f>HYPERLINK("https://www.indeed.com/viewjob?jk=95153da2407506db", "https://www.indeed.com/viewjob?jk=95153da2407506db")</f>
        <v/>
      </c>
      <c r="F89">
        <f>HYPERLINK("https://www.amazon.jobs/jobs/3123268/sr-applied-scientist-agi-foundations?cmpid=DA_INAD200785B", "https://www.amazon.jobs/jobs/3123268/sr-applied-scientist-agi-foundations?cmpid=DA_INAD200785B")</f>
        <v/>
      </c>
      <c r="G89" t="inlineStr">
        <is>
          <t>Boston, MA, US</t>
        </is>
      </c>
      <c r="H89" s="3" t="n">
        <v>45963</v>
      </c>
      <c r="I8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in-4c7f90dc6b745ec0</t>
        </is>
      </c>
      <c r="B90" t="inlineStr">
        <is>
          <t>Sr. Applied Scientist, AGI Foundations</t>
        </is>
      </c>
      <c r="C90" t="inlineStr">
        <is>
          <t>Amazon.com</t>
        </is>
      </c>
      <c r="D90" t="inlineStr">
        <is>
          <t>indeed</t>
        </is>
      </c>
      <c r="E90">
        <f>HYPERLINK("https://www.indeed.com/viewjob?jk=4c7f90dc6b745ec0", "https://www.indeed.com/viewjob?jk=4c7f90dc6b745ec0")</f>
        <v/>
      </c>
      <c r="F90">
        <f>HYPERLINK("https://www.amazon.jobs/jobs/3123268/sr-applied-scientist-agi-foundations?cmpid=DA_INAD200785B", "https://www.amazon.jobs/jobs/3123268/sr-applied-scientist-agi-foundations?cmpid=DA_INAD200785B")</f>
        <v/>
      </c>
      <c r="G90" t="inlineStr">
        <is>
          <t>Bellevue, WA, US</t>
        </is>
      </c>
      <c r="H90" s="3" t="n">
        <v>45963</v>
      </c>
      <c r="I9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in-ab21c3608b466e0e</t>
        </is>
      </c>
      <c r="B91" t="inlineStr">
        <is>
          <t>Sr. Applied Scientist, AGI Foundations</t>
        </is>
      </c>
      <c r="C91" t="inlineStr">
        <is>
          <t>Amazon.com</t>
        </is>
      </c>
      <c r="D91" t="inlineStr">
        <is>
          <t>indeed</t>
        </is>
      </c>
      <c r="E91">
        <f>HYPERLINK("https://www.indeed.com/viewjob?jk=ab21c3608b466e0e", "https://www.indeed.com/viewjob?jk=ab21c3608b466e0e")</f>
        <v/>
      </c>
      <c r="F91">
        <f>HYPERLINK("https://www.amazon.jobs/jobs/3123268/sr-applied-scientist-agi-foundations?cmpid=DA_INAD200785B", "https://www.amazon.jobs/jobs/3123268/sr-applied-scientist-agi-foundations?cmpid=DA_INAD200785B")</f>
        <v/>
      </c>
      <c r="G91" t="inlineStr">
        <is>
          <t>New York, NY, US</t>
        </is>
      </c>
      <c r="H91" s="3" t="n">
        <v>45963</v>
      </c>
      <c r="I9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in-c1555c9db449120d</t>
        </is>
      </c>
      <c r="B92" t="inlineStr">
        <is>
          <t>Applied Scientist II, Prime Video - Personalization and Discovery Science, Personalization and Discovery Science</t>
        </is>
      </c>
      <c r="C92" t="inlineStr">
        <is>
          <t>Amazon.com</t>
        </is>
      </c>
      <c r="D92" t="inlineStr">
        <is>
          <t>indeed</t>
        </is>
      </c>
      <c r="E92">
        <f>HYPERLINK("https://www.indeed.com/viewjob?jk=c1555c9db449120d", "https://www.indeed.com/viewjob?jk=c1555c9db449120d")</f>
        <v/>
      </c>
      <c r="F9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92" t="inlineStr">
        <is>
          <t>Seattle, WA, US</t>
        </is>
      </c>
      <c r="H92" s="3" t="n">
        <v>45930</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in-aaa0651e3e37fd92</t>
        </is>
      </c>
      <c r="B93" t="inlineStr">
        <is>
          <t>Applied Scientist II, Prime Video - Personalization and Discovery Science, Personalization and Discovery Science</t>
        </is>
      </c>
      <c r="C93" t="inlineStr">
        <is>
          <t>Amazon.com</t>
        </is>
      </c>
      <c r="D93" t="inlineStr">
        <is>
          <t>indeed</t>
        </is>
      </c>
      <c r="E93">
        <f>HYPERLINK("https://www.indeed.com/viewjob?jk=aaa0651e3e37fd92", "https://www.indeed.com/viewjob?jk=aaa0651e3e37fd92")</f>
        <v/>
      </c>
      <c r="F9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93" t="inlineStr">
        <is>
          <t>New York, NY, US</t>
        </is>
      </c>
      <c r="H93" s="3" t="n">
        <v>45930</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in-e865895b77eb4a55</t>
        </is>
      </c>
      <c r="B94" t="inlineStr">
        <is>
          <t>Applied Scientist II, Prime Video - Personalization and Discovery Science, Personalization and Discovery Science</t>
        </is>
      </c>
      <c r="C94" t="inlineStr">
        <is>
          <t>Amazon.com</t>
        </is>
      </c>
      <c r="D94" t="inlineStr">
        <is>
          <t>indeed</t>
        </is>
      </c>
      <c r="E94">
        <f>HYPERLINK("https://www.indeed.com/viewjob?jk=e865895b77eb4a55", "https://www.indeed.com/viewjob?jk=e865895b77eb4a55")</f>
        <v/>
      </c>
      <c r="F9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94" t="inlineStr">
        <is>
          <t>Sunnyvale, CA, US</t>
        </is>
      </c>
      <c r="H94" s="3" t="n">
        <v>45930</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in-e10c2062c014bb8e</t>
        </is>
      </c>
      <c r="B95" t="inlineStr">
        <is>
          <t>Applied Scientist II, Prime Video - Personalization and Discovery Science</t>
        </is>
      </c>
      <c r="C95" t="inlineStr">
        <is>
          <t>Amazon.com</t>
        </is>
      </c>
      <c r="D95" t="inlineStr">
        <is>
          <t>indeed</t>
        </is>
      </c>
      <c r="E95">
        <f>HYPERLINK("https://www.indeed.com/viewjob?jk=e10c2062c014bb8e", "https://www.indeed.com/viewjob?jk=e10c2062c014bb8e")</f>
        <v/>
      </c>
      <c r="F95">
        <f>HYPERLINK("https://www.amazon.jobs/jobs/3086060/applied-scientist-ii-prime-video--personalization-and-discovery-science?cmpid=DA_INAD200785B", "https://www.amazon.jobs/jobs/3086060/applied-scientist-ii-prime-video--personalization-and-discovery-science?cmpid=DA_INAD200785B")</f>
        <v/>
      </c>
      <c r="G95" t="inlineStr">
        <is>
          <t>New York, NY, US</t>
        </is>
      </c>
      <c r="H95" s="3" t="n">
        <v>45915</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in-7b8e220fe31bc050</t>
        </is>
      </c>
      <c r="B96" t="inlineStr">
        <is>
          <t>Applied Scientist II, Prime Video - Personalization and Discovery Science</t>
        </is>
      </c>
      <c r="C96" t="inlineStr">
        <is>
          <t>Amazon.com</t>
        </is>
      </c>
      <c r="D96" t="inlineStr">
        <is>
          <t>indeed</t>
        </is>
      </c>
      <c r="E96">
        <f>HYPERLINK("https://www.indeed.com/viewjob?jk=7b8e220fe31bc050", "https://www.indeed.com/viewjob?jk=7b8e220fe31bc050")</f>
        <v/>
      </c>
      <c r="F96">
        <f>HYPERLINK("https://www.amazon.jobs/jobs/3086060/applied-scientist-ii-prime-video--personalization-and-discovery-science?cmpid=DA_INAD200785B", "https://www.amazon.jobs/jobs/3086060/applied-scientist-ii-prime-video--personalization-and-discovery-science?cmpid=DA_INAD200785B")</f>
        <v/>
      </c>
      <c r="G96" t="inlineStr">
        <is>
          <t>Seattle, WA, US</t>
        </is>
      </c>
      <c r="H96" s="3" t="n">
        <v>45915</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in-c18ab1af3c599add</t>
        </is>
      </c>
      <c r="B97" t="inlineStr">
        <is>
          <t>Applied Scientist II, Prime Video - Personalization and Discovery Science</t>
        </is>
      </c>
      <c r="C97" t="inlineStr">
        <is>
          <t>Amazon.com</t>
        </is>
      </c>
      <c r="D97" t="inlineStr">
        <is>
          <t>indeed</t>
        </is>
      </c>
      <c r="E97">
        <f>HYPERLINK("https://www.indeed.com/viewjob?jk=c18ab1af3c599add", "https://www.indeed.com/viewjob?jk=c18ab1af3c599add")</f>
        <v/>
      </c>
      <c r="F97">
        <f>HYPERLINK("https://www.amazon.jobs/jobs/3086060/applied-scientist-ii-prime-video--personalization-and-discovery-science?cmpid=DA_INAD200785B", "https://www.amazon.jobs/jobs/3086060/applied-scientist-ii-prime-video--personalization-and-discovery-science?cmpid=DA_INAD200785B")</f>
        <v/>
      </c>
      <c r="G97" t="inlineStr">
        <is>
          <t>Sunnyvale, CA, US</t>
        </is>
      </c>
      <c r="H97" s="3" t="n">
        <v>45915</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in-00f02458efa562f6</t>
        </is>
      </c>
      <c r="B98" t="inlineStr">
        <is>
          <t>Sr. Applied Scientist, Prime Video - Personalization and Discovery Science</t>
        </is>
      </c>
      <c r="C98" t="inlineStr">
        <is>
          <t>Amazon.com</t>
        </is>
      </c>
      <c r="D98" t="inlineStr">
        <is>
          <t>indeed</t>
        </is>
      </c>
      <c r="E98">
        <f>HYPERLINK("https://www.indeed.com/viewjob?jk=00f02458efa562f6", "https://www.indeed.com/viewjob?jk=00f02458efa562f6")</f>
        <v/>
      </c>
      <c r="F98">
        <f>HYPERLINK("https://www.amazon.jobs/jobs/3083564/sr-applied-scientist-prime-video--personalization-and-discovery-science?cmpid=DA_INAD200785B", "https://www.amazon.jobs/jobs/3083564/sr-applied-scientist-prime-video--personalization-and-discovery-science?cmpid=DA_INAD200785B")</f>
        <v/>
      </c>
      <c r="G98" t="inlineStr">
        <is>
          <t>Sunnyvale, CA, US</t>
        </is>
      </c>
      <c r="H98" s="3" t="n">
        <v>45914</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in-5b327594f5fa7c4f</t>
        </is>
      </c>
      <c r="B99" t="inlineStr">
        <is>
          <t>Sr. Applied Scientist, Prime Video - Personalization and Discovery Science</t>
        </is>
      </c>
      <c r="C99" t="inlineStr">
        <is>
          <t>Amazon.com</t>
        </is>
      </c>
      <c r="D99" t="inlineStr">
        <is>
          <t>indeed</t>
        </is>
      </c>
      <c r="E99">
        <f>HYPERLINK("https://www.indeed.com/viewjob?jk=5b327594f5fa7c4f", "https://www.indeed.com/viewjob?jk=5b327594f5fa7c4f")</f>
        <v/>
      </c>
      <c r="F99">
        <f>HYPERLINK("https://www.amazon.jobs/jobs/3083564/sr-applied-scientist-prime-video--personalization-and-discovery-science?cmpid=DA_INAD200785B", "https://www.amazon.jobs/jobs/3083564/sr-applied-scientist-prime-video--personalization-and-discovery-science?cmpid=DA_INAD200785B")</f>
        <v/>
      </c>
      <c r="G99" t="inlineStr">
        <is>
          <t>New York, NY, US</t>
        </is>
      </c>
      <c r="H99" s="3" t="n">
        <v>45914</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in-49557f200c0bc688</t>
        </is>
      </c>
      <c r="B100" t="inlineStr">
        <is>
          <t>Sr. Applied Scientist, Prime Video - Personalization and Discovery Science</t>
        </is>
      </c>
      <c r="C100" t="inlineStr">
        <is>
          <t>Amazon.com</t>
        </is>
      </c>
      <c r="D100" t="inlineStr">
        <is>
          <t>indeed</t>
        </is>
      </c>
      <c r="E100">
        <f>HYPERLINK("https://www.indeed.com/viewjob?jk=49557f200c0bc688", "https://www.indeed.com/viewjob?jk=49557f200c0bc688")</f>
        <v/>
      </c>
      <c r="F100">
        <f>HYPERLINK("https://www.amazon.jobs/jobs/3083564/sr-applied-scientist-prime-video--personalization-and-discovery-science?cmpid=DA_INAD200785B", "https://www.amazon.jobs/jobs/3083564/sr-applied-scientist-prime-video--personalization-and-discovery-science?cmpid=DA_INAD200785B")</f>
        <v/>
      </c>
      <c r="G100" t="inlineStr">
        <is>
          <t>Seattle, WA, US</t>
        </is>
      </c>
      <c r="H100" s="3" t="n">
        <v>45914</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in-247ebb5ea338c34e</t>
        </is>
      </c>
      <c r="B101" t="inlineStr">
        <is>
          <t>Senior Applied Scientist, Artificial General Intelligence</t>
        </is>
      </c>
      <c r="C101" t="inlineStr">
        <is>
          <t>Amazon.com</t>
        </is>
      </c>
      <c r="D101" t="inlineStr">
        <is>
          <t>indeed</t>
        </is>
      </c>
      <c r="E101">
        <f>HYPERLINK("https://www.indeed.com/viewjob?jk=247ebb5ea338c34e", "https://www.indeed.com/viewjob?jk=247ebb5ea338c34e")</f>
        <v/>
      </c>
      <c r="F101">
        <f>HYPERLINK("https://www.amazon.jobs/jobs/3078137/senior-applied-scientist-artificial-general-intelligence?cmpid=DA_INAD200785B", "https://www.amazon.jobs/jobs/3078137/senior-applied-scientist-artificial-general-intelligence?cmpid=DA_INAD200785B")</f>
        <v/>
      </c>
      <c r="G101" t="inlineStr">
        <is>
          <t>New York, NY, US</t>
        </is>
      </c>
      <c r="H101" s="3" t="n">
        <v>45907</v>
      </c>
      <c r="I10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in-3ce8ef1336079333</t>
        </is>
      </c>
      <c r="B102" t="inlineStr">
        <is>
          <t>Senior Applied Scientist, Artificial General Intelligence</t>
        </is>
      </c>
      <c r="C102" t="inlineStr">
        <is>
          <t>Amazon.com</t>
        </is>
      </c>
      <c r="D102" t="inlineStr">
        <is>
          <t>indeed</t>
        </is>
      </c>
      <c r="E102">
        <f>HYPERLINK("https://www.indeed.com/viewjob?jk=3ce8ef1336079333", "https://www.indeed.com/viewjob?jk=3ce8ef1336079333")</f>
        <v/>
      </c>
      <c r="F102">
        <f>HYPERLINK("https://www.amazon.jobs/jobs/3078137/senior-applied-scientist-artificial-general-intelligence?cmpid=DA_INAD200785B", "https://www.amazon.jobs/jobs/3078137/senior-applied-scientist-artificial-general-intelligence?cmpid=DA_INAD200785B")</f>
        <v/>
      </c>
      <c r="G102" t="inlineStr">
        <is>
          <t>Sunnyvale, CA, US</t>
        </is>
      </c>
      <c r="H102" s="3" t="n">
        <v>45907</v>
      </c>
      <c r="I10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in-c73f6207a4f5fc81</t>
        </is>
      </c>
      <c r="B103" t="inlineStr">
        <is>
          <t>Senior Applied Scientist, Artificial General Intelligence</t>
        </is>
      </c>
      <c r="C103" t="inlineStr">
        <is>
          <t>Amazon.com</t>
        </is>
      </c>
      <c r="D103" t="inlineStr">
        <is>
          <t>indeed</t>
        </is>
      </c>
      <c r="E103">
        <f>HYPERLINK("https://www.indeed.com/viewjob?jk=c73f6207a4f5fc81", "https://www.indeed.com/viewjob?jk=c73f6207a4f5fc81")</f>
        <v/>
      </c>
      <c r="F103">
        <f>HYPERLINK("https://www.amazon.jobs/jobs/3078137/senior-applied-scientist-artificial-general-intelligence?cmpid=DA_INAD200785B", "https://www.amazon.jobs/jobs/3078137/senior-applied-scientist-artificial-general-intelligence?cmpid=DA_INAD200785B")</f>
        <v/>
      </c>
      <c r="G103" t="inlineStr">
        <is>
          <t>Cambridge, MA, US</t>
        </is>
      </c>
      <c r="H103" s="3" t="n">
        <v>45907</v>
      </c>
      <c r="I10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in-8222b09eb72027d4</t>
        </is>
      </c>
      <c r="B104" t="inlineStr">
        <is>
          <t>Senior Applied Scientist, Artificial General Intelligence</t>
        </is>
      </c>
      <c r="C104" t="inlineStr">
        <is>
          <t>Amazon.com</t>
        </is>
      </c>
      <c r="D104" t="inlineStr">
        <is>
          <t>indeed</t>
        </is>
      </c>
      <c r="E104">
        <f>HYPERLINK("https://www.indeed.com/viewjob?jk=8222b09eb72027d4", "https://www.indeed.com/viewjob?jk=8222b09eb72027d4")</f>
        <v/>
      </c>
      <c r="F104">
        <f>HYPERLINK("https://www.amazon.jobs/jobs/3078137/senior-applied-scientist-artificial-general-intelligence?cmpid=DA_INAD200785B", "https://www.amazon.jobs/jobs/3078137/senior-applied-scientist-artificial-general-intelligence?cmpid=DA_INAD200785B")</f>
        <v/>
      </c>
      <c r="G104" t="inlineStr">
        <is>
          <t>Bellevue, WA, US</t>
        </is>
      </c>
      <c r="H104" s="3" t="n">
        <v>45907</v>
      </c>
      <c r="I10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in-bfd762d0b72b39ec</t>
        </is>
      </c>
      <c r="B105" t="inlineStr">
        <is>
          <t>Sr. Applied Scientist, Prime Video - Personalization and Discovery Science</t>
        </is>
      </c>
      <c r="C105" t="inlineStr">
        <is>
          <t>Amazon.com</t>
        </is>
      </c>
      <c r="D105" t="inlineStr">
        <is>
          <t>indeed</t>
        </is>
      </c>
      <c r="E105">
        <f>HYPERLINK("https://www.indeed.com/viewjob?jk=bfd762d0b72b39ec", "https://www.indeed.com/viewjob?jk=bfd762d0b72b39ec")</f>
        <v/>
      </c>
      <c r="F105">
        <f>HYPERLINK("https://www.amazon.jobs/jobs/3084479/sr-applied-scientist-prime-video--personalization-and-discovery-science?cmpid=DA_INAD200785B", "https://www.amazon.jobs/jobs/3084479/sr-applied-scientist-prime-video--personalization-and-discovery-science?cmpid=DA_INAD200785B")</f>
        <v/>
      </c>
      <c r="G105" t="inlineStr">
        <is>
          <t>New York, NY, US</t>
        </is>
      </c>
      <c r="H105" s="3" t="n">
        <v>45896</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in-30263f60e2067c22</t>
        </is>
      </c>
      <c r="B106" t="inlineStr">
        <is>
          <t>Sr. Applied Scientist, Prime Video - Personalization and Discovery Science</t>
        </is>
      </c>
      <c r="C106" t="inlineStr">
        <is>
          <t>Amazon.com</t>
        </is>
      </c>
      <c r="D106" t="inlineStr">
        <is>
          <t>indeed</t>
        </is>
      </c>
      <c r="E106">
        <f>HYPERLINK("https://www.indeed.com/viewjob?jk=30263f60e2067c22", "https://www.indeed.com/viewjob?jk=30263f60e2067c22")</f>
        <v/>
      </c>
      <c r="F106">
        <f>HYPERLINK("https://www.amazon.jobs/jobs/3084479/sr-applied-scientist-prime-video--personalization-and-discovery-science?cmpid=DA_INAD200785B", "https://www.amazon.jobs/jobs/3084479/sr-applied-scientist-prime-video--personalization-and-discovery-science?cmpid=DA_INAD200785B")</f>
        <v/>
      </c>
      <c r="G106" t="inlineStr">
        <is>
          <t>Sunnyvale, CA, US</t>
        </is>
      </c>
      <c r="H106" s="3" t="n">
        <v>45896</v>
      </c>
      <c r="I1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in-b2c7cae93e5af43b</t>
        </is>
      </c>
      <c r="B107" t="inlineStr">
        <is>
          <t>Sr. Applied Scientist, Prime Video - Personalization and Discovery Science</t>
        </is>
      </c>
      <c r="C107" t="inlineStr">
        <is>
          <t>Amazon.com</t>
        </is>
      </c>
      <c r="D107" t="inlineStr">
        <is>
          <t>indeed</t>
        </is>
      </c>
      <c r="E107">
        <f>HYPERLINK("https://www.indeed.com/viewjob?jk=b2c7cae93e5af43b", "https://www.indeed.com/viewjob?jk=b2c7cae93e5af43b")</f>
        <v/>
      </c>
      <c r="F107">
        <f>HYPERLINK("https://www.amazon.jobs/jobs/3084479/sr-applied-scientist-prime-video--personalization-and-discovery-science?cmpid=DA_INAD200785B", "https://www.amazon.jobs/jobs/3084479/sr-applied-scientist-prime-video--personalization-and-discovery-science?cmpid=DA_INAD200785B")</f>
        <v/>
      </c>
      <c r="G107" t="inlineStr">
        <is>
          <t>Seattle, WA, US</t>
        </is>
      </c>
      <c r="H107" s="3" t="n">
        <v>45896</v>
      </c>
      <c r="I1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in-9141c0270c1d85db</t>
        </is>
      </c>
      <c r="B108" t="inlineStr">
        <is>
          <t>Sr. Applied Scientist, Prime Video - Personalization and Discovery Science</t>
        </is>
      </c>
      <c r="C108" t="inlineStr">
        <is>
          <t>Amazon.com</t>
        </is>
      </c>
      <c r="D108" t="inlineStr">
        <is>
          <t>indeed</t>
        </is>
      </c>
      <c r="E108">
        <f>HYPERLINK("https://www.indeed.com/viewjob?jk=9141c0270c1d85db", "https://www.indeed.com/viewjob?jk=9141c0270c1d85db")</f>
        <v/>
      </c>
      <c r="F108">
        <f>HYPERLINK("https://www.amazon.jobs/jobs/3061266/sr-applied-scientist-prime-video--personalization-and-discovery-science?cmpid=DA_INAD200785B", "https://www.amazon.jobs/jobs/3061266/sr-applied-scientist-prime-video--personalization-and-discovery-science?cmpid=DA_INAD200785B")</f>
        <v/>
      </c>
      <c r="G108" t="inlineStr">
        <is>
          <t>New York, NY, US</t>
        </is>
      </c>
      <c r="H108" s="3" t="n">
        <v>45886</v>
      </c>
      <c r="I1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in-a3bd0f9ab85f9925</t>
        </is>
      </c>
      <c r="B109" t="inlineStr">
        <is>
          <t>Applied Scientist II, Prime Video - Personalization and Discovery Science, Personalization and Discovery Science</t>
        </is>
      </c>
      <c r="C109" t="inlineStr">
        <is>
          <t>Amazon.com</t>
        </is>
      </c>
      <c r="D109" t="inlineStr">
        <is>
          <t>indeed</t>
        </is>
      </c>
      <c r="E109">
        <f>HYPERLINK("https://www.indeed.com/viewjob?jk=a3bd0f9ab85f9925", "https://www.indeed.com/viewjob?jk=a3bd0f9ab85f9925")</f>
        <v/>
      </c>
      <c r="F109">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09" t="inlineStr">
        <is>
          <t>New York, NY, US</t>
        </is>
      </c>
      <c r="H109" s="3" t="n">
        <v>45886</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in-40517a7ec741acfb</t>
        </is>
      </c>
      <c r="B110" t="inlineStr">
        <is>
          <t>Applied Scientist II, Prime Video - Personalization and Discovery Science, Personalization and Discovery Science</t>
        </is>
      </c>
      <c r="C110" t="inlineStr">
        <is>
          <t>Amazon.com</t>
        </is>
      </c>
      <c r="D110" t="inlineStr">
        <is>
          <t>indeed</t>
        </is>
      </c>
      <c r="E110">
        <f>HYPERLINK("https://www.indeed.com/viewjob?jk=40517a7ec741acfb", "https://www.indeed.com/viewjob?jk=40517a7ec741acfb")</f>
        <v/>
      </c>
      <c r="F110">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10" t="inlineStr">
        <is>
          <t>Seattle, WA, US</t>
        </is>
      </c>
      <c r="H110" s="3" t="n">
        <v>45886</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in-66f91822086a7e6e</t>
        </is>
      </c>
      <c r="B111" t="inlineStr">
        <is>
          <t>Sr. Applied Scientist, Prime Video - Personalization and Discovery Science</t>
        </is>
      </c>
      <c r="C111" t="inlineStr">
        <is>
          <t>Amazon.com</t>
        </is>
      </c>
      <c r="D111" t="inlineStr">
        <is>
          <t>indeed</t>
        </is>
      </c>
      <c r="E111">
        <f>HYPERLINK("https://www.indeed.com/viewjob?jk=66f91822086a7e6e", "https://www.indeed.com/viewjob?jk=66f91822086a7e6e")</f>
        <v/>
      </c>
      <c r="F111">
        <f>HYPERLINK("https://www.amazon.jobs/jobs/3061266/sr-applied-scientist-prime-video--personalization-and-discovery-science?cmpid=DA_INAD200785B", "https://www.amazon.jobs/jobs/3061266/sr-applied-scientist-prime-video--personalization-and-discovery-science?cmpid=DA_INAD200785B")</f>
        <v/>
      </c>
      <c r="G111" t="inlineStr">
        <is>
          <t>Sunnyvale, CA, US</t>
        </is>
      </c>
      <c r="H111" s="3" t="n">
        <v>45886</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in-8eada70a46ca967c</t>
        </is>
      </c>
      <c r="B112" t="inlineStr">
        <is>
          <t>Sr. Applied Scientist, Prime Video - Personalization and Discovery Science</t>
        </is>
      </c>
      <c r="C112" t="inlineStr">
        <is>
          <t>Amazon.com</t>
        </is>
      </c>
      <c r="D112" t="inlineStr">
        <is>
          <t>indeed</t>
        </is>
      </c>
      <c r="E112">
        <f>HYPERLINK("https://www.indeed.com/viewjob?jk=8eada70a46ca967c", "https://www.indeed.com/viewjob?jk=8eada70a46ca967c")</f>
        <v/>
      </c>
      <c r="F112">
        <f>HYPERLINK("https://www.amazon.jobs/jobs/3061266/sr-applied-scientist-prime-video--personalization-and-discovery-science?cmpid=DA_INAD200785B", "https://www.amazon.jobs/jobs/3061266/sr-applied-scientist-prime-video--personalization-and-discovery-science?cmpid=DA_INAD200785B")</f>
        <v/>
      </c>
      <c r="G112" t="inlineStr">
        <is>
          <t>Seattle, WA, US</t>
        </is>
      </c>
      <c r="H112" s="3" t="n">
        <v>45886</v>
      </c>
      <c r="I1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in-ae6f03c3485c81ae</t>
        </is>
      </c>
      <c r="B113" t="inlineStr">
        <is>
          <t>Applied Scientist II, Prime Video - Personalization and Discovery Science, Personalization and Discovery Science</t>
        </is>
      </c>
      <c r="C113" t="inlineStr">
        <is>
          <t>Amazon.com</t>
        </is>
      </c>
      <c r="D113" t="inlineStr">
        <is>
          <t>indeed</t>
        </is>
      </c>
      <c r="E113">
        <f>HYPERLINK("https://www.indeed.com/viewjob?jk=ae6f03c3485c81ae", "https://www.indeed.com/viewjob?jk=ae6f03c3485c81ae")</f>
        <v/>
      </c>
      <c r="F113">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13" t="inlineStr">
        <is>
          <t>Sunnyvale, CA, US</t>
        </is>
      </c>
      <c r="H113" s="3" t="n">
        <v>45886</v>
      </c>
      <c r="I1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in-959ba9890420c7b8</t>
        </is>
      </c>
      <c r="B114" t="inlineStr">
        <is>
          <t>Sr. Applied Scientist, Prime Video - Personalization and Discovery Science</t>
        </is>
      </c>
      <c r="C114" t="inlineStr">
        <is>
          <t>Amazon.com</t>
        </is>
      </c>
      <c r="D114" t="inlineStr">
        <is>
          <t>indeed</t>
        </is>
      </c>
      <c r="E114">
        <f>HYPERLINK("https://www.indeed.com/viewjob?jk=959ba9890420c7b8", "https://www.indeed.com/viewjob?jk=959ba9890420c7b8")</f>
        <v/>
      </c>
      <c r="F114">
        <f>HYPERLINK("https://www.amazon.jobs/jobs/3059256/sr-applied-scientist-prime-video--personalization-and-discovery-science?cmpid=DA_INAD200785B", "https://www.amazon.jobs/jobs/3059256/sr-applied-scientist-prime-video--personalization-and-discovery-science?cmpid=DA_INAD200785B")</f>
        <v/>
      </c>
      <c r="G114" t="inlineStr">
        <is>
          <t>Seattle, WA, US</t>
        </is>
      </c>
      <c r="H114" s="3" t="n">
        <v>45881</v>
      </c>
      <c r="I1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in-0c9866ad9d49da24</t>
        </is>
      </c>
      <c r="B115" t="inlineStr">
        <is>
          <t>Applied Scientist II, Prime Video - Personalization and Discovery Science</t>
        </is>
      </c>
      <c r="C115" t="inlineStr">
        <is>
          <t>Amazon.com</t>
        </is>
      </c>
      <c r="D115" t="inlineStr">
        <is>
          <t>indeed</t>
        </is>
      </c>
      <c r="E115">
        <f>HYPERLINK("https://www.indeed.com/viewjob?jk=0c9866ad9d49da24", "https://www.indeed.com/viewjob?jk=0c9866ad9d49da24")</f>
        <v/>
      </c>
      <c r="F115">
        <f>HYPERLINK("https://www.amazon.jobs/jobs/3059253/applied-scientist-ii-prime-video--personalization-and-discovery-science?cmpid=DA_INAD200785B", "https://www.amazon.jobs/jobs/3059253/applied-scientist-ii-prime-video--personalization-and-discovery-science?cmpid=DA_INAD200785B")</f>
        <v/>
      </c>
      <c r="G115" t="inlineStr">
        <is>
          <t>New York, NY, US</t>
        </is>
      </c>
      <c r="H115" s="3" t="n">
        <v>45881</v>
      </c>
      <c r="I1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in-9a21289d873e2372</t>
        </is>
      </c>
      <c r="B116" t="inlineStr">
        <is>
          <t>Sr. Applied Scientist, Prime Video - Personalization and Discovery Science</t>
        </is>
      </c>
      <c r="C116" t="inlineStr">
        <is>
          <t>Amazon.com</t>
        </is>
      </c>
      <c r="D116" t="inlineStr">
        <is>
          <t>indeed</t>
        </is>
      </c>
      <c r="E116">
        <f>HYPERLINK("https://www.indeed.com/viewjob?jk=9a21289d873e2372", "https://www.indeed.com/viewjob?jk=9a21289d873e2372")</f>
        <v/>
      </c>
      <c r="F116">
        <f>HYPERLINK("https://www.amazon.jobs/jobs/3059256/sr-applied-scientist-prime-video--personalization-and-discovery-science?cmpid=DA_INAD200785B", "https://www.amazon.jobs/jobs/3059256/sr-applied-scientist-prime-video--personalization-and-discovery-science?cmpid=DA_INAD200785B")</f>
        <v/>
      </c>
      <c r="G116" t="inlineStr">
        <is>
          <t>New York, NY, US</t>
        </is>
      </c>
      <c r="H116" s="3" t="n">
        <v>45881</v>
      </c>
      <c r="I1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in-77ba56d89d958234</t>
        </is>
      </c>
      <c r="B117" t="inlineStr">
        <is>
          <t>Applied Scientist II, Prime Video - Personalization and Discovery Science</t>
        </is>
      </c>
      <c r="C117" t="inlineStr">
        <is>
          <t>Amazon.com</t>
        </is>
      </c>
      <c r="D117" t="inlineStr">
        <is>
          <t>indeed</t>
        </is>
      </c>
      <c r="E117">
        <f>HYPERLINK("https://www.indeed.com/viewjob?jk=77ba56d89d958234", "https://www.indeed.com/viewjob?jk=77ba56d89d958234")</f>
        <v/>
      </c>
      <c r="F117">
        <f>HYPERLINK("https://www.amazon.jobs/jobs/3059253/applied-scientist-ii-prime-video--personalization-and-discovery-science?cmpid=DA_INAD200785B", "https://www.amazon.jobs/jobs/3059253/applied-scientist-ii-prime-video--personalization-and-discovery-science?cmpid=DA_INAD200785B")</f>
        <v/>
      </c>
      <c r="G117" t="inlineStr">
        <is>
          <t>Seattle, WA, US</t>
        </is>
      </c>
      <c r="H117" s="3" t="n">
        <v>45881</v>
      </c>
      <c r="I1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in-7298f547ab30a35c</t>
        </is>
      </c>
      <c r="B118" t="inlineStr">
        <is>
          <t>Sr. Applied Scientist, Prime Video - Personalization and Discovery Science</t>
        </is>
      </c>
      <c r="C118" t="inlineStr">
        <is>
          <t>Amazon.com</t>
        </is>
      </c>
      <c r="D118" t="inlineStr">
        <is>
          <t>indeed</t>
        </is>
      </c>
      <c r="E118">
        <f>HYPERLINK("https://www.indeed.com/viewjob?jk=7298f547ab30a35c", "https://www.indeed.com/viewjob?jk=7298f547ab30a35c")</f>
        <v/>
      </c>
      <c r="F118">
        <f>HYPERLINK("https://www.amazon.jobs/jobs/3059256/sr-applied-scientist-prime-video--personalization-and-discovery-science?cmpid=DA_INAD200785B", "https://www.amazon.jobs/jobs/3059256/sr-applied-scientist-prime-video--personalization-and-discovery-science?cmpid=DA_INAD200785B")</f>
        <v/>
      </c>
      <c r="G118" t="inlineStr">
        <is>
          <t>Sunnyvale, CA, US</t>
        </is>
      </c>
      <c r="H118" s="3" t="n">
        <v>45881</v>
      </c>
      <c r="I1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in-fd7fc22f26e603c3</t>
        </is>
      </c>
      <c r="B119" t="inlineStr">
        <is>
          <t>Applied Scientist II, Prime Video - Personalization and Discovery Science</t>
        </is>
      </c>
      <c r="C119" t="inlineStr">
        <is>
          <t>Amazon.com</t>
        </is>
      </c>
      <c r="D119" t="inlineStr">
        <is>
          <t>indeed</t>
        </is>
      </c>
      <c r="E119">
        <f>HYPERLINK("https://www.indeed.com/viewjob?jk=fd7fc22f26e603c3", "https://www.indeed.com/viewjob?jk=fd7fc22f26e603c3")</f>
        <v/>
      </c>
      <c r="F119">
        <f>HYPERLINK("https://www.amazon.jobs/jobs/3059253/applied-scientist-ii-prime-video--personalization-and-discovery-science?cmpid=DA_INAD200785B", "https://www.amazon.jobs/jobs/3059253/applied-scientist-ii-prime-video--personalization-and-discovery-science?cmpid=DA_INAD200785B")</f>
        <v/>
      </c>
      <c r="G119" t="inlineStr">
        <is>
          <t>Sunnyvale, CA, US</t>
        </is>
      </c>
      <c r="H119" s="3" t="n">
        <v>45881</v>
      </c>
      <c r="I1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in-203af5918704eaf6</t>
        </is>
      </c>
      <c r="B120" t="inlineStr">
        <is>
          <t>Applied Scientist II, Prime Video Personalization and Discovery Science</t>
        </is>
      </c>
      <c r="C120" t="inlineStr">
        <is>
          <t>Amazon.com</t>
        </is>
      </c>
      <c r="D120" t="inlineStr">
        <is>
          <t>indeed</t>
        </is>
      </c>
      <c r="E120">
        <f>HYPERLINK("https://www.indeed.com/viewjob?jk=203af5918704eaf6", "https://www.indeed.com/viewjob?jk=203af5918704eaf6")</f>
        <v/>
      </c>
      <c r="F120">
        <f>HYPERLINK("https://www.amazon.jobs/jobs/3046662/applied-scientist-ii-prime-video-personalization-and-discovery-science?cmpid=DA_INAD200785B", "https://www.amazon.jobs/jobs/3046662/applied-scientist-ii-prime-video-personalization-and-discovery-science?cmpid=DA_INAD200785B")</f>
        <v/>
      </c>
      <c r="G120" t="inlineStr">
        <is>
          <t>Sunnyvale, CA, US</t>
        </is>
      </c>
      <c r="H120" s="3" t="n">
        <v>45859</v>
      </c>
      <c r="I1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in-6aa9dab51ba21cb1</t>
        </is>
      </c>
      <c r="B121" t="inlineStr">
        <is>
          <t>Applied Scientist II, Prime Video Personalization and Discovery Science</t>
        </is>
      </c>
      <c r="C121" t="inlineStr">
        <is>
          <t>Amazon.com</t>
        </is>
      </c>
      <c r="D121" t="inlineStr">
        <is>
          <t>indeed</t>
        </is>
      </c>
      <c r="E121">
        <f>HYPERLINK("https://www.indeed.com/viewjob?jk=6aa9dab51ba21cb1", "https://www.indeed.com/viewjob?jk=6aa9dab51ba21cb1")</f>
        <v/>
      </c>
      <c r="F121">
        <f>HYPERLINK("https://www.amazon.jobs/jobs/3046662/applied-scientist-ii-prime-video-personalization-and-discovery-science?cmpid=DA_INAD200785B", "https://www.amazon.jobs/jobs/3046662/applied-scientist-ii-prime-video-personalization-and-discovery-science?cmpid=DA_INAD200785B")</f>
        <v/>
      </c>
      <c r="G121" t="inlineStr">
        <is>
          <t>Seattle, WA, US</t>
        </is>
      </c>
      <c r="H121" s="3" t="n">
        <v>45859</v>
      </c>
      <c r="I1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in-56b3758325c893bd</t>
        </is>
      </c>
      <c r="B122" t="inlineStr">
        <is>
          <t>Applied Scientist II, Prime Video Personalization and Discovery Science</t>
        </is>
      </c>
      <c r="C122" t="inlineStr">
        <is>
          <t>Amazon.com</t>
        </is>
      </c>
      <c r="D122" t="inlineStr">
        <is>
          <t>indeed</t>
        </is>
      </c>
      <c r="E122">
        <f>HYPERLINK("https://www.indeed.com/viewjob?jk=56b3758325c893bd", "https://www.indeed.com/viewjob?jk=56b3758325c893bd")</f>
        <v/>
      </c>
      <c r="F122">
        <f>HYPERLINK("https://www.amazon.jobs/jobs/3046662/applied-scientist-ii-prime-video-personalization-and-discovery-science?cmpid=DA_INAD200785B", "https://www.amazon.jobs/jobs/3046662/applied-scientist-ii-prime-video-personalization-and-discovery-science?cmpid=DA_INAD200785B")</f>
        <v/>
      </c>
      <c r="G122" t="inlineStr">
        <is>
          <t>New York, NY, US</t>
        </is>
      </c>
      <c r="H122" s="3" t="n">
        <v>45859</v>
      </c>
      <c r="I1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in-6b196e0c93dafba1</t>
        </is>
      </c>
      <c r="B123" t="inlineStr">
        <is>
          <t>Applied Scientist, Prime Video - Personalization and Discovery Science</t>
        </is>
      </c>
      <c r="C123" t="inlineStr">
        <is>
          <t>Amazon.com</t>
        </is>
      </c>
      <c r="D123" t="inlineStr">
        <is>
          <t>indeed</t>
        </is>
      </c>
      <c r="E123">
        <f>HYPERLINK("https://www.indeed.com/viewjob?jk=6b196e0c93dafba1", "https://www.indeed.com/viewjob?jk=6b196e0c93dafba1")</f>
        <v/>
      </c>
      <c r="F123">
        <f>HYPERLINK("https://www.amazon.jobs/jobs/3033050/applied-scientist-prime-video--personalization-and-discovery-science?cmpid=DA_INAD200785B", "https://www.amazon.jobs/jobs/3033050/applied-scientist-prime-video--personalization-and-discovery-science?cmpid=DA_INAD200785B")</f>
        <v/>
      </c>
      <c r="G123" t="inlineStr">
        <is>
          <t>Sunnyvale, CA, US</t>
        </is>
      </c>
      <c r="H123" s="3" t="n">
        <v>45845</v>
      </c>
      <c r="I1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in-77e886681796f8d9</t>
        </is>
      </c>
      <c r="B124" t="inlineStr">
        <is>
          <t>Applied Scientist, Prime Video - Personalization and Discovery Science</t>
        </is>
      </c>
      <c r="C124" t="inlineStr">
        <is>
          <t>Amazon.com</t>
        </is>
      </c>
      <c r="D124" t="inlineStr">
        <is>
          <t>indeed</t>
        </is>
      </c>
      <c r="E124">
        <f>HYPERLINK("https://www.indeed.com/viewjob?jk=77e886681796f8d9", "https://www.indeed.com/viewjob?jk=77e886681796f8d9")</f>
        <v/>
      </c>
      <c r="F124">
        <f>HYPERLINK("https://www.amazon.jobs/jobs/3033050/applied-scientist-prime-video--personalization-and-discovery-science?cmpid=DA_INAD200785B", "https://www.amazon.jobs/jobs/3033050/applied-scientist-prime-video--personalization-and-discovery-science?cmpid=DA_INAD200785B")</f>
        <v/>
      </c>
      <c r="G124" t="inlineStr">
        <is>
          <t>New York, NY, US</t>
        </is>
      </c>
      <c r="H124" s="3" t="n">
        <v>45845</v>
      </c>
      <c r="I1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in-da3aae2e0107680e</t>
        </is>
      </c>
      <c r="B125" t="inlineStr">
        <is>
          <t>Applied Scientist, Prime Video - Personalization and Discovery Science</t>
        </is>
      </c>
      <c r="C125" t="inlineStr">
        <is>
          <t>Amazon.com</t>
        </is>
      </c>
      <c r="D125" t="inlineStr">
        <is>
          <t>indeed</t>
        </is>
      </c>
      <c r="E125">
        <f>HYPERLINK("https://www.indeed.com/viewjob?jk=da3aae2e0107680e", "https://www.indeed.com/viewjob?jk=da3aae2e0107680e")</f>
        <v/>
      </c>
      <c r="F125">
        <f>HYPERLINK("https://www.amazon.jobs/jobs/3033050/applied-scientist-prime-video--personalization-and-discovery-science?cmpid=DA_INAD200785B", "https://www.amazon.jobs/jobs/3033050/applied-scientist-prime-video--personalization-and-discovery-science?cmpid=DA_INAD200785B")</f>
        <v/>
      </c>
      <c r="G125" t="inlineStr">
        <is>
          <t>Seattle, WA, US</t>
        </is>
      </c>
      <c r="H125" s="3" t="n">
        <v>45845</v>
      </c>
      <c r="I1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in-2bf2a524983ae799</t>
        </is>
      </c>
      <c r="B126" t="inlineStr">
        <is>
          <t>Sr. Data Scientist, Amazon Leo Global Planning, Amazon Leo</t>
        </is>
      </c>
      <c r="C126" t="inlineStr">
        <is>
          <t>Amazon.com</t>
        </is>
      </c>
      <c r="D126" t="inlineStr">
        <is>
          <t>indeed</t>
        </is>
      </c>
      <c r="E126">
        <f>HYPERLINK("https://www.indeed.com/viewjob?jk=2bf2a524983ae799", "https://www.indeed.com/viewjob?jk=2bf2a524983ae799")</f>
        <v/>
      </c>
      <c r="F126">
        <f>HYPERLINK("https://www.amazon.jobs/jobs/3016062/sr-data-scientist-amazon-leo-global-planning-amazon-leo?cmpid=DA_INAD200785B", "https://www.amazon.jobs/jobs/3016062/sr-data-scientist-amazon-leo-global-planning-amazon-leo?cmpid=DA_INAD200785B")</f>
        <v/>
      </c>
      <c r="G126" t="inlineStr">
        <is>
          <t>Redmond, WA, US</t>
        </is>
      </c>
      <c r="H126" s="3" t="n">
        <v>45830</v>
      </c>
      <c r="I126"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in-15b1d9d173b23e44</t>
        </is>
      </c>
      <c r="B127" t="inlineStr">
        <is>
          <t>Sr. Data Scientist, Amazon Leo Global Planning, Amazon Leo</t>
        </is>
      </c>
      <c r="C127" t="inlineStr">
        <is>
          <t>Amazon.com</t>
        </is>
      </c>
      <c r="D127" t="inlineStr">
        <is>
          <t>indeed</t>
        </is>
      </c>
      <c r="E127">
        <f>HYPERLINK("https://www.indeed.com/viewjob?jk=15b1d9d173b23e44", "https://www.indeed.com/viewjob?jk=15b1d9d173b23e44")</f>
        <v/>
      </c>
      <c r="F127">
        <f>HYPERLINK("https://www.amazon.jobs/jobs/3016062/sr-data-scientist-amazon-leo-global-planning-amazon-leo?cmpid=DA_INAD200785B", "https://www.amazon.jobs/jobs/3016062/sr-data-scientist-amazon-leo-global-planning-amazon-leo?cmpid=DA_INAD200785B")</f>
        <v/>
      </c>
      <c r="G127" t="inlineStr">
        <is>
          <t>Bellevue, WA, US</t>
        </is>
      </c>
      <c r="H127" s="3" t="n">
        <v>45830</v>
      </c>
      <c r="I127"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in-764efa156169cb3a</t>
        </is>
      </c>
      <c r="B128" t="inlineStr">
        <is>
          <t>Sr. Applied Scientist, Prime Video - Personalization and Discovery Science</t>
        </is>
      </c>
      <c r="C128" t="inlineStr">
        <is>
          <t>Amazon.com</t>
        </is>
      </c>
      <c r="D128" t="inlineStr">
        <is>
          <t>indeed</t>
        </is>
      </c>
      <c r="E128">
        <f>HYPERLINK("https://www.indeed.com/viewjob?jk=764efa156169cb3a", "https://www.indeed.com/viewjob?jk=764efa156169cb3a")</f>
        <v/>
      </c>
      <c r="F128">
        <f>HYPERLINK("https://www.amazon.jobs/jobs/3011754/sr-applied-scientist-prime-video--personalization-and-discovery-science?cmpid=DA_INAD200785B", "https://www.amazon.jobs/jobs/3011754/sr-applied-scientist-prime-video--personalization-and-discovery-science?cmpid=DA_INAD200785B")</f>
        <v/>
      </c>
      <c r="G128" t="inlineStr">
        <is>
          <t>Sunnyvale, CA, US</t>
        </is>
      </c>
      <c r="H128" s="3" t="n">
        <v>45819</v>
      </c>
      <c r="I1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in-c6e4d823fa5e4f6d</t>
        </is>
      </c>
      <c r="B129" t="inlineStr">
        <is>
          <t>Sr. Applied Scientist, Prime Video - Personalization and Discovery Science</t>
        </is>
      </c>
      <c r="C129" t="inlineStr">
        <is>
          <t>Amazon.com</t>
        </is>
      </c>
      <c r="D129" t="inlineStr">
        <is>
          <t>indeed</t>
        </is>
      </c>
      <c r="E129">
        <f>HYPERLINK("https://www.indeed.com/viewjob?jk=c6e4d823fa5e4f6d", "https://www.indeed.com/viewjob?jk=c6e4d823fa5e4f6d")</f>
        <v/>
      </c>
      <c r="F129">
        <f>HYPERLINK("https://www.amazon.jobs/jobs/3011754/sr-applied-scientist-prime-video--personalization-and-discovery-science?cmpid=DA_INAD200785B", "https://www.amazon.jobs/jobs/3011754/sr-applied-scientist-prime-video--personalization-and-discovery-science?cmpid=DA_INAD200785B")</f>
        <v/>
      </c>
      <c r="G129" t="inlineStr">
        <is>
          <t>Seattle, WA, US</t>
        </is>
      </c>
      <c r="H129" s="3" t="n">
        <v>45819</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in-1c49e6450c244499</t>
        </is>
      </c>
      <c r="B130" t="inlineStr">
        <is>
          <t>Applied Scientist, Skill Builder, AWS Training and Certifications</t>
        </is>
      </c>
      <c r="C130" t="inlineStr">
        <is>
          <t>Amazon Web Services</t>
        </is>
      </c>
      <c r="D130" t="inlineStr">
        <is>
          <t>indeed</t>
        </is>
      </c>
      <c r="E130">
        <f>HYPERLINK("https://www.indeed.com/viewjob?jk=1c49e6450c244499", "https://www.indeed.com/viewjob?jk=1c49e6450c244499")</f>
        <v/>
      </c>
      <c r="F130">
        <f>HYPERLINK("https://www.amazon.jobs/jobs/3140583/applied-scientist-skill-builder-aws-training-and-certifications?cmpid=DA_INAD200785B", "https://www.amazon.jobs/jobs/3140583/applied-scientist-skill-builder-aws-training-and-certifications?cmpid=DA_INAD200785B")</f>
        <v/>
      </c>
      <c r="G130" t="inlineStr">
        <is>
          <t>Bellevue, WA, US</t>
        </is>
      </c>
      <c r="H130" s="3" t="n">
        <v>46000</v>
      </c>
      <c r="I130"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in-5740ac0e6b2c5cd9</t>
        </is>
      </c>
      <c r="B131" t="inlineStr">
        <is>
          <t>Applied Scientist, Skill Builder, AWS Training and Certifications</t>
        </is>
      </c>
      <c r="C131" t="inlineStr">
        <is>
          <t>Amazon Web Services</t>
        </is>
      </c>
      <c r="D131" t="inlineStr">
        <is>
          <t>indeed</t>
        </is>
      </c>
      <c r="E131">
        <f>HYPERLINK("https://www.indeed.com/viewjob?jk=5740ac0e6b2c5cd9", "https://www.indeed.com/viewjob?jk=5740ac0e6b2c5cd9")</f>
        <v/>
      </c>
      <c r="F131">
        <f>HYPERLINK("https://www.amazon.jobs/jobs/3140583/applied-scientist-skill-builder-aws-training-and-certifications?cmpid=DA_INAD200785B", "https://www.amazon.jobs/jobs/3140583/applied-scientist-skill-builder-aws-training-and-certifications?cmpid=DA_INAD200785B")</f>
        <v/>
      </c>
      <c r="G131" t="inlineStr">
        <is>
          <t>Arlington, VA, US</t>
        </is>
      </c>
      <c r="H131" s="3" t="n">
        <v>46000</v>
      </c>
      <c r="I131"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in-e1b4f634a4d59023</t>
        </is>
      </c>
      <c r="B132" t="inlineStr">
        <is>
          <t>Applied Scientist, Skill Builder, AWS Training and Certifications</t>
        </is>
      </c>
      <c r="C132" t="inlineStr">
        <is>
          <t>Amazon Web Services</t>
        </is>
      </c>
      <c r="D132" t="inlineStr">
        <is>
          <t>indeed</t>
        </is>
      </c>
      <c r="E132">
        <f>HYPERLINK("https://www.indeed.com/viewjob?jk=e1b4f634a4d59023", "https://www.indeed.com/viewjob?jk=e1b4f634a4d59023")</f>
        <v/>
      </c>
      <c r="F132">
        <f>HYPERLINK("https://www.amazon.jobs/jobs/3140583/applied-scientist-skill-builder-aws-training-and-certifications?cmpid=DA_INAD200785B", "https://www.amazon.jobs/jobs/3140583/applied-scientist-skill-builder-aws-training-and-certifications?cmpid=DA_INAD200785B")</f>
        <v/>
      </c>
      <c r="G132" t="inlineStr">
        <is>
          <t>Seattle, WA, US</t>
        </is>
      </c>
      <c r="H132" s="3" t="n">
        <v>46000</v>
      </c>
      <c r="I132"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in-f27681a35d40637c</t>
        </is>
      </c>
      <c r="B133" t="inlineStr">
        <is>
          <t>Data Scientist, Growth Analytics (Performance Marketing)</t>
        </is>
      </c>
      <c r="C133" t="inlineStr">
        <is>
          <t>Spotify</t>
        </is>
      </c>
      <c r="D133" t="inlineStr">
        <is>
          <t>indeed</t>
        </is>
      </c>
      <c r="E133">
        <f>HYPERLINK("https://www.indeed.com/viewjob?jk=f27681a35d40637c", "https://www.indeed.com/viewjob?jk=f27681a35d40637c")</f>
        <v/>
      </c>
      <c r="F133">
        <f>HYPERLINK("https://www.lifeatspotify.com/jobs/data-scientist-growth-analytics-performance-marketing", "https://www.lifeatspotify.com/jobs/data-scientist-growth-analytics-performance-marketing")</f>
        <v/>
      </c>
      <c r="G133" t="inlineStr">
        <is>
          <t>New York, NY, US</t>
        </is>
      </c>
      <c r="H133" s="3" t="n">
        <v>46031</v>
      </c>
      <c r="I133" t="inlineStr">
        <is>
          <t>Data, Research \&amp; Insights
Data
Permanent
New York
We are looking for a Data Scientist to join the Business Analytics team at Spotify. In this role, you’ll shape Spotify’s performance marketing and growth strategy by developing models, designing experiments and measuring the impact of marketing investments. Partnering with the Growth Analytics Lead, you’ll turn data into strategies that guide budget allocation, optimize spend and accelerate efficient growth across paid media channels. You’ll collaborate with a global, cross\-functional team of analysts, data scientists, marketers, business leaders, and engineers to scale insights and drive efficient growth. Learning and improving is part of our daily routine, and you will get a platform to develop your data skills and carve out efficient ways of working.  
The Business Analytics team is part of Spotify’s core business strategy organization. You’ll play a crucial role in the growth and direction of Spotify as we grow to 700M\+ users around the globe. At your fingertips, you’ll have access to all of the data Spotify has to offer, and the opportunity to be creative with how you use it to derive insights and strategies. Above all, your work will impact the way the world experiences audio!
What You'll Do
* Develop data\-driven strategies to drive the growth of Spotify users and subscribers, with a focus on performance marketing
* Refine attribution practices and define robust, data\-backed methods to measure the incremental impact of marketing spend
* Partner with third\-party advertising platforms and agencies to design and implement comprehensive experiments and lift studies
* Contribute to annual and quarterly planning through impact forecasting, budget allocation and scenario modelling
* Build scalable data pipelines and dashboards to track marketing efficiency and Global business performance
* Collaborate closely with business partners to understand growth drivers and guide strategic marketing decisions
* Present insights and recommendations to senior stakeholders, influencing the course of our business
Who You Are
* 3\+ years synthesizing insights from data using tools such as Python/R and SQL
* Hands\-on experience supporting marketing organizations with their paid media strategy, including running and analyzing incrementality tests on platforms like Meta, Google and TikTok
* Proven experience building advanced models to understand and optimise paid media campaigns
* Skilled at collaborating with business partners to measure the impact of marketing initiatives and presenting those findings in coherent recommendations
* Intellectually curious, creative, and diligent \- you enjoy thinking about the business as much as about the data
* Have a background in Computer Science, Statistics, Engineering or other relevant field
* Comfortable working on a globally distributed team (with occasional international travel)
Where You'll Be
* This role is based in New York
* We offer you the flexibility to work where you work best! There will be some in person meetings, but still allows for flexibility to work from home.
Learn about life at Spotify
The United States base range for this position is $110,018 \- $157,169, plus equity. The benefits available for this position include health insurance, six month paid parental leave, 401(k) retirement plan, monthly meal allowance, 23 paid days off,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
Our global benefits
Extensive learning opportunities, through our dedicated team, GreenHouse.
Flexible share incentives letting you choose how you share in our success.
Global parental leave, six months off \- for all new parents.
All The Feels, our employee assistance program and self\-care hub.
Flexible public holidays, swap days off according to your values and beliefs.</t>
        </is>
      </c>
    </row>
    <row r="134">
      <c r="A134" t="inlineStr">
        <is>
          <t>in-5e57c72e9943a041</t>
        </is>
      </c>
      <c r="B134" t="inlineStr">
        <is>
          <t>Senior Applied Scientist, Sponsored Products and Brands</t>
        </is>
      </c>
      <c r="C134" t="inlineStr">
        <is>
          <t>Amazon.com</t>
        </is>
      </c>
      <c r="D134" t="inlineStr">
        <is>
          <t>indeed</t>
        </is>
      </c>
      <c r="E134">
        <f>HYPERLINK("https://www.indeed.com/viewjob?jk=5e57c72e9943a041", "https://www.indeed.com/viewjob?jk=5e57c72e9943a041")</f>
        <v/>
      </c>
      <c r="F134">
        <f>HYPERLINK("https://www.amazon.jobs/jobs/3130062/senior-applied-scientist-sponsored-products-and-brands?cmpid=DA_INAD200785B", "https://www.amazon.jobs/jobs/3130062/senior-applied-scientist-sponsored-products-and-brands?cmpid=DA_INAD200785B")</f>
        <v/>
      </c>
      <c r="G134" t="inlineStr">
        <is>
          <t>New York, NY, US</t>
        </is>
      </c>
      <c r="H134" s="3" t="n">
        <v>45979</v>
      </c>
      <c r="I13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in-fc086548c7e8ea05</t>
        </is>
      </c>
      <c r="B135" t="inlineStr">
        <is>
          <t>Principal Applied Scientist, AGI Foundations, AGI Foundations</t>
        </is>
      </c>
      <c r="C135" t="inlineStr">
        <is>
          <t>Amazon.com</t>
        </is>
      </c>
      <c r="D135" t="inlineStr">
        <is>
          <t>indeed</t>
        </is>
      </c>
      <c r="E135">
        <f>HYPERLINK("https://www.indeed.com/viewjob?jk=fc086548c7e8ea05", "https://www.indeed.com/viewjob?jk=fc086548c7e8ea05")</f>
        <v/>
      </c>
      <c r="F135">
        <f>HYPERLINK("https://www.amazon.jobs/jobs/3127969/principal-applied-scientist-agi-foundations-agi-foundations?cmpid=DA_INAD200785B", "https://www.amazon.jobs/jobs/3127969/principal-applied-scientist-agi-foundations-agi-foundations?cmpid=DA_INAD200785B")</f>
        <v/>
      </c>
      <c r="G135" t="inlineStr">
        <is>
          <t>New York, NY, US</t>
        </is>
      </c>
      <c r="H135" s="3" t="n">
        <v>45978</v>
      </c>
      <c r="I13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in-9701ff826b21d8e4</t>
        </is>
      </c>
      <c r="B136" t="inlineStr">
        <is>
          <t>Principal Applied Scientist, AGI Foundations, AGI Foundations</t>
        </is>
      </c>
      <c r="C136" t="inlineStr">
        <is>
          <t>Amazon.com</t>
        </is>
      </c>
      <c r="D136" t="inlineStr">
        <is>
          <t>indeed</t>
        </is>
      </c>
      <c r="E136">
        <f>HYPERLINK("https://www.indeed.com/viewjob?jk=9701ff826b21d8e4", "https://www.indeed.com/viewjob?jk=9701ff826b21d8e4")</f>
        <v/>
      </c>
      <c r="F136">
        <f>HYPERLINK("https://www.amazon.jobs/jobs/3127969/principal-applied-scientist-agi-foundations-agi-foundations?cmpid=DA_INAD200785B", "https://www.amazon.jobs/jobs/3127969/principal-applied-scientist-agi-foundations-agi-foundations?cmpid=DA_INAD200785B")</f>
        <v/>
      </c>
      <c r="G136" t="inlineStr">
        <is>
          <t>Bellevue, WA, US</t>
        </is>
      </c>
      <c r="H136" s="3" t="n">
        <v>45978</v>
      </c>
      <c r="I13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in-0afd2d9d95caf508</t>
        </is>
      </c>
      <c r="B137" t="inlineStr">
        <is>
          <t>Principal Applied Scientist, AGI Foundations, AGI Foundations</t>
        </is>
      </c>
      <c r="C137" t="inlineStr">
        <is>
          <t>Amazon.com</t>
        </is>
      </c>
      <c r="D137" t="inlineStr">
        <is>
          <t>indeed</t>
        </is>
      </c>
      <c r="E137">
        <f>HYPERLINK("https://www.indeed.com/viewjob?jk=0afd2d9d95caf508", "https://www.indeed.com/viewjob?jk=0afd2d9d95caf508")</f>
        <v/>
      </c>
      <c r="F137">
        <f>HYPERLINK("https://www.amazon.jobs/jobs/3127969/principal-applied-scientist-agi-foundations-agi-foundations?cmpid=DA_INAD200785B", "https://www.amazon.jobs/jobs/3127969/principal-applied-scientist-agi-foundations-agi-foundations?cmpid=DA_INAD200785B")</f>
        <v/>
      </c>
      <c r="G137" t="inlineStr">
        <is>
          <t>Boston, MA, US</t>
        </is>
      </c>
      <c r="H137" s="3" t="n">
        <v>45978</v>
      </c>
      <c r="I13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in-8290f6ac832717a7</t>
        </is>
      </c>
      <c r="B138" t="inlineStr">
        <is>
          <t>Principal Applied Scientist, AGI Foundations, AGI Foundations</t>
        </is>
      </c>
      <c r="C138" t="inlineStr">
        <is>
          <t>Amazon.com</t>
        </is>
      </c>
      <c r="D138" t="inlineStr">
        <is>
          <t>indeed</t>
        </is>
      </c>
      <c r="E138">
        <f>HYPERLINK("https://www.indeed.com/viewjob?jk=8290f6ac832717a7", "https://www.indeed.com/viewjob?jk=8290f6ac832717a7")</f>
        <v/>
      </c>
      <c r="F138">
        <f>HYPERLINK("https://www.amazon.jobs/jobs/3127969/principal-applied-scientist-agi-foundations-agi-foundations?cmpid=DA_INAD200785B", "https://www.amazon.jobs/jobs/3127969/principal-applied-scientist-agi-foundations-agi-foundations?cmpid=DA_INAD200785B")</f>
        <v/>
      </c>
      <c r="G138" t="inlineStr">
        <is>
          <t>Sunnyvale, CA, US</t>
        </is>
      </c>
      <c r="H138" s="3" t="n">
        <v>45978</v>
      </c>
      <c r="I13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in-de30113074e38a1d</t>
        </is>
      </c>
      <c r="B139" t="inlineStr">
        <is>
          <t>Principal Applied Scientist, Artificial General Intelligence</t>
        </is>
      </c>
      <c r="C139" t="inlineStr">
        <is>
          <t>Amazon.com</t>
        </is>
      </c>
      <c r="D139" t="inlineStr">
        <is>
          <t>indeed</t>
        </is>
      </c>
      <c r="E139">
        <f>HYPERLINK("https://www.indeed.com/viewjob?jk=de30113074e38a1d", "https://www.indeed.com/viewjob?jk=de30113074e38a1d")</f>
        <v/>
      </c>
      <c r="F139">
        <f>HYPERLINK("https://www.amazon.jobs/jobs/3128477/principal-applied-scientist--artificial-general-intelligence?cmpid=DA_INAD200785B", "https://www.amazon.jobs/jobs/3128477/principal-applied-scientist--artificial-general-intelligence?cmpid=DA_INAD200785B")</f>
        <v/>
      </c>
      <c r="G139" t="inlineStr">
        <is>
          <t>Bellevue, WA, US</t>
        </is>
      </c>
      <c r="H139" s="3" t="n">
        <v>45978</v>
      </c>
      <c r="I139"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in-af16082bafec9fab</t>
        </is>
      </c>
      <c r="B140" t="inlineStr">
        <is>
          <t>Principal Applied Scientist, Artificial General Intelligence</t>
        </is>
      </c>
      <c r="C140" t="inlineStr">
        <is>
          <t>Amazon.com</t>
        </is>
      </c>
      <c r="D140" t="inlineStr">
        <is>
          <t>indeed</t>
        </is>
      </c>
      <c r="E140">
        <f>HYPERLINK("https://www.indeed.com/viewjob?jk=af16082bafec9fab", "https://www.indeed.com/viewjob?jk=af16082bafec9fab")</f>
        <v/>
      </c>
      <c r="F140">
        <f>HYPERLINK("https://www.amazon.jobs/jobs/3128477/principal-applied-scientist--artificial-general-intelligence?cmpid=DA_INAD200785B", "https://www.amazon.jobs/jobs/3128477/principal-applied-scientist--artificial-general-intelligence?cmpid=DA_INAD200785B")</f>
        <v/>
      </c>
      <c r="G140" t="inlineStr">
        <is>
          <t>San Francisco, CA, US</t>
        </is>
      </c>
      <c r="H140" s="3" t="n">
        <v>45978</v>
      </c>
      <c r="I140"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in-01ac9697f9075129</t>
        </is>
      </c>
      <c r="B141" t="inlineStr">
        <is>
          <t>Principal Applied Scientist, Artificial General Intelligence</t>
        </is>
      </c>
      <c r="C141" t="inlineStr">
        <is>
          <t>Amazon.com</t>
        </is>
      </c>
      <c r="D141" t="inlineStr">
        <is>
          <t>indeed</t>
        </is>
      </c>
      <c r="E141">
        <f>HYPERLINK("https://www.indeed.com/viewjob?jk=01ac9697f9075129", "https://www.indeed.com/viewjob?jk=01ac9697f9075129")</f>
        <v/>
      </c>
      <c r="F141">
        <f>HYPERLINK("https://www.amazon.jobs/jobs/3128477/principal-applied-scientist--artificial-general-intelligence?cmpid=DA_INAD200785B", "https://www.amazon.jobs/jobs/3128477/principal-applied-scientist--artificial-general-intelligence?cmpid=DA_INAD200785B")</f>
        <v/>
      </c>
      <c r="G141" t="inlineStr">
        <is>
          <t>Seattle, WA, US</t>
        </is>
      </c>
      <c r="H141" s="3" t="n">
        <v>45978</v>
      </c>
      <c r="I141"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in-0225302c56fbd67a</t>
        </is>
      </c>
      <c r="B142" t="inlineStr">
        <is>
          <t>Principal Applied Scientist, Artificial General Intelligence</t>
        </is>
      </c>
      <c r="C142" t="inlineStr">
        <is>
          <t>Amazon.com</t>
        </is>
      </c>
      <c r="D142" t="inlineStr">
        <is>
          <t>indeed</t>
        </is>
      </c>
      <c r="E142">
        <f>HYPERLINK("https://www.indeed.com/viewjob?jk=0225302c56fbd67a", "https://www.indeed.com/viewjob?jk=0225302c56fbd67a")</f>
        <v/>
      </c>
      <c r="F142">
        <f>HYPERLINK("https://www.amazon.jobs/jobs/3128477/principal-applied-scientist--artificial-general-intelligence?cmpid=DA_INAD200785B", "https://www.amazon.jobs/jobs/3128477/principal-applied-scientist--artificial-general-intelligence?cmpid=DA_INAD200785B")</f>
        <v/>
      </c>
      <c r="G142" t="inlineStr">
        <is>
          <t>Sunnyvale, CA, US</t>
        </is>
      </c>
      <c r="H142" s="3" t="n">
        <v>45978</v>
      </c>
      <c r="I142"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in-8a1fd279e4a31c99</t>
        </is>
      </c>
      <c r="B143" t="inlineStr">
        <is>
          <t>Applied Scientist II, Prime Video Personalization and Discovery Science</t>
        </is>
      </c>
      <c r="C143" t="inlineStr">
        <is>
          <t>Amazon.com</t>
        </is>
      </c>
      <c r="D143" t="inlineStr">
        <is>
          <t>indeed</t>
        </is>
      </c>
      <c r="E143">
        <f>HYPERLINK("https://www.indeed.com/viewjob?jk=8a1fd279e4a31c99", "https://www.indeed.com/viewjob?jk=8a1fd279e4a31c99")</f>
        <v/>
      </c>
      <c r="F143">
        <f>HYPERLINK("https://www.amazon.jobs/jobs/3129475/applied-scientist-ii-prime-video-personalization-and-discovery-science?cmpid=DA_INAD200785B", "https://www.amazon.jobs/jobs/3129475/applied-scientist-ii-prime-video-personalization-and-discovery-science?cmpid=DA_INAD200785B")</f>
        <v/>
      </c>
      <c r="G143" t="inlineStr">
        <is>
          <t>Sunnyvale, CA, US</t>
        </is>
      </c>
      <c r="H143" s="3" t="n">
        <v>45978</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in-f66d1d3f8c73a269</t>
        </is>
      </c>
      <c r="B144" t="inlineStr">
        <is>
          <t>Applied Scientist II, Prime Video Personalization and Discovery Science</t>
        </is>
      </c>
      <c r="C144" t="inlineStr">
        <is>
          <t>Amazon.com</t>
        </is>
      </c>
      <c r="D144" t="inlineStr">
        <is>
          <t>indeed</t>
        </is>
      </c>
      <c r="E144">
        <f>HYPERLINK("https://www.indeed.com/viewjob?jk=f66d1d3f8c73a269", "https://www.indeed.com/viewjob?jk=f66d1d3f8c73a269")</f>
        <v/>
      </c>
      <c r="F144">
        <f>HYPERLINK("https://www.amazon.jobs/jobs/3129475/applied-scientist-ii-prime-video-personalization-and-discovery-science?cmpid=DA_INAD200785B", "https://www.amazon.jobs/jobs/3129475/applied-scientist-ii-prime-video-personalization-and-discovery-science?cmpid=DA_INAD200785B")</f>
        <v/>
      </c>
      <c r="G144" t="inlineStr">
        <is>
          <t>Seattle, WA, US</t>
        </is>
      </c>
      <c r="H144" s="3" t="n">
        <v>45978</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in-2e022b53ce9b267b</t>
        </is>
      </c>
      <c r="B145" t="inlineStr">
        <is>
          <t>Applied Scientist, Artificial General Intelligence</t>
        </is>
      </c>
      <c r="C145" t="inlineStr">
        <is>
          <t>Amazon.com</t>
        </is>
      </c>
      <c r="D145" t="inlineStr">
        <is>
          <t>indeed</t>
        </is>
      </c>
      <c r="E145">
        <f>HYPERLINK("https://www.indeed.com/viewjob?jk=2e022b53ce9b267b", "https://www.indeed.com/viewjob?jk=2e022b53ce9b267b")</f>
        <v/>
      </c>
      <c r="F145">
        <f>HYPERLINK("https://www.amazon.jobs/jobs/3127075/applied-scientist-artificial-general-intelligence?cmpid=DA_INAD200785B", "https://www.amazon.jobs/jobs/3127075/applied-scientist-artificial-general-intelligence?cmpid=DA_INAD200785B")</f>
        <v/>
      </c>
      <c r="G145" t="inlineStr">
        <is>
          <t>Sunnyvale, CA, US</t>
        </is>
      </c>
      <c r="H145" s="3" t="n">
        <v>45974</v>
      </c>
      <c r="I14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in-1918fd2baa52b9f9</t>
        </is>
      </c>
      <c r="B146" t="inlineStr">
        <is>
          <t>Applied Scientist, Artificial General Intelligence</t>
        </is>
      </c>
      <c r="C146" t="inlineStr">
        <is>
          <t>Amazon.com</t>
        </is>
      </c>
      <c r="D146" t="inlineStr">
        <is>
          <t>indeed</t>
        </is>
      </c>
      <c r="E146">
        <f>HYPERLINK("https://www.indeed.com/viewjob?jk=1918fd2baa52b9f9", "https://www.indeed.com/viewjob?jk=1918fd2baa52b9f9")</f>
        <v/>
      </c>
      <c r="F146">
        <f>HYPERLINK("https://www.amazon.jobs/jobs/3127075/applied-scientist-artificial-general-intelligence?cmpid=DA_INAD200785B", "https://www.amazon.jobs/jobs/3127075/applied-scientist-artificial-general-intelligence?cmpid=DA_INAD200785B")</f>
        <v/>
      </c>
      <c r="G146" t="inlineStr">
        <is>
          <t>Seattle, WA, US</t>
        </is>
      </c>
      <c r="H146" s="3" t="n">
        <v>45974</v>
      </c>
      <c r="I14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in-dc8115a3bd5e9e7a</t>
        </is>
      </c>
      <c r="B147" t="inlineStr">
        <is>
          <t>Applied Scientist, Artificial General Intelligence</t>
        </is>
      </c>
      <c r="C147" t="inlineStr">
        <is>
          <t>Amazon.com</t>
        </is>
      </c>
      <c r="D147" t="inlineStr">
        <is>
          <t>indeed</t>
        </is>
      </c>
      <c r="E147">
        <f>HYPERLINK("https://www.indeed.com/viewjob?jk=dc8115a3bd5e9e7a", "https://www.indeed.com/viewjob?jk=dc8115a3bd5e9e7a")</f>
        <v/>
      </c>
      <c r="F147">
        <f>HYPERLINK("https://www.amazon.jobs/jobs/3127075/applied-scientist-artificial-general-intelligence?cmpid=DA_INAD200785B", "https://www.amazon.jobs/jobs/3127075/applied-scientist-artificial-general-intelligence?cmpid=DA_INAD200785B")</f>
        <v/>
      </c>
      <c r="G147" t="inlineStr">
        <is>
          <t>Boston, MA, US</t>
        </is>
      </c>
      <c r="H147" s="3" t="n">
        <v>45974</v>
      </c>
      <c r="I147"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in-2fafc52f1c1461af</t>
        </is>
      </c>
      <c r="B148" t="inlineStr">
        <is>
          <t>Senior Data Scientist, AWS Professional Services</t>
        </is>
      </c>
      <c r="C148" t="inlineStr">
        <is>
          <t>Amazon Web Services</t>
        </is>
      </c>
      <c r="D148" t="inlineStr">
        <is>
          <t>indeed</t>
        </is>
      </c>
      <c r="E148">
        <f>HYPERLINK("https://www.indeed.com/viewjob?jk=2fafc52f1c1461af", "https://www.indeed.com/viewjob?jk=2fafc52f1c1461af")</f>
        <v/>
      </c>
      <c r="F148">
        <f>HYPERLINK("https://www.amazon.jobs/jobs/3127431/senior-data-scientist-aws-professional-services?cmpid=DA_INAD200785B", "https://www.amazon.jobs/jobs/3127431/senior-data-scientist-aws-professional-services?cmpid=DA_INAD200785B")</f>
        <v/>
      </c>
      <c r="G148" t="inlineStr">
        <is>
          <t>Boston, MA, US</t>
        </is>
      </c>
      <c r="H148" s="3" t="n">
        <v>45972</v>
      </c>
      <c r="I14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in-c987a499b91e92de</t>
        </is>
      </c>
      <c r="B149" t="inlineStr">
        <is>
          <t>Senior Data Scientist, AWS Professional Services</t>
        </is>
      </c>
      <c r="C149" t="inlineStr">
        <is>
          <t>Amazon Web Services</t>
        </is>
      </c>
      <c r="D149" t="inlineStr">
        <is>
          <t>indeed</t>
        </is>
      </c>
      <c r="E149">
        <f>HYPERLINK("https://www.indeed.com/viewjob?jk=c987a499b91e92de", "https://www.indeed.com/viewjob?jk=c987a499b91e92de")</f>
        <v/>
      </c>
      <c r="F149">
        <f>HYPERLINK("https://www.amazon.jobs/jobs/3127431/senior-data-scientist-aws-professional-services?cmpid=DA_INAD200785B", "https://www.amazon.jobs/jobs/3127431/senior-data-scientist-aws-professional-services?cmpid=DA_INAD200785B")</f>
        <v/>
      </c>
      <c r="G149" t="inlineStr">
        <is>
          <t>Chicago, IL, US</t>
        </is>
      </c>
      <c r="H149" s="3" t="n">
        <v>45972</v>
      </c>
      <c r="I14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in-8a4c91ce31f55d6d</t>
        </is>
      </c>
      <c r="B150" t="inlineStr">
        <is>
          <t>Senior Data Scientist, AWS Professional Services</t>
        </is>
      </c>
      <c r="C150" t="inlineStr">
        <is>
          <t>Amazon Web Services</t>
        </is>
      </c>
      <c r="D150" t="inlineStr">
        <is>
          <t>indeed</t>
        </is>
      </c>
      <c r="E150">
        <f>HYPERLINK("https://www.indeed.com/viewjob?jk=8a4c91ce31f55d6d", "https://www.indeed.com/viewjob?jk=8a4c91ce31f55d6d")</f>
        <v/>
      </c>
      <c r="F150">
        <f>HYPERLINK("https://www.amazon.jobs/jobs/3127431/senior-data-scientist-aws-professional-services?cmpid=DA_INAD200785B", "https://www.amazon.jobs/jobs/3127431/senior-data-scientist-aws-professional-services?cmpid=DA_INAD200785B")</f>
        <v/>
      </c>
      <c r="G150" t="inlineStr">
        <is>
          <t>Arlington, VA, US</t>
        </is>
      </c>
      <c r="H150" s="3" t="n">
        <v>45972</v>
      </c>
      <c r="I15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in-2f60beb6872a1602</t>
        </is>
      </c>
      <c r="B151" t="inlineStr">
        <is>
          <t>Senior Data Scientist, AWS Professional Services</t>
        </is>
      </c>
      <c r="C151" t="inlineStr">
        <is>
          <t>Amazon Web Services</t>
        </is>
      </c>
      <c r="D151" t="inlineStr">
        <is>
          <t>indeed</t>
        </is>
      </c>
      <c r="E151">
        <f>HYPERLINK("https://www.indeed.com/viewjob?jk=2f60beb6872a1602", "https://www.indeed.com/viewjob?jk=2f60beb6872a1602")</f>
        <v/>
      </c>
      <c r="F151">
        <f>HYPERLINK("https://www.amazon.jobs/jobs/3127431/senior-data-scientist-aws-professional-services?cmpid=DA_INAD200785B", "https://www.amazon.jobs/jobs/3127431/senior-data-scientist-aws-professional-services?cmpid=DA_INAD200785B")</f>
        <v/>
      </c>
      <c r="G151" t="inlineStr">
        <is>
          <t>Seattle, WA, US</t>
        </is>
      </c>
      <c r="H151" s="3" t="n">
        <v>45972</v>
      </c>
      <c r="I15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in-db00801b1c106d95</t>
        </is>
      </c>
      <c r="B152" t="inlineStr">
        <is>
          <t>Senior Data Scientist, AWS Professional Services</t>
        </is>
      </c>
      <c r="C152" t="inlineStr">
        <is>
          <t>Amazon Web Services</t>
        </is>
      </c>
      <c r="D152" t="inlineStr">
        <is>
          <t>indeed</t>
        </is>
      </c>
      <c r="E152">
        <f>HYPERLINK("https://www.indeed.com/viewjob?jk=db00801b1c106d95", "https://www.indeed.com/viewjob?jk=db00801b1c106d95")</f>
        <v/>
      </c>
      <c r="F152">
        <f>HYPERLINK("https://www.amazon.jobs/jobs/3127431/senior-data-scientist-aws-professional-services?cmpid=DA_INAD200785B", "https://www.amazon.jobs/jobs/3127431/senior-data-scientist-aws-professional-services?cmpid=DA_INAD200785B")</f>
        <v/>
      </c>
      <c r="G152" t="inlineStr">
        <is>
          <t>Dallas, TX, US</t>
        </is>
      </c>
      <c r="H152" s="3" t="n">
        <v>45972</v>
      </c>
      <c r="I15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in-4786def3ff2ccb34</t>
        </is>
      </c>
      <c r="B153" t="inlineStr">
        <is>
          <t>Senior Data Scientist, AWS Professional Services</t>
        </is>
      </c>
      <c r="C153" t="inlineStr">
        <is>
          <t>Amazon Web Services</t>
        </is>
      </c>
      <c r="D153" t="inlineStr">
        <is>
          <t>indeed</t>
        </is>
      </c>
      <c r="E153">
        <f>HYPERLINK("https://www.indeed.com/viewjob?jk=4786def3ff2ccb34", "https://www.indeed.com/viewjob?jk=4786def3ff2ccb34")</f>
        <v/>
      </c>
      <c r="F153">
        <f>HYPERLINK("https://www.amazon.jobs/jobs/3127431/senior-data-scientist-aws-professional-services?cmpid=DA_INAD200785B", "https://www.amazon.jobs/jobs/3127431/senior-data-scientist-aws-professional-services?cmpid=DA_INAD200785B")</f>
        <v/>
      </c>
      <c r="G153" t="inlineStr">
        <is>
          <t>Irvine, CA, US</t>
        </is>
      </c>
      <c r="H153" s="3" t="n">
        <v>45972</v>
      </c>
      <c r="I15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in-4354e5ca3db73386</t>
        </is>
      </c>
      <c r="B154" t="inlineStr">
        <is>
          <t>Senior Data Scientist, AWS Professional Services</t>
        </is>
      </c>
      <c r="C154" t="inlineStr">
        <is>
          <t>Amazon Web Services</t>
        </is>
      </c>
      <c r="D154" t="inlineStr">
        <is>
          <t>indeed</t>
        </is>
      </c>
      <c r="E154">
        <f>HYPERLINK("https://www.indeed.com/viewjob?jk=4354e5ca3db73386", "https://www.indeed.com/viewjob?jk=4354e5ca3db73386")</f>
        <v/>
      </c>
      <c r="F154">
        <f>HYPERLINK("https://www.amazon.jobs/jobs/3127431/senior-data-scientist-aws-professional-services?cmpid=DA_INAD200785B", "https://www.amazon.jobs/jobs/3127431/senior-data-scientist-aws-professional-services?cmpid=DA_INAD200785B")</f>
        <v/>
      </c>
      <c r="G154" t="inlineStr">
        <is>
          <t>Atlanta, GA, US</t>
        </is>
      </c>
      <c r="H154" s="3" t="n">
        <v>45972</v>
      </c>
      <c r="I15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in-86fc0325bd002f64</t>
        </is>
      </c>
      <c r="B155" t="inlineStr">
        <is>
          <t>Senior Data Scientist, AWS Professional Services</t>
        </is>
      </c>
      <c r="C155" t="inlineStr">
        <is>
          <t>Amazon Web Services</t>
        </is>
      </c>
      <c r="D155" t="inlineStr">
        <is>
          <t>indeed</t>
        </is>
      </c>
      <c r="E155">
        <f>HYPERLINK("https://www.indeed.com/viewjob?jk=86fc0325bd002f64", "https://www.indeed.com/viewjob?jk=86fc0325bd002f64")</f>
        <v/>
      </c>
      <c r="F155">
        <f>HYPERLINK("https://www.amazon.jobs/jobs/3127431/senior-data-scientist-aws-professional-services?cmpid=DA_INAD200785B", "https://www.amazon.jobs/jobs/3127431/senior-data-scientist-aws-professional-services?cmpid=DA_INAD200785B")</f>
        <v/>
      </c>
      <c r="G155" t="inlineStr">
        <is>
          <t>Santa Monica, CA, US</t>
        </is>
      </c>
      <c r="H155" s="3" t="n">
        <v>45972</v>
      </c>
      <c r="I15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in-cb447bd3775c26c0</t>
        </is>
      </c>
      <c r="B156" t="inlineStr">
        <is>
          <t>Senior Data Scientist, AWS Professional Services</t>
        </is>
      </c>
      <c r="C156" t="inlineStr">
        <is>
          <t>Amazon Web Services</t>
        </is>
      </c>
      <c r="D156" t="inlineStr">
        <is>
          <t>indeed</t>
        </is>
      </c>
      <c r="E156">
        <f>HYPERLINK("https://www.indeed.com/viewjob?jk=cb447bd3775c26c0", "https://www.indeed.com/viewjob?jk=cb447bd3775c26c0")</f>
        <v/>
      </c>
      <c r="F156">
        <f>HYPERLINK("https://www.amazon.jobs/jobs/3127431/senior-data-scientist-aws-professional-services?cmpid=DA_INAD200785B", "https://www.amazon.jobs/jobs/3127431/senior-data-scientist-aws-professional-services?cmpid=DA_INAD200785B")</f>
        <v/>
      </c>
      <c r="G156" t="inlineStr">
        <is>
          <t>New York, NY, US</t>
        </is>
      </c>
      <c r="H156" s="3" t="n">
        <v>45972</v>
      </c>
      <c r="I15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in-8c102bc22b7e300e</t>
        </is>
      </c>
      <c r="B157" t="inlineStr">
        <is>
          <t>Senior Applied Scientist, Creative X - RAPID</t>
        </is>
      </c>
      <c r="C157" t="inlineStr">
        <is>
          <t>Amazon.com</t>
        </is>
      </c>
      <c r="D157" t="inlineStr">
        <is>
          <t>indeed</t>
        </is>
      </c>
      <c r="E157">
        <f>HYPERLINK("https://www.indeed.com/viewjob?jk=8c102bc22b7e300e", "https://www.indeed.com/viewjob?jk=8c102bc22b7e300e")</f>
        <v/>
      </c>
      <c r="F157">
        <f>HYPERLINK("https://www.amazon.jobs/jobs/3128786/senior-applied-scientist-creative-x--rapid?cmpid=DA_INAD200785B", "https://www.amazon.jobs/jobs/3128786/senior-applied-scientist-creative-x--rapid?cmpid=DA_INAD200785B")</f>
        <v/>
      </c>
      <c r="G157" t="inlineStr">
        <is>
          <t>New York, NY, US</t>
        </is>
      </c>
      <c r="H157" s="3" t="n">
        <v>45971</v>
      </c>
      <c r="I157"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in-56b1bb96e706147a</t>
        </is>
      </c>
      <c r="B158" t="inlineStr">
        <is>
          <t>Senior Applied Scientist, Creative X - RAPID</t>
        </is>
      </c>
      <c r="C158" t="inlineStr">
        <is>
          <t>Amazon.com</t>
        </is>
      </c>
      <c r="D158" t="inlineStr">
        <is>
          <t>indeed</t>
        </is>
      </c>
      <c r="E158">
        <f>HYPERLINK("https://www.indeed.com/viewjob?jk=56b1bb96e706147a", "https://www.indeed.com/viewjob?jk=56b1bb96e706147a")</f>
        <v/>
      </c>
      <c r="F158">
        <f>HYPERLINK("https://www.amazon.jobs/jobs/3128786/senior-applied-scientist-creative-x--rapid?cmpid=DA_INAD200785B", "https://www.amazon.jobs/jobs/3128786/senior-applied-scientist-creative-x--rapid?cmpid=DA_INAD200785B")</f>
        <v/>
      </c>
      <c r="G158" t="inlineStr">
        <is>
          <t>Seattle, WA, US</t>
        </is>
      </c>
      <c r="H158" s="3" t="n">
        <v>45971</v>
      </c>
      <c r="I158"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in-b0d0fd410028ace5</t>
        </is>
      </c>
      <c r="B159" t="inlineStr">
        <is>
          <t>Applied Scientist, Sponsored Products and Brands</t>
        </is>
      </c>
      <c r="C159" t="inlineStr">
        <is>
          <t>Amazon.com</t>
        </is>
      </c>
      <c r="D159" t="inlineStr">
        <is>
          <t>indeed</t>
        </is>
      </c>
      <c r="E159">
        <f>HYPERLINK("https://www.indeed.com/viewjob?jk=b0d0fd410028ace5", "https://www.indeed.com/viewjob?jk=b0d0fd410028ace5")</f>
        <v/>
      </c>
      <c r="F159">
        <f>HYPERLINK("https://www.amazon.jobs/jobs/3122617/applied-scientist-sponsored-products-and-brands?cmpid=DA_INAD200785B", "https://www.amazon.jobs/jobs/3122617/applied-scientist-sponsored-products-and-brands?cmpid=DA_INAD200785B")</f>
        <v/>
      </c>
      <c r="G159" t="inlineStr">
        <is>
          <t>New York, NY, US</t>
        </is>
      </c>
      <c r="H159" s="3" t="n">
        <v>45965</v>
      </c>
      <c r="I15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in-7bc394d096005855</t>
        </is>
      </c>
      <c r="B160" t="inlineStr">
        <is>
          <t>Applied Scientist, Sponsored Products and Brands</t>
        </is>
      </c>
      <c r="C160" t="inlineStr">
        <is>
          <t>Amazon.com</t>
        </is>
      </c>
      <c r="D160" t="inlineStr">
        <is>
          <t>indeed</t>
        </is>
      </c>
      <c r="E160">
        <f>HYPERLINK("https://www.indeed.com/viewjob?jk=7bc394d096005855", "https://www.indeed.com/viewjob?jk=7bc394d096005855")</f>
        <v/>
      </c>
      <c r="F160">
        <f>HYPERLINK("https://www.amazon.jobs/jobs/3122617/applied-scientist-sponsored-products-and-brands?cmpid=DA_INAD200785B", "https://www.amazon.jobs/jobs/3122617/applied-scientist-sponsored-products-and-brands?cmpid=DA_INAD200785B")</f>
        <v/>
      </c>
      <c r="G160" t="inlineStr">
        <is>
          <t>Seattle, WA, US</t>
        </is>
      </c>
      <c r="H160" s="3" t="n">
        <v>45965</v>
      </c>
      <c r="I16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in-ea37c4231be66b2b</t>
        </is>
      </c>
      <c r="B161" t="inlineStr">
        <is>
          <t>Principal Applied Scientist, Amazon AGI</t>
        </is>
      </c>
      <c r="C161" t="inlineStr">
        <is>
          <t>Amazon.com</t>
        </is>
      </c>
      <c r="D161" t="inlineStr">
        <is>
          <t>indeed</t>
        </is>
      </c>
      <c r="E161">
        <f>HYPERLINK("https://www.indeed.com/viewjob?jk=ea37c4231be66b2b", "https://www.indeed.com/viewjob?jk=ea37c4231be66b2b")</f>
        <v/>
      </c>
      <c r="F161">
        <f>HYPERLINK("https://www.amazon.jobs/jobs/3128808/principal-applied-scientist-amazon-agi?cmpid=DA_INAD200785B", "https://www.amazon.jobs/jobs/3128808/principal-applied-scientist-amazon-agi?cmpid=DA_INAD200785B")</f>
        <v/>
      </c>
      <c r="G161" t="inlineStr">
        <is>
          <t>San Francisco, CA, US</t>
        </is>
      </c>
      <c r="H161" s="3" t="n">
        <v>45964</v>
      </c>
      <c r="I16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in-cd38ade168370817</t>
        </is>
      </c>
      <c r="B162" t="inlineStr">
        <is>
          <t>Principal Applied Scientist, Amazon AGI</t>
        </is>
      </c>
      <c r="C162" t="inlineStr">
        <is>
          <t>Amazon.com</t>
        </is>
      </c>
      <c r="D162" t="inlineStr">
        <is>
          <t>indeed</t>
        </is>
      </c>
      <c r="E162">
        <f>HYPERLINK("https://www.indeed.com/viewjob?jk=cd38ade168370817", "https://www.indeed.com/viewjob?jk=cd38ade168370817")</f>
        <v/>
      </c>
      <c r="F162">
        <f>HYPERLINK("https://www.amazon.jobs/jobs/3128808/principal-applied-scientist-amazon-agi?cmpid=DA_INAD200785B", "https://www.amazon.jobs/jobs/3128808/principal-applied-scientist-amazon-agi?cmpid=DA_INAD200785B")</f>
        <v/>
      </c>
      <c r="G162" t="inlineStr">
        <is>
          <t>Boston, MA, US</t>
        </is>
      </c>
      <c r="H162" s="3" t="n">
        <v>45964</v>
      </c>
      <c r="I16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in-c7c62ec1d3e41775</t>
        </is>
      </c>
      <c r="B163" t="inlineStr">
        <is>
          <t>Principal Applied Scientist, Advertiser Growth, Amazon Sponsored Products &amp; Brands</t>
        </is>
      </c>
      <c r="C163" t="inlineStr">
        <is>
          <t>Amazon.com</t>
        </is>
      </c>
      <c r="D163" t="inlineStr">
        <is>
          <t>indeed</t>
        </is>
      </c>
      <c r="E163">
        <f>HYPERLINK("https://www.indeed.com/viewjob?jk=c7c62ec1d3e41775", "https://www.indeed.com/viewjob?jk=c7c62ec1d3e41775")</f>
        <v/>
      </c>
      <c r="F163">
        <f>HYPERLINK("https://www.amazon.jobs/jobs/3115279/principal-applied-scientist-advertiser-growth-amazon-sponsored-products--brands?cmpid=DA_INAD200785B", "https://www.amazon.jobs/jobs/3115279/principal-applied-scientist-advertiser-growth-amazon-sponsored-products--brands?cmpid=DA_INAD200785B")</f>
        <v/>
      </c>
      <c r="G163" t="inlineStr">
        <is>
          <t>Palo Alto, CA, US</t>
        </is>
      </c>
      <c r="H163" s="3" t="n">
        <v>45942</v>
      </c>
      <c r="I16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in-fd39cdfc2fdb6344</t>
        </is>
      </c>
      <c r="B164" t="inlineStr">
        <is>
          <t>Principal Applied Scientist, Advertiser Growth, Amazon Sponsored Products &amp; Brands</t>
        </is>
      </c>
      <c r="C164" t="inlineStr">
        <is>
          <t>Amazon.com</t>
        </is>
      </c>
      <c r="D164" t="inlineStr">
        <is>
          <t>indeed</t>
        </is>
      </c>
      <c r="E164">
        <f>HYPERLINK("https://www.indeed.com/viewjob?jk=fd39cdfc2fdb6344", "https://www.indeed.com/viewjob?jk=fd39cdfc2fdb6344")</f>
        <v/>
      </c>
      <c r="F164">
        <f>HYPERLINK("https://www.amazon.jobs/jobs/3115279/principal-applied-scientist-advertiser-growth-amazon-sponsored-products--brands?cmpid=DA_INAD200785B", "https://www.amazon.jobs/jobs/3115279/principal-applied-scientist-advertiser-growth-amazon-sponsored-products--brands?cmpid=DA_INAD200785B")</f>
        <v/>
      </c>
      <c r="G164" t="inlineStr">
        <is>
          <t>New York, NY, US</t>
        </is>
      </c>
      <c r="H164" s="3" t="n">
        <v>45942</v>
      </c>
      <c r="I16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in-b5c71f06542aa9f4</t>
        </is>
      </c>
      <c r="B165" t="inlineStr">
        <is>
          <t>Principal Applied Scientist, Advertiser Growth, Amazon Sponsored Products &amp; Brands</t>
        </is>
      </c>
      <c r="C165" t="inlineStr">
        <is>
          <t>Amazon.com</t>
        </is>
      </c>
      <c r="D165" t="inlineStr">
        <is>
          <t>indeed</t>
        </is>
      </c>
      <c r="E165">
        <f>HYPERLINK("https://www.indeed.com/viewjob?jk=b5c71f06542aa9f4", "https://www.indeed.com/viewjob?jk=b5c71f06542aa9f4")</f>
        <v/>
      </c>
      <c r="F165">
        <f>HYPERLINK("https://www.amazon.jobs/jobs/3115279/principal-applied-scientist-advertiser-growth-amazon-sponsored-products--brands?cmpid=DA_INAD200785B", "https://www.amazon.jobs/jobs/3115279/principal-applied-scientist-advertiser-growth-amazon-sponsored-products--brands?cmpid=DA_INAD200785B")</f>
        <v/>
      </c>
      <c r="G165" t="inlineStr">
        <is>
          <t>Seattle, WA, US</t>
        </is>
      </c>
      <c r="H165" s="3" t="n">
        <v>45942</v>
      </c>
      <c r="I16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in-ce4c34e0e9d0f232</t>
        </is>
      </c>
      <c r="B166" t="inlineStr">
        <is>
          <t>Applied Scientist, Artificial General Intelligence</t>
        </is>
      </c>
      <c r="C166" t="inlineStr">
        <is>
          <t>Amazon.com</t>
        </is>
      </c>
      <c r="D166" t="inlineStr">
        <is>
          <t>indeed</t>
        </is>
      </c>
      <c r="E166">
        <f>HYPERLINK("https://www.indeed.com/viewjob?jk=ce4c34e0e9d0f232", "https://www.indeed.com/viewjob?jk=ce4c34e0e9d0f232")</f>
        <v/>
      </c>
      <c r="F166">
        <f>HYPERLINK("https://www.amazon.jobs/jobs/3104517/applied-scientist-artificial-general-intelligence?cmpid=DA_INAD200785B", "https://www.amazon.jobs/jobs/3104517/applied-scientist-artificial-general-intelligence?cmpid=DA_INAD200785B")</f>
        <v/>
      </c>
      <c r="G166" t="inlineStr">
        <is>
          <t>Seattle, WA, US</t>
        </is>
      </c>
      <c r="H166" s="3" t="n">
        <v>45937</v>
      </c>
      <c r="I16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in-b50089973cd6bcc7</t>
        </is>
      </c>
      <c r="B167" t="inlineStr">
        <is>
          <t>Applied Scientist, Artificial General Intelligence</t>
        </is>
      </c>
      <c r="C167" t="inlineStr">
        <is>
          <t>Amazon.com</t>
        </is>
      </c>
      <c r="D167" t="inlineStr">
        <is>
          <t>indeed</t>
        </is>
      </c>
      <c r="E167">
        <f>HYPERLINK("https://www.indeed.com/viewjob?jk=b50089973cd6bcc7", "https://www.indeed.com/viewjob?jk=b50089973cd6bcc7")</f>
        <v/>
      </c>
      <c r="F167">
        <f>HYPERLINK("https://www.amazon.jobs/jobs/3104517/applied-scientist-artificial-general-intelligence?cmpid=DA_INAD200785B", "https://www.amazon.jobs/jobs/3104517/applied-scientist-artificial-general-intelligence?cmpid=DA_INAD200785B")</f>
        <v/>
      </c>
      <c r="G167" t="inlineStr">
        <is>
          <t>New York, NY, US</t>
        </is>
      </c>
      <c r="H167" s="3" t="n">
        <v>45937</v>
      </c>
      <c r="I16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in-8fd9c41ab76c5260</t>
        </is>
      </c>
      <c r="B168" t="inlineStr">
        <is>
          <t>Applied Scientist, Artificial General Intelligence</t>
        </is>
      </c>
      <c r="C168" t="inlineStr">
        <is>
          <t>Amazon.com</t>
        </is>
      </c>
      <c r="D168" t="inlineStr">
        <is>
          <t>indeed</t>
        </is>
      </c>
      <c r="E168">
        <f>HYPERLINK("https://www.indeed.com/viewjob?jk=8fd9c41ab76c5260", "https://www.indeed.com/viewjob?jk=8fd9c41ab76c5260")</f>
        <v/>
      </c>
      <c r="F168">
        <f>HYPERLINK("https://www.amazon.jobs/jobs/3104517/applied-scientist-artificial-general-intelligence?cmpid=DA_INAD200785B", "https://www.amazon.jobs/jobs/3104517/applied-scientist-artificial-general-intelligence?cmpid=DA_INAD200785B")</f>
        <v/>
      </c>
      <c r="G168" t="inlineStr">
        <is>
          <t>Bellevue, WA, US</t>
        </is>
      </c>
      <c r="H168" s="3" t="n">
        <v>45937</v>
      </c>
      <c r="I16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in-dcc1892b729033a0</t>
        </is>
      </c>
      <c r="B169" t="inlineStr">
        <is>
          <t>Applied Scientist, Artificial General Intelligence</t>
        </is>
      </c>
      <c r="C169" t="inlineStr">
        <is>
          <t>Amazon.com</t>
        </is>
      </c>
      <c r="D169" t="inlineStr">
        <is>
          <t>indeed</t>
        </is>
      </c>
      <c r="E169">
        <f>HYPERLINK("https://www.indeed.com/viewjob?jk=dcc1892b729033a0", "https://www.indeed.com/viewjob?jk=dcc1892b729033a0")</f>
        <v/>
      </c>
      <c r="F169">
        <f>HYPERLINK("https://www.amazon.jobs/jobs/3104517/applied-scientist-artificial-general-intelligence?cmpid=DA_INAD200785B", "https://www.amazon.jobs/jobs/3104517/applied-scientist-artificial-general-intelligence?cmpid=DA_INAD200785B")</f>
        <v/>
      </c>
      <c r="G169" t="inlineStr">
        <is>
          <t>Sunnyvale, CA, US</t>
        </is>
      </c>
      <c r="H169" s="3" t="n">
        <v>45937</v>
      </c>
      <c r="I16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in-789040befbe19fe9</t>
        </is>
      </c>
      <c r="B170" t="inlineStr">
        <is>
          <t>Principal Applied Scientist, Artificial General Intelligence</t>
        </is>
      </c>
      <c r="C170" t="inlineStr">
        <is>
          <t>Amazon.com</t>
        </is>
      </c>
      <c r="D170" t="inlineStr">
        <is>
          <t>indeed</t>
        </is>
      </c>
      <c r="E170">
        <f>HYPERLINK("https://www.indeed.com/viewjob?jk=789040befbe19fe9", "https://www.indeed.com/viewjob?jk=789040befbe19fe9")</f>
        <v/>
      </c>
      <c r="F170">
        <f>HYPERLINK("https://www.amazon.jobs/jobs/3092462/principal-applied-scientist-artificial-general-intelligence?cmpid=DA_INAD200785B", "https://www.amazon.jobs/jobs/3092462/principal-applied-scientist-artificial-general-intelligence?cmpid=DA_INAD200785B")</f>
        <v/>
      </c>
      <c r="G170" t="inlineStr">
        <is>
          <t>Sunnyvale, CA, US</t>
        </is>
      </c>
      <c r="H170" s="3" t="n">
        <v>45923</v>
      </c>
      <c r="I17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in-f6b4b143fd1c840c</t>
        </is>
      </c>
      <c r="B171" t="inlineStr">
        <is>
          <t>Principal Applied Scientist, Artificial General Intelligence</t>
        </is>
      </c>
      <c r="C171" t="inlineStr">
        <is>
          <t>Amazon.com</t>
        </is>
      </c>
      <c r="D171" t="inlineStr">
        <is>
          <t>indeed</t>
        </is>
      </c>
      <c r="E171">
        <f>HYPERLINK("https://www.indeed.com/viewjob?jk=f6b4b143fd1c840c", "https://www.indeed.com/viewjob?jk=f6b4b143fd1c840c")</f>
        <v/>
      </c>
      <c r="F171">
        <f>HYPERLINK("https://www.amazon.jobs/jobs/3092462/principal-applied-scientist-artificial-general-intelligence?cmpid=DA_INAD200785B", "https://www.amazon.jobs/jobs/3092462/principal-applied-scientist-artificial-general-intelligence?cmpid=DA_INAD200785B")</f>
        <v/>
      </c>
      <c r="G171" t="inlineStr">
        <is>
          <t>Boston, MA, US</t>
        </is>
      </c>
      <c r="H171" s="3" t="n">
        <v>45923</v>
      </c>
      <c r="I17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in-606f866b8ac2b0db</t>
        </is>
      </c>
      <c r="B172" t="inlineStr">
        <is>
          <t>Principal Applied Scientist, Artificial General Intelligence</t>
        </is>
      </c>
      <c r="C172" t="inlineStr">
        <is>
          <t>Amazon.com</t>
        </is>
      </c>
      <c r="D172" t="inlineStr">
        <is>
          <t>indeed</t>
        </is>
      </c>
      <c r="E172">
        <f>HYPERLINK("https://www.indeed.com/viewjob?jk=606f866b8ac2b0db", "https://www.indeed.com/viewjob?jk=606f866b8ac2b0db")</f>
        <v/>
      </c>
      <c r="F172">
        <f>HYPERLINK("https://www.amazon.jobs/jobs/3092462/principal-applied-scientist-artificial-general-intelligence?cmpid=DA_INAD200785B", "https://www.amazon.jobs/jobs/3092462/principal-applied-scientist-artificial-general-intelligence?cmpid=DA_INAD200785B")</f>
        <v/>
      </c>
      <c r="G172" t="inlineStr">
        <is>
          <t>New York, NY, US</t>
        </is>
      </c>
      <c r="H172" s="3" t="n">
        <v>45923</v>
      </c>
      <c r="I17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in-d947394ff1ad8698</t>
        </is>
      </c>
      <c r="B173" t="inlineStr">
        <is>
          <t>Principal Applied Scientist, Artificial General Intelligence</t>
        </is>
      </c>
      <c r="C173" t="inlineStr">
        <is>
          <t>Amazon.com</t>
        </is>
      </c>
      <c r="D173" t="inlineStr">
        <is>
          <t>indeed</t>
        </is>
      </c>
      <c r="E173">
        <f>HYPERLINK("https://www.indeed.com/viewjob?jk=d947394ff1ad8698", "https://www.indeed.com/viewjob?jk=d947394ff1ad8698")</f>
        <v/>
      </c>
      <c r="F173">
        <f>HYPERLINK("https://www.amazon.jobs/jobs/3092462/principal-applied-scientist-artificial-general-intelligence?cmpid=DA_INAD200785B", "https://www.amazon.jobs/jobs/3092462/principal-applied-scientist-artificial-general-intelligence?cmpid=DA_INAD200785B")</f>
        <v/>
      </c>
      <c r="G173" t="inlineStr">
        <is>
          <t>Bellevue, WA, US</t>
        </is>
      </c>
      <c r="H173" s="3" t="n">
        <v>45923</v>
      </c>
      <c r="I17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in-4e90878bb04fedaa</t>
        </is>
      </c>
      <c r="B174" t="inlineStr">
        <is>
          <t>Senior Applied Scientist, Artificial General Intelligence</t>
        </is>
      </c>
      <c r="C174" t="inlineStr">
        <is>
          <t>Amazon.com</t>
        </is>
      </c>
      <c r="D174" t="inlineStr">
        <is>
          <t>indeed</t>
        </is>
      </c>
      <c r="E174">
        <f>HYPERLINK("https://www.indeed.com/viewjob?jk=4e90878bb04fedaa", "https://www.indeed.com/viewjob?jk=4e90878bb04fedaa")</f>
        <v/>
      </c>
      <c r="F174">
        <f>HYPERLINK("https://www.amazon.jobs/jobs/3091494/senior-applied-scientist-artificial-general-intelligence?cmpid=DA_INAD200785B", "https://www.amazon.jobs/jobs/3091494/senior-applied-scientist-artificial-general-intelligence?cmpid=DA_INAD200785B")</f>
        <v/>
      </c>
      <c r="G174" t="inlineStr">
        <is>
          <t>Seattle, WA, US</t>
        </is>
      </c>
      <c r="H174" s="3" t="n">
        <v>45922</v>
      </c>
      <c r="I17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in-b07771b93cdb3425</t>
        </is>
      </c>
      <c r="B175" t="inlineStr">
        <is>
          <t>Senior Applied Scientist, Artificial General Intelligence</t>
        </is>
      </c>
      <c r="C175" t="inlineStr">
        <is>
          <t>Amazon.com</t>
        </is>
      </c>
      <c r="D175" t="inlineStr">
        <is>
          <t>indeed</t>
        </is>
      </c>
      <c r="E175">
        <f>HYPERLINK("https://www.indeed.com/viewjob?jk=b07771b93cdb3425", "https://www.indeed.com/viewjob?jk=b07771b93cdb3425")</f>
        <v/>
      </c>
      <c r="F175">
        <f>HYPERLINK("https://www.amazon.jobs/jobs/3091494/senior-applied-scientist-artificial-general-intelligence?cmpid=DA_INAD200785B", "https://www.amazon.jobs/jobs/3091494/senior-applied-scientist-artificial-general-intelligence?cmpid=DA_INAD200785B")</f>
        <v/>
      </c>
      <c r="G175" t="inlineStr">
        <is>
          <t>Boston, MA, US</t>
        </is>
      </c>
      <c r="H175" s="3" t="n">
        <v>45922</v>
      </c>
      <c r="I17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in-8dda255c4611b124</t>
        </is>
      </c>
      <c r="B176" t="inlineStr">
        <is>
          <t>Senior Applied Scientist, Artificial General Intelligence</t>
        </is>
      </c>
      <c r="C176" t="inlineStr">
        <is>
          <t>Amazon.com</t>
        </is>
      </c>
      <c r="D176" t="inlineStr">
        <is>
          <t>indeed</t>
        </is>
      </c>
      <c r="E176">
        <f>HYPERLINK("https://www.indeed.com/viewjob?jk=8dda255c4611b124", "https://www.indeed.com/viewjob?jk=8dda255c4611b124")</f>
        <v/>
      </c>
      <c r="F176">
        <f>HYPERLINK("https://www.amazon.jobs/jobs/3091494/senior-applied-scientist-artificial-general-intelligence?cmpid=DA_INAD200785B", "https://www.amazon.jobs/jobs/3091494/senior-applied-scientist-artificial-general-intelligence?cmpid=DA_INAD200785B")</f>
        <v/>
      </c>
      <c r="G176" t="inlineStr">
        <is>
          <t>Sunnyvale, CA, US</t>
        </is>
      </c>
      <c r="H176" s="3" t="n">
        <v>45922</v>
      </c>
      <c r="I17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in-93bba238c322d3f8</t>
        </is>
      </c>
      <c r="B177" t="inlineStr">
        <is>
          <t>Applied Scientist, Artificial General Intelligence</t>
        </is>
      </c>
      <c r="C177" t="inlineStr">
        <is>
          <t>Amazon.com</t>
        </is>
      </c>
      <c r="D177" t="inlineStr">
        <is>
          <t>indeed</t>
        </is>
      </c>
      <c r="E177">
        <f>HYPERLINK("https://www.indeed.com/viewjob?jk=93bba238c322d3f8", "https://www.indeed.com/viewjob?jk=93bba238c322d3f8")</f>
        <v/>
      </c>
      <c r="F177">
        <f>HYPERLINK("https://www.amazon.jobs/jobs/3090846/applied-scientist-artificial-general-intelligence?cmpid=DA_INAD200785B", "https://www.amazon.jobs/jobs/3090846/applied-scientist-artificial-general-intelligence?cmpid=DA_INAD200785B")</f>
        <v/>
      </c>
      <c r="G177" t="inlineStr">
        <is>
          <t>New York, NY, US</t>
        </is>
      </c>
      <c r="H177" s="3" t="n">
        <v>45921</v>
      </c>
      <c r="I17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in-9fd34920a7997faf</t>
        </is>
      </c>
      <c r="B178" t="inlineStr">
        <is>
          <t>Applied Scientist, Artificial General Intelligence</t>
        </is>
      </c>
      <c r="C178" t="inlineStr">
        <is>
          <t>Amazon.com</t>
        </is>
      </c>
      <c r="D178" t="inlineStr">
        <is>
          <t>indeed</t>
        </is>
      </c>
      <c r="E178">
        <f>HYPERLINK("https://www.indeed.com/viewjob?jk=9fd34920a7997faf", "https://www.indeed.com/viewjob?jk=9fd34920a7997faf")</f>
        <v/>
      </c>
      <c r="F178">
        <f>HYPERLINK("https://www.amazon.jobs/jobs/3090846/applied-scientist-artificial-general-intelligence?cmpid=DA_INAD200785B", "https://www.amazon.jobs/jobs/3090846/applied-scientist-artificial-general-intelligence?cmpid=DA_INAD200785B")</f>
        <v/>
      </c>
      <c r="G178" t="inlineStr">
        <is>
          <t>Bellevue, WA, US</t>
        </is>
      </c>
      <c r="H178" s="3" t="n">
        <v>45921</v>
      </c>
      <c r="I17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in-2ae1febc241e0a5e</t>
        </is>
      </c>
      <c r="B179" t="inlineStr">
        <is>
          <t>Applied Scientist, Artificial General Intelligence</t>
        </is>
      </c>
      <c r="C179" t="inlineStr">
        <is>
          <t>Amazon.com</t>
        </is>
      </c>
      <c r="D179" t="inlineStr">
        <is>
          <t>indeed</t>
        </is>
      </c>
      <c r="E179">
        <f>HYPERLINK("https://www.indeed.com/viewjob?jk=2ae1febc241e0a5e", "https://www.indeed.com/viewjob?jk=2ae1febc241e0a5e")</f>
        <v/>
      </c>
      <c r="F179">
        <f>HYPERLINK("https://www.amazon.jobs/jobs/3090846/applied-scientist-artificial-general-intelligence?cmpid=DA_INAD200785B", "https://www.amazon.jobs/jobs/3090846/applied-scientist-artificial-general-intelligence?cmpid=DA_INAD200785B")</f>
        <v/>
      </c>
      <c r="G179" t="inlineStr">
        <is>
          <t>Boston, MA, US</t>
        </is>
      </c>
      <c r="H179" s="3" t="n">
        <v>45921</v>
      </c>
      <c r="I17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in-17c394c07ba2e3ed</t>
        </is>
      </c>
      <c r="B180" t="inlineStr">
        <is>
          <t>Applied Scientist, Artificial General Intelligence</t>
        </is>
      </c>
      <c r="C180" t="inlineStr">
        <is>
          <t>Amazon.com</t>
        </is>
      </c>
      <c r="D180" t="inlineStr">
        <is>
          <t>indeed</t>
        </is>
      </c>
      <c r="E180">
        <f>HYPERLINK("https://www.indeed.com/viewjob?jk=17c394c07ba2e3ed", "https://www.indeed.com/viewjob?jk=17c394c07ba2e3ed")</f>
        <v/>
      </c>
      <c r="F180">
        <f>HYPERLINK("https://www.amazon.jobs/jobs/3090846/applied-scientist-artificial-general-intelligence?cmpid=DA_INAD200785B", "https://www.amazon.jobs/jobs/3090846/applied-scientist-artificial-general-intelligence?cmpid=DA_INAD200785B")</f>
        <v/>
      </c>
      <c r="G180" t="inlineStr">
        <is>
          <t>Seattle, WA, US</t>
        </is>
      </c>
      <c r="H180" s="3" t="n">
        <v>45921</v>
      </c>
      <c r="I18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in-a90047850964aaa6</t>
        </is>
      </c>
      <c r="B181" t="inlineStr">
        <is>
          <t>Senior Applied Scientist, Model Customization, Generative AI Innovation Center</t>
        </is>
      </c>
      <c r="C181" t="inlineStr">
        <is>
          <t>Amazon Web Services</t>
        </is>
      </c>
      <c r="D181" t="inlineStr">
        <is>
          <t>indeed</t>
        </is>
      </c>
      <c r="E181">
        <f>HYPERLINK("https://www.indeed.com/viewjob?jk=a90047850964aaa6", "https://www.indeed.com/viewjob?jk=a90047850964aaa6")</f>
        <v/>
      </c>
      <c r="F181">
        <f>HYPERLINK("https://www.amazon.jobs/jobs/3088254/senior-applied-scientist-model-customization-generative-ai-innovation-center?cmpid=DA_INAD200785B", "https://www.amazon.jobs/jobs/3088254/senior-applied-scientist-model-customization-generative-ai-innovation-center?cmpid=DA_INAD200785B")</f>
        <v/>
      </c>
      <c r="G181" t="inlineStr">
        <is>
          <t>Bellevue, WA, US</t>
        </is>
      </c>
      <c r="H181" s="3" t="n">
        <v>45908</v>
      </c>
      <c r="I18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in-93d5bda225b2b0c9</t>
        </is>
      </c>
      <c r="B182" t="inlineStr">
        <is>
          <t>Senior Applied Scientist, Model Customization, Generative AI Innovation Center</t>
        </is>
      </c>
      <c r="C182" t="inlineStr">
        <is>
          <t>Amazon Web Services</t>
        </is>
      </c>
      <c r="D182" t="inlineStr">
        <is>
          <t>indeed</t>
        </is>
      </c>
      <c r="E182">
        <f>HYPERLINK("https://www.indeed.com/viewjob?jk=93d5bda225b2b0c9", "https://www.indeed.com/viewjob?jk=93d5bda225b2b0c9")</f>
        <v/>
      </c>
      <c r="F182">
        <f>HYPERLINK("https://www.amazon.jobs/jobs/3088254/senior-applied-scientist-model-customization-generative-ai-innovation-center?cmpid=DA_INAD200785B", "https://www.amazon.jobs/jobs/3088254/senior-applied-scientist-model-customization-generative-ai-innovation-center?cmpid=DA_INAD200785B")</f>
        <v/>
      </c>
      <c r="G182" t="inlineStr">
        <is>
          <t>New York, NY, US</t>
        </is>
      </c>
      <c r="H182" s="3" t="n">
        <v>45908</v>
      </c>
      <c r="I18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in-399558729626cba4</t>
        </is>
      </c>
      <c r="B183" t="inlineStr">
        <is>
          <t>Senior Applied Scientist, Model Customization, Generative AI Innovation Center</t>
        </is>
      </c>
      <c r="C183" t="inlineStr">
        <is>
          <t>Amazon Web Services</t>
        </is>
      </c>
      <c r="D183" t="inlineStr">
        <is>
          <t>indeed</t>
        </is>
      </c>
      <c r="E183">
        <f>HYPERLINK("https://www.indeed.com/viewjob?jk=399558729626cba4", "https://www.indeed.com/viewjob?jk=399558729626cba4")</f>
        <v/>
      </c>
      <c r="F183">
        <f>HYPERLINK("https://www.amazon.jobs/jobs/3088254/senior-applied-scientist-model-customization-generative-ai-innovation-center?cmpid=DA_INAD200785B", "https://www.amazon.jobs/jobs/3088254/senior-applied-scientist-model-customization-generative-ai-innovation-center?cmpid=DA_INAD200785B")</f>
        <v/>
      </c>
      <c r="G183" t="inlineStr">
        <is>
          <t>Seattle, WA, US</t>
        </is>
      </c>
      <c r="H183" s="3" t="n">
        <v>45908</v>
      </c>
      <c r="I18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in-202ec812caa5aa2a</t>
        </is>
      </c>
      <c r="B184" t="inlineStr">
        <is>
          <t>Senior Applied Scientist, Model Customization, Generative AI Innovation Center</t>
        </is>
      </c>
      <c r="C184" t="inlineStr">
        <is>
          <t>Amazon Web Services</t>
        </is>
      </c>
      <c r="D184" t="inlineStr">
        <is>
          <t>indeed</t>
        </is>
      </c>
      <c r="E184">
        <f>HYPERLINK("https://www.indeed.com/viewjob?jk=202ec812caa5aa2a", "https://www.indeed.com/viewjob?jk=202ec812caa5aa2a")</f>
        <v/>
      </c>
      <c r="F184">
        <f>HYPERLINK("https://www.amazon.jobs/jobs/3088254/senior-applied-scientist-model-customization-generative-ai-innovation-center?cmpid=DA_INAD200785B", "https://www.amazon.jobs/jobs/3088254/senior-applied-scientist-model-customization-generative-ai-innovation-center?cmpid=DA_INAD200785B")</f>
        <v/>
      </c>
      <c r="G184" t="inlineStr">
        <is>
          <t>Arlington, VA, US</t>
        </is>
      </c>
      <c r="H184" s="3" t="n">
        <v>45908</v>
      </c>
      <c r="I18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in-5f0bcf066ed3a723</t>
        </is>
      </c>
      <c r="B185" t="inlineStr">
        <is>
          <t>Applied Scientist II, Creative X - RAPID</t>
        </is>
      </c>
      <c r="C185" t="inlineStr">
        <is>
          <t>Amazon.com</t>
        </is>
      </c>
      <c r="D185" t="inlineStr">
        <is>
          <t>indeed</t>
        </is>
      </c>
      <c r="E185">
        <f>HYPERLINK("https://www.indeed.com/viewjob?jk=5f0bcf066ed3a723", "https://www.indeed.com/viewjob?jk=5f0bcf066ed3a723")</f>
        <v/>
      </c>
      <c r="F185">
        <f>HYPERLINK("https://www.amazon.jobs/jobs/3083576/applied-scientist-ii-creative-x--rapid?cmpid=DA_INAD200785B", "https://www.amazon.jobs/jobs/3083576/applied-scientist-ii-creative-x--rapid?cmpid=DA_INAD200785B")</f>
        <v/>
      </c>
      <c r="G185" t="inlineStr">
        <is>
          <t>New York, NY, US</t>
        </is>
      </c>
      <c r="H185" s="3" t="n">
        <v>45908</v>
      </c>
      <c r="I185"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in-e5ba165f3d148b13</t>
        </is>
      </c>
      <c r="B186" t="inlineStr">
        <is>
          <t>Applied Scientist II, Creative X - RAPID</t>
        </is>
      </c>
      <c r="C186" t="inlineStr">
        <is>
          <t>Amazon.com</t>
        </is>
      </c>
      <c r="D186" t="inlineStr">
        <is>
          <t>indeed</t>
        </is>
      </c>
      <c r="E186">
        <f>HYPERLINK("https://www.indeed.com/viewjob?jk=e5ba165f3d148b13", "https://www.indeed.com/viewjob?jk=e5ba165f3d148b13")</f>
        <v/>
      </c>
      <c r="F186">
        <f>HYPERLINK("https://www.amazon.jobs/jobs/3083576/applied-scientist-ii-creative-x--rapid?cmpid=DA_INAD200785B", "https://www.amazon.jobs/jobs/3083576/applied-scientist-ii-creative-x--rapid?cmpid=DA_INAD200785B")</f>
        <v/>
      </c>
      <c r="G186" t="inlineStr">
        <is>
          <t>Seattle, WA, US</t>
        </is>
      </c>
      <c r="H186" s="3" t="n">
        <v>45908</v>
      </c>
      <c r="I186"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in-7c7cb43e11b95ac8</t>
        </is>
      </c>
      <c r="B187" t="inlineStr">
        <is>
          <t>Senior Applied Scientist, Artificial General Intelligence</t>
        </is>
      </c>
      <c r="C187" t="inlineStr">
        <is>
          <t>Amazon.com</t>
        </is>
      </c>
      <c r="D187" t="inlineStr">
        <is>
          <t>indeed</t>
        </is>
      </c>
      <c r="E187">
        <f>HYPERLINK("https://www.indeed.com/viewjob?jk=7c7cb43e11b95ac8", "https://www.indeed.com/viewjob?jk=7c7cb43e11b95ac8")</f>
        <v/>
      </c>
      <c r="F187">
        <f>HYPERLINK("https://www.amazon.jobs/jobs/3078169/senior-applied-scientist-artificial-general-intelligence?cmpid=DA_INAD200785B", "https://www.amazon.jobs/jobs/3078169/senior-applied-scientist-artificial-general-intelligence?cmpid=DA_INAD200785B")</f>
        <v/>
      </c>
      <c r="G187" t="inlineStr">
        <is>
          <t>New York, NY, US</t>
        </is>
      </c>
      <c r="H187" s="3" t="n">
        <v>45907</v>
      </c>
      <c r="I18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in-b972e4aad7e87eac</t>
        </is>
      </c>
      <c r="B188" t="inlineStr">
        <is>
          <t>Senior Applied Scientist, Artificial General Intelligence</t>
        </is>
      </c>
      <c r="C188" t="inlineStr">
        <is>
          <t>Amazon.com</t>
        </is>
      </c>
      <c r="D188" t="inlineStr">
        <is>
          <t>indeed</t>
        </is>
      </c>
      <c r="E188">
        <f>HYPERLINK("https://www.indeed.com/viewjob?jk=b972e4aad7e87eac", "https://www.indeed.com/viewjob?jk=b972e4aad7e87eac")</f>
        <v/>
      </c>
      <c r="F188">
        <f>HYPERLINK("https://www.amazon.jobs/jobs/3078169/senior-applied-scientist-artificial-general-intelligence?cmpid=DA_INAD200785B", "https://www.amazon.jobs/jobs/3078169/senior-applied-scientist-artificial-general-intelligence?cmpid=DA_INAD200785B")</f>
        <v/>
      </c>
      <c r="G188" t="inlineStr">
        <is>
          <t>Bellevue, WA, US</t>
        </is>
      </c>
      <c r="H188" s="3" t="n">
        <v>45907</v>
      </c>
      <c r="I18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in-a7baf5bde08ff8b4</t>
        </is>
      </c>
      <c r="B189" t="inlineStr">
        <is>
          <t>Senior Applied Scientist, Artificial General Intelligence</t>
        </is>
      </c>
      <c r="C189" t="inlineStr">
        <is>
          <t>Amazon.com</t>
        </is>
      </c>
      <c r="D189" t="inlineStr">
        <is>
          <t>indeed</t>
        </is>
      </c>
      <c r="E189">
        <f>HYPERLINK("https://www.indeed.com/viewjob?jk=a7baf5bde08ff8b4", "https://www.indeed.com/viewjob?jk=a7baf5bde08ff8b4")</f>
        <v/>
      </c>
      <c r="F189">
        <f>HYPERLINK("https://www.amazon.jobs/jobs/3078169/senior-applied-scientist-artificial-general-intelligence?cmpid=DA_INAD200785B", "https://www.amazon.jobs/jobs/3078169/senior-applied-scientist-artificial-general-intelligence?cmpid=DA_INAD200785B")</f>
        <v/>
      </c>
      <c r="G189" t="inlineStr">
        <is>
          <t>Seattle, WA, US</t>
        </is>
      </c>
      <c r="H189" s="3" t="n">
        <v>45907</v>
      </c>
      <c r="I18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in-36c1dffa00a3f62f</t>
        </is>
      </c>
      <c r="B190" t="inlineStr">
        <is>
          <t>Senior Applied Scientist, Artificial General Intelligence</t>
        </is>
      </c>
      <c r="C190" t="inlineStr">
        <is>
          <t>Amazon.com</t>
        </is>
      </c>
      <c r="D190" t="inlineStr">
        <is>
          <t>indeed</t>
        </is>
      </c>
      <c r="E190">
        <f>HYPERLINK("https://www.indeed.com/viewjob?jk=36c1dffa00a3f62f", "https://www.indeed.com/viewjob?jk=36c1dffa00a3f62f")</f>
        <v/>
      </c>
      <c r="F190">
        <f>HYPERLINK("https://www.amazon.jobs/jobs/3078169/senior-applied-scientist-artificial-general-intelligence?cmpid=DA_INAD200785B", "https://www.amazon.jobs/jobs/3078169/senior-applied-scientist-artificial-general-intelligence?cmpid=DA_INAD200785B")</f>
        <v/>
      </c>
      <c r="G190" t="inlineStr">
        <is>
          <t>Sunnyvale, CA, US</t>
        </is>
      </c>
      <c r="H190" s="3" t="n">
        <v>45907</v>
      </c>
      <c r="I19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in-d9f7801abecbddcf</t>
        </is>
      </c>
      <c r="B191" t="inlineStr">
        <is>
          <t>Senior Data Scientist, Data and Machine Learning, WWPS US Federal</t>
        </is>
      </c>
      <c r="C191" t="inlineStr">
        <is>
          <t>Amazon Web Services</t>
        </is>
      </c>
      <c r="D191" t="inlineStr">
        <is>
          <t>indeed</t>
        </is>
      </c>
      <c r="E191">
        <f>HYPERLINK("https://www.indeed.com/viewjob?jk=d9f7801abecbddcf", "https://www.indeed.com/viewjob?jk=d9f7801abecbddcf")</f>
        <v/>
      </c>
      <c r="F191">
        <f>HYPERLINK("https://www.amazon.jobs/jobs/3054883/senior-data-scientist-data-and-machine-learning-wwps-us-federal?cmpid=DA_INAD200785B", "https://www.amazon.jobs/jobs/3054883/senior-data-scientist-data-and-machine-learning-wwps-us-federal?cmpid=DA_INAD200785B")</f>
        <v/>
      </c>
      <c r="G191" t="inlineStr">
        <is>
          <t>Herndon, VA, US</t>
        </is>
      </c>
      <c r="H191" s="3" t="n">
        <v>45872</v>
      </c>
      <c r="I19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in-11b59cea6137030d</t>
        </is>
      </c>
      <c r="B192" t="inlineStr">
        <is>
          <t>Senior Data Scientist, Data and Machine Learning, WWPS US Federal</t>
        </is>
      </c>
      <c r="C192" t="inlineStr">
        <is>
          <t>Amazon Web Services</t>
        </is>
      </c>
      <c r="D192" t="inlineStr">
        <is>
          <t>indeed</t>
        </is>
      </c>
      <c r="E192">
        <f>HYPERLINK("https://www.indeed.com/viewjob?jk=11b59cea6137030d", "https://www.indeed.com/viewjob?jk=11b59cea6137030d")</f>
        <v/>
      </c>
      <c r="F192">
        <f>HYPERLINK("https://www.amazon.jobs/jobs/3054883/senior-data-scientist-data-and-machine-learning-wwps-us-federal?cmpid=DA_INAD200785B", "https://www.amazon.jobs/jobs/3054883/senior-data-scientist-data-and-machine-learning-wwps-us-federal?cmpid=DA_INAD200785B")</f>
        <v/>
      </c>
      <c r="G192" t="inlineStr">
        <is>
          <t>Jessup, MD, US</t>
        </is>
      </c>
      <c r="H192" s="3" t="n">
        <v>45872</v>
      </c>
      <c r="I19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in-56f405f3f2e7f520</t>
        </is>
      </c>
      <c r="B193" t="inlineStr">
        <is>
          <t>Senior Data Scientist, Data and Machine Learning, WWPS US Federal</t>
        </is>
      </c>
      <c r="C193" t="inlineStr">
        <is>
          <t>Amazon Web Services</t>
        </is>
      </c>
      <c r="D193" t="inlineStr">
        <is>
          <t>indeed</t>
        </is>
      </c>
      <c r="E193">
        <f>HYPERLINK("https://www.indeed.com/viewjob?jk=56f405f3f2e7f520", "https://www.indeed.com/viewjob?jk=56f405f3f2e7f520")</f>
        <v/>
      </c>
      <c r="F193">
        <f>HYPERLINK("https://www.amazon.jobs/jobs/3054883/senior-data-scientist-data-and-machine-learning-wwps-us-federal?cmpid=DA_INAD200785B", "https://www.amazon.jobs/jobs/3054883/senior-data-scientist-data-and-machine-learning-wwps-us-federal?cmpid=DA_INAD200785B")</f>
        <v/>
      </c>
      <c r="G193" t="inlineStr">
        <is>
          <t>Arlington, VA, US</t>
        </is>
      </c>
      <c r="H193" s="3" t="n">
        <v>45872</v>
      </c>
      <c r="I19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in-e632d0b25dd13a29</t>
        </is>
      </c>
      <c r="B194" t="inlineStr">
        <is>
          <t>Principal Applied Scientist, AGI Foundations, AGI Foundations</t>
        </is>
      </c>
      <c r="C194" t="inlineStr">
        <is>
          <t>Amazon.com</t>
        </is>
      </c>
      <c r="D194" t="inlineStr">
        <is>
          <t>indeed</t>
        </is>
      </c>
      <c r="E194">
        <f>HYPERLINK("https://www.indeed.com/viewjob?jk=e632d0b25dd13a29", "https://www.indeed.com/viewjob?jk=e632d0b25dd13a29")</f>
        <v/>
      </c>
      <c r="F194">
        <f>HYPERLINK("https://www.amazon.jobs/jobs/3047563/principal-applied-scientist-agi-foundations-agi-foundations?cmpid=DA_INAD200785B", "https://www.amazon.jobs/jobs/3047563/principal-applied-scientist-agi-foundations-agi-foundations?cmpid=DA_INAD200785B")</f>
        <v/>
      </c>
      <c r="G194" t="inlineStr">
        <is>
          <t>New York, NY, US</t>
        </is>
      </c>
      <c r="H194" s="3" t="n">
        <v>45856</v>
      </c>
      <c r="I19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in-0f8ccbc0eb7c59fe</t>
        </is>
      </c>
      <c r="B195" t="inlineStr">
        <is>
          <t>Principal Applied Scientist, AGI Foundations, AGI Foundations</t>
        </is>
      </c>
      <c r="C195" t="inlineStr">
        <is>
          <t>Amazon.com</t>
        </is>
      </c>
      <c r="D195" t="inlineStr">
        <is>
          <t>indeed</t>
        </is>
      </c>
      <c r="E195">
        <f>HYPERLINK("https://www.indeed.com/viewjob?jk=0f8ccbc0eb7c59fe", "https://www.indeed.com/viewjob?jk=0f8ccbc0eb7c59fe")</f>
        <v/>
      </c>
      <c r="F195">
        <f>HYPERLINK("https://www.amazon.jobs/jobs/3047563/principal-applied-scientist-agi-foundations-agi-foundations?cmpid=DA_INAD200785B", "https://www.amazon.jobs/jobs/3047563/principal-applied-scientist-agi-foundations-agi-foundations?cmpid=DA_INAD200785B")</f>
        <v/>
      </c>
      <c r="G195" t="inlineStr">
        <is>
          <t>Bellevue, WA, US</t>
        </is>
      </c>
      <c r="H195" s="3" t="n">
        <v>45856</v>
      </c>
      <c r="I19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in-52fd3e1b0e801ab0</t>
        </is>
      </c>
      <c r="B196" t="inlineStr">
        <is>
          <t>Principal Applied Scientist, AGI Foundations, AGI Foundations</t>
        </is>
      </c>
      <c r="C196" t="inlineStr">
        <is>
          <t>Amazon.com</t>
        </is>
      </c>
      <c r="D196" t="inlineStr">
        <is>
          <t>indeed</t>
        </is>
      </c>
      <c r="E196">
        <f>HYPERLINK("https://www.indeed.com/viewjob?jk=52fd3e1b0e801ab0", "https://www.indeed.com/viewjob?jk=52fd3e1b0e801ab0")</f>
        <v/>
      </c>
      <c r="F196">
        <f>HYPERLINK("https://www.amazon.jobs/jobs/3047563/principal-applied-scientist-agi-foundations-agi-foundations?cmpid=DA_INAD200785B", "https://www.amazon.jobs/jobs/3047563/principal-applied-scientist-agi-foundations-agi-foundations?cmpid=DA_INAD200785B")</f>
        <v/>
      </c>
      <c r="G196" t="inlineStr">
        <is>
          <t>Sunnyvale, CA, US</t>
        </is>
      </c>
      <c r="H196" s="3" t="n">
        <v>45856</v>
      </c>
      <c r="I19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in-27949670ca1e6730</t>
        </is>
      </c>
      <c r="B197" t="inlineStr">
        <is>
          <t>Principal Applied Scientist, AGI Foundations, AGI Foundations</t>
        </is>
      </c>
      <c r="C197" t="inlineStr">
        <is>
          <t>Amazon.com</t>
        </is>
      </c>
      <c r="D197" t="inlineStr">
        <is>
          <t>indeed</t>
        </is>
      </c>
      <c r="E197">
        <f>HYPERLINK("https://www.indeed.com/viewjob?jk=27949670ca1e6730", "https://www.indeed.com/viewjob?jk=27949670ca1e6730")</f>
        <v/>
      </c>
      <c r="F197">
        <f>HYPERLINK("https://www.amazon.jobs/jobs/3047563/principal-applied-scientist-agi-foundations-agi-foundations?cmpid=DA_INAD200785B", "https://www.amazon.jobs/jobs/3047563/principal-applied-scientist-agi-foundations-agi-foundations?cmpid=DA_INAD200785B")</f>
        <v/>
      </c>
      <c r="G197" t="inlineStr">
        <is>
          <t>Boston, MA, US</t>
        </is>
      </c>
      <c r="H197" s="3" t="n">
        <v>45856</v>
      </c>
      <c r="I19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in-11f407ba80d2caef</t>
        </is>
      </c>
      <c r="B198" t="inlineStr">
        <is>
          <t>Sr. Applied Scientist, Amazon Advertising</t>
        </is>
      </c>
      <c r="C198" t="inlineStr">
        <is>
          <t>Amazon.com</t>
        </is>
      </c>
      <c r="D198" t="inlineStr">
        <is>
          <t>indeed</t>
        </is>
      </c>
      <c r="E198">
        <f>HYPERLINK("https://www.indeed.com/viewjob?jk=11f407ba80d2caef", "https://www.indeed.com/viewjob?jk=11f407ba80d2caef")</f>
        <v/>
      </c>
      <c r="F198">
        <f>HYPERLINK("https://www.amazon.jobs/jobs/3035686/sr-applied-scientist-amazon-advertising?cmpid=DA_INAD200785B", "https://www.amazon.jobs/jobs/3035686/sr-applied-scientist-amazon-advertising?cmpid=DA_INAD200785B")</f>
        <v/>
      </c>
      <c r="G198" t="inlineStr">
        <is>
          <t>Palo Alto, CA, US</t>
        </is>
      </c>
      <c r="H198" s="3" t="n">
        <v>45851</v>
      </c>
      <c r="I1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in-b498368ed41a859f</t>
        </is>
      </c>
      <c r="B199" t="inlineStr">
        <is>
          <t>Sr. Applied Scientist, Amazon Advertising</t>
        </is>
      </c>
      <c r="C199" t="inlineStr">
        <is>
          <t>Amazon.com</t>
        </is>
      </c>
      <c r="D199" t="inlineStr">
        <is>
          <t>indeed</t>
        </is>
      </c>
      <c r="E199">
        <f>HYPERLINK("https://www.indeed.com/viewjob?jk=b498368ed41a859f", "https://www.indeed.com/viewjob?jk=b498368ed41a859f")</f>
        <v/>
      </c>
      <c r="F199">
        <f>HYPERLINK("https://www.amazon.jobs/jobs/3035686/sr-applied-scientist-amazon-advertising?cmpid=DA_INAD200785B", "https://www.amazon.jobs/jobs/3035686/sr-applied-scientist-amazon-advertising?cmpid=DA_INAD200785B")</f>
        <v/>
      </c>
      <c r="G199" t="inlineStr">
        <is>
          <t>Los Angeles, CA, US</t>
        </is>
      </c>
      <c r="H199" s="3" t="n">
        <v>45851</v>
      </c>
      <c r="I1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in-9138702aed17c519</t>
        </is>
      </c>
      <c r="B200" t="inlineStr">
        <is>
          <t>Sr. Applied Scientist, Amazon Advertising</t>
        </is>
      </c>
      <c r="C200" t="inlineStr">
        <is>
          <t>Amazon.com</t>
        </is>
      </c>
      <c r="D200" t="inlineStr">
        <is>
          <t>indeed</t>
        </is>
      </c>
      <c r="E200">
        <f>HYPERLINK("https://www.indeed.com/viewjob?jk=9138702aed17c519", "https://www.indeed.com/viewjob?jk=9138702aed17c519")</f>
        <v/>
      </c>
      <c r="F200">
        <f>HYPERLINK("https://www.amazon.jobs/jobs/3035686/sr-applied-scientist-amazon-advertising?cmpid=DA_INAD200785B", "https://www.amazon.jobs/jobs/3035686/sr-applied-scientist-amazon-advertising?cmpid=DA_INAD200785B")</f>
        <v/>
      </c>
      <c r="G200" t="inlineStr">
        <is>
          <t>Arlington, VA, US</t>
        </is>
      </c>
      <c r="H200" s="3" t="n">
        <v>45851</v>
      </c>
      <c r="I2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in-8f7b9ba1c1c18b1b</t>
        </is>
      </c>
      <c r="B201" t="inlineStr">
        <is>
          <t>Sr. Applied Scientist, Amazon Advertising</t>
        </is>
      </c>
      <c r="C201" t="inlineStr">
        <is>
          <t>Amazon.com</t>
        </is>
      </c>
      <c r="D201" t="inlineStr">
        <is>
          <t>indeed</t>
        </is>
      </c>
      <c r="E201">
        <f>HYPERLINK("https://www.indeed.com/viewjob?jk=8f7b9ba1c1c18b1b", "https://www.indeed.com/viewjob?jk=8f7b9ba1c1c18b1b")</f>
        <v/>
      </c>
      <c r="F201">
        <f>HYPERLINK("https://www.amazon.jobs/jobs/3035686/sr-applied-scientist-amazon-advertising?cmpid=DA_INAD200785B", "https://www.amazon.jobs/jobs/3035686/sr-applied-scientist-amazon-advertising?cmpid=DA_INAD200785B")</f>
        <v/>
      </c>
      <c r="G201" t="inlineStr">
        <is>
          <t>Seattle, WA, US</t>
        </is>
      </c>
      <c r="H201" s="3" t="n">
        <v>45851</v>
      </c>
      <c r="I2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in-8c90427ffdf51939</t>
        </is>
      </c>
      <c r="B202" t="inlineStr">
        <is>
          <t>Sr. Applied Scientist, Amazon Advertising</t>
        </is>
      </c>
      <c r="C202" t="inlineStr">
        <is>
          <t>Amazon.com</t>
        </is>
      </c>
      <c r="D202" t="inlineStr">
        <is>
          <t>indeed</t>
        </is>
      </c>
      <c r="E202">
        <f>HYPERLINK("https://www.indeed.com/viewjob?jk=8c90427ffdf51939", "https://www.indeed.com/viewjob?jk=8c90427ffdf51939")</f>
        <v/>
      </c>
      <c r="F202">
        <f>HYPERLINK("https://www.amazon.jobs/jobs/3035686/sr-applied-scientist-amazon-advertising?cmpid=DA_INAD200785B", "https://www.amazon.jobs/jobs/3035686/sr-applied-scientist-amazon-advertising?cmpid=DA_INAD200785B")</f>
        <v/>
      </c>
      <c r="G202" t="inlineStr">
        <is>
          <t>West Hollywood, CA, US</t>
        </is>
      </c>
      <c r="H202" s="3" t="n">
        <v>45851</v>
      </c>
      <c r="I2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in-0eaca493265ad838</t>
        </is>
      </c>
      <c r="B203" t="inlineStr">
        <is>
          <t>Sr. Applied Scientist, Amazon Advertising</t>
        </is>
      </c>
      <c r="C203" t="inlineStr">
        <is>
          <t>Amazon.com</t>
        </is>
      </c>
      <c r="D203" t="inlineStr">
        <is>
          <t>indeed</t>
        </is>
      </c>
      <c r="E203">
        <f>HYPERLINK("https://www.indeed.com/viewjob?jk=0eaca493265ad838", "https://www.indeed.com/viewjob?jk=0eaca493265ad838")</f>
        <v/>
      </c>
      <c r="F203">
        <f>HYPERLINK("https://www.amazon.jobs/jobs/3035686/sr-applied-scientist-amazon-advertising?cmpid=DA_INAD200785B", "https://www.amazon.jobs/jobs/3035686/sr-applied-scientist-amazon-advertising?cmpid=DA_INAD200785B")</f>
        <v/>
      </c>
      <c r="G203" t="inlineStr">
        <is>
          <t>Simi Valley, CA, US</t>
        </is>
      </c>
      <c r="H203" s="3" t="n">
        <v>45851</v>
      </c>
      <c r="I2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in-bf499662a42e4da1</t>
        </is>
      </c>
      <c r="B204" t="inlineStr">
        <is>
          <t>Sr. Applied Scientist, Amazon Advertising</t>
        </is>
      </c>
      <c r="C204" t="inlineStr">
        <is>
          <t>Amazon.com</t>
        </is>
      </c>
      <c r="D204" t="inlineStr">
        <is>
          <t>indeed</t>
        </is>
      </c>
      <c r="E204">
        <f>HYPERLINK("https://www.indeed.com/viewjob?jk=bf499662a42e4da1", "https://www.indeed.com/viewjob?jk=bf499662a42e4da1")</f>
        <v/>
      </c>
      <c r="F204">
        <f>HYPERLINK("https://www.amazon.jobs/jobs/3035686/sr-applied-scientist-amazon-advertising?cmpid=DA_INAD200785B", "https://www.amazon.jobs/jobs/3035686/sr-applied-scientist-amazon-advertising?cmpid=DA_INAD200785B")</f>
        <v/>
      </c>
      <c r="G204" t="inlineStr">
        <is>
          <t>Austin, TX, US</t>
        </is>
      </c>
      <c r="H204" s="3" t="n">
        <v>45851</v>
      </c>
      <c r="I2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in-d2ff414133304556</t>
        </is>
      </c>
      <c r="B205" t="inlineStr">
        <is>
          <t>Sr. Applied Scientist, Amazon Advertising</t>
        </is>
      </c>
      <c r="C205" t="inlineStr">
        <is>
          <t>Amazon.com</t>
        </is>
      </c>
      <c r="D205" t="inlineStr">
        <is>
          <t>indeed</t>
        </is>
      </c>
      <c r="E205">
        <f>HYPERLINK("https://www.indeed.com/viewjob?jk=d2ff414133304556", "https://www.indeed.com/viewjob?jk=d2ff414133304556")</f>
        <v/>
      </c>
      <c r="F205">
        <f>HYPERLINK("https://www.amazon.jobs/jobs/3035686/sr-applied-scientist-amazon-advertising?cmpid=DA_INAD200785B", "https://www.amazon.jobs/jobs/3035686/sr-applied-scientist-amazon-advertising?cmpid=DA_INAD200785B")</f>
        <v/>
      </c>
      <c r="G205" t="inlineStr">
        <is>
          <t>New York, NY, US</t>
        </is>
      </c>
      <c r="H205" s="3" t="n">
        <v>45851</v>
      </c>
      <c r="I2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in-10720bbdf0700f30</t>
        </is>
      </c>
      <c r="B206" t="inlineStr">
        <is>
          <t>Senior Applied Scientist, Artificial General Intelligence</t>
        </is>
      </c>
      <c r="C206" t="inlineStr">
        <is>
          <t>Amazon.com</t>
        </is>
      </c>
      <c r="D206" t="inlineStr">
        <is>
          <t>indeed</t>
        </is>
      </c>
      <c r="E206">
        <f>HYPERLINK("https://www.indeed.com/viewjob?jk=10720bbdf0700f30", "https://www.indeed.com/viewjob?jk=10720bbdf0700f30")</f>
        <v/>
      </c>
      <c r="F206">
        <f>HYPERLINK("https://www.amazon.jobs/jobs/3029958/senior-applied-scientist-artificial-general-intelligence?cmpid=DA_INAD200785B", "https://www.amazon.jobs/jobs/3029958/senior-applied-scientist-artificial-general-intelligence?cmpid=DA_INAD200785B")</f>
        <v/>
      </c>
      <c r="G206" t="inlineStr">
        <is>
          <t>Boston, MA, US</t>
        </is>
      </c>
      <c r="H206" s="3" t="n">
        <v>45846</v>
      </c>
      <c r="I20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in-e67c06b2ebec5938</t>
        </is>
      </c>
      <c r="B207" t="inlineStr">
        <is>
          <t>Senior Applied Scientist, Artificial General Intelligence</t>
        </is>
      </c>
      <c r="C207" t="inlineStr">
        <is>
          <t>Amazon.com</t>
        </is>
      </c>
      <c r="D207" t="inlineStr">
        <is>
          <t>indeed</t>
        </is>
      </c>
      <c r="E207">
        <f>HYPERLINK("https://www.indeed.com/viewjob?jk=e67c06b2ebec5938", "https://www.indeed.com/viewjob?jk=e67c06b2ebec5938")</f>
        <v/>
      </c>
      <c r="F207">
        <f>HYPERLINK("https://www.amazon.jobs/jobs/3029958/senior-applied-scientist-artificial-general-intelligence?cmpid=DA_INAD200785B", "https://www.amazon.jobs/jobs/3029958/senior-applied-scientist-artificial-general-intelligence?cmpid=DA_INAD200785B")</f>
        <v/>
      </c>
      <c r="G207" t="inlineStr">
        <is>
          <t>Sunnyvale, CA, US</t>
        </is>
      </c>
      <c r="H207" s="3" t="n">
        <v>45846</v>
      </c>
      <c r="I20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in-c3b25a89c145fe38</t>
        </is>
      </c>
      <c r="B208" t="inlineStr">
        <is>
          <t>Senior Applied Scientist, Artificial General Intelligence</t>
        </is>
      </c>
      <c r="C208" t="inlineStr">
        <is>
          <t>Amazon.com</t>
        </is>
      </c>
      <c r="D208" t="inlineStr">
        <is>
          <t>indeed</t>
        </is>
      </c>
      <c r="E208">
        <f>HYPERLINK("https://www.indeed.com/viewjob?jk=c3b25a89c145fe38", "https://www.indeed.com/viewjob?jk=c3b25a89c145fe38")</f>
        <v/>
      </c>
      <c r="F208">
        <f>HYPERLINK("https://www.amazon.jobs/jobs/3029958/senior-applied-scientist-artificial-general-intelligence?cmpid=DA_INAD200785B", "https://www.amazon.jobs/jobs/3029958/senior-applied-scientist-artificial-general-intelligence?cmpid=DA_INAD200785B")</f>
        <v/>
      </c>
      <c r="G208" t="inlineStr">
        <is>
          <t>Seattle, WA, US</t>
        </is>
      </c>
      <c r="H208" s="3" t="n">
        <v>45846</v>
      </c>
      <c r="I20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in-8bd52eabaf3f27a7</t>
        </is>
      </c>
      <c r="B209" t="inlineStr">
        <is>
          <t>Sr. Applied Scientist, AGI Info</t>
        </is>
      </c>
      <c r="C209" t="inlineStr">
        <is>
          <t>Amazon.com</t>
        </is>
      </c>
      <c r="D209" t="inlineStr">
        <is>
          <t>indeed</t>
        </is>
      </c>
      <c r="E209">
        <f>HYPERLINK("https://www.indeed.com/viewjob?jk=8bd52eabaf3f27a7", "https://www.indeed.com/viewjob?jk=8bd52eabaf3f27a7")</f>
        <v/>
      </c>
      <c r="F209">
        <f>HYPERLINK("https://www.amazon.jobs/jobs/2999351/sr-applied-scientist-agi-info?cmpid=DA_INAD200785B", "https://www.amazon.jobs/jobs/2999351/sr-applied-scientist-agi-info?cmpid=DA_INAD200785B")</f>
        <v/>
      </c>
      <c r="G209" t="inlineStr">
        <is>
          <t>Sunnyvale, CA, US</t>
        </is>
      </c>
      <c r="H209" s="3" t="n">
        <v>45811</v>
      </c>
      <c r="I209"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in-4794cdf7641d750a</t>
        </is>
      </c>
      <c r="B210" t="inlineStr">
        <is>
          <t>Sr. Applied Scientist, AGI Info</t>
        </is>
      </c>
      <c r="C210" t="inlineStr">
        <is>
          <t>Amazon.com</t>
        </is>
      </c>
      <c r="D210" t="inlineStr">
        <is>
          <t>indeed</t>
        </is>
      </c>
      <c r="E210">
        <f>HYPERLINK("https://www.indeed.com/viewjob?jk=4794cdf7641d750a", "https://www.indeed.com/viewjob?jk=4794cdf7641d750a")</f>
        <v/>
      </c>
      <c r="F210">
        <f>HYPERLINK("https://www.amazon.jobs/jobs/2999351/sr-applied-scientist-agi-info?cmpid=DA_INAD200785B", "https://www.amazon.jobs/jobs/2999351/sr-applied-scientist-agi-info?cmpid=DA_INAD200785B")</f>
        <v/>
      </c>
      <c r="G210" t="inlineStr">
        <is>
          <t>Bellevue, WA, US</t>
        </is>
      </c>
      <c r="H210" s="3" t="n">
        <v>45811</v>
      </c>
      <c r="I210"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in-bdcdcc21dc9c59d8</t>
        </is>
      </c>
      <c r="B211" t="inlineStr">
        <is>
          <t>Principal Applied Scientist, FAR (Frontier AI &amp; Robotics)</t>
        </is>
      </c>
      <c r="C211" t="inlineStr">
        <is>
          <t>Amazon.com</t>
        </is>
      </c>
      <c r="D211" t="inlineStr">
        <is>
          <t>indeed</t>
        </is>
      </c>
      <c r="E211">
        <f>HYPERLINK("https://www.indeed.com/viewjob?jk=bdcdcc21dc9c59d8", "https://www.indeed.com/viewjob?jk=bdcdcc21dc9c59d8")</f>
        <v/>
      </c>
      <c r="F211">
        <f>HYPERLINK("https://www.amazon.jobs/jobs/2938625/principal-applied-scientist-far-frontier-ai--robotics?cmpid=DA_INAD200785B", "https://www.amazon.jobs/jobs/2938625/principal-applied-scientist-far-frontier-ai--robotics?cmpid=DA_INAD200785B")</f>
        <v/>
      </c>
      <c r="G211" t="inlineStr">
        <is>
          <t>San Francisco, CA, US</t>
        </is>
      </c>
      <c r="H211" s="3" t="n">
        <v>45740</v>
      </c>
      <c r="I21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in-37439d972ec24b88</t>
        </is>
      </c>
      <c r="B212" t="inlineStr">
        <is>
          <t>Principal Applied Scientist, FAR (Frontier AI &amp; Robotics)</t>
        </is>
      </c>
      <c r="C212" t="inlineStr">
        <is>
          <t>Amazon.com</t>
        </is>
      </c>
      <c r="D212" t="inlineStr">
        <is>
          <t>indeed</t>
        </is>
      </c>
      <c r="E212">
        <f>HYPERLINK("https://www.indeed.com/viewjob?jk=37439d972ec24b88", "https://www.indeed.com/viewjob?jk=37439d972ec24b88")</f>
        <v/>
      </c>
      <c r="F212">
        <f>HYPERLINK("https://www.amazon.jobs/jobs/2938625/principal-applied-scientist-far-frontier-ai--robotics?cmpid=DA_INAD200785B", "https://www.amazon.jobs/jobs/2938625/principal-applied-scientist-far-frontier-ai--robotics?cmpid=DA_INAD200785B")</f>
        <v/>
      </c>
      <c r="G212" t="inlineStr">
        <is>
          <t>Seattle, WA, US</t>
        </is>
      </c>
      <c r="H212" s="3" t="n">
        <v>45740</v>
      </c>
      <c r="I21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in-338552c8f58f355c</t>
        </is>
      </c>
      <c r="B213" t="inlineStr">
        <is>
          <t>Applied Scientist, Personalization, DTx Science</t>
        </is>
      </c>
      <c r="C213" t="inlineStr">
        <is>
          <t>Amazon.com</t>
        </is>
      </c>
      <c r="D213" t="inlineStr">
        <is>
          <t>indeed</t>
        </is>
      </c>
      <c r="E213">
        <f>HYPERLINK("https://www.indeed.com/viewjob?jk=338552c8f58f355c", "https://www.indeed.com/viewjob?jk=338552c8f58f355c")</f>
        <v/>
      </c>
      <c r="F213">
        <f>HYPERLINK("https://www.amazon.jobs/jobs/3136853/applied-scientist-personalization-dtx-science?cmpid=DA_INAD200785B", "https://www.amazon.jobs/jobs/3136853/applied-scientist-personalization-dtx-science?cmpid=DA_INAD200785B")</f>
        <v/>
      </c>
      <c r="G213" t="inlineStr">
        <is>
          <t>New York, NY, US</t>
        </is>
      </c>
      <c r="H213" s="3" t="n">
        <v>45979</v>
      </c>
      <c r="I21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in-9ce6605e300fc1dc</t>
        </is>
      </c>
      <c r="B214" t="inlineStr">
        <is>
          <t>Applied Scientist, Personalization, DTx Science</t>
        </is>
      </c>
      <c r="C214" t="inlineStr">
        <is>
          <t>Amazon.com</t>
        </is>
      </c>
      <c r="D214" t="inlineStr">
        <is>
          <t>indeed</t>
        </is>
      </c>
      <c r="E214">
        <f>HYPERLINK("https://www.indeed.com/viewjob?jk=9ce6605e300fc1dc", "https://www.indeed.com/viewjob?jk=9ce6605e300fc1dc")</f>
        <v/>
      </c>
      <c r="F214">
        <f>HYPERLINK("https://www.amazon.jobs/jobs/3136853/applied-scientist-personalization-dtx-science?cmpid=DA_INAD200785B", "https://www.amazon.jobs/jobs/3136853/applied-scientist-personalization-dtx-science?cmpid=DA_INAD200785B")</f>
        <v/>
      </c>
      <c r="G214" t="inlineStr">
        <is>
          <t>Seattle, WA, US</t>
        </is>
      </c>
      <c r="H214" s="3" t="n">
        <v>45979</v>
      </c>
      <c r="I21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in-2fdfb28564f61cad</t>
        </is>
      </c>
      <c r="B215" t="inlineStr">
        <is>
          <t>Applied Scientist, Sponsored Products</t>
        </is>
      </c>
      <c r="C215" t="inlineStr">
        <is>
          <t>Amazon.com</t>
        </is>
      </c>
      <c r="D215" t="inlineStr">
        <is>
          <t>indeed</t>
        </is>
      </c>
      <c r="E215">
        <f>HYPERLINK("https://www.indeed.com/viewjob?jk=2fdfb28564f61cad", "https://www.indeed.com/viewjob?jk=2fdfb28564f61cad")</f>
        <v/>
      </c>
      <c r="F215">
        <f>HYPERLINK("https://www.amazon.jobs/jobs/3140511/applied-scientist-sponsored-products?cmpid=DA_INAD200785B", "https://www.amazon.jobs/jobs/3140511/applied-scientist-sponsored-products?cmpid=DA_INAD200785B")</f>
        <v/>
      </c>
      <c r="G215" t="inlineStr">
        <is>
          <t>Seattle, WA, US</t>
        </is>
      </c>
      <c r="H215" s="3" t="n">
        <v>45971</v>
      </c>
      <c r="I21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in-5e7e6c7b74364bd9</t>
        </is>
      </c>
      <c r="B216" t="inlineStr">
        <is>
          <t>Applied Scientist, Sponsored Products</t>
        </is>
      </c>
      <c r="C216" t="inlineStr">
        <is>
          <t>Amazon.com</t>
        </is>
      </c>
      <c r="D216" t="inlineStr">
        <is>
          <t>indeed</t>
        </is>
      </c>
      <c r="E216">
        <f>HYPERLINK("https://www.indeed.com/viewjob?jk=5e7e6c7b74364bd9", "https://www.indeed.com/viewjob?jk=5e7e6c7b74364bd9")</f>
        <v/>
      </c>
      <c r="F216">
        <f>HYPERLINK("https://www.amazon.jobs/jobs/3140511/applied-scientist-sponsored-products?cmpid=DA_INAD200785B", "https://www.amazon.jobs/jobs/3140511/applied-scientist-sponsored-products?cmpid=DA_INAD200785B")</f>
        <v/>
      </c>
      <c r="G216" t="inlineStr">
        <is>
          <t>Arlington, VA, US</t>
        </is>
      </c>
      <c r="H216" s="3" t="n">
        <v>45971</v>
      </c>
      <c r="I21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in-b82f946b5926d027</t>
        </is>
      </c>
      <c r="B217" t="inlineStr">
        <is>
          <t>Applied Scientist, AWS Agentic AI</t>
        </is>
      </c>
      <c r="C217" t="inlineStr">
        <is>
          <t>Amazon Web Services</t>
        </is>
      </c>
      <c r="D217" t="inlineStr">
        <is>
          <t>indeed</t>
        </is>
      </c>
      <c r="E217">
        <f>HYPERLINK("https://www.indeed.com/viewjob?jk=b82f946b5926d027", "https://www.indeed.com/viewjob?jk=b82f946b5926d027")</f>
        <v/>
      </c>
      <c r="F217">
        <f>HYPERLINK("https://www.amazon.jobs/jobs/3141517/applied-scientist-aws-agentic-ai-?cmpid=DA_INAD200785B", "https://www.amazon.jobs/jobs/3141517/applied-scientist-aws-agentic-ai-?cmpid=DA_INAD200785B")</f>
        <v/>
      </c>
      <c r="G217" t="inlineStr">
        <is>
          <t>Seattle, WA, US</t>
        </is>
      </c>
      <c r="H217" s="3" t="n">
        <v>45962</v>
      </c>
      <c r="I21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in-2c2dca8732b0214b</t>
        </is>
      </c>
      <c r="B218" t="inlineStr">
        <is>
          <t>Applied Scientist, AWS Agentic AI</t>
        </is>
      </c>
      <c r="C218" t="inlineStr">
        <is>
          <t>Amazon Web Services</t>
        </is>
      </c>
      <c r="D218" t="inlineStr">
        <is>
          <t>indeed</t>
        </is>
      </c>
      <c r="E218">
        <f>HYPERLINK("https://www.indeed.com/viewjob?jk=2c2dca8732b0214b", "https://www.indeed.com/viewjob?jk=2c2dca8732b0214b")</f>
        <v/>
      </c>
      <c r="F218">
        <f>HYPERLINK("https://www.amazon.jobs/jobs/3141517/applied-scientist-aws-agentic-ai-?cmpid=DA_INAD200785B", "https://www.amazon.jobs/jobs/3141517/applied-scientist-aws-agentic-ai-?cmpid=DA_INAD200785B")</f>
        <v/>
      </c>
      <c r="G218" t="inlineStr">
        <is>
          <t>New York, NY, US</t>
        </is>
      </c>
      <c r="H218" s="3" t="n">
        <v>45962</v>
      </c>
      <c r="I21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in-2f2c5bbde098cf40</t>
        </is>
      </c>
      <c r="B219" t="inlineStr">
        <is>
          <t>Applied Scientist, AWS Agentic AI</t>
        </is>
      </c>
      <c r="C219" t="inlineStr">
        <is>
          <t>Amazon Web Services</t>
        </is>
      </c>
      <c r="D219" t="inlineStr">
        <is>
          <t>indeed</t>
        </is>
      </c>
      <c r="E219">
        <f>HYPERLINK("https://www.indeed.com/viewjob?jk=2f2c5bbde098cf40", "https://www.indeed.com/viewjob?jk=2f2c5bbde098cf40")</f>
        <v/>
      </c>
      <c r="F219">
        <f>HYPERLINK("https://www.amazon.jobs/jobs/3141517/applied-scientist-aws-agentic-ai-?cmpid=DA_INAD200785B", "https://www.amazon.jobs/jobs/3141517/applied-scientist-aws-agentic-ai-?cmpid=DA_INAD200785B")</f>
        <v/>
      </c>
      <c r="G219" t="inlineStr">
        <is>
          <t>Santa Clara, CA, US</t>
        </is>
      </c>
      <c r="H219" s="3" t="n">
        <v>45962</v>
      </c>
      <c r="I21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in-656879a9b9866af3</t>
        </is>
      </c>
      <c r="B220" t="inlineStr">
        <is>
          <t>Sr. Applied Scientist, Sales AI</t>
        </is>
      </c>
      <c r="C220" t="inlineStr">
        <is>
          <t>Amazon.com</t>
        </is>
      </c>
      <c r="D220" t="inlineStr">
        <is>
          <t>indeed</t>
        </is>
      </c>
      <c r="E220">
        <f>HYPERLINK("https://www.indeed.com/viewjob?jk=656879a9b9866af3", "https://www.indeed.com/viewjob?jk=656879a9b9866af3")</f>
        <v/>
      </c>
      <c r="F220">
        <f>HYPERLINK("https://www.amazon.jobs/jobs/3020528/sr-applied-scientist-sales-ai?cmpid=DA_INAD200785B", "https://www.amazon.jobs/jobs/3020528/sr-applied-scientist-sales-ai?cmpid=DA_INAD200785B")</f>
        <v/>
      </c>
      <c r="G220" t="inlineStr">
        <is>
          <t>Seattle, WA, US</t>
        </is>
      </c>
      <c r="H220" s="3" t="n">
        <v>45830</v>
      </c>
      <c r="I22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in-a2fced5c7597689a</t>
        </is>
      </c>
      <c r="B221" t="inlineStr">
        <is>
          <t>Sr. Applied Scientist, Sales AI</t>
        </is>
      </c>
      <c r="C221" t="inlineStr">
        <is>
          <t>Amazon.com</t>
        </is>
      </c>
      <c r="D221" t="inlineStr">
        <is>
          <t>indeed</t>
        </is>
      </c>
      <c r="E221">
        <f>HYPERLINK("https://www.indeed.com/viewjob?jk=a2fced5c7597689a", "https://www.indeed.com/viewjob?jk=a2fced5c7597689a")</f>
        <v/>
      </c>
      <c r="F221">
        <f>HYPERLINK("https://www.amazon.jobs/jobs/3020528/sr-applied-scientist-sales-ai?cmpid=DA_INAD200785B", "https://www.amazon.jobs/jobs/3020528/sr-applied-scientist-sales-ai?cmpid=DA_INAD200785B")</f>
        <v/>
      </c>
      <c r="G221" t="inlineStr">
        <is>
          <t>New York, NY, US</t>
        </is>
      </c>
      <c r="H221" s="3" t="n">
        <v>45830</v>
      </c>
      <c r="I22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in-19879bd6f93981f0</t>
        </is>
      </c>
      <c r="B222" t="inlineStr">
        <is>
          <t>Sr. Applied Scientist, Sales AI</t>
        </is>
      </c>
      <c r="C222" t="inlineStr">
        <is>
          <t>Amazon.com</t>
        </is>
      </c>
      <c r="D222" t="inlineStr">
        <is>
          <t>indeed</t>
        </is>
      </c>
      <c r="E222">
        <f>HYPERLINK("https://www.indeed.com/viewjob?jk=19879bd6f93981f0", "https://www.indeed.com/viewjob?jk=19879bd6f93981f0")</f>
        <v/>
      </c>
      <c r="F222">
        <f>HYPERLINK("https://www.amazon.jobs/jobs/3020528/sr-applied-scientist-sales-ai?cmpid=DA_INAD200785B", "https://www.amazon.jobs/jobs/3020528/sr-applied-scientist-sales-ai?cmpid=DA_INAD200785B")</f>
        <v/>
      </c>
      <c r="G222" t="inlineStr">
        <is>
          <t>Sunnyvale, CA, US</t>
        </is>
      </c>
      <c r="H222" s="3" t="n">
        <v>45830</v>
      </c>
      <c r="I22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li-4313094719</t>
        </is>
      </c>
      <c r="B2" t="inlineStr">
        <is>
          <t>Data Scientist (L5) , Performance Marketing</t>
        </is>
      </c>
      <c r="C2" t="inlineStr">
        <is>
          <t>Netflix</t>
        </is>
      </c>
      <c r="D2" t="inlineStr">
        <is>
          <t>linkedin</t>
        </is>
      </c>
      <c r="E2" t="inlineStr"/>
      <c r="F2" t="inlineStr"/>
      <c r="G2" t="inlineStr"/>
      <c r="H2" t="inlineStr"/>
      <c r="I2"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It's an exciting time to join Netflix as we continue to transform entertainment globally. We are bringing new stories to millions of people worldwide by promoting our original, exclusive content. As we move beyond 300 million members and hundreds of partnerships worldwide, our approach to marketing is to build innovative, culturally relevant, creatively excellent campaigns that pierce the zeitgeist and drive conversation.
 Data is a crucial component in shaping our comprehensive conversation strategy. In Content \&amp; Conversation Applied Science and Analytics (CASAS) DSE, we focus on delivering data products and insights that support our business partners in their complex and nuanced decision\-making processes. We are a highly collaborative team that partners across Netflix to drive impact.
 We are seeking a talented Senior Data Scientist to provide key insights and thought partnership to our marketing decision makers. You will generate insights by scoping and executing deep dive analysis and experimentation with global marketing teams, Marketing BizOps, consumer insights and MarComms finance and strategy. You will also play a critical role in aligning and coordinating the efforts of the various other DSE peers that partner with the Marketing team. In success, you will collaborate on existing priorities but also will propose and execute on new opportunities. This role features ample opportunity for project ownership, leadership and direct influence on impactful business decisions.
**In This Role, You Will**
* Be a strategic thought partner with business stakeholders to define high impact analytical problems and innovative ways to solve them with data.
* Develop statistical models explaining campaign engagement and performance, Marketing impact, and other key behavioral patterns
* Facilitate the Marketing cross\-functional DSE pod, ensuring the DSE partnership efforts with Marketing efforts are aligned
* Translate analytic insights into actionable recommendations for business improvement, and communicate these findings clearly to a broad audience
* Identify and proactively socialize Marketing insights, especially those that may be impactful to other business areas
**What You’ll Bring**
* Exceptional interpersonal and communication skills to influence stakeholders using clear insights and recommendations
* Adept at cultivating strong partnerships
* Exceptional thought partnership and engagement abilities with a diverse set of stakeholders and passionate about communicating difficult concepts to non\-technical audiences
* Highly skilled in leading through influence
* Exceptional facilitation, planning and organization skills
* Domain expertise in Marketing measurement
* Strong statistical knowledge: understanding of predictive modeling; ability to tease out incrementality vs. correlations, confounder identification and amelioration, etc.
* Deep understanding of experimentation including power calculations, quasi\-experiment, and interpretation of results
* Strong SQL skills and experience with distributed analytic processing technologies (S3, Presto, Hive \&amp; Spark)
* Strong skills in Python or R
* Self\-starter who thrives under a high level of autonomy.
* Enthusiastic about Netflix culture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$170K \- $720K.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
      <c r="A3" t="inlineStr">
        <is>
          <t>li-4341990612</t>
        </is>
      </c>
      <c r="B3" t="inlineStr">
        <is>
          <t>Data Scientist (L4) -  Marketing and Experience DSE</t>
        </is>
      </c>
      <c r="C3" t="inlineStr">
        <is>
          <t>Netflix</t>
        </is>
      </c>
      <c r="D3" t="inlineStr">
        <is>
          <t>linkedin</t>
        </is>
      </c>
      <c r="E3" t="inlineStr"/>
      <c r="F3" t="inlineStr"/>
      <c r="G3" t="inlineStr">
        <is>
          <t>Los Angeles, CA</t>
        </is>
      </c>
      <c r="H3" t="inlineStr"/>
      <c r="I3"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It's an exciting time to join Netflix as we continue to transform entertainment globally. We are bringing new stories to millions of people worldwide by promoting our original, exclusive content. As we move beyond 300 million members and hundreds of partnerships worldwide, our approach to marketing is to build innovative, culturally relevant, creatively excellent campaigns that pierce the zeitgeist and drive conversation.
 Our Experiences team puts fans at the center of their favorite stories, in real life, through permanent entertainment venues, Netflix House, and touring attractions around the world. Netflix Houses are our permanent, always\-on, constantly refreshable entertainment venues, where guests can step into their favorite stories. We want these experiences, along with merchandise offerings, to help promote love for our titles so they become part of the conversation zeitgeist for longer periods of time and drive long\-term value for Netflix.
 Data is a crucial component in shaping our comprehensive conversation strategy. In Content \&amp; Conversation Applied Science and Analytics (CASAS) DSE, we focus on delivering data products and insights that support our business partners in their complex and nuanced decision\-making processes. We are a highly collaborative team that partners across Netflix to drive impact.
 We are seeking a talented Data Scientist to provide key insights and thought partnership to our Experience team decision makers. You will leverage analytical expertise to build advanced analytical models, develop insights, and uncover trends for Netflix House locations (visitation, attendance, fan behavior, and satisfaction). Your work will directly inform executive decision making as well as optimization and re\-forecasting processes in order to enhance fan and House employee experience. In success, you will collaborate on existing priorities but also will propose and execute on new opportunities. This role features ample opportunity for project ownership, leadership and direct influence on impactful business decisions.
**In This Role, You Will**
* Be a strategic thought partner with business stakeholders to define high impact analytical problems and innovative ways to solve them with data.
* Develop systems to analyze trends in fan behavior, including time spent, arrival and departure patterns, interactions with different Netflix IPs and spaces, and preferences for retail and F\&amp;B offerings.
* Develop robust forecasting models to identify future trends, explaining attendance due to seasonality, location, price demand relationship, and other key influencing factors and enabling the business to make data\-driven decisions and proactively adapt strategies based on actionable insights.
* Act as a trusted advisor to business leaders, directly informing decision\-making and operational planning.
* Actively identify emerging business needs and develop analytical tools to translate outputs to actionable, recommendations for operations teams.
* Present findings and recommendations to stakeholders through clear, compelling story telling and presentations.
* Stay current with industry best practices and emerging analytics trends to continuously improve analytics capabilities.
* Promote and foster a mindset of continuous innovation for internal teams and external partners.
**What You’ll Bring**
* Exceptional interpersonal and communication skills to influence stakeholders using clear insights and recommendations.
* Adept at cultivating strong partnerships.
* Exceptional thought partnership and engagement abilities with a diverse set of stakeholders and passionate about communicating difficult concepts to non\-technical audiences.
* Experience with guest or customer satisfaction analytics, forecasting, and operational optimization is highly desirable.
* Strong statistical knowledge: understanding of predictive modeling; experience in feature engineering, confounder identification and amelioration, etc.
* A degree in a quantitative field (e.g., mathematics, statistics, computer science, engineering, or similar), and 4\+ years of experience in data science, analytics engineering, or a similar data field.
* Advanced SQL skills, with experience working in complex data environments.
* Experience with scripting languages, particularly Python.
* Exceptional analytical and problem\-solving skills with a keen attention to detail and desire to think outside the box and innovate
* Experience with data visualization platforms (e.g., Tableau, Looker, Plotly) is a plus
* Experience in retail, entertainment, or hospitality sectors is a plus.
* Enthusiastic about Netflix culture.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4">
      <c r="A4" t="inlineStr">
        <is>
          <t>li-4315193516</t>
        </is>
      </c>
      <c r="B4" t="inlineStr">
        <is>
          <t>Data Scientist</t>
        </is>
      </c>
      <c r="C4" t="inlineStr">
        <is>
          <t>Valley Bank</t>
        </is>
      </c>
      <c r="D4" t="inlineStr">
        <is>
          <t>linkedin</t>
        </is>
      </c>
      <c r="E4" t="inlineStr"/>
      <c r="F4" t="inlineStr"/>
      <c r="G4" t="inlineStr">
        <is>
          <t>Morristown, NJ</t>
        </is>
      </c>
      <c r="H4" t="inlineStr"/>
      <c r="I4" t="inlineStr">
        <is>
          <t>At Valley Bank, we believe in people’s growth potential. We invest in it. We protect it. We focus it. For nearly 100 years, we’ve been the Bank that clients from every industry turn to for our expertise, strategies, and advice—building the kind of trust that can fuel every goal. We are the leading relationship bank built for growth—with over $60 billion in assets, 3,800 experts, and more than 200 consumer branches and commercial banking offices in communities across the US.
 At Valley, we're all driven by an ambition that goes deeper than just having a job. That’s why when you work for us, we make it our goal to help you focus on what drives you—working to turn your passions and strengths into assets you can use to propel your ambitions and build the professional legacy you want. Because when we say we're a relationship bank built for growth, that's not just reserved for our clients—that includes all our associates as well.
 The Data Scientist is responsible for driving the data roadmap and enabling the bank's strategic objectives with data and deep insights. They will partner closely with business teams to execute on a data/analytics agenda, explain business performance with data, develop hypotheses to drive actions and identify growth opportunities by performing hands\-on data engineering, data analysis and visualization of results. The Data Scientist will have strong collaboration and communication skills to effectively partner with other data teams and business partners.
 ,
**Responsibilities Include, But Are Not Limited To**
* Interpret business needs and requirements and independently perform analysis and/or build reports and dashboards to meet requirements.
* Translate analysis findings and technical topics, visualize data to explain results to a non\-technical business audience and senior management.
* Identify new data capabilities to enable strategic objectives, partner with data enablement team to build solutions.
* Interact independently with business partners on data needs and respond to data requests.
* Perform challenging data queries, reconcile data, analyze results, and form conclusions for senior management.
* Drive a strong data\-driven culture within the company by mentoring data analysts and increasing data capabilities in other internal functions.
 ,
**Required Skills**
* Hands\-on experience in data modelling, data engineering and data analysis tools such as BI tools, Power BI, SQL, Python (pandas, numpy).
* Working knowledge in developing reports and dashboards in Power BI or Tableau.
* Strong communication, organizational and interpersonal skills, as well as the ability to prioritize and execute multiple objectives.
* Ability to identify key insights and present results to a business audience.
* Preferred experience in mapping techniques, such as calculating distances and routes, as well as ability to build custom market and demographic maps.
* Awareness of latest trends in data analytics.
* Knowledge and experience in the banking industry and banking systems.
* Advanced knowledge of data structures and the ability to visualize data effectively to communicate to a business audience.
* The Data Scientist will have strong collaboration and communication skills to effectively partner with other data teams and business partners.
**Required Experience**
* Bachelor's degree in a quantitative discipline, such as Business Analytics, Data Science, Mathematics, Econometrics, Engineering, Sciences.
* Miniumum of 3 years working in a data analytics role with hands\-on experience in wrangling large data sets, conducting data analysis and developing insights from data.
* Experience working independently with business partners and diverse corporate functions.
**Preferred Experience**
* Master's degree in a quantitative discipline.
* Financial Services experience and knowledge of Retail/Commercial Banking industry, products, and data highly desired.</t>
        </is>
      </c>
    </row>
    <row r="5">
      <c r="A5" t="inlineStr">
        <is>
          <t>li-4327978220</t>
        </is>
      </c>
      <c r="B5" t="inlineStr">
        <is>
          <t>Research Data Scientist, Search Ads</t>
        </is>
      </c>
      <c r="C5" t="inlineStr">
        <is>
          <t>Google</t>
        </is>
      </c>
      <c r="D5" t="inlineStr">
        <is>
          <t>linkedin</t>
        </is>
      </c>
      <c r="E5" t="inlineStr"/>
      <c r="F5" t="inlineStr"/>
      <c r="G5" t="inlineStr">
        <is>
          <t>New York, NY</t>
        </is>
      </c>
      <c r="H5" t="inlineStr"/>
      <c r="I5" t="inlineStr">
        <is>
          <t>**Minimum qualifications:**
* Master's degree in Statistics, Data Science, Mathematics, Physics, Economics, Operations Research, Engineering, a related quantitative field, or equivalent practical experience.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**About the job** 
 In this role, you will work as part of the Ads Metrics Data Science team, supporting the SAGE (Search Ads and Google Experience) organization in developing Google's ad products, from classic text ads to shopping ads and new products like Discovery ads.The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Apply quantitative knowledge to manage ambiguous problems, developing and applying advanced statistical and optimization models to find solutions.
* Design and develop methods and experiments to measure and analyze product quality and user behavior.
* Extract, manipulate, and analyze datasets using Python and SQL, with an emphasis on developing scalable data science solutions.
* Influence the strategy and direction of flagship products by translating questions into analysis, with a focus on longer\-term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
      <c r="A6" t="inlineStr">
        <is>
          <t>li-4345351557</t>
        </is>
      </c>
      <c r="B6" t="inlineStr">
        <is>
          <t>Data Scientist</t>
        </is>
      </c>
      <c r="C6" t="inlineStr">
        <is>
          <t>RemoteHunter</t>
        </is>
      </c>
      <c r="D6" t="inlineStr">
        <is>
          <t>linkedin</t>
        </is>
      </c>
      <c r="E6" t="inlineStr"/>
      <c r="F6" t="inlineStr"/>
      <c r="G6" t="inlineStr"/>
      <c r="H6" t="inlineStr"/>
      <c r="I6" t="inlineStr">
        <is>
          <t>About the Opportunity:
 A growing team is seeking a Data Scientist to support data\-driven decisions across critical business initiatives such as carrier growth and new product development. The organization has achieved profitability and aims to scale from 5 million to 50 million customers with a goal to become a $10 billion business. The role involves leveraging advanced machine learning models to analyze data and inform growth strategies within a super app that simplifies car ownership—including insurance, loans, repairs, and more—in a $2 trillion U.S. market.
 Responsibilities:
 • Collaborate with marketing, product, and business development teams to apply customer insights to acquisition strategies
 • Lead design, execution, and analysis of A/B tests on new and existing features to extract actionable insights
 • Define and test levers to drive profitable and scalable user acquisition and partnership growth
 • Identify opportunities to automate processes and improve operational efficiency
 Requirements:
 • Bachelor’s degree in a quantitatively or intellectually rigorous discipline
 • Minimum 1 year experience at a top\-tier economic consulting firm (e.g., Analysis Group, Cornerstone Research, Charles River Associates), management consulting firm (e.g., McKinsey, Bain, Boston Consulting Group), or relevant data science/business analysis experience
 • Proficient in SQL or Python
 • Strong problem\-solving framework based on first principles
 • Effective communication skills across all organizational levels, from front\-line employees to C\-suite executives
 • High standards for personal and team performance, with a commitment to continual improvement
 Benefits \&amp; Perks:
 • Health, dental, and vision insurance
 • Paid time off and paid parental leave
 • 401(k) plan with employer matching
 • Wellness benefits
 • Equity opportunities as part of total rewards package
 Compensation:
 • Starting pay determined by job\-related factors including skills, experience, qualifications, work location, and market conditions
 • Compensation may include base salary and equity grants
 • Pay ranges are market\-dependent and subject to future modification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
      <c r="A7" t="inlineStr">
        <is>
          <t>li-4345412904</t>
        </is>
      </c>
      <c r="B7" t="inlineStr">
        <is>
          <t>Data Scientist, Maps Data</t>
        </is>
      </c>
      <c r="C7" t="inlineStr">
        <is>
          <t>Zoox</t>
        </is>
      </c>
      <c r="D7" t="inlineStr">
        <is>
          <t>linkedin</t>
        </is>
      </c>
      <c r="E7" t="inlineStr"/>
      <c r="F7" t="inlineStr"/>
      <c r="G7" t="inlineStr">
        <is>
          <t>Foster City, CA</t>
        </is>
      </c>
      <c r="H7" t="inlineStr"/>
      <c r="I7" t="inlineStr">
        <is>
          <t>The Data team turns autonomous vehicle and operational data into insights that measure autonomy and service readiness at Zoox. In this role, you’ll partner with AI, simulation, and mission assurance teams to drive improvements, guide development, and identify high\-impact opportunities toward autonomy.
 You’ll help define how geospatial data and metrics are used across the company, enabling Zoox to scale in a data\-driven way while working with one of the industry’s most unique autonomous vehicle datasets.
**In This Role, You Will**
* Build data pipelines of geospatial features
* Integrate internal and external geospatial data to enhance our datasets
* Collaborate with multiple teams to prioritize roadmap on map features
* Identify key areas of investments for our geospatial datasets and features
**Qualifications**
* Bachelor's, Master's or PhD in CS, statistics, mathematics or relevant fields
* Experience with map data and geospatial data analysisFluency in Python or Scala
* Familiarity with SQL
* Experience with Spark or large\-scale data analysis
* Experience designing metrics, building mechanisms to fuel business insights, and driving decision\-making at various levels in an organization
**Bonus Qualifications**
* Experience with Geospatial Information System (GIS), knowledge of earth systems and geospatial sciences
* Basic fluency in C\+\+
 $176,000 \- $212,000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
      <c r="A8" t="inlineStr">
        <is>
          <t>li-4350288027</t>
        </is>
      </c>
      <c r="B8" t="inlineStr">
        <is>
          <t>Data Scientist - Analytics</t>
        </is>
      </c>
      <c r="C8" t="inlineStr">
        <is>
          <t>Axon.ai</t>
        </is>
      </c>
      <c r="D8" t="inlineStr">
        <is>
          <t>linkedin</t>
        </is>
      </c>
      <c r="E8" t="inlineStr"/>
      <c r="F8" t="inlineStr"/>
      <c r="G8" t="inlineStr">
        <is>
          <t>Palo Alto, CA</t>
        </is>
      </c>
      <c r="H8" t="inlineStr"/>
      <c r="I8" t="inlineStr">
        <is>
          <t>**About AppLovin**
 AppLovin makes technologies that help businesses of every size connect to their ideal customers. The company provides end\-to\-end software and AI solutions for businesses to reach, monetize and grow their global audiences. For more information about AppLovin, visit: www.applovin.com.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
 Fortune recognizes AppLovin as one of the Best Workplaces in the Bay Area, and the company has been a Certified Great Place to Work for the last four years (2021\-2024\). Check out the rest of our awards HERE.
 Position Overview
 We are seeking a
 **Data Scientist – Analytics** 
 to join our team and help bridge the gap between engineering and business functions at AppLovin. In this role, you will work with
 **petabyte\-scale datasets across our ad and app ecosystem** 
 , analyzing
 **high\-velocity data streams generated by tens of millions of daily active users** 
 . You will support the development of analytics tools, monitoring systems, and reporting pipelines that improve visibility into product health, business performance, and model outcomes. You’ll partner closely with research scientists, engineers, and business stakeholders to uncover insights, diagnose issues, and identify opportunities for growth.
 This role is ideal for someone early in their data science career who enjoys solving ambiguous problems, has foundational statistical and modeling knowledge, and is excited to build impactful tools used across the organization.
 Key Responsibilities
 Analytics, Monitoring \&amp; Tooling
* Build and maintain dashboards, monitoring systems, and automated reporting to track product, business, and model performance.
* Develop scalable analytics pipelines to surface key metrics, detect anomalies, and support timely issue diagnosis..
* Define and refine KPIs, using structured, hypothesis\-driven analysis to understand performance changes and long\-term trends.
 Insights Discovery \&amp; Model Evaluation
* Analyze large datasets to identify trends, diagnose performance changes, and uncover growth opportunities.
* Conduct exploratory analysis, root\-cause investigations, and hypothesis\-driven deep dives.
* Support engineering and research science teams in evaluating model performance, including stability, calibration, and long\-term health.
 Experimentation \&amp; Measurement
* Assist in designing A/B tests, computing key metrics, and interpreting results.
* Apply basic statistical reasoning (e.g., variance, confidence intervals, significance testing) to support decision\-making.
 Cross\-Functional Collaboration
* Partner with engineering to integrate new data sources, refine data structures, and enable scalable analytics.
* Work with product and business teams to understand analytical needs and translate them into actionable solutions.
**Minimum Qualifications**
* Bachelor’s degree in Data Science, Statistics, Computer Science, Mathematics, Economics, Engineering, or another quantitative discipline.
* Basic understanding of core statistical concepts and introductory modeling techniques, with the ability to apply them in practical analysis
* 0–3 years of experience in data analytics or data science (internships or projects count). Proficiency with SQL and at least one analytical programming language (Python preferred).
* Ability to work with large datasets and translate findings into actionable recommendations.
* Ability to translate business questions into analytical frameworks and communicate insights effectively to both technical and non\-technical audiences.
* Curious, proactive mindset with a desire to learn quickly and contribute meaningfully.
**Preferred Qualifications**
* Master’s degree in Data Science or a related quantitative discipline.
* Experience with BI tools such as Looker, Tableau, Superset, Metabase, or similar.
* Familiarity with cloud data warehouses (e.g., BigQuery, Snowflake) and workflow orchestration tools such as Airflow.
* Exposure to A/B testing, experiment design, or statistical evaluation.
* Understanding of digital advertising, performance marketing metrics, or online marketplace dynamics.
* Experience collaborating with cross\-functional teams (engineering, product, business).
 What You’ll Gain
* Hands\-on experience with real production analytics, monitoring systems, and model evaluation.
* Opportunities to build foundational infrastructure that scales across teams.
* Exposure to high\-scale data challenges and real\-world ML performance considerations.
* A meaningful role in driving insights that inform product and business strategy.
 AppLovin provides a competitive total compensation package with a pay for performance rewards approach. Total compensation at AppLovin is based on a number of factors including market location and may vary depending on job\-related knowledge, skills, and experience. Depending on the position offered, equity, and other forms of incentive compensation (as applicable) may be provided as part of a total compensation package, in addition to dental, vision, and other benefits.
**Other Types of Pay:** 
 Equity eligible
**Health Insurance:** 
 Medical, Dental, Vision, Life, Disability
**Retirement Benefits:** 
 401(k) Retirement Plan
**Paid Time Off:** 
 Unlimited Discretionary Time Off
**Paid Holidays:** 
 10 paid holidays per year
**Paid Sick Leave:** 
 80 hours per year
**Method of Application:** 
 Apply online
**Application Window:** 
 The application window is expected to close within 30 days of the posting date.
 All questions or concerns about this posting should be directed to peopleops@applovin.com.
 CA Base Pay Range
 $124,000—$186,000 USD
 AppLovin has become aware of a scam targeting jobseekers with fake “app optimization” and similar roles. We do not ask our candidates to download apps or make any form of payment(s). AppLovin works with applicants through our Careers page and applovin.com email addresses. If you are contacted through other unofficial channels (such as WhatsApp or Telegram) or asked to download an app or make a payment, these contacts are not legitimate. Confirm the information here and contact us directly with any questions.
 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Learn more about EEO rights as an applicant here.
 If you need assistance and/or a reasonable accommodation due to a disability during the application or recruiting process, please send us a request at accommodations@applovin.com.
 AppLovin will consider for employment all qualified applicants with criminal histories in a manner consistent with applicable law. If you’re applying for a position in California, learn more here.
 To support an efficient and fair hiring process, we may use technology\-assisted tools, including artificial intelligence (AI), to help identify and evaluate candidates. All hiring decisions are ultimately made by human reviewers.
 Please read our Global Applicant Privacy Notice to learn more about how AppLovin processes your personal information.</t>
        </is>
      </c>
    </row>
    <row r="9">
      <c r="A9" t="inlineStr">
        <is>
          <t>li-4345371508</t>
        </is>
      </c>
      <c r="B9" t="inlineStr">
        <is>
          <t>Data Scientist</t>
        </is>
      </c>
      <c r="C9" t="inlineStr">
        <is>
          <t>RemoteHunter</t>
        </is>
      </c>
      <c r="D9" t="inlineStr">
        <is>
          <t>linkedin</t>
        </is>
      </c>
      <c r="E9" t="inlineStr"/>
      <c r="F9" t="inlineStr"/>
      <c r="G9" t="inlineStr"/>
      <c r="H9" t="inlineStr"/>
      <c r="I9" t="inlineStr">
        <is>
          <t>About the Organization:
 The organization is building the first super app to simplify car ownership by integrating services such as insurance, buy/sell, registration, loans, safety, repairs, and parking within a $2 trillion U.S. market. Founded in 2019, the company has expanded from insurance to loan refinancing, driving insights, repair marketplace, car diagnostics, and a GenAI\-powered chatbot and voicebot. It has grown to over 5 million customers, raised $240 million in funding, achieved 60X revenue growth, and scaled its team to 225 employees across six countries. The data scientist role supports critical business initiatives and growth strategies by leveraging advanced machine learning and data\-driven decision\-making.
 Responsibilities:
 • Partner with marketing, product, and business development teams to integrate customer performance insights into acquisition strategies
 • Lead the design, execution, and analysis of A/B experiments on new and existing features
 • Define, test, and optimize levers to drive profitable and scalable user acquisition and partnership growth
 • Identify opportunities to automate manual processes and improve operational efficiency
 Requirements:
 • Bachelor’s degree in a quantitatively or intellectually rigorous discipline
 • Minimum 1 year of experience from a top\-tier economic consulting firm (e.g., Analysis Group, Cornerstone Research, Charles River Associates) OR 1 year of management consulting experience from a top firm (e.g., McKinsey, Bain, Boston Consulting Group) OR relevant experience in data science or business analysis
 • Proficient in SQL or Python
 • Strong problem\-solving skills using first principles
 • Effective communication skills across all organizational levels
 • High standards for personal and team performance
 Benefits \&amp; Perks:
 • Health, dental, and vision coverage
 • Paid time off and paid parental leave
 • 401(k) plan with employer matching
 • Wellness benefits
 • Equity opportunities as part of total rewards package
 Compensation:
 • Starting pay will fall within the stated pay range for the role, based on skills, experience, qualifications, work location, and market conditions
 • Compensation may include base salary and opportunities for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
      <c r="A10" t="inlineStr">
        <is>
          <t>li-4327978223</t>
        </is>
      </c>
      <c r="B10" t="inlineStr">
        <is>
          <t>Research Data Scientist, Ads Metrics</t>
        </is>
      </c>
      <c r="C10" t="inlineStr">
        <is>
          <t>Google</t>
        </is>
      </c>
      <c r="D10" t="inlineStr">
        <is>
          <t>linkedin</t>
        </is>
      </c>
      <c r="E10" t="inlineStr"/>
      <c r="F10" t="inlineStr"/>
      <c r="G10" t="inlineStr">
        <is>
          <t>Mountain View, CA</t>
        </is>
      </c>
      <c r="H10" t="inlineStr"/>
      <c r="I10" t="inlineStr">
        <is>
          <t>**Minimum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 Experience working with Large Language Models (LLM’s) or applied AI.
**About the job** 
 Ads Metrics is the Data Scientist team for Search, Owned and Operated (O\&amp;O) ads. We support the Search Ads and Google Experience (SAGE) organisation in developing the most important ad products at Google. These products are at the heart of Google’s business driving in annual growth and are advanced, and rapidly growing and evolving. We are also working on the most exciting projects related to AI (LLM Eval, AI Mode).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in cross\-projects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knowledge. Design and evaluate models to mathematically express and solve defined problems with limited precedent.
* Gather information, business goals, priorities, and organizational context around the questions to answer, as well as the existing and upcoming data infrastructure.
* Own the process of gathering, extracting, and compiling data across sources via relevant tools (e.g., SQL, R, Python).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
      <c r="A11" t="inlineStr">
        <is>
          <t>li-4320308126</t>
        </is>
      </c>
      <c r="B11" t="inlineStr">
        <is>
          <t>Data Scientist II</t>
        </is>
      </c>
      <c r="C11" t="inlineStr">
        <is>
          <t>CJ</t>
        </is>
      </c>
      <c r="D11" t="inlineStr">
        <is>
          <t>linkedin</t>
        </is>
      </c>
      <c r="E11" t="inlineStr"/>
      <c r="F11" t="inlineStr"/>
      <c r="G11" t="inlineStr">
        <is>
          <t>Santa Barbara, CA</t>
        </is>
      </c>
      <c r="H11" t="inlineStr"/>
      <c r="I11" t="inlineStr">
        <is>
          <t>**Company Description**
**Welcome to Our World**
 We’ve been leading the charge in the affiliate industry from day one—establishing performance marketing and paving the way for future innovations. We're known for maintaining one of the largest, most reliable partnership platforms with impeccable, personalized service.
 Founded in Santa Barbara, California in 1998, CJ (formerly Commission Junction) stands as the most trusted name in performance marketing. We specialize in building partnerships between top brands and reputable publishers to drive revenue and business growth. CJ’s industry\-leading solutions make us the platform of choice for over 3,800 global brands across sectors like retail, travel, finance, technology, and home services. As part of Publicis Groupe, our savvy data capabilities, cutting\-edge tech, and strategic expertise facilitate genuine connections, allowing brands to reach consumers wherever they are.
**A Quick Peek at Affiliate Marketing**
 Think back to your last online purchase. Did an influencer tip you off about a great product and offer a discount? Or perhaps you relied on a trusted review site to make your decision? Whatever path you took, affiliate publishers likely played a role by influencing, informing, or helping you find the best deal. CJ connects brands with these publishers, creating valuable resources for shoppers like you.
**Overview**
 In this client\-facing Data Scientist 2 role at CJ, you will support and lead advanced analysis projects for individual clients and internal collaborators within the Data Science organization. You will take ownership of complex projects end\-to\-end, ensuring data accuracy while delivering actionable insights that drive advertising program growth across e\-commerce, travel, and finance verticals. Collaborating with cross\-functional teams, you will interact directly with clients to translate business needs into impactful data science solutions. You’ll tap into your expertise in PySpark, Scala, Tableau, advanced measurement (incrementality, MMM, lift testing), and modern AI/ML techniques—including large language models (LLMs)—to develop, visualize, and communicate analyses that enable data\-driven decision\-making in a dynamic digital advertising landscape.
**Responsibilities**
 Do these things interest you? You will:
* Lead and support advanced client\-facing data science and analytics projects, including forecasting, incrementality measurement, and program optimization.
* Take ownership of project scoping, data querying and modeling, quality checks, and delivery of actionable insights.
* Analyze large\-scale e\-commerce and advertising datasets, demonstrating statistical and ML methods to uncover opportunities and support growth strategies.
* Design and interpret incrementality tests, marketing mix models (MMM), and lift tests to assess causal impact and optimize marketing spend.
* Build machine learning models, such as forecasting and inferential analysis, and implement solutions about LLM when relevant.
* Create and deliver Tableau dashboards and reporting that distill complex analysis into clear, actionable insights for both internal and external stakeholders.
* Collaborate with account teams, engineers, and other data scientists to design and implement scalable data solutions.
* Present technical findings and recommendations to non\-technical audiences, demonstrating strong client\-facing and communication skills.
**Qualifications**
 What we look for:
* 3\-5 years of professional experience in Data Science and Analytics.
* 2\+ years of hands\-on experience with PySpark, Scala, and Tableau.
* Must have Ad Tech / MarTech industry experience, specifically in e\-commerce, travel, and finance.
* Strong client\-facing experience, including presentations and solution delivery.
* Proven ability to deliver scalable data solutions and actionable insights in digital advertising or affiliate marketing.
* Proficiency with GitLab or GitHub for version control and collaborative development.
* Experience developing alongside LLM code assistants (e.g., Copilot, Claude, Codex).
* Preferred: Experience implementing LLMs into business workflows, including training, fine\-tuning, and manipulation for applied use cases.
* Experience with incrementality testing, MMM, and lift test design and analysis.
* Strong communication skills with the ability to simplify and explain complex technical results to non\-technical collaborators.
**Additional Information**
 Hybrid or Remote
**You must be work authorized in the United States without the need for employer sponsorship.**
 CJ is the leader in Performance Marketing.  We take pride in our innovative technology, comprehensive data solutions and our people.  We equip our teams with advanced tools, training and career development opportunities all to provide modern solutions, strategies and support to deliver high quality results for our clients. We work in an enthusiastic, collaborative team setting that values outstanding performance.
 We're a community of creative and passionate problem solvers who go the distance to tackle the tough questions, think creatively, and drive resourceful growth, for our clients—and ourselves. We foster and embody an inclusive and collaborative culture where diverse perspectives are sought, relationships are valued, and people feel accepted with a sense of belonging in expressing themselves authentically. We pride ourselves in having a workplace environment that values both work and play.
**Why Our Workplace Stands Out**
 Apart from offering competitive salaries, 401K matching, wellness programs, and comprehensive medical, dental, and vision coverage, we provide:
* Flexible time off without the hassle of accrual
* A generous number of paid holidays
* Company\-sponsored team\-building events
* An Employee Referral Program
* Annual recognition awards
* Hybrid work arrangements for optimal work\-life balance
* Parental bonding leave
* Backup care options for children and elders
* An employee discount program
* International SOS program for global support
* Business Resource Groups, where employees connect over shared interests to cultivate an engaging, inclusive environment
 …and those are just a few of our great perks! Come join us and see what makes our company a great place to work.
 If you require accommodation or assistance with the application or onboarding process specifically, please contact USMSTACompliance@publicis.com.
 Compensation Range: $87,210 \- $115,000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1/9/26\.
 All your information will be kept confidential according to EEO guidelines.</t>
        </is>
      </c>
    </row>
    <row r="12">
      <c r="A12" t="inlineStr">
        <is>
          <t>li-4321145802</t>
        </is>
      </c>
      <c r="B12" t="inlineStr">
        <is>
          <t>Data Scientist</t>
        </is>
      </c>
      <c r="C12" t="inlineStr">
        <is>
          <t>Mars United Commerce</t>
        </is>
      </c>
      <c r="D12" t="inlineStr">
        <is>
          <t>linkedin</t>
        </is>
      </c>
      <c r="E12" t="inlineStr"/>
      <c r="F12" t="inlineStr"/>
      <c r="G12" t="inlineStr">
        <is>
          <t>Southfield, MI</t>
        </is>
      </c>
      <c r="H12" t="inlineStr"/>
      <c r="I12" t="inlineStr">
        <is>
          <t>**Company Description**
 Mars United℠ Commerce is a global commerce marketing practice that aligns people, technology, and intelligence to make the business of our clients better today than it was yesterday. Our worldwide capabilities coalesce into four key disciplines — Strategy \&amp; Analytics, Content \&amp; Experiences, Digital Commerce, and Retail Consultancy — that individually deliver unmatched results for clients and collectively give them an unparalleled network of seamlessly integrated functions across the entire commerce marketing ecosystem. These disciplines are powered by our industry\-leading technology platform, Marilyn®, which helps marketers understand the total business impact of their commerce marketing activation, enabling them to make better decisions, create connected experiences, and drive stronger, measurable results. Learn more at https://www.marsunited.com/.
**Overview**
 Part of the overall Analytics Group, the Data Science team is responsible for all data modeling, algorithm development, and creating machine learning and AI models. They develop techniques such as regression, classification, clustering, natural language processing (NLP), and more. Additionally, they focus on marketing analytics, using advanced data science techniques to analyze marketing performance, optimize campaigns, and provide actionable insights to enhance marketing effectiveness.
* Core Responsibilities: Data Modeling, Feature Engineering, Sentiment Analysis, Propensity Modeling, CM3, Model Training \&amp; Testing, Forecasting, Multi\-touch/Data\-driven Attribution, etc.
* Primary Tools: Databricks, Azure Synapse, Alteryx, Python, SQL
**Responsibilities**
 As a Data Scientist, you will leverage your strong technical skills and experience to develop data science and AI solutions. This role requires a deep understanding of data science and machine learning techniques and the ability to collaborate with various teams to ensure data quality and actionable insights. Specifically, the Data Scientist will:
* Collaborate with stakeholders to understand business requirements and translate them into actionable data science projects.
* Work closely with cross\-functional teams, including analysts, product managers, and domain experts, to understand business requirements, formulate problem statements, and deliver relevant data science solutions.
* Develop and optimize machine learning models by processing, analyzing and extracting data from varying internal and external data sources.
* Develop supervised, unsupervised, and semi\-supervised machine learning models using state\-of\-the\-art techniques to solve client problems.
* Own and manage complex ETL pipelines to clean, preprocess, and transform large datasets.
* Identify and engineer relevant features to enhance model performance and accuracy.
* Design and implement robust evaluation metrics and frameworks to assess and monitor the performance of machine learning models.
* Communicate findings and recommendations through comprehensive reports and engaging presentations.
* Support wider agency initiatives.
* Show up \- be accountable, take responsibility, and get back up when you are down.
* Make stuff.
* Share so others can see what’s happening.
**Qualifications**
 A Bachelors’/Master’s degree in Mathematics, Statistics, Data Analytics, Computer Science, or a directly related field.
* 1\+ years of industry experience in a data science/data analysis/statistical analyst role.
* Comfortable in manipulating and analyzing complex, high\-volume, high\-dimensionality data from varying sources using Python/R libraries and SQL.
* Familiarity with relational, SQL, and NoSQL databases.
* Databricks experience is a big plus point.
* Knowledge of statistical analysis tools such as R is a plus.
* Knowledge of scripting in SQL and Python using OOP concepts.
* Experience with PowerBI or Tableau.
* Experience with cloud platforms (e.g., AWS, Azure, Google Cloud) and big data technologies.
* Experience in DevOps or MLOps is a plus.
* Experience with DS or ML frameworks and libraries (e.g., Spark, TensorFlow, PyTorch) is a plus.
* Strong communication skills to effectively convey complex findings to non\-technical stakeholders.
* Collaborative mindset to work seamlessly with creative, strategic, and client\-facing teams.
* Critical thinking to analyze data and derive meaningful insights.
* Experience in the marketing domain is preferred.
* Ensure the accuracy and reliability of data through rigorous QA processes.
* Validate model outputs to ensure they meet business requirements.
* Conduct unit tests and validation checks on data and models.
* Perform A/B testing to evaluate model performance and impact.
* Document all data analysis and modeling processes.
* Maintain comprehensive records of data sources, methodologies, and results.
* Ensure compliance with data governance and security policies.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Compensation Range: $54,910 to $72,300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1/15/2026\.
 All your information will be kept confidential according to EEO guidelines.</t>
        </is>
      </c>
    </row>
    <row r="13">
      <c r="A13" t="inlineStr">
        <is>
          <t>li-4328241314</t>
        </is>
      </c>
      <c r="B13" t="inlineStr">
        <is>
          <t>Senior Data Scientist, Analytics</t>
        </is>
      </c>
      <c r="C13" t="inlineStr">
        <is>
          <t>Discord</t>
        </is>
      </c>
      <c r="D13" t="inlineStr">
        <is>
          <t>linkedin</t>
        </is>
      </c>
      <c r="E13" t="inlineStr"/>
      <c r="F13" t="inlineStr"/>
      <c r="G13" t="inlineStr"/>
      <c r="H13" t="inlineStr"/>
      <c r="I13"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As a member of the Data Science \&amp; Analytics team, you will help Discord achieve its mission of making it easier and more fun for people to talk and hang out before, during, and after playing games. Analytics Data Scientists leverage their deep analytical skills and product intuition to solve a wide array of complex problems \- from strategic analysis to dashboard creation and experimentation design and analysis. We are currently hiring across a variety of data science verticals and teams. If you’re passionate about data, impact, and working on an amazing team, read on!
**What You'll Be Doing**
* Partner with teams throughout Discord through the full lifecycle of data science analytics from ideation and exploratory analysis, to building dashboards and reports, and A/B testing
* Define KPIs and metrics that help improve the user experience, encapsulating these measures in clean crisp dashboards that provide the company with timely and actionable information
* Use our amazing infrastructure to quickly and easily build custom data sets to monitor novel product features and processes
* Proactively socialize insights, dashboards, and reports with technical and non\-technical audiences, soliciting feedback on where to improve
* Be a champion of A/B testing and help groups throughout the company design, analyze, and interpret A/B tests correctly
* Collaborate with data and engineering teams to design scalable and future\-proof instrumentation
**What You Should Have**
* 4\+ years of experience autonomously translating ambiguous business problems into deep informative insights through hands\-on analytics
* 4\+ years of experience building performant dashboards using Tableau, Looker, or similar software \- with proficiency in designing clean crisp visualizations
* 4\+ years experience writing excellent SQL
* Excellent communication skills, with the ability to translate complicated findings or technical approaches in easy\-to\-understand ways
* 4\+ years of experience in the design, analysis, and interpretation of A/B tests in a large data environment
* A desire to work with amazing, passionate people who care deeply about solving challenging problems to improve Discord
* Last but not least \- a collaborative attitude and a healthy dose of natural curiosity!
**Bonus Points**
* Passion for Discord or online communities
* Experience with technical leadership, being the point person for one or more stakeholder groups
* Experience with analytics for social media or international subscription\-based online services, including familiarity with concepts such as social graphs, LTV analysis, funnel analysis, etc.
* Experience in the user engagement and growth problems
* Experience writing performant code in BigQuery SQL
* Experience with writing production ETL
*Candidates must reside in or be willing to relocate to the San Francisco Bay Area (Alameda, Contra Costa, Marin, Napa, San Francisco, San Mateo, Santa Clara, Solano, and Sonoma counties). Relocation assistance may be available.*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14">
      <c r="A14" t="inlineStr">
        <is>
          <t>li-4339275737</t>
        </is>
      </c>
      <c r="B14" t="inlineStr">
        <is>
          <t>Data Scientist I</t>
        </is>
      </c>
      <c r="C14" t="inlineStr">
        <is>
          <t>Bank of America</t>
        </is>
      </c>
      <c r="D14" t="inlineStr">
        <is>
          <t>linkedin</t>
        </is>
      </c>
      <c r="E14" t="inlineStr"/>
      <c r="F14" t="inlineStr"/>
      <c r="G14" t="inlineStr">
        <is>
          <t>Charlotte, NC</t>
        </is>
      </c>
      <c r="H14" t="inlineStr"/>
      <c r="I14"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**The Data and AI team within Global Payment Solutions (GPS) at Bank of America** 
 is looking for a highly technical Research Engineer that is a self\-starter who can translate complex concepts and generate actionable insights.
**Who we are:**
 The GPS Data and AI team drives and powers innovation within the one of the largest payment businesses in the world. We are the core data scientists building end\-to\-end production level solutions at scale. The team is a collection of individuals that welcomes challenging problems because that is where the learning begins. Many of our projects begin with “think tank” sessions with business teams that is later translated to tangible solutions and products.
**Representative Projects:**
* Develop advanced statistical methods to determine the optimal interest\-rate or product pricing strategies for clients
* Build a Generative AI\-powered search platform that enables sales and product teams to access high quality answers to product, servicing, and client related questions
* Develop AI models that shift foreign currency conversion “up the payment stream,” reducing reliability on beneficiary banks
* Apply advanced NLP techniques to generate near real\-time insights into what clients are reaching out to servicing teams about, helping servicing teams anticipate client needs and improve service quality
**Who we’re looking for:**
 As a Research Engineer on the GPS team, you will tackle one of our most import challenges: building models that transform data into revenue\-driving insights and products. This role blends research, engineering, and product responsibilities, requiring you to design statistical models, build scalable ML pipelines, and deploy algorithms directly into our production systems. You will work across teams to solve problems in recommendation, stochastic optimization, and time\-series forecasting; while running large A/B tests on new methods we design to push the boundaries of what data can achieve.
 If you are passionate about working in cross\-functional teams and utilizing your skills for technical product management, statistical analytics, predictive modeling, and generating revenue, consider applying to this role.
**Responsibilities:**
* Frame abstract business problems using advanced data science and machine learning algorithms
* Work with stakeholders throughout the organization to identify opportunities for leveraging internal and external data to drive business solutions
* Own critical research and application development, strengthening the firm's competitive advantage
* Shape cross\-team collaboration to advance the firm's data science capabilities
**Required Skills:**
* Minimum Bachelor’s degree in a quantitative field such as computer science, math, statistics, and physics
* Minimum 3 years of experience with translating mathematical models and algorithms into code (Python and/or C\+\+)
* Strong foundation in probability, statistics, and applied machine learning (NLP, time\-series analysis, Generative AI)
* Prior experience working in a highly technical data driven research environment
* Ability to communicate complex topics in a concise and coherent manner
**Desired Skills:**
* Graduate level degree in a quantitative field such as, computer science, math, statistics, and physics
* Demonstrated prior experience through work, research or passion projects in RAG, Agentic Frameworks, LLMs, Reinforcement Learning
* Are energized by the high stakes and intensity of dynamic environments and ready to dive in whenever
* Are excited to dive into new technical areas on a regular basis
**Shift:**
 1st shift (United States of America)
**Hours Per Week:**
 40</t>
        </is>
      </c>
    </row>
    <row r="15">
      <c r="A15" t="inlineStr">
        <is>
          <t>li-4359922399</t>
        </is>
      </c>
      <c r="B15" t="inlineStr">
        <is>
          <t>Data Scientist</t>
        </is>
      </c>
      <c r="C15" t="inlineStr">
        <is>
          <t>Tilt (formerly Empower)</t>
        </is>
      </c>
      <c r="D15" t="inlineStr">
        <is>
          <t>linkedin</t>
        </is>
      </c>
      <c r="E15" t="inlineStr"/>
      <c r="F15" t="inlineStr"/>
      <c r="G15" t="inlineStr"/>
      <c r="H15" t="inlineStr"/>
      <c r="I15" t="inlineStr">
        <is>
          <t>**About The Company**
 Join the Tilt team. At Tilt (formerly Empower), we are redefining access to financial products by leveraging innovative technology and data\-driven insights. Our mobile\-first solutions and machine learning\-powered credit models analyze over 250 real\-time financial signals, enabling us to look beyond traditional credit scores and recognize genuine potential in our users. Recognized as one of the next billion\-dollar startups, Tilt is committed to creating a new credit system that supports the working individuals striving toward their financial goals. Our mission is to provide fair, accessible, and transparent credit options that empower people to improve their financial lives.
**About The Role**
 We are seeking a highly skilled Staff Data Scientist to join our dynamic team. In this role, you will oversee the entire lifecycle of machine learning model development, from collaborating with stakeholders to understand business needs, designing and building scalable model pipelines, to deploying and monitoring models in production environments. You will work closely with credit, product, and finance teams to inform strategic decisions and optimize our credit risk models for Tilt Cash Advance and Thrive Line of Credit products. This position offers an exciting opportunity to impact millions of users by developing innovative ML solutions aimed at reducing loss rates and increasing approval rates. The ideal candidate is passionate about harnessing data to drive business growth and enhancing customer financial well\-being. As a remote\-first company, Tilt values flexibility and connectivity, with regular company offsites to foster team cohesion.
**Qualifications**
* Bachelor’s degree in engineering, computer science, finance, mathematics, or related fields
* 6\+ years of industry experience in data mining, machine learning, statistical analysis, or predictive modeling
* Deep understanding of statistical and machine learning techniques including regression, classification, clustering, and optimization
* Proven experience in building predictive models from scratch
* Strong programming skills in Python and intermediate to advanced SQL proficiency
* Hands\-on experience with ML packages such as scikit\-learn, LightGBM, XGBoost, SparkML
* Knowledge of deep learning frameworks like TensorFlow, Keras, or PyTorch (preferred but not mandatory)
* Ability to collaborate effectively with cross\-functional teams including tech, product, credit, and operations
* Exceptional problem\-solving skills and strong communication abilities, capable of engaging both technical and executive audiences
**Responsibilities**
* Design, develop, and optimize machine learning models to address business priorities such as credit risk assessment, fraud detection, and customer experience enhancement
* Collaborate with stakeholders to understand requirements and translate them into technical solutions
* Build and maintain scalable data pipelines and analytics frameworks to support current and future analysis needs
* Implement models into production environments in partnership with engineering teams, ensuring robustness and efficiency
* Continuously monitor model performance and iterate to improve accuracy and reliability
* Develop data standards and best practices for model development and deployment
* Influence strategies related to underwriting, marketing, and customer engagement through data insights
* Communicate complex technical concepts to non\-technical stakeholders effectively
* Stay updated with the latest advancements in machine learning and data science to incorporate innovative techniques into our solutions
**Benefits**
* Flexible, virtual\-first work environment with support for remote work
* Competitive compensation packages complemented by generous equity options
* Comprehensive health plans at various premium levels with substantial subsidies
* Regular company offsites to promote team bonding and collaboration
* Visibility and direct interaction with leadership to influence company strategy
* Paid global onsite visits twice a year for team reunions and activities
* Opportunities for professional growth and recognition based on contributions
 Equal Opportunity
 Tilt is an equal opportunity employer. We celebrate diversity and are committed to creating an inclusive environment for all employees. We do not discriminate based on race, ethnicity, gender, age, sexual orientation, disability, or any other protected characteristic. We believe that diverse perspectives drive innovation and are essential to our mission of expanding access to fair credit for everyone.</t>
        </is>
      </c>
    </row>
    <row r="16">
      <c r="A16" t="inlineStr">
        <is>
          <t>li-4320148451</t>
        </is>
      </c>
      <c r="B16" t="inlineStr">
        <is>
          <t>Data Scientist II</t>
        </is>
      </c>
      <c r="C16" t="inlineStr">
        <is>
          <t>CJ</t>
        </is>
      </c>
      <c r="D16" t="inlineStr">
        <is>
          <t>linkedin</t>
        </is>
      </c>
      <c r="E16" t="inlineStr"/>
      <c r="F16" t="inlineStr"/>
      <c r="G16" t="inlineStr">
        <is>
          <t>Agoura Hills, CA</t>
        </is>
      </c>
      <c r="H16" t="inlineStr"/>
      <c r="I16" t="inlineStr">
        <is>
          <t>**Company Description**
**Welcome to Our World**
 We’ve been leading the charge in the affiliate industry from day one—establishing performance marketing and paving the way for future innovations. We're known for maintaining one of the largest, most reliable partnership platforms with impeccable, personalized service.
 Founded in Santa Barbara, California in 1998, CJ (formerly Commission Junction) stands as the most trusted name in performance marketing. We specialize in building partnerships between top brands and reputable publishers to drive revenue and business growth. CJ’s industry\-leading solutions make us the platform of choice for over 3,800 global brands across sectors like retail, travel, finance, technology, and home services. As part of Publicis Groupe, our savvy data capabilities, cutting\-edge tech, and strategic expertise facilitate genuine connections, allowing brands to reach consumers wherever they are.
**A Quick Peek at Affiliate Marketing**
 Think back to your last online purchase. Did an influencer tip you off about a great product and offer a discount? Or perhaps you relied on a trusted review site to make your decision? Whatever path you took, affiliate publishers likely played a role by influencing, informing, or helping you find the best deal. CJ connects brands with these publishers, creating valuable resources for shoppers like you.
**Overview**
 In this client\-facing Data Scientist 2 role at CJ, you will support and lead advanced analysis projects for individual clients and internal collaborators within the Data Science organization. You will take ownership of complex projects end\-to\-end, ensuring data accuracy while delivering actionable insights that drive advertising program growth across e\-commerce, travel, and finance verticals. Collaborating with cross\-functional teams, you will interact directly with clients to translate business needs into impactful data science solutions. You’ll tap into your expertise in PySpark, Scala, Tableau, advanced measurement (incrementality, MMM, lift testing), and modern AI/ML techniques—including large language models (LLMs)—to develop, visualize, and communicate analyses that enable data\-driven decision\-making in a dynamic digital advertising landscape.
**Responsibilities**
 Do these things interest you? You will:
* Lead and support advanced client\-facing data science and analytics projects, including forecasting, incrementality measurement, and program optimization.
* Take ownership of project scoping, data querying and modeling, quality checks, and delivery of actionable insights.
* Analyze large\-scale e\-commerce and advertising datasets, demonstrating statistical and ML methods to uncover opportunities and support growth strategies.
* Design and interpret incrementality tests, marketing mix models (MMM), and lift tests to assess causal impact and optimize marketing spend.
* Build machine learning models, such as forecasting and inferential analysis, and implement solutions about LLM when relevant.
* Create and deliver Tableau dashboards and reporting that distill complex analysis into clear, actionable insights for both internal and external stakeholders.
* Collaborate with account teams, engineers, and other data scientists to design and implement scalable data solutions.
* Present technical findings and recommendations to non\-technical audiences, demonstrating strong client\-facing and communication skills.
**Qualifications**
 What we look for:
* 3\-5 years of professional experience in Data Science and Analytics.
* 2\+ years of hands\-on experience with PySpark, Scala, and Tableau.
* Must have Ad Tech / MarTech industry experience, specifically in e\-commerce, travel, and finance.
* Strong client\-facing experience, including presentations and solution delivery.
* Proven ability to deliver scalable data solutions and actionable insights in digital advertising or affiliate marketing.
* Proficiency with GitLab or GitHub for version control and collaborative development.
* Experience developing alongside LLM code assistants (e.g., Copilot, Claude, Codex).
* Preferred: Experience implementing LLMs into business workflows, including training, fine\-tuning, and manipulation for applied use cases.
* Experience with incrementality testing, MMM, and lift test design and analysis.
* Strong communication skills with the ability to simplify and explain complex technical results to non\-technical collaborators.
**Additional Information**
 Hybrid or Remote
**You must be work authorized in the United States without the need for employer sponsorship.**
 CJ is the leader in Performance Marketing.  We take pride in our innovative technology, comprehensive data solutions and our people.  We equip our teams with advanced tools, training and career development opportunities all to provide modern solutions, strategies and support to deliver high quality results for our clients. We work in an enthusiastic, collaborative team setting that values outstanding performance.
 We're a community of creative and passionate problem solvers who go the distance to tackle the tough questions, think creatively, and drive resourceful growth, for our clients—and ourselves. We foster and embody an inclusive and collaborative culture where diverse perspectives are sought, relationships are valued, and people feel accepted with a sense of belonging in expressing themselves authentically. We pride ourselves in having a workplace environment that values both work and play.
**Why Our Workplace Stands Out**
 Apart from offering competitive salaries, 401K matching, wellness programs, and comprehensive medical, dental, and vision coverage, we provide:
* Flexible time off without the hassle of accrual
* A generous number of paid holidays
* Company\-sponsored team\-building events
* An Employee Referral Program
* Annual recognition awards
* Hybrid work arrangements for optimal work\-life balance
* Parental bonding leave
* Backup care options for children and elders
* An employee discount program
* International SOS program for global support
* Business Resource Groups, where employees connect over shared interests to cultivate an engaging, inclusive environment
 …and those are just a few of our great perks! Come join us and see what makes our company a great place to work.
 If you require accommodation or assistance with the application or onboarding process specifically, please contact USMSTACompliance@publicis.com.
 Compensation Range: $87,210 \- $115,000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1/9/26\.
 All your information will be kept confidential according to EEO guidelines.</t>
        </is>
      </c>
    </row>
    <row r="17">
      <c r="A17" t="inlineStr">
        <is>
          <t>li-4359942352</t>
        </is>
      </c>
      <c r="B17" t="inlineStr">
        <is>
          <t>Data Scientist, Sr.</t>
        </is>
      </c>
      <c r="C17" t="inlineStr">
        <is>
          <t>Oscilar</t>
        </is>
      </c>
      <c r="D17" t="inlineStr">
        <is>
          <t>linkedin</t>
        </is>
      </c>
      <c r="E17" t="inlineStr"/>
      <c r="F17" t="inlineStr"/>
      <c r="G17" t="inlineStr"/>
      <c r="H17" t="inlineStr"/>
      <c r="I17" t="inlineStr">
        <is>
          <t>**About The Company**
 Oscilar is at the forefront of developing the most advanced AI Risk Decisioning Platform, dedicated to shaping the future of trust in the digital age. Our innovative solutions empower banks, fintechs, and digitally native organizations to effectively manage their fraud, credit, and compliance risks through cutting\-edge artificial intelligence technologies. Committed to making the internet safer for everyone, Oscilar combines industry expertise with technological innovation to address complex security challenges. Our team comprises seasoned professionals from leading companies such as Meta, Uber, Citi, and Confluent, all united by a shared mission to enhance digital safety and trust. As a mission\-driven organization, we foster a culture of ownership, impact, and continuous innovation, providing an environment where talented individuals can thrive and contribute to transformative change in the financial technology landscape.
**About The Role**
 We are seeking a highly skilled Data Scientist to join Oscilar’s dynamic Machine Learning team. In this pivotal role, you will be responsible for developing and deploying advanced fraud detection models that safeguard our customers' businesses from fraudulent activities. As an early member of the ML team, you will have a significant impact on building and expanding our machine learning infrastructure and capabilities. Your expertise will directly influence how modern financial institutions detect and prevent fraud, ensuring the security and integrity of digital transactions. This role offers a unique opportunity to work at the intersection of data science, machine learning, and financial technology, contributing to innovative solutions that make the internet safer for millions of users worldwide.
**Qualifications**
* 3\+ years of experience in data science, machine learning, or related fields, with a focus on fraud prevention and anti\-money laundering
* Proficiency in Python programming language
* Experience working with large datasets and distributed systems such as Apache Spark and Dask
* Strong knowledge of machine learning algorithms and statistical techniques applicable to fraud detection
* Experience with cloud platforms (AWS, GCP, Azure) and familiarity with MLOps practices
* Excellent analytical and problem\-solving skills with the ability to derive actionable insights from complex data
* Strong communication skills, capable of explaining technical concepts to non\-technical stakeholders
* Ability to work independently and collaboratively in a fast\-paced, startup environment
**Responsibilities**
* Develop and implement sophisticated fraud detection models utilizing machine learning and statistical techniques
* Collaborate with cross\-functional teams including engineering, product, and operations to design and deploy effective fraud prevention systems
* Analyze large\-scale data to identify patterns, anomalies, and trends indicative of fraudulent activity
* Continuously evaluate and optimize existing fraud detection models to adapt to evolving fraud tactics
* Stay informed about the latest developments in fraud detection, data science, and machine learning to enhance system capabilities
* Communicate complex data insights and model performance results clearly to both technical and non\-technical audiences
* Ensure compliance with data privacy and security standards in all data analysis and model deployment activities
**Benefits**
* Competitive salary and equity packages, including a 401k plan
* Remote\-first culture enabling flexible work from anywhere
* Comprehensive health, dental, and vision insurance coverage for employees and dependents (US and Canada)
* Unlimited paid time off policy to promote work\-life balance
* Home office setup assistance to support remote work
* Opportunities for professional growth and continuous learning
* Participation in a family\-friendly environment with regular team events and offsites
* Impact\-driven work contributing to making the internet safer for millions of users
 Equal Opportunity
 Oscilar is committed to fostering an inclusive environment where all employees are valued and treated with respect. We are proud to be an equal opportunity employer and do not discriminate based on race, color, religion, gender, sexual orientation, gender identity or expression, age, disability, or any other protected characteristic. We believe diversity enhances our innovation and success, and we welcome applicants from all backgrounds to join our team.</t>
        </is>
      </c>
    </row>
    <row r="18">
      <c r="A18" t="inlineStr">
        <is>
          <t>li-4305777320</t>
        </is>
      </c>
      <c r="B18" t="inlineStr">
        <is>
          <t>Data Scientist II</t>
        </is>
      </c>
      <c r="C18" t="inlineStr">
        <is>
          <t>CJ</t>
        </is>
      </c>
      <c r="D18" t="inlineStr">
        <is>
          <t>linkedin</t>
        </is>
      </c>
      <c r="E18" t="inlineStr"/>
      <c r="F18" t="inlineStr"/>
      <c r="G18" t="inlineStr">
        <is>
          <t>Chicago, IL</t>
        </is>
      </c>
      <c r="H18" t="inlineStr"/>
      <c r="I18" t="inlineStr">
        <is>
          <t>**Company Description**
**Welcome to Our World**
 We’ve been leading the charge in the affiliate industry from day one—establishing performance marketing and paving the way for future innovations. We're known for maintaining one of the largest, most reliable partnership platforms with impeccable, personalized service.
 Founded in Santa Barbara, California in 1998, CJ (formerly Commission Junction) stands as the most trusted name in performance marketing. We specialize in building partnerships between top brands and reputable publishers to drive revenue and business growth. CJ’s industry\-leading solutions make us the platform of choice for over 3,800 global brands across sectors like retail, travel, finance, technology, and home services. As part of Publicis Groupe, our savvy data capabilities, cutting\-edge tech, and strategic expertise facilitate genuine connections, allowing brands to reach consumers wherever they are.
**A Quick Peek at Affiliate Marketing**
 Think back to your last online purchase. Did an influencer tip you off about a great product and offer a discount? Or perhaps you relied on a trusted review site to make your decision? Whatever path you took, affiliate publishers likely played a role by influencing, informing, or helping you find the best deal. CJ connects brands with these publishers, creating valuable resources for shoppers like you.
**Overview**
 In this client\-facing Data Scientist 2 role at CJ, you will support and lead advanced analysis projects for individual clients and internal collaborators within the Data Science organization. You will take ownership of complex projects end\-to\-end, ensuring data accuracy while delivering actionable insights that drive advertising program growth across e\-commerce, travel, and finance verticals. Collaborating with cross\-functional teams, you will interact directly with clients to translate business needs into impactful data science solutions. You’ll tap into your expertise in PySpark, Scala, Tableau, advanced measurement (incrementality, MMM, lift testing), and modern AI/ML techniques—including large language models (LLMs)—to develop, visualize, and communicate analyses that enable data\-driven decision\-making in a dynamic digital advertising landscape.
**Responsibilities**
 Do these things interest you? You will:
* Lead and support advanced client\-facing data science and analytics projects, including forecasting, incrementality measurement, and program optimization.
* Take ownership of project scoping, data querying and modeling, quality checks, and delivery of actionable insights.
* Analyze large\-scale e\-commerce and advertising datasets, demonstrating statistical and ML methods to uncover opportunities and support growth strategies.
* Design and interpret incrementality tests, marketing mix models (MMM), and lift tests to assess causal impact and optimize marketing spend.
* Build machine learning models, such as forecasting and inferential analysis, and implement solutions about LLM when relevant.
* Create and deliver Tableau dashboards and reporting that distill complex analysis into clear, actionable insights for both internal and external stakeholders.
* Collaborate with account teams, engineers, and other data scientists to design and implement scalable data solutions.
* Present technical findings and recommendations to non\-technical audiences, demonstrating strong client\-facing and communication skills.
**Qualifications**
 What we look for:
* 3\-5 years of professional experience in Data Science and Analytics.
* 2\+ years of hands\-on experience with PySpark, Scala, and Tableau.
* Must have Ad Tech / MarTech industry experience, specifically in e\-commerce, travel, and finance.
* Strong client\-facing experience, including presentations and solution delivery.
* Proven ability to deliver scalable data solutions and actionable insights in digital advertising or affiliate marketing.
* Proficiency with GitLab or GitHub for version control and collaborative development.
* Experience developing alongside LLM code assistants (e.g., Copilot, Claude, Codex).
* Preferred: Experience implementing LLMs into business workflows, including training, fine\-tuning, and manipulation for applied use cases.
* Experience with incrementality testing, MMM, and lift test design and analysis.
* Strong communication skills with the ability to simplify and explain complex technical results to non\-technical collaborators.
**Additional Information**
 Hybrid or Remote
**You must be work authorized in the United States without the need for employer sponsorship.**
 CJ is the leader in Performance Marketing.  We take pride in our innovative technology, comprehensive data solutions and our people.  We equip our teams with advanced tools, training and career development opportunities all to provide modern solutions, strategies and support to deliver high quality results for our clients. We work in an enthusiastic, collaborative team setting that values outstanding performance.
 We're a community of creative and passionate problem solvers who go the distance to tackle the tough questions, think creatively, and drive resourceful growth, for our clients—and ourselves. We foster and embody an inclusive and collaborative culture where diverse perspectives are sought, relationships are valued, and people feel accepted with a sense of belonging in expressing themselves authentically. We pride ourselves in having a workplace environment that values both work and play.
**Why Our Workplace Stands Out**
 Apart from offering competitive salaries, 401K matching, wellness programs, and comprehensive medical, dental, and vision coverage, we provide:
* Flexible time off without the hassle of accrual
* A generous number of paid holidays
* Company\-sponsored team\-building events
* An Employee Referral Program
* Annual recognition awards
* Hybrid work arrangements for optimal work\-life balance
* Parental bonding leave
* Backup care options for children and elders
* An employee discount program
* International SOS program for global support
* Business Resource Groups, where employees connect over shared interests to cultivate an engaging, inclusive environment
 …and those are just a few of our great perks! Come join us and see what makes our company a great place to work.
 If you require accommodation or assistance with the application or onboarding process specifically, please contact USMSTACompliance@publicis.com.
 Compensation Range: $87,210 \- $115,000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1/9/26\.
 All your information will be kept confidential according to EEO guidelines.</t>
        </is>
      </c>
    </row>
    <row r="19">
      <c r="A19" t="inlineStr">
        <is>
          <t>li-4303433868</t>
        </is>
      </c>
      <c r="B19" t="inlineStr">
        <is>
          <t>Senior Data Scientist, Experimentation</t>
        </is>
      </c>
      <c r="C19" t="inlineStr">
        <is>
          <t>Robinhood</t>
        </is>
      </c>
      <c r="D19" t="inlineStr">
        <is>
          <t>linkedin</t>
        </is>
      </c>
      <c r="E19" t="inlineStr"/>
      <c r="F19" t="inlineStr"/>
      <c r="G19" t="inlineStr">
        <is>
          <t>Menlo Park, CA</t>
        </is>
      </c>
      <c r="H19" t="inlineStr"/>
      <c r="I19"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**Experimentation Platform** 
 team at Robinhood builds the systems and infrastructure that power our company\-wide experimentation efforts. Our mission is to enable rapid, trustworthy, and statistically sound experimentation at scale, empowering teams to learn quickly and make confident decisions. The team’s work has a direct impact on product velocity and business outcomes, driving a culture of data\-informed innovation across Robinhood.
 As a
 **Data Scientist** 
 on the Experimentation Platform team, you will play a key role in shaping the statistical foundations of our experimentation systems. You'll collaborate closely with engineering, product, and data teams to advance best practices in A/B testing, improve experiment velocity, and build capabilities that help Robinhood scale experimentation effectively. This is a high\-impact role with the opportunity to define how we learn and iterate across our products.
 This role is based in our
 **Menlo Park**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Evaluate current experimentation practices across Robinhood and identify areas for improvement.
* Enhance statistical methodologies underpinning the experimentation platform, including A/B testing and advanced techniques.
* Partner with engineering to build scalable tools and infrastructure for experimentation.
* Develop and evangelize best practices for experimentation across cross\-functional teams.
* Consult with data science and product teams to ensure rigorous experimental design and interpretation.
* Contribute to roadmap planning by identifying high\-leverage opportunities for platform development.
**What You Bring**
* Master’s or PhD in a quantitative field (e.g., statistics, economics, mathematics, engineering, natural sciences).
* 3\+ years of experience with A/B testing, causal inference, experimental design, and statistical analysis in a tech environment.
* Deep expertise in statistical methods such as multivariate testing, adaptive experimentation, bayesian inference and machine learning techniques.
* Proficiency in Python or R for data analysis and experimentation workflows.
* Strong communication skills, a collaborative mindset, and a proactive approach to problem\-solving.
* Experience contributing to or building experimentation tooling is a plus.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$187,000—$220,000 USD
 Zone 2 (Denver, CO; Westlake, TX; Chicago, IL)
 $165,000—$194,000 USD
 Zone 3 (Lake Mary, FL; Clearwater, FL; Gainesville, FL)
 $146,000—$172,000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20">
      <c r="A20" t="inlineStr">
        <is>
          <t>li-4320208301</t>
        </is>
      </c>
      <c r="B20" t="inlineStr">
        <is>
          <t>Data Scientist II</t>
        </is>
      </c>
      <c r="C20" t="inlineStr">
        <is>
          <t>CJ</t>
        </is>
      </c>
      <c r="D20" t="inlineStr">
        <is>
          <t>linkedin</t>
        </is>
      </c>
      <c r="E20" t="inlineStr"/>
      <c r="F20" t="inlineStr"/>
      <c r="G20" t="inlineStr">
        <is>
          <t>New York, NY</t>
        </is>
      </c>
      <c r="H20" t="inlineStr"/>
      <c r="I20" t="inlineStr">
        <is>
          <t>**Company Description**
**Welcome to Our World**
 We’ve been leading the charge in the affiliate industry from day one—establishing performance marketing and paving the way for future innovations. We're known for maintaining one of the largest, most reliable partnership platforms with impeccable, personalized service.
 Founded in Santa Barbara, California in 1998, CJ (formerly Commission Junction) stands as the most trusted name in performance marketing. We specialize in building partnerships between top brands and reputable publishers to drive revenue and business growth. CJ’s industry\-leading solutions make us the platform of choice for over 3,800 global brands across sectors like retail, travel, finance, technology, and home services. As part of Publicis Groupe, our savvy data capabilities, cutting\-edge tech, and strategic expertise facilitate genuine connections, allowing brands to reach consumers wherever they are.
**A Quick Peek at Affiliate Marketing**
 Think back to your last online purchase. Did an influencer tip you off about a great product and offer a discount? Or perhaps you relied on a trusted review site to make your decision? Whatever path you took, affiliate publishers likely played a role by influencing, informing, or helping you find the best deal. CJ connects brands with these publishers, creating valuable resources for shoppers like you.
**Overview**
 In this client\-facing Data Scientist 2 role at CJ, you will support and lead advanced analysis projects for individual clients and internal collaborators within the Data Science organization. You will take ownership of complex projects end\-to\-end, ensuring data accuracy while delivering actionable insights that drive advertising program growth across e\-commerce, travel, and finance verticals. Collaborating with cross\-functional teams, you will interact directly with clients to translate business needs into impactful data science solutions. You’ll tap into your expertise in PySpark, Scala, Tableau, advanced measurement (incrementality, MMM, lift testing), and modern AI/ML techniques—including large language models (LLMs)—to develop, visualize, and communicate analyses that enable data\-driven decision\-making in a dynamic digital advertising landscape.
**Responsibilities**
 Do these things interest you? You will:
* Lead and support advanced client\-facing data science and analytics projects, including forecasting, incrementality measurement, and program optimization.
* Take ownership of project scoping, data querying and modeling, quality checks, and delivery of actionable insights.
* Analyze large\-scale e\-commerce and advertising datasets, demonstrating statistical and ML methods to uncover opportunities and support growth strategies.
* Design and interpret incrementality tests, marketing mix models (MMM), and lift tests to assess causal impact and optimize marketing spend.
* Build machine learning models, such as forecasting and inferential analysis, and implement solutions about LLM when relevant.
* Create and deliver Tableau dashboards and reporting that distill complex analysis into clear, actionable insights for both internal and external stakeholders.
* Collaborate with account teams, engineers, and other data scientists to design and implement scalable data solutions.
* Present technical findings and recommendations to non\-technical audiences, demonstrating strong client\-facing and communication skills.
**Qualifications**
 What we look for:
* 3\-5 years of professional experience in Data Science and Analytics.
* 2\+ years of hands\-on experience with PySpark, Scala, and Tableau.
* Must have Ad Tech / MarTech industry experience, specifically in e\-commerce, travel, and finance.
* Strong client\-facing experience, including presentations and solution delivery.
* Proven ability to deliver scalable data solutions and actionable insights in digital advertising or affiliate marketing.
* Proficiency with GitLab or GitHub for version control and collaborative development.
* Experience developing alongside LLM code assistants (e.g., Copilot, Claude, Codex).
* Preferred: Experience implementing LLMs into business workflows, including training, fine\-tuning, and manipulation for applied use cases.
* Experience with incrementality testing, MMM, and lift test design and analysis.
* Strong communication skills with the ability to simplify and explain complex technical results to non\-technical collaborators.
**Additional Information**
 Hybrid or Remote
**You must be work authorized in the United States without the need for employer sponsorship.**
 CJ is the leader in Performance Marketing.  We take pride in our innovative technology, comprehensive data solutions and our people.  We equip our teams with advanced tools, training and career development opportunities all to provide modern solutions, strategies and support to deliver high quality results for our clients. We work in an enthusiastic, collaborative team setting that values outstanding performance.
 We're a community of creative and passionate problem solvers who go the distance to tackle the tough questions, think creatively, and drive resourceful growth, for our clients—and ourselves. We foster and embody an inclusive and collaborative culture where diverse perspectives are sought, relationships are valued, and people feel accepted with a sense of belonging in expressing themselves authentically. We pride ourselves in having a workplace environment that values both work and play.
**Why Our Workplace Stands Out**
 Apart from offering competitive salaries, 401K matching, wellness programs, and comprehensive medical, dental, and vision coverage, we provide:
* Flexible time off without the hassle of accrual
* A generous number of paid holidays
* Company\-sponsored team\-building events
* An Employee Referral Program
* Annual recognition awards
* Hybrid work arrangements for optimal work\-life balance
* Parental bonding leave
* Backup care options for children and elders
* An employee discount program
* International SOS program for global support
* Business Resource Groups, where employees connect over shared interests to cultivate an engaging, inclusive environment
 …and those are just a few of our great perks! Come join us and see what makes our company a great place to work.
 If you require accommodation or assistance with the application or onboarding process specifically, please contact USMSTACompliance@publicis.com.
 Compensation Range: $87,210 \- $115,000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1/9/26\.
 All your information will be kept confidential according to EEO guidelines.</t>
        </is>
      </c>
    </row>
    <row r="21">
      <c r="A21" t="inlineStr">
        <is>
          <t>li-4345176815</t>
        </is>
      </c>
      <c r="B21" t="inlineStr">
        <is>
          <t>Senior Data Scientist - Alternative Data &amp; AFS Solutions (Non-Prime Lending)</t>
        </is>
      </c>
      <c r="C21" t="inlineStr">
        <is>
          <t>Experian</t>
        </is>
      </c>
      <c r="D21" t="inlineStr">
        <is>
          <t>linkedin</t>
        </is>
      </c>
      <c r="E21" t="inlineStr"/>
      <c r="F21" t="inlineStr"/>
      <c r="G21" t="inlineStr"/>
      <c r="H21" t="inlineStr"/>
      <c r="I21" t="inlineStr">
        <is>
          <t>Job Posting \- Salary Range: $133,109 \- $239,596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We are looking for an experienced Senior Data Scientist to join our Alternative Financial Services (AFS) department, supporting clients in the non‑prime and near‑prime lending markets. You'll design custom analytics, credit strategies, and machine‑learning models using both traditional and alternative data. This is a client‑facing, solution‑oriented role requiring technical depth and the ability to convert complex analyses into practical, applicable recommendations. You will report to the VP of Analytics Product Build, Innovation, and Scores.
**You'll Have Opportunity To**
* Lead custom analytics and modeling engagements from scoping through delivery and ongoing support.
* Develop credit strategies and ML models (underwriting, line assignment, pricing, early warning, collections).
* Engineer features from alternative, transactional, and bureau data (e.g., recency, frequency, volatility, trend, and behavioral metrics).
* Evaluate and integrate third‑party/alternative data sources (sub‑prime bureaus, cash\-flow, telco, utility, and specialty data).
* Conduct segmentation, lift analysis, and champion/challenger testing to assess performance and incremental value.
* Develop custom scorecards, policy rules, and ML models aligned with each client's risk appetite and regulatory requirements.
* Partner with clients to build end‑to‑end credit strategies that balance approvals, losses, efficiency, and customer experience.
* Deliver clear, executive‑ready insights, documentation, and strategy recommendations.
* Present results directly to risk leaders, analytics teams, and senior client partners.
* Support model implementation, monitoring, stability analysis, and ongoing optimization.
* Work cross‑functionally with Product, Engineering, and Sales to align custom solutions with broader AFS capabilities.
* Contribute to AFS best practices, reusable frameworks, and internal accelerators for non‑prime analytics.
**Qualifications**
* 5\+ years in credit risk analytics, data science, or advanced analytics, with experience in non‑prime or near‑prime lending.
* Hands‑on modeling experience using alternative data.
* Proficiency in Python (Pandas, NumPy, scikit‑learn, XGBoost/LightGBM) for feature engineering, modeling, and analysis.
* Advanced SQL experience working with complex, and imperfect datasets.
* Experience with non‑prime risk dynamics: thin‑file consumers, volatility, fraud risk, early‑default behavior.
* Experience with model evaluation (AUC, KS, lift, bad‑rate curves, stability, PSI).
* Work directly with clients and translate analytics into deployable strategies.
* Explain complex models in clear business terms.
* Background in financial services, alternative lending, FinTech, or specialty finance.
* Experience with AFS data sources (Clarity, FactorTrust, MicroBilt, cash‑flow or specialty bureaus).
* Familiarity with model governance, explainability, and regulatory considerations in non‑prime lending.
* Experience deploying or supporting ML models in production environments.
* Exposure to fraud, identity, or first‑payment‑default (FPD) modeling.
* Experience mentoring junior data scientists or analysts.
* Consult, client delivery, or solution‑oriented project experience.
**Additional Information**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t>
        </is>
      </c>
    </row>
    <row r="22">
      <c r="A22" t="inlineStr">
        <is>
          <t>li-4360622453</t>
        </is>
      </c>
      <c r="B22" t="inlineStr">
        <is>
          <t>Data Scientist</t>
        </is>
      </c>
      <c r="C22" t="inlineStr">
        <is>
          <t>Best Job Tool</t>
        </is>
      </c>
      <c r="D22" t="inlineStr">
        <is>
          <t>linkedin</t>
        </is>
      </c>
      <c r="E22" t="inlineStr"/>
      <c r="F22" t="inlineStr"/>
      <c r="G22" t="inlineStr"/>
      <c r="H22" t="inlineStr"/>
      <c r="I22" t="inlineStr">
        <is>
          <t>**About The Company**
 Bowhead / UIC Technical Services is a leading provider of specialized technical solutions and services dedicated to supporting national security and defense initiatives. With a strong commitment to innovation, integrity, and excellence, Bowhead partners with government agencies and military divisions to deliver advanced technological capabilities. Our expertise spans across data analysis, software development, systems engineering, and cybersecurity, ensuring our clients maintain a strategic advantage in complex operational environments. We foster a collaborative and inclusive work culture that encourages professional growth and continuous learning, empowering our team members to contribute effectively to critical projects that safeguard our nation.
**About The Role**
 We are seeking a highly skilled Data Scientist to join our team supporting the Naval Surface Warfare Center Dahlgren Division (NSWCDD), E Department. This role requires a professional with a robust background in data trend analysis, predictive modeling, and machine learning techniques. The successful candidate will work onsite at either the Bowhead office or Navy installation, engaging in projects that involve analyzing large volumes of diverse data types, including numbers, symbols, text, sound, and images. The primary focus of this position is to develop data\-driven insights that enhance decision\-making processes and operational effectiveness. The Data Scientist will collaborate closely with technical and non\-technical stakeholders, translating complex data findings into clear, actionable insights that support mission objectives and strategic initiatives.
**Qualifications**
 The ideal candidate will possess a Bachelor's Degree in physics, computer science, or a related field, complemented by a minimum of 5\-8 years of relevant experience in data science and analysis. Candidates should demonstrate strong analytical skills related to database management and development, with proficiency in relational database management systems and data warehousing. Experience in creating reports and dashboards is essential, and familiarity with Virtual Machine environments or Artificial Intelligence applications is highly preferred. Proficiency in writing and analyzing SQL queries, along with coding and software development skills, will be advantageous. Candidates must have a solid understanding of mathematical reasoning and analytical tools, with intermediate to advanced skills in the Microsoft Office suite. Excellent communication skills, both oral and written, are required to effectively interact with senior government customers and team members. Candidates must be able to maintain a security clearance at the Secret level and be a U.S. citizen.
**Responsibilities**
 The Data Scientist will be responsible for applying mathematical, statistical, and machine learning techniques to uncover meaningful patterns and insights within recorded data. This includes planning, designing, creating, modifying, verifying, and documenting software components to deliver value to stakeholders. Building tools for data testing and analysis of high\-volume, high\-velocity, and diverse data types is a core aspect of the role. The candidate will develop predictive, real\-time models that provide forward\-looking insights to support operational decision\-making. Presenting complex data insights in innovative and understandable formats to both technical and non\-technical audiences is essential. The role also involves identifying, validating, and leveraging internal and external data sets generated from various processes, managing data in all its forms, and analyzing the structure of information, including taxonomies, data, and metadata. Additional duties will be assigned as needed to support project objectives and organizational goals.
**Benefits**
 Bowhead offers a comprehensive benefits package designed to support the health, well\-being, and professional development of our employees. Benefits include competitive health insurance plans, retirement savings options, paid time off, and opportunities for continuous learning and career advancement. We also provide a supportive work environment that values diversity and inclusion, fostering a culture where innovation and collaboration thrive. Employees are encouraged to participate in various training programs and professional development initiatives to enhance their skills and expertise. Additionally, Bowhead promotes work\-life balance through flexible work arrangements and employee wellness programs, ensuring our team members are motivated and engaged in their roles.
 Equal Opportunity
 Bowhead / UIC Technical Services is an equal opportunity employer committed to creating a diverse and inclusive workplace. We do not discriminate based on race, color, religion, sex, national origin, age, disability, veteran status, or any other protected characteristic. We believe that a diverse workforce enhances our ability to serve our clients effectively and fosters innovation. All qualified applicants will receive consideration for employment without regard to any protected status. We are dedicated to providing an equitable and respectful environment for all employees and applicants.</t>
        </is>
      </c>
    </row>
    <row r="23">
      <c r="A23" t="inlineStr">
        <is>
          <t>li-4332561372</t>
        </is>
      </c>
      <c r="B23" t="inlineStr">
        <is>
          <t>Data Scientist</t>
        </is>
      </c>
      <c r="C23" t="inlineStr">
        <is>
          <t>Enterprise Mobility</t>
        </is>
      </c>
      <c r="D23" t="inlineStr">
        <is>
          <t>linkedin</t>
        </is>
      </c>
      <c r="E23" t="inlineStr"/>
      <c r="F23" t="inlineStr"/>
      <c r="G23" t="inlineStr">
        <is>
          <t>St Louis, MO</t>
        </is>
      </c>
      <c r="H23" t="inlineStr"/>
      <c r="I23" t="inlineStr">
        <is>
          <t>**Overview**
 As we continue to build a team that drives us forward, we are excited to announce the opening for a
 **Data Scientist.**
**About**
**ABOUT THE ROLE**
 The
 **Data Scientist** 
 is a key driver of innovation, transforming data into actionable insights that improve business processes. In this role, you’ll develop cutting\-edge analytical products—creating algorithms for automation, building predictive models, designing experiments, and applying causal inference techniques to observational data. You’ll also harness mathematical optimization to identify the most profitable business strategies. Success in this position requires strong collaboration with both technical and non\-technical teams to ensure the creation, delivery, and adoption of impactful analytical solutions
**This position is located at our Corporate Headquarters in Clayton, MO. This position is eligible for a hybrid work schedule.**
 Enterprise offers excellent package with market\-competitive pay, comprehensive healthcare packages, 401k matching \&amp; profit sharing, schedule flexibility, paid time off, and organizational growth potential.
*Compensation decisions will be made based on factors that include but are not limited to experience, education, location, and skill level.*
**About The Company**
 Enterprise Mobility is a leading provider of mobility solutions, owning and operating the Enterprise Rent\-A\-Car, National Car Rental and Alamo Rent A Car brands through its integrated global network of independent regional subsidiaries. Enterprise Mobility and its affiliates offer extensive car rental, carsharing, truck rental, fleet management, retail car sales, as well as travel management and other transportation services, to make travel easier and more convenient for customers.
 Privately held by the Taylor family of St. Louis, Enterprise Mobility together with its affiliate Enterprise Fleet Management manages a diverse fleet of 2\.4 million vehicles and accounted for nearly $39 billion in revenue through a network of more than 9,500 fully\-staffed neighborhood and airport rental locations in more than 90 countries and territories.
**Responsibilities**
* Collaborate with the team to design and deliver analytical solutions that drive business impact
* Extract, clean, and manipulate structured and unstructured data from multiple sources
* Perform exploratory data analysis to identify patterns, trends, and insights
* Develop predictive models to support data\-driven decision\-making
* Design and oversee experiments, ensuring accurate execution and interpretation of results
* Apply causal inference techniques using observational data to uncover relationships
* Prepare and deliver clear documentation of methodologies, findings, and recommendations
* Create and present insightful reports and presentations for technical and non\-technical audiences
* Partner with cross\-functional teams to implement and operationalize analytical solutions
*Equal Opportunity Employer/Disability/Veterans*
**Qualifications**
 Required:
* Must have a Master’s Degree in a Statistical or Mathematical field (e.g. Engineering, Social Science, or Statistics)
* Must have two (2\+) years of experience with predictive models, statistical inference and deep learning
* Must have experience using libraries like tensorflow or pytorch
* Must have experience preparing and giving presentations to technical and non\-technical audiences
* Must have proficiency in R or Python
* Must be authorized to work in the United States and not require work authorization sponsorship by our company for this position now or in the future
**Preferred**
* Doctorate Degree in a Statistical or Mathematical field (e.g. Engineering, Social Science, or Statistics)
* Experience designing experiments
* Experience exploring and visualizing data
* Experience using Linuz/Unix
* Experience using SQL
* Experience working with data (merging, recording, etc.) from a variety of sources/formats
* Experience working with observational data to attempt casual inference (e.g. matching, weighting, etc.)</t>
        </is>
      </c>
    </row>
    <row r="24">
      <c r="A24" t="inlineStr">
        <is>
          <t>li-4345211917</t>
        </is>
      </c>
      <c r="B24" t="inlineStr">
        <is>
          <t>Senior Data Scientist, Strategy</t>
        </is>
      </c>
      <c r="C24" t="inlineStr">
        <is>
          <t>Intuit</t>
        </is>
      </c>
      <c r="D24" t="inlineStr">
        <is>
          <t>linkedin</t>
        </is>
      </c>
      <c r="E24" t="inlineStr"/>
      <c r="F24" t="inlineStr"/>
      <c r="G24" t="inlineStr">
        <is>
          <t>Mountain View, CA</t>
        </is>
      </c>
      <c r="H24" t="inlineStr"/>
      <c r="I24" t="inlineStr">
        <is>
          <t>**Overview**
 We are seeking a Senior Data Scientist to join our Strategy Data Science team. This role is designed for a strategic and business\-oriented data scientist who thrives at the intersection of data, business strategy, and cross\-functional collaboration. You will partner with leaders across product marketing, channel marketing, finance, data engineering, and other data science teams to translate evolving business strategies into impactful, data\-driven projects.
 Your work will bridge the gap between raw data and high\-level business application, ensuring that insights not only answer immediate questions but also guide long\-term strategic direction. You’ll apply advanced analytical methods, modeling, and scenario planning to inform critical decisions and shape the future of Intuit’s growth.
 You’ll thrive here if you’re equally comfortable diving deep into data and influencing high\-level strategy, and if you love using experimentation and modeling to drive meaningful impact.
**Responsibilities**
* Strategy Translation: Partner with cross\-functional stakeholders to translate high\-level strategic priorities into actionable data science initiatives.
* Modeling \&amp; Forecasting: Build and apply models that forecast business outcomes, evaluate scenarios, and inform strategic choices.
* Experimentation Strategy: Provide guidance on experimentation frameworks — advising on design considerations, interpreting results, and helping teams think critically about pricing, customer behavior, and growth experiments.
* Predictive Analytics: Develop predictive models that forecast business performance and uncover new growth opportunities.
* Cross\-Functional Leadership: Serve as a strategic thought partner to research, marketing, finance, product, and data engineering teams, building alignment and driving data\-informed decision\-making.
* Communication: Translate complex analysis into compelling stories and insights that resonate with senior executives and non\-technical stakeholders.
**Qualifications**
* Bachelor’s degree in a quantitative field (Statistics, Economics, Computer Science, Data Science); advanced degree preferred.
* 5\+ years of experience in data science, strategy, or analytics roles, ideally including time in consulting or a strategy\-focused capacity.
* Strong proficiency in SQL and Python.
* Demonstrated ability to connect business strategy to data\-driven execution and measurable impact.
* Experience building models and applying experimentation concepts to strategic decisions.
* Strong understanding of A/B testing and causal inference principles — able to guide teams on interpretation, limitations, and strategic implications.
* Exceptional communication skills, with the ability to influence executives and collaborate across technical and non\-technical teams.
* Ability to thrive in ambiguity and connect data to strategic clarity.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$159,500\-215,500</t>
        </is>
      </c>
    </row>
    <row r="25">
      <c r="A25" t="inlineStr">
        <is>
          <t>li-4337868773</t>
        </is>
      </c>
      <c r="B25" t="inlineStr">
        <is>
          <t>Senior Staff Data Scientist, Imaging, Data</t>
        </is>
      </c>
      <c r="C25" t="inlineStr">
        <is>
          <t>Biohub</t>
        </is>
      </c>
      <c r="D25" t="inlineStr">
        <is>
          <t>linkedin</t>
        </is>
      </c>
      <c r="E25" t="inlineStr"/>
      <c r="F25" t="inlineStr"/>
      <c r="G25" t="inlineStr">
        <is>
          <t>Redwood City, CA</t>
        </is>
      </c>
      <c r="H25" t="inlineStr"/>
      <c r="I25" t="inlineStr">
        <is>
          <t>Biohub is leading the new era of AI\-powered biology to cure or prevent disease through its 501c3 medical research organization, with the support of the Chan Zuckerberg Initiative.
 The Team
 Biohub supports the science and technology that will make it possible to help scientists cure, prevent, or manage all diseases by the end of this century. While this may seem like an audacious goal, in the last 100 years, biomedical science has made tremendous strides in understanding biological systems, advancing human health, and treating disease.
 Achieving Our Mission Will Only Be Possible If Scientists Are Able To Better Understand Human Biology. To That End, We Have Identified Four Grand Challenges That Will Unlock The Mysteries Of The Cell And How Cells Interact Within Systems — Paving The Way For New Discoveries That Will Change Medicine In The Decades That Follow
* Building an AI\-based virtual cell model to predict and understand cellular behavior
* Developing novel imaging technologies to map, measure and model complex biological systems
* Creating new tools for sensing and directly measuring inflammation within tissues in real time.tissues to better understand inflammation, a key driver of many diseases
* Harnessing the immune system for early detection, prevention, and treatment of disease
 The Opportunity
 At Biohub, we are generating unprecedented scientific datasets that drive biological modeling innovation:
* Billions of standardized cells of single\-cell transcriptomic data, with a focus on measuring genetic and environmental perturbations
* 10s of thousands of donor\-matched DNA \&amp; RNA samples
* PB\-scale static and dynamic imaging datasets
* TB\-scale mass spectrometry datasets
* Diverse, large multi\-modal biological datasets that enable biological bridges across measurement types and facilitate multi\-modal model training to define how cells act.
 After model training, we make all data products available through public resources like CELLxGENE Discover and the CryoET Portal, used by tens of thousands of scientists monthly to advance understanding of genetic variants, disease risk, drug toxicities, and therapeutic discovery.
 As a Senior Staff Data Scientist, you'll lead the creation of groundbreaking imaging datasets that decode cellular function at the molecular level, describe development, and predict responses to genetic or environmental changes. Working at the intersection of data science, biology, and AI, you'll define data needs, format standards, analysis approaches, quality metrics, and our technical strategy, creating systems to ingest, transform, and validate and deploy data products.
 Success for this role means delivering high\-quality, usable datasets that directly address modeling challenges and accelerate scientific progress. Join us in building the data foundation that will transform our understanding of human biology and move us along the path to curing, preventing, and managing all disease.
 What You'll Do
* Define the technical strategy for a robust imaging data ecosystem and build data ingestion pipelines, define data formats, write validation tools, QC metrics, and analysis pipelines.
* Collaborate with ML engineers, AI Researchers, and Data Engineers to iteratively evaluate, refine and grow datasets to maximize model performance.
* Discover and define new data generation opportunities, and manage the delivery of those data products to our AI team.
* Collaborate with engineers, product managers, UX designers, and other data scientists to publish valuable datasets as part of CZI's open data ecosystem.
 What You'll Bring
* 10\+ years of experience with large scale biological imaging data.
* Demonstrated delivery of multiple large biological data products.
* Experience with big data: extraction, transport, loading, databases, standardization, validation, QC, and analysis.
* Experience with processing and orchestration pipelines, such as Argo Workflows, Databricks
* Strong fundamentals in statistical reasoning and machine learning.
* Experience with biological data analysis and QC best practices
* Excellent written and verbal communication skills.
* Enthusiasm to ramp up on technologies and learn new domains.
* Experience working in a multidisciplinary environment (engineering, product, AI Research).
**Compensation**
 The Redwood City, CA base pay range for a new hire in this role is $241,000 \- $331,100\. New hires are typically hired into the lower portion of the range, enabling employee growth in the range over time. Actual placement in range is based on job\-related skills and experience, as evaluated throughout the interview process.
 Better Together
 As we grow, we’re excited to strengthen in\-person connections and cultivate a collaborative, team\-oriented environment. This role is a hybrid position requiring you to be onsite for at least 60% of the working month, approximately 3 days a week, with specific in\-office days determined by the team’s manager. The exact schedule will be at the hiring manager's discretion and communicated during the interview process.
**Benefits For The Whole You**
 We’re thankful to have an incredible team behind our work. To honor their commitment, we offer a wide range of benefits to support the people who make all we do possible.
* Provides a generous employer match on employee 401(k) contributions to support planning for the future.
* Paid time off to volunteer at an organization of your choice.
* Funding for select family\-forming benefits.
* Relocation support for employees who need assistance moving
 If you’re interested in a role but your previous experience doesn’t perfectly align with each qualification in the job description, we still encourage you to apply as you may be the perfect fit for this or another role.</t>
        </is>
      </c>
    </row>
    <row r="26">
      <c r="A26" t="inlineStr">
        <is>
          <t>li-4359952614</t>
        </is>
      </c>
      <c r="B26" t="inlineStr">
        <is>
          <t>Applied Scientist ||</t>
        </is>
      </c>
      <c r="C26" t="inlineStr">
        <is>
          <t>Microsoft</t>
        </is>
      </c>
      <c r="D26" t="inlineStr">
        <is>
          <t>linkedin</t>
        </is>
      </c>
      <c r="E26" t="inlineStr"/>
      <c r="F26" t="inlineStr"/>
      <c r="G26" t="inlineStr">
        <is>
          <t>Redmond, WA</t>
        </is>
      </c>
      <c r="H26" t="inlineStr"/>
      <c r="I26" t="inlineStr">
        <is>
          <t>**Overview**
 Join the forefront of data center innovation with Microsoft’s Cloud Operations \&amp; Innovation (CO\+I) Cloud Applied Artificial Intelligence (CAAI) group as an
 **Applied Scientist II** 
 . In this pivotal role, you’ll help drive sustainability and efficiency across Microsoft’s core infrastructure that powers services like Bing, Office 365, Xbox, OneDrive, and Azure.
 As an Applied Scientist II, you will leverage machine learning, big data, predictive analytics, and time series analysis to transform data center efficiency. With over 400 data centers in 32 countries and millions of servers, our infrastructure offers a unique opportunity to make a global impact. You’ll collaborate with cross\-discipline teams to push the boundaries of data center sustainability and efficiency. With environmental sustainability and optimization at the heart of our design and operations, we continue to evolve to meet the ever\-changing business demands that position Microsoft as a world\-class cloud provider.
 Microsoft’s mission is to empower every person and every organization on the planet to achieve more. We embrace a growth mindset, innovate to empower others, and collaborate to achieve shared goals. Each day we build on our values of respect, integrity, and accountability to create a culture of inclusion where everyone can thrive.
**Responsibilities**
* Apply advanced techniques in data science, machine learning, and AI to improve data center sustainability and efficiency.
* Translate complex datasets into actionable insights and communicate findings clearly to stakeholders.
* Design and execute experiments to validate hypotheses and evaluate new approaches, ensuring rigor and reproducibility.
* Provide strategic input on business opportunities and product enhancements based on data\-driven insights.
* Collaborate with engineering teams to deploy and optimize models at scale.
* Contribute to product strategy, aligning scientific solutions with business objectives to deliver measurable impact.
* Partner with cross\-functional stakeholders to drive initiatives that achieve tangible business outcomes.
 Embody our culture and values.
**Qualifications**
**Required Qualifications:**
* Doctorate in Data Science, Mathematics, Statistics, Econometrics, Economics, Operations Research, Computer Science, or related field AND 1\+ year of data science experience
+ OR Master’s degree in related field AND 3\+ years of data science experience
+ OR Bachelor’s degree in related field AND 5\+ years of data science experience
+ OR equivalent experience.
 While not required, we also look for the following
 **Preferred Qualifications:**
* Doctorate in related field AND 3\+ years of data science experience
+ OR Master’s degree AND 5\+ years
+ OR Bachelor’s degree AND 7\+ years
+ OR equivalent experience.
* Experience with large\-scale telemetry systems, data collection, processing, and analytics.
* Expertise in Exploratory Data Analysis, Inference, Predictive Modeling (Regression, Classification), Time Series Analysis, and Machine Learning (SVMs, Gradient Boosted Trees, Neural Networks, CNNs).
* Strong foundation in applied statistics and mathematics with ability to apply advanced analytical techniques to solve complex problems.
* 4\+ years of experience applying statistical techniques (e.g., experimentation, statistical modeling).
* 2\+ years of customer\-facing, project\-delivery experience.
* Proficiency with Spark and Python.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7">
      <c r="A27" t="inlineStr">
        <is>
          <t>li-4345571424</t>
        </is>
      </c>
      <c r="B27" t="inlineStr">
        <is>
          <t>Applied Scientist I, Amazon</t>
        </is>
      </c>
      <c r="C27" t="inlineStr">
        <is>
          <t>Amazon</t>
        </is>
      </c>
      <c r="D27" t="inlineStr">
        <is>
          <t>linkedin</t>
        </is>
      </c>
      <c r="E27" t="inlineStr"/>
      <c r="F27" t="inlineStr"/>
      <c r="G27" t="inlineStr">
        <is>
          <t>Palo Alto, CA</t>
        </is>
      </c>
      <c r="H27" t="inlineStr"/>
      <c r="I27" t="inlineStr">
        <is>
          <t>**Description**
 We’re working to improve shopping on Amazon using large language models, and are searching for pioneers who are passionate about technology, innovation, and customer experience, and are ready to make a lasting impact on the industry. You'll be working with talented scientists, engineers, and technical product managers (PMT) to innovate on behalf of our customers. If you're fired up about being part of a dynamic, driven team, then this is your moment to join us on this exciting journey!
**Basic Qualifications**
* Experience programming in Java, C\+\+, Python or related language
* Experience in designing experiments and statistical analysis of results
**Preferred Qualifications**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A3130180</t>
        </is>
      </c>
    </row>
    <row r="28">
      <c r="A28" t="inlineStr">
        <is>
          <t>li-4349837052</t>
        </is>
      </c>
      <c r="B28" t="inlineStr">
        <is>
          <t>Engineering Data Scientist</t>
        </is>
      </c>
      <c r="C28" t="inlineStr">
        <is>
          <t>Boeing</t>
        </is>
      </c>
      <c r="D28" t="inlineStr">
        <is>
          <t>linkedin</t>
        </is>
      </c>
      <c r="E28" t="inlineStr"/>
      <c r="F28" t="inlineStr"/>
      <c r="G28" t="inlineStr">
        <is>
          <t>Hazelwood, MO</t>
        </is>
      </c>
      <c r="H28" t="inlineStr"/>
      <c r="I28" t="inlineStr">
        <is>
          <t>**Job Description**
 At Boeing, we innovate and collaborate to make the world a better place. We’re committed to fostering an environment for every teammate that’s welcoming, respectful and inclusive, with great opportunity for professional growth. Find your future with us.
 We are Boeing Global Services (BGS) Engineering team creating and implementing innovative technologies that make the impossible possible and enabling the future of aerospace. We provide engineering design and support, including aftermarket modifications, and are innovating to make product and services safety even stronger. Join us and put your passion, determination, and skill to work building the future! \#TheFutureIsBuiltHere \#ChangeTheWorld
 Join an exciting and growing team in performing complex analysis of aviation data. As modern aircraft produce increasing amounts of data in operations and maintenance, analytics are used to turn that data into insights to improve performance, enable smarter services, increase productivity, and make flying safer. The Boeing Company is currently seeking an
 **Experienced/Lead Engineering Data Scientist** 
 to join the Boeing Global Services (BGS) Government Services Analytics team located in
 **Hazelwood, MO, Colorado Springs, CO, or Oklahoma City, OK.** 
 In this position you will work with an industry\-leading team of data scientists, support US and international customers, and collaborate with engineering teams to create innovative health management solutions for government aircraft platforms.
 As an experienced/lead data scientist, you will play a crucial role in creating new analytics models that provide aftermarket services for our military customers. Your primary responsibility will be leading the design and development of machine learning models using a wide array of methods to empower aircraft users with valuable insights. This role requires a resourceful, self\-driven, outcome\-oriented individual with the ability to collaborate respectfully and communicate effectively.
 The ideal candidate will have advanced knowledge and work history in machine learning, natural language processing (NLP), and retrieval augmented generation (RAG), proven experience in leading data science projects, and a successful track record of deploying machine learning models in a production environment.
**This position is onsite. The selected candidate will be required to perform work onsite at one of the listed location options.**
**Position Responsibilities:**
* Lead the design and development of advanced machine learning models and algorithms to solve complex problems as aftermarket services for military customers.
* Collaborate with cross\-functional teams to identify and define data requirements, data collection methods, and data quality standards.
* Conduct data analysis and exploration to identify patterns, trends, and insights that drive decision\-making and improve aircraft health management.
* Apply advanced statistical techniques and predictive modeling to develop predictive maintenance strategies and optimize aircraft performance.
* Utilize natural language processing, data cleansing, and preprocessing techniques to ensure data quality and integrity for accurate analysis and modeling.
* Evaluate and apply modern RAG techniques to generate domain\-specific insights from complex customer data, enhancing decision\-making and user experience.
* Implement and deploy machine learning models into production systems, working closely with software engineering teams to integrate into customer environments.
* Collaborate with subject matter experts to understand engineering domain knowledge and incorporate it into data analysis and modeling efforts.
* Continuously evaluate and improve existing models and algorithms to enhance their accuracy, efficiency, and scalability.
* Ensure data security, privacy, and compliance with relevant regulations and policies throughout the data analysis lifecycle.
* Stay up\-to\-date with the latest advancements in data science, machine learning, and aerospace technologies to drive innovation and maintain a competitive edge.
* Communicate findings, insights, and recommendations to technical and non\-technical stakeholders through clear and concise reports, presentations, and visualizations.
* Mentor and provide guidance to junior data scientists and contribute to the development of best practices and standards for data science within the organization.
**This position requires the ability to obtain a SECRET** 
**US Security Clearance Post\-Start for which the US Government requires US Citizenship.**
**To be considered for this position you will be required to complete a technical assessment as part of the selection process. Failure to complete the assessment will remove you from consideration.**
 Our teams are currently searching for a broad range of levels including Experienced and Lead.
**Basic Qualifications (Required Skills/Experience):**
* Bachelor’s degree from an accredited course of study in Mathematics, Data Science, Computer Science, Engineering, Physics or similar discipline
* 5\+ years of professional experience in data science, artificial intelligence, or machine learning
* 5\+ years of experience in Python for data science applications
* Experience leading technical teams or projects
**Preferred Qualifications (Desired Skills/Experience):**
* Advanced degree (Master's or Doctorate) in Data Science, Engineering, Computer Science, Mathematics, or another similar technical background
* 10\+ years of professional experience in data science, artificial intelligence, or machine learning
* 3\+ years of experience in natural language processing
* 3\+ years of experience in SQL
* Proficient with data visualization tools, such as Tableau.
* Proficient in deep learning frameworks such as PyTorch and TensorFlow
* Experience with generative AI models, including LLMs and RAG, for building knowledge\-driven solutions.
* Engineering domain knowledge relating to aircraft maintenance, design, or testing
* Experience integrating models into customer environments, both on\-prem and in cloud environments
* Experience working in an agile software development team
**Relocation:**
 This position offers relocation assistance.
**Drug Free Workplace:**
 Boeing is a Drug Free Workplace where post offer applicants and employees are subject to testing for marijuana, cocaine, opioids, amphetamines, PCP, and alcohol when criteria is met as outlined in our policies.
 All information provided will be checked and may be verified.
**Shift** 
 :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Experienced: $106,250 \- $154,100
 Lead: $124,100 \- $180,550
 Export Control Requirements: U.S. Government Export Control Status: This position must meet export control compliance requirements. To meet export control compliance requirements, a "U.S. Person" as defined by 22 C.F.R.
*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Applications for this position will be accepted until
 **Jan. 19,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29">
      <c r="A29" t="inlineStr">
        <is>
          <t>li-4315313676</t>
        </is>
      </c>
      <c r="B29" t="inlineStr">
        <is>
          <t>Senior Data Scientist</t>
        </is>
      </c>
      <c r="C29" t="inlineStr">
        <is>
          <t>Best Buy</t>
        </is>
      </c>
      <c r="D29" t="inlineStr">
        <is>
          <t>linkedin</t>
        </is>
      </c>
      <c r="E29" t="inlineStr"/>
      <c r="F29" t="inlineStr"/>
      <c r="G29" t="inlineStr">
        <is>
          <t>Minneapolis, MN</t>
        </is>
      </c>
      <c r="H29" t="inlineStr"/>
      <c r="I29" t="inlineStr">
        <is>
          <t>As a
 **Senior Data Scientist,** 
 you will lead high\-impact analytics initiatives within our Ads Analytics team. In this manager\-level role, you’ll guide technical execution, mentor data scientists, and collaborate across teams to deliver insights that shape our advertising ecosystem.
 You’ll dive deep into experimental design, predictive modeling, and Bayesian statistics—while also helping build scalable analytics infrastructure and AI\-powered tools. If you love solving complex problems and translating data into clear, actionable strategies, this is the role for you.
**What You’ll Do**
* Lead analytics projects focused on ad performance, client measurement, and experimentation.
* Design and oversee experiments to evaluate product impact and optimize advertising outcomes.
* Build forecasting models and apply Bayesian frameworks to support strategic decisions.
* Develop scalable data pipelines and reporting tools across cloud platforms.
* Communicate insights through clear, compelling visualizations for technical and non\-technical audiences.
* Mentor junior data scientists and foster technical excellence across the team.
**Basic qualifications**
* 4\+ years of experience in data science roles focused on advertising, marketing analytics, or client measurement, with a strong ability to connect data insights to business strategy.
* 2\+ years of experience in experimental design, statistical modeling, and causal inference, with a conceptual understanding of how these methods support decision\-making and business impact.
* Proficient in Python or R and SQL, with 1\+ years of experience writing code that supports both analytical rigor and scalable data workflows.
* 1\+ year of experience working within cloud\-based data environments (e.g., GCP, AWS, Azure), with a conceptual understanding of cloud infrastructure and its role in scalable analytics.
* 2\+ years of experience leading data\-driven projects, influencing cross\-functional teams, and translating complex concepts into actionable strategies
* Bachelor's Degree on Statistics, Computer Science or a related field
**Preferred Qualifications**
* Advanced degree in Statistics, Computer Science, or a related field.
* Experience in ad tech or client\-facing analytics.
* Familiarity with AI/ML tools and their business applications.
**What’s In It For You**
 We’re committed to helping our people thrive at work and at home. We offer generous benefits that address your total well\-being and provide support as you need it, especially during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Data Scientist, Location: Minneapolis, MN \- 55423</t>
        </is>
      </c>
    </row>
    <row r="30">
      <c r="A30" t="inlineStr">
        <is>
          <t>li-4345201890</t>
        </is>
      </c>
      <c r="B30" t="inlineStr">
        <is>
          <t>Staff Data Scientist</t>
        </is>
      </c>
      <c r="C30" t="inlineStr">
        <is>
          <t>Intuit</t>
        </is>
      </c>
      <c r="D30" t="inlineStr">
        <is>
          <t>linkedin</t>
        </is>
      </c>
      <c r="E30" t="inlineStr"/>
      <c r="F30" t="inlineStr"/>
      <c r="G30" t="inlineStr">
        <is>
          <t>Mountain View, CA</t>
        </is>
      </c>
      <c r="H30" t="inlineStr"/>
      <c r="I30" t="inlineStr">
        <is>
          <t>**Overview**
 Come join the Global Business Solutions Group (GBSG) Sales Data Science team as a Staff Data Scientist. This role will be pivotal in shaping how we understand, grow, and retain our customer base. You will leverage data\-driven insights to guide sales strategies, improve customer retention, optimize churn prevention, and enhance targeting efforts. The ideal candidate thrives at the intersection of data science and business strategy, collaborating closely with sales, marketing, and product teams to drive measurable impact on revenue growth and customer success. This is a high\-impact role where your work will directly influence sales, product, marketing, and business model strategies.
 As a Staff Data Scientist, you will operate as a senior individual contributor, partnering closely with peers and leaders to identify, validate, and refine innovative growth strategies. Your expertise—especially in sales analytics, causal inference and advanced analytics—will be instrumental in surfacing critical insights and translating them into actionable hypotheses that fuel sustained customer and revenue growth.
**Responsibilities**
* Drive Business Strategy through Data \- Translate business problems into analytical frameworks. Connect data across multiple functions to drive actionable recommendations and strategic growth opportunities for the Mid Market Sales Team
* Cross\-Functional Influence \- Serve as the strategic data science partner to leaders across Sales, Marketing, Product, and Finance to drive mid\-market account growth and expansion. Translate complex analytical findings into clear, compelling recommendations for executives and stakeholders.
* Insights at Scale \- Conduct deep\-dive analyses on pipeline, win/loss, and customer lifetime value to inform strategic decisions. Create dashboards, visualizations, and self\-serve tools to democratize access to insights across cross\-functional teams and leadership.
* Improve Customer Retention \- Own retention and churn analytics, including designing metrics, identifying risk signals, and recommending interventions
* Data Infrastructure \&amp; Governance \- Partner with data engineering and platform teams to ensure reliable, scalable data pipelines and tracking instrumentation are in place. Champion data hygiene and integrity.
**Qualifications**
* 7\+ years of experience in data science, with a proven record of applying advanced analytical methods to drive sales growth ideally in Saas or financial technology companies serving consumer or B2B segments
* Proven experience working with sales or go\-to\-market teams; deep understanding of customer retention, churn analysis, and sales optimization strategies
* Strong business acumen, excellent communication and storytelling skills with a track record of effectively simplifying the complex and delivering compelling narratives to stakeholders at all levels through data\-driven insights
* Advanced skills in SQL, Python, and other analytical tools, with practical experience using data visualization platforms (e.g., Tableau, Qlikview) to communicate insights; Experience with data integration and pipeline development is a plus
* Demonstrated proficiency in causal inference techniques, statistical modeling, machine learning, and experimental design
* Experience using statistics and machine learning techniques to solve complex business problems within product marketing, e.g., product funnel optimization, propensity for feature adoption, next best action models etc.
* S. or Ph.D. in a quantitative field (e.g., Statistics, Computer Science, Economics, Mathematics, Operations Research) or equivalent work experience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31">
      <c r="A31" t="inlineStr">
        <is>
          <t>li-4345475973</t>
        </is>
      </c>
      <c r="B31" t="inlineStr">
        <is>
          <t>Staff Applied Scientist, Tech Lead, Rider Applied AI</t>
        </is>
      </c>
      <c r="C31" t="inlineStr">
        <is>
          <t>Lyft</t>
        </is>
      </c>
      <c r="D31" t="inlineStr">
        <is>
          <t>linkedin</t>
        </is>
      </c>
      <c r="E31" t="inlineStr"/>
      <c r="F31" t="inlineStr"/>
      <c r="G31" t="inlineStr">
        <is>
          <t>San Francisco County, CA</t>
        </is>
      </c>
      <c r="H31" t="inlineStr"/>
      <c r="I31" t="inlineStr">
        <is>
          <t>At Lyft, our purpose is to serve and connect. We aim to achieve this by cultivating a work environment where all team members belong and have the opportunity to thrive.
 Why Join Rider Applied AI Team?
 The Rider team is the heartbeat of Lyft business. Every feature you build translates to a better experience for millions of riders globally. The Rider Applied AI science team’s mission is to architect the intelligent layer of the Rider experience through applying state\-of\-the\-art AI techniques and deliver hyper\-personalized experiences for every rider, every ride. You will have the autonomy of a startup lead with the data scale of a global tech giant.
 We are seeking a Staff Applied Scientist to help build the next generation of AI/ML solution that powers personalized rider rideshare experience. In this role, you will lead a high\-impact group of scientists and analysts to solve complex, large\-scale problems in content ranking, user journey optimization and Rider intelligence engine. You’ll collaborate closely with Engineering, Product, Data Science, and Design to translate ambiguous business problems into rigorous algorithmic solutions that improve rider experience and drive meaningful revenue growth.
 This is a high\-impact, highly technical role within a core business line. The ideal candidate brings strong applied machine learning intuition, hands\-on modeling experience, and the ability to write clean, efficient production code. You will play a critical role in shaping the future of the Lyft rideshare experience and pushing the boundaries of personalization, measurement, and real\-time optimization in a dynamic marketplace and bridge the gap between cutting\-edge applied science research and production\-scale product impact.
 Responsibilities:
* Own complex, open\-ended problem spaces. Translate vague business problems into concrete mathematical objectives.
* Lead multiple high\-impact Machine Learning and AI initiatives that powers rider core product experience. Drive algorithmic innovation by introducing new techniques.
* Partner deeply with Product, Design and Engineering to define technical vision for how AI will transform Lyft rider experience.
* Design, develop, and deploy advanced machine learning, optimization, and decisioning algorithms for large\-scale real\-time inferences, balancing scientific rigor with practical engineering constraints.
* Establish robust evaluation frameworks, defining offline metrics, calibration checks, counterfactual methods, experiment designs, and long\-term measurement strategies to ensure model correctness and system stability.
* Build reusable modeling infrastructure, libraries, and best practices, enabling faster iteration and higher modeling quality across the broader Rider Science and Engineering teams.
* Mentor and guide junior/mid\-level scientists, serving as a technical advisor on modeling design, experimentation, code quality, and scientific reasoning.
 Experience:
* Master’s or PhD in Machine Learning, Computer Science, Optimization, Statistics, Engineering, Applied Mathematics, or a related quantitative field; or equivalent high\-impact industry experience.
* 5\+ years of applied science or machine learning experience, with a track record of deploying production models that drive measurable business outcomes.
* Experienced in owning multi\-project modeling scope across ambiguous problem spaces and integrating work across engineering, product, and data science partners.
* Strong proficiency in Python, ML frameworks and distributed data systems
* Experienced in defining and executing offline and online evaluation strategies, including experiment design, counterfactual analysis, and diagnostics for system failures.
* Strong technical leadership skills — able to align partners, influence technical architecture, challenge assumptions, and guide cross\-team modeling decisions.
* Experience in mentoring other scientists, elevating technical quality, and improving modeling/analysis standards across the team.
* Excellent communication skills, with the ability to articulate complex modeling concepts, system trade\-offs, and scientific reasoning to both technical and business stakeholders.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$176,000 \- $220,000,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32">
      <c r="A32" t="inlineStr">
        <is>
          <t>li-4345501630</t>
        </is>
      </c>
      <c r="B32" t="inlineStr">
        <is>
          <t>Staff Data Scientist</t>
        </is>
      </c>
      <c r="C32" t="inlineStr">
        <is>
          <t>Intuit</t>
        </is>
      </c>
      <c r="D32" t="inlineStr">
        <is>
          <t>linkedin</t>
        </is>
      </c>
      <c r="E32" t="inlineStr"/>
      <c r="F32" t="inlineStr"/>
      <c r="G32" t="inlineStr">
        <is>
          <t>Mountain View, CA</t>
        </is>
      </c>
      <c r="H32" t="inlineStr"/>
      <c r="I32" t="inlineStr">
        <is>
          <t>**Overview**
 Come join the Global Business Solutions Group (GBSG) Product Data Science team as a Staff Data Scientist. Our mission is to deliver delightful “Done for you” (DFY) customer experiences and accelerate GBSG user growth and retention through a data\-driven, platform\-led approach to growth. This is a high\-impact role where your work will directly influence product, marketing, and business model strategies.
 As a Staff Data Scientist, you will operate as a senior individual contributor, partnering closely with peers and leaders to identify, validate, and refine innovative growth strategies. Your expertise—especially in causal inference and advanced analytics—will be instrumental in surfacing critical insights and translating them into actionable hypotheses that fuel sustained customer and revenue growth.
**Responsibilities**
* Drive Business Strategy through Data \- Translate business problems into analytical frameworks. Connect data across multiple functions to drive actionable recommendations and strategic growth opportunities for the DFY platform offerings
* Build \&amp; Operationalize Advanced Models \- Develop and deploy machine learning models and statistical frameworks to forecast growth, uncover patterns, and optimize decision\-making across the GBSG Platform team
* Experimentation \&amp; Causal Inference \- Design, run, and analyze A/B tests and quasi\-experiments using methodologies such as synthetic control, regression discontinuity, or propensity score matching to establish causal relationships and measure impact.
* Cross\-Functional Influence \- Serve as the strategic data science partner to leaders across Marketing, Product, and Finance. Communicate complex findings clearly and concisely to drive alignment and action
* Data Infrastructure \&amp; Governance \- Partner with data engineering and platform teams to ensure reliable, scalable data pipelines and tracking instrumentation are in place. Champion data hygiene and integrity.
* Insights at Scale \- Create dashboards, visualizations, and self\-serve tools to democratize access to insights across cross\-functional teams and leadership.
**Qualifications**
* 7\+ years of experience in data science, with a proven record of applying advanced analytical methods to drive product and business growth ideally in Saas or financial technology companies serving consumer or SMBs
* Demonstrated proficiency in causal inference techniques, statistical modeling, machine learning, and experimental design
* Strong business acumen, excellent communication and storytelling skills with a track record of effectively simplifying the complex and delivering compelling narratives to stakeholders at all levels through data\-driven insights
* Advanced skills in SQL, Python, and other analytical tools, with practical experience using data visualization platforms (e.g., Tableau, Qlikview) to communicate insights; Experience with data integration and pipeline development is a plus
* Experience using statistics and machine learning techniques to solve complex business problems within product marketing, e.g., product funnel optimization, propensity for feature adoption, next best action models etc.
* M.S. or Ph.D. in a quantitative field (e.g., Statistics, Computer Science, Economics, Mathematics, Operations Research) or equivalent work experience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$186,500 \- 252,000</t>
        </is>
      </c>
    </row>
    <row r="33">
      <c r="A33" t="inlineStr">
        <is>
          <t>li-4334750092</t>
        </is>
      </c>
      <c r="B33" t="inlineStr">
        <is>
          <t>Data Scientist</t>
        </is>
      </c>
      <c r="C33" t="inlineStr">
        <is>
          <t>Acuity, Inc.</t>
        </is>
      </c>
      <c r="D33" t="inlineStr">
        <is>
          <t>linkedin</t>
        </is>
      </c>
      <c r="E33" t="inlineStr"/>
      <c r="F33" t="inlineStr"/>
      <c r="G33" t="inlineStr">
        <is>
          <t>Reston, VA</t>
        </is>
      </c>
      <c r="H33" t="inlineStr"/>
      <c r="I33" t="inlineStr">
        <is>
          <t>**Overview**
 Acuity is looking for a Data Scientist to help shape next\-generation cloud and analytics solutions that transform complex data into actionable intelligence for our clients.
 Acuity is a digital strategy and technology consulting firm that serves federal agencies with critical missions. Our experts support projects in the areas of IT Modernization, Data Enablement, and Hyperautomation to help protect our national interests and keep people safe. If you have technical experience and a passion for making a difference, we might be the right fit for you.
**Responsibilities**
* Lead the discovery, design, and delivery of advanced analytics solutions that create measurable, data\-driven value for internal stakeholders.
* Provide strategic and technical leadership across the entire analytics lifecycle, including opportunity scoping, architecture design, model development, validation, deployment, and performance optimization.
* Build, train, and operationalize predictive, prescriptive, and descriptive models using statistical and machine learning methods to produce reliable, actionable intelligence.
* Collaborate with data engineers, analysts, and business leaders to align analytical outputs with enterprise priorities and translate complex findings into clear, high\-impact decisions.
**Qualifications**
* 10\+ years of progressive experience designing, developing, and delivering advanced analytics solutions within enterprise or federal data environments.
* Demonstrated mastery in applying machine learning, statistical modeling, and data science methodologies to large\-scale, high\-dimensional, and mission\-critical data sets.
* Deep expertise in quantitative analysis, forecasting, predictive modeling, deep learning, and optimization techniques to derive actionable business and operational insights.
* Extensive hands\-on experience operating in Agile delivery environments to rapidly prototype, validate, and deploy scalable, production\-ready analytics solutions.
* Advanced proficiency in two or more programming languages (Python, R, PySpark, or SQL) and demonstrated experience with both SQL and NoSQL databases, distributed computing frameworks, and modern data platforms such as Databricks and Apache Spark.
* Prior experience leveraging AWS for machine learning and analytics workloads preferred.
**Clearance Requirement**
* Must be a U.S. Citizen with the ability to obtain and maintain a U.S. Government Suitability clearance.
**About Acuity Inc.**
 Acuity is a leading management and technology consulting firm supporting the federal government in IT Modernization, Data Enablement, and Hyperautomation. Our collaborative and mission\-driven culture has earned repeated recognition from the Washington Business Journal’s Best Places to Work and SmartCEO Corporate Culture awards.
 We are an equal opportunity employer. All qualified applicants will receive consideration for employment without regard to race, color, religion, gender, national origin, disability status, protected veteran status, or any other characteristic protected by law.</t>
        </is>
      </c>
    </row>
    <row r="34">
      <c r="A34" t="inlineStr">
        <is>
          <t>li-4345161900</t>
        </is>
      </c>
      <c r="B34" t="inlineStr">
        <is>
          <t>Staff Data Scientist, Platform Performance</t>
        </is>
      </c>
      <c r="C34" t="inlineStr">
        <is>
          <t>Intuit</t>
        </is>
      </c>
      <c r="D34" t="inlineStr">
        <is>
          <t>linkedin</t>
        </is>
      </c>
      <c r="E34" t="inlineStr"/>
      <c r="F34" t="inlineStr"/>
      <c r="G34" t="inlineStr">
        <is>
          <t>Mountain View, CA</t>
        </is>
      </c>
      <c r="H34" t="inlineStr"/>
      <c r="I34" t="inlineStr">
        <is>
          <t>**Overview**
 We are seeking an experienced and highly motivated Staff Data Scientist to join our Platform Analytics team at Intuit. This role will serve as a thought leader and strategic partner to product, platform, and engineering leadership, driving unified measurement frameworks and ensuring analytics excellence across global teams. The ideal candidate will have deep expertise in data science, experimentation, and scalable measurement, as well as experience in developing evaluation frameworks for Generative AI (GenAI) and agentic workflows such as GenAI\-powered digital assistants. This is a unique opportunity to shape how both foundational platforms and emerging AI capabilities are measured, optimized, and integrated into Intuit’s platform.
**Responsibilities**
* Strategic Alignment: Partner with product, platform, and engineering leaders to align analytics and observability priorities with platform goals, enabling data\-driven decisions on investments and improvements.
* Unified KPI Framework: Define, instrument, and govern key platform KPIs that measure reliability, scalability, and business impact.
* Performance Observability: Build SLA\-bound dashboards, lead KPI reviews, and implement proactive alerting to ensure platform resilience and transparency.
* Cross\-Analytics Collaboration: Champion platform performance insights across analytics teams (e.g., Segment, Product Analytics), ensuring consistent visibility and alignment on key metrics and outcomes.
* GenAI Measurement: Collaborate with analytics partners to define and track success metrics for Generative AI and agentic workflows, focusing on quality, trust, and customer value.
* Continuous Improvement: Drive continuous improvement initiatives, identify opportunities for optimization, and recommend data\-backed experiments to enhance platform performance.
* Data Stewardship: Uphold best practices in data quality, governance, and sustainable observability infrastructure.
**Qualifications**
* Advanced degree (MS/PhD) in Statistics, Computer Science, Economics, Mathematics, or a related quantitative field.
* 7\+ years of combined academic and industry experience applying scientific methods to real\-world, large\-scale data problems.
* Proven expertise in statistical analysis, experimentation design, and causal inference techniques.
* Strong programming skills in Python or R, with proficiency in SQL (Hive/Presto/BigQuery experience preferred).
* Demonstrated success building unified KPI frameworks, measurement pipelines, or analytics governance structures at scale.
* Experience providing technical oversight to global analytics or data science teams.
* Hands\-on experience designing evaluation and measurement frameworks for Generative AI and agentic workflows, including conversational AI, AI assistants, and autonomous task orchestration.
* Strong business acumen and ability to translate ambiguous questions into clear analytical frameworks, success metrics, and actionable insights.
* Excellent communication skills with the ability to influence and collaborate effectively with senior leadership and cross\-functional partners.
 Track record of embedding analytics into product and platform decisions that drive measurable business impact.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35">
      <c r="A35" t="inlineStr">
        <is>
          <t>li-4345102094</t>
        </is>
      </c>
      <c r="B35" t="inlineStr">
        <is>
          <t>Staff Data Scientist</t>
        </is>
      </c>
      <c r="C35" t="inlineStr">
        <is>
          <t>Intuit</t>
        </is>
      </c>
      <c r="D35" t="inlineStr">
        <is>
          <t>linkedin</t>
        </is>
      </c>
      <c r="E35" t="inlineStr"/>
      <c r="F35" t="inlineStr"/>
      <c r="G35" t="inlineStr">
        <is>
          <t>Mountain View, CA</t>
        </is>
      </c>
      <c r="H35" t="inlineStr"/>
      <c r="I35" t="inlineStr">
        <is>
          <t>**Overview**
 Come join the Intuit Finance Data Science \&amp; Strategy team as a Staff Data Scientist! In this role, you will help drive data\-backed strategic initiatives across the Intuit portfolio, primarily focused on opportunities within our Global Business Solutions Group. We are looking for creative problem solvers with a passion for delivering data\-driven insights. You will partner closely with finance strategy, FP\&amp;A, data engineering, and various business partners to directly impact our business results and accelerate Intuit’s growth.
**Responsibilities**
* Leveraging predictive modeling, advanced analytics and causal inference methods to identify new opportunities to grow the business exploring unit economics, market dynamics, product migration, cross\-selling, product growth levers, price/spend optimization, etc.
* Perform end\-to\-end analytics using advanced SQL, ML and AI to extract business insights that drive tangible value for our customers and result in business growth.
* Leverage data visualization and dashboarding tools such as Tableau to help uncover key business insights and improve team automation and self\-service analytics.
* Disseminate business insights to cross\-functional stakeholders and influence decision\-making.
* Keep up with evolving trends and advancements in data analytics to drive innovation and continuously improve business processes.
**Qualifications**
* 6\+ years relevant experience with a proven track record of leveraging analytics to drive significant business impact.
* Advanced proficiency in SQL, “big data” technologies (e.g., Redshift, Spark, Hive, BigQuery), and BI tools (e.g., Tableau, Qlik, Dash). Qlik certification is a big plus
* Passion for uncovering strategic opportunities and and a strong business acumen and the ability to translate business strategy into testable hypotheses and insights
* High\-level understanding of advanced statistical modeling and ML methodologies such as causal inference techniques with a strategic understanding of their application
* Strong programming skills in Python or R; experience building ML and GenAI models, including automation and custom implementations.
* Strong data storytelling skills, with a proven ability to rapidly construct impactful visualization, communicate insights and influence leadership
* Excellent communication and interpersonal skills, with a proven ability to build trust and collaborate seamlessly across technical, business, and cross\-functional teams.
* Comfortable working in a fast\-paced environment and have flexibility to shift priorities when needed
* Bachelor’s degree in Engineering, Data Science, Statistics, Mathematics, Computer Science, Economics or related quantitative field; Master’s Degree preferred
**Preferred Additional Experience**
* Understanding of forecasting processes, financial reporting, time value of money, and other financial concepts.
* Understanding of AI\-native architectures and GenAI platforms; able to assess implications for data, testing, and behavior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$186,500 \- 252,000</t>
        </is>
      </c>
    </row>
    <row r="36">
      <c r="A36" t="inlineStr">
        <is>
          <t>li-4345341438</t>
        </is>
      </c>
      <c r="B36" t="inlineStr">
        <is>
          <t>Senior Data Scientist</t>
        </is>
      </c>
      <c r="C36" t="inlineStr">
        <is>
          <t>RemoteHunter</t>
        </is>
      </c>
      <c r="D36" t="inlineStr">
        <is>
          <t>linkedin</t>
        </is>
      </c>
      <c r="E36" t="inlineStr"/>
      <c r="F36" t="inlineStr"/>
      <c r="G36" t="inlineStr"/>
      <c r="H36" t="inlineStr"/>
      <c r="I36" t="inlineStr">
        <is>
          <t>About the Opportunity:
 This team within the Data and Analytics division focuses on understanding the features that drive vehicle pricing and predicting future vehicle values along with other critical sector insights. The role involves creating innovative machine learning processes, deploying them into production, and contributing to accurate, transparent, industry\-leading analytics in the automotive industry.
 Responsibilities:
 • Work daily with automotive industry data
 • Lead end\-to\-end data science projects
 • Design and implement complex feature engineering strategies
 • Build and deploy advanced AI/ML and classical regression models
 • Conduct advanced model evaluation and optimization
 • Document machine learning processes
 • Collaborate with technology and engineering teams to improve and build processes
 • Partner with product teams to develop analytics for new products
 • Create visual reports summarizing findings for internal and external clients
 • Perform ad\-hoc data analysis and reporting
 • Participate in a team environment encouraging idea sharing to build predictive algorithms
 Requirements:
 • Expertise in data analytics and/or statistical concepts such as regression, logistic regression, time\-series modeling, Bayesian statistics, machine learning, data mining, simulation, optimization, or forecasting
 • Ability to communicate technical processes to non\-technical audiences
 • Presentation experience
 • Curiosity and passion for problem\-solving with data
 • 4\+ years’ experience working with large datasets
 • 4\+ years’ fluency in statistical programming software, especially Python and Spark
 • 4\+ years’ experience with database software (RedShift, Hive, SQL, MySQL) with strong SQL skills
 • Master’s Degree in Statistics, Data Science, Economics, or related technical field
 Benefits \&amp; Perks:
 No direct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7">
      <c r="A37" t="inlineStr">
        <is>
          <t>li-4345471618</t>
        </is>
      </c>
      <c r="B37" t="inlineStr">
        <is>
          <t>Staff Data Scientist, Money &amp; Lending</t>
        </is>
      </c>
      <c r="C37" t="inlineStr">
        <is>
          <t>Intuit</t>
        </is>
      </c>
      <c r="D37" t="inlineStr">
        <is>
          <t>linkedin</t>
        </is>
      </c>
      <c r="E37" t="inlineStr"/>
      <c r="F37" t="inlineStr"/>
      <c r="G37" t="inlineStr">
        <is>
          <t>San Francisco, CA</t>
        </is>
      </c>
      <c r="H37" t="inlineStr"/>
      <c r="I37" t="inlineStr">
        <is>
          <t>**Overview**
 Overview
 We are seeking a Staff Data Scientist to join our Money Data Science Team. This role is focused on growth across Intuit’s fast money and consumer lending products. This is a high\-impact role where your work will directly influence product, marketing, and business strategies.
 As a Staff Data Scientist, you will serve as a strategic thought partner to cross\-functional leaders, bringing deep analytical expertise and business acumen to bear on Intuit’s most critical growth questions. You’ll lead and contribute to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 Define KPIs and Success Metrics: Establish key business indicators for projects, ensuring alignment with company objectives and clear measures of success.
* Causal Inference: Lead causal inference and econometric analyses to understand and influence key levers of business growth with a crisp understanding of incremental impact.
* Experimentation: Design, implement, and analyze experiments and quasi\-experiments to measure the impact of new initiatives in product and marketing.
* Predictive Analytics and Modeling: Develop predictive models and methodologies to uncover growth opportunities and support long\-term business planning.
* Communication: Translate complex technical findings into clear, actionable insights for senior leadership, including product, finance, and marketing executives.
* Leadership and Ownership: Demonstrate boundaryless leadership and extreme accountability \- proactively drives outcomes across teams and leads with influence, not authority.
* Team Development: Serve as the technical lead for cross\-team data science projects, ensuring best practices and mentoring junior data scientists
**Qualifications**
* Bachelor's degree in Statistics, Economics, Computer Science or a related quantitative field is required. Advanced degrees, particularly a Master's or PhD in economics or statistics, are highly desirable.
* At least 5 years of experience applying statistical / econometric and modeling skills in decision making.
* Demonstrated expertise in causal inference—including but not limited to advanced experimentation, synthetic controls, regression discontinuity, and instrumental variables—with a track record of rigorously solving problems with these methods.
* Applied experience leveraging machine learning—including but not limited to predictive forecasting, explainable ML, and end\-to\-end model pipeline development—to drive meaningful business impact
* A demonstrated ability to navigate through ambiguity and deliver results that significantly impact the business.
* Excellent communication skills and the ability to work effectively with both technical and non\-technical colleagues.
* Proficiency in SQL and a statistical programming language such as Python and/or R.
****Responsibilities****
* Define KPIs and Success Metrics: Establish key business indicators for projects, ensuring alignment with company objectives and clear measures of success.
* Causal Inference: Lead causal inference and econometric analyses to understand and influence key levers of business growth with a crisp understanding of incremental impact.
* Experimentation: Design, implement, and analyze experiments and quasi\-experiments to measure the impact of new initiatives in product and marketing.
* Predictive Analytics and Modeling: Develop predictive models and methodologies to uncover growth opportunities and support long\-term business planning.
* Communication: Translate complex technical findings into clear, actionable insights for senior leadership, including product, finance, and marketing executives.
* Leadership and Ownership: Demonstrate boundaryless leadership and extreme accountability \- proactively drives outcomes across teams and leads with influence, not authority.
* Team Development: Serve as the technical lead for cross\-team data science projects, ensuring best practices and mentoring junior data scientists
****Qualifications****
* Bachelor's degree in Statistics, Economics, Computer Science or a related quantitative field is required. Advanced degrees, particularly a Master's or PhD in economics or statistics, are highly desirable.
* At least 5 years of experience applying statistical / econometric and modeling skills in decision making.
* Demonstrated expertise in causal inference—including but not limited to advanced experimentation, synthetic controls, regression discontinuity, and instrumental variables—with a track record of rigorously solving problems with these methods.
* Applied experience leveraging machine learning—including but not limited to predictive forecasting, explainable ML, and end\-to\-end model pipeline development—to drive meaningful business impact
* A demonstrated ability to navigate through ambiguity and deliver results that significantly impact the business.
* Excellent communication skills and the ability to work effectively with both technical and non\-technical colleagues.
* Proficiency in SQL and a statistical programming language such as Python and/or R.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38">
      <c r="A38" t="inlineStr">
        <is>
          <t>li-4359757020</t>
        </is>
      </c>
      <c r="B38" t="inlineStr">
        <is>
          <t>Principal Data Scientist - AI Context Architect (Semantic &amp; Context Engineering)</t>
        </is>
      </c>
      <c r="C38" t="inlineStr">
        <is>
          <t>Amgen</t>
        </is>
      </c>
      <c r="D38" t="inlineStr">
        <is>
          <t>linkedin</t>
        </is>
      </c>
      <c r="E38" t="inlineStr"/>
      <c r="F38" t="inlineStr"/>
      <c r="G38" t="inlineStr"/>
      <c r="H38" t="inlineStr"/>
      <c r="I38"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Principal Data Scientist
**What You Will Do**
 Let’s do this. Let’s change the world. In this vital role you will serve as a senior individual\-contributor authority on
 **semantic modeling, context engineering, and AI\-first data science** 
 —enabling high\-performing classical ML, reinforcement learning–informed approaches, and generative AI systems through
 **well\-architected context** 
 .
 This role functions as an
 **“AI Context Architect”** 
 (titled as a Data Scientist): a
 **semantic architect** 
 who can define domain entities (e.g., payer, provider, patient, product, site, indication) and the relationships between them, so that
 **data \+ context** 
 reliably drive model reasoning, retrieval, and downstream decisions. You will design the semantic foundations that make AI systems accurate, explainable, governable, and performant—partnering with engineering, product, security/compliance, and domain teams across
 **R\&amp;D, Manufacturing, and Commercial**
**Roles \&amp; Responsibilities**
**Semantic architecture \&amp; AI\-first context modeling**
* Define enterprise\-grade semantic representations for healthcare/life\-sciences concepts and specify how relationships and interactions are represented for AI consumption.
* Create and maintain semantic schemas / ontologies / knowledge\-graph models that describe entities, attributes, constraints, and linkages—optimized for both analytics and AI reasoning.
* Establish context engineering standards: how data is shaped into prompts, tools, memory, retrieval indices, and structured outputs so models behave consistently across use cases.
**Feature engineering \&amp; model performance (core emphasis)**
* Lead feature engineering strategy tied directly to model performance, including feature definition, transformations, leakage prevention, stability monitoring, and explainability.
* Perform exploratory data analysis on complex, high\-dimensional datasets to identify predictive signals and context variables that improve model robustness and generalization.
**Context\-aware ML, GenAI, and reinforcement learning–informed approaches**
* Build and evaluate context\-aware ML/GenAI solutions, integrating semantic layers with retrieval, tools, and structured outputs.
* Apply reinforcement learning concepts (reward modeling, policy optimization intuition, offline evaluation, exploration/exploitation framing) to improve decisioning, ranking, orchestration, and system behavior—without overfitting to short\-term metrics.
* Prototype and benchmark algorithms and approaches (classical ML, deep learning, LLM\-based reasoning) and advise on scalability and production readiness.
**Retrieval, knowledge, and governance foundations**
* Architect and implement retrieval and memory patterns (RAG, vector stores, knowledge graphs, session memory).
* Define data quality and semantic quality gates (entity completeness, relationship validity, taxonomy drift, grounding coverage) that impact downstream model reliability.
**Cross\-functional leadership**
* Translate domain needs into semantic \+ AI roadmaps, aligning stakeholders on definitions, metrics, and tradeoffs.
* Act as a principal\-level mentor and technical leader: establish standards, review semantic designs, and guide teams on best practices for context engineering and feature excellence.
**What We Expect Of You**
 We are all different, yet we all use our unique contributions to serve patients. The professional we seek will have these qualifications.
**Basic Qualifications:**
 Doctorate degree and 2 years of Data Science, Computer Science, Statistics, Applied Math, or related experience
 Or
 Master’s degree and 4 years of Data Science, Computer Science, Statistics, Applied Math, or related experience
 Or
 Bachelor’s degree and 6 years of Data Science, Computer Science, Statistics, Applied Math, or related experience
 Or
 Associate’s degree and 10 years of Data Science, Computer Science, Statistics, Applied Math, or related experience
 Or
 High school diploma / GED and 12 years of Data Science, Computer Science, Statistics, Applied Math, or related experience
**Preferred Qualifications:**
* 10–12\+ years applying data science in enterprise environments with demonstrated principal\-level influence (or equivalent depth of expertise).
* Deep expertise in semantic modeling: ontologies, taxonomies, entity resolution, knowledge graphs, metadata and data contracts—built for operational use.
* Strong understanding of machine learning fundamentals and performance drivers, especially feature engineering and evaluation rigor.
* Practical experience implementing RAG / retrieval / vector search / knowledge graph solutions with clear governance patterns.
* Working knowledge of reinforcement learning concepts and how they apply to ranking, orchestration, personalization, or decision systems (even if not “pure RL” production).
* Proficiency in Python (and strong comfort with modern data/ML stacks); ability to collaborate effectively with engineering teams on production concerns.
* Exceptional stakeholder management: can drive alignment on, relationships, and metrics, and communicate tradeoffs clearly.
**Good\-to\-Have Skills**
* Experience in biotech/pharma and healthcare commercial concepts (payer/provider dynamics, formulary/coverage).
* Familiarity with agentic/tool\-using LLM patterns, prompt management, and structured outputs.
* Experience with feature stores, ML observability, and robust evaluation tooling.
* Publications, conference talks, or thought leadership in semantic AI / knowledge systems / enterprise GenAI.
**Soft Skills:**
* Excellent analytical and troubleshooting skills.
* Strong verbal and written communication skills
* Ability to work effectively with global, virtual teams
* High degree of initiative and self\-motivation.
* Ability to manage multiple priorities successfully.
* Team\-oriented, with a focus on achieving team goals.
* Ability to learn quickly, be organized and detail oriented.
* Strong presentation and public speaking skills.
**Certifications**
* Cloud/AI certifications (AWS/Azure/GCP) are a plus.
**What You Can Expect Of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Sponsorship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39">
      <c r="A39" t="inlineStr">
        <is>
          <t>li-4345451695</t>
        </is>
      </c>
      <c r="B39" t="inlineStr">
        <is>
          <t>Staff Data Scientist</t>
        </is>
      </c>
      <c r="C39" t="inlineStr">
        <is>
          <t>Intuit</t>
        </is>
      </c>
      <c r="D39" t="inlineStr">
        <is>
          <t>linkedin</t>
        </is>
      </c>
      <c r="E39" t="inlineStr"/>
      <c r="F39" t="inlineStr"/>
      <c r="G39" t="inlineStr">
        <is>
          <t>San Diego, CA</t>
        </is>
      </c>
      <c r="H39" t="inlineStr"/>
      <c r="I39" t="inlineStr">
        <is>
          <t>**Overview**
 Join the Intuit Customer Success team as a Staff Data Scientist within our Expert Network. In this role, you will help shape the AI strategy for our product support and live experiences. You’ll be central to optimizing our greatest resource—our people—through innovating, experimenting, learning, pivoting, and scaling AI\-driven solutions.
 As a Staff Data Scientist, you will join our team of talented Data Engineers, Data Analysts, and Data Scientists to develop tools, define metrics, and build a robust Data/AI infrastructure that informs critical business decisions. You will also partner closely with cross functional teams in AI Research, Product Management, Service Delivery, Strategy, and Engineering to develop capabilities that will drive our AI Driven platform into the future.
**Responsibilities**
* Perform hands\-on data analysis and modeling with large datasets.
* Lead experimental designs and measurement plans.
* Apply data mining, NLP, and machine learning (both supervised and unsupervised) to improve relevance and personalization algorithms.
* Build optimization models and simulation tools to support strategic decisions across customer success operations, including workforce planning, customer escalations, root cause analysis, scheduling, and routing.
* Develop and operationalize decision science frameworks to optimize support costs and maximize customer outcomes.
* Partner with stakeholders across Customer Success, Operations, and Strategy teams to embed AI/ML solutions in real\-time decision engines and operational workflows.
* Work side\-by\-side with product managers, software engineers, and designers in designing models, experiments, and minimum viable products.
* Develop generative AI capabilities to power our Expert Network and streamline processes, uncover insights, and reduce the manual burden on the team.
**Qualifications**
* BS or MS degree in Statistics, Mathematics, Operations Research, Computer Science, Econometrics, or a related field.
* Advanced proficiency in SQL and a statistical programming language such as Python and/or R.
* 8\+ years of experience in data mining algorithms and statistical modeling techniques such as clustering, classification, regression, decision trees, neural nets, support vector machines, anomaly detection, recommender systems, sequential pattern discovery, and text mining.
* Deep understanding of Generative AI and other evolving technologies to accelerate insights from multi\-modal data.
* Expertise in experimental design and Multivariate/A\-B testing.
* Strong background in optimization techniques, such as linear programming, integer programming, constraint optimization, and simulation modeling.
* Experience building and deploying operational models for staffing, queue management, or dynamic resource allocation.
* Familiarity with customer success metrics and operational KPIs such as Net Promoter Score (NPS), Average Handle Time (AHT), First Contact Resolution (FCR), and agent utilization.
* Ability to formulate data\-backed strategies that will drive step\-function growth for the business as well as increase customer benefit.
* Solid communication skills: Demonstrated ability to explain complex technical issues to both technical and non\-technical audiences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40">
      <c r="A40" t="inlineStr">
        <is>
          <t>li-4345431742</t>
        </is>
      </c>
      <c r="B40" t="inlineStr">
        <is>
          <t>Senior Staff Data Scientist, Expert Experiences</t>
        </is>
      </c>
      <c r="C40" t="inlineStr">
        <is>
          <t>Intuit</t>
        </is>
      </c>
      <c r="D40" t="inlineStr">
        <is>
          <t>linkedin</t>
        </is>
      </c>
      <c r="E40" t="inlineStr"/>
      <c r="F40" t="inlineStr"/>
      <c r="G40" t="inlineStr">
        <is>
          <t>San Diego, CA</t>
        </is>
      </c>
      <c r="H40" t="inlineStr"/>
      <c r="I40" t="inlineStr">
        <is>
          <t>**Overview**
 The Intuit Customer Success (ICS) Data Science team is seeking an exceptional and deeply experienced Senior Staff Data Scientist to drive innovation and enhance customer experiences through Intuit's world\-class expert services.
 In this pivotal, high\-leverage Individual Contributor (IC) role, you will be responsible for defining and building the foundational intelligence system that maps the end\-to\-end expert journey. Your primary mandate will be to identify and quantify points of friction in the expert workflow, establish causal relationships to business outcomes (including Customer Serving Time), and develop reusable analytical frameworks that scale across business units. Collaborating closely with the Intuit Assist Expert Experiences team, your contributions will be instrumental in shaping the future of customer success at Intuit as we build a service platform to empower our customers beyond core product use.
 This role requires a technical leader who operates as a domain expert, influencing product direction across multiple teams, navigating highly complex problems, and introducing new methodologies to the Data Science community.
**Responsibilities**
* Strategic Vision \&amp; Framework Development
* Strategy to Problem: Demonstrate the ability to turn complex business strategy (e.g., Expert\-as\-Product, AI\-Native Experience) into well\-defined, measurable analytical problems and iteratively self\-generate and validate hypotheses to create actionable insights.
* X\-functional Influence: Combine deep insights, business acumen, and strategic considerations to influence cross\-functional VPs and Directors on key investment areas and critical priorities across multiple initiatives or business units.
* Metric System \&amp; Causal Structure: Lead the development and implementation of a tiered metric system that maps the causal relationships between high\-level business goals (e.g., efficiency, conversion) and low\-level product health metrics (e.g., latency, accuracy, and coverage), leveraging Causal AI methods (like Causal Graphs) to structure and connect input metrics to outcome metrics.
* Advanced Causal Measurement \&amp; Modeling
* Causal Measurement Strategy: Design and implement a durable strategy for measuring the causal impact of expert\-facing features, with a primary focus on Customer Serving Time (CST) reduction and ensuring GenAI efficiencies are fully achieved and accurately attributed. This includes executing complex Randomized Controlled Trials (RCTs) and utilizing advanced methods like hierarchical Bayesian modeling for robust inference.
* Model Development \&amp; Innovation: Lead the end\-to\-end development of advanced analytical models, including Behavioral Modeling on clickstream data, Anomaly Detection for friction identification, and Automated Opportunity Sizing models. Apply and drive the use of advanced Causal Inference methods, including Causal Discovery and Causal Graph modeling, to answer the most complex business questions regarding efficiency attribution and metric relationship fidelity.
* AI Strategy Co\-Creation \&amp; Guidance: Co\-create the Expert Experiences AI strategy in partnership with cross\-functional teams. Guide teams on the phased testing and roll\-out of AI\-native experiences, ensuring the right processes are in place for causal measurement.
* Mentorship \&amp; Stewardship
* Mentorship: Actively raise the team’s technical knowledge, skill, and engagement by mentoring junior employees, documenting and sharing standards, and participating in technical forums.
 Data Stewardship: Deeply understand the current state, gaps, and target state of the core expert data layers, providing technical guidance to bridge known data gaps and ensuring data architecture alignment with long\-term strategy.
**Qualifications**
 Qualifications
* Experience: 7\+ years in Data Science, applied Machine Learning, and/or advanced statistical modeling, with a focus on product or customer experience analytics.
* Education: Bachelor’s or Master's Degree in a quantitative field (e.g., Statistics, Computer Science, Engineering, Economics, Operations Research, etc.)
* Technical Expertise:
* Expert proficiency in SQL and Python/R for data analysis, modeling, and pipeline development.
* Deep, hands\-on experience translating a business problem into a predictive/prescriptive modeling problem and leading the end\-to\-end model development lifecycle.
* Advanced knowledge and applied experience with a wide range of Causal Inference methods (including Causal Graph/Causal AI techniques) and advanced statistical methods.
* Experience in AI/ML, Generative AI (GenAI), and LLM integration into analysis/data workflows, including prompt optimization and fine\-tuning.
* Strategic Impact: Proven track record of influencing Director and VP\-level cross\-functional partners, driving strategic decisions, and creating reusable analytical assets or frameworks that scale across business units.
* Communication: Outstanding communication and data storytelling skills, with the ability to articulate complex technical findings to non\-technical executive audiences.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
 Southern California $ 197,500\- 267,500</t>
        </is>
      </c>
    </row>
    <row r="41">
      <c r="A41" t="inlineStr">
        <is>
          <t>li-4359952612</t>
        </is>
      </c>
      <c r="B41" t="inlineStr">
        <is>
          <t>Principal Applied Scientist</t>
        </is>
      </c>
      <c r="C41" t="inlineStr">
        <is>
          <t>Microsoft</t>
        </is>
      </c>
      <c r="D41" t="inlineStr">
        <is>
          <t>linkedin</t>
        </is>
      </c>
      <c r="E41" t="inlineStr"/>
      <c r="F41" t="inlineStr"/>
      <c r="G41" t="inlineStr">
        <is>
          <t>Redmond, WA</t>
        </is>
      </c>
      <c r="H41" t="inlineStr"/>
      <c r="I41"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and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This is an exciting time to join our group and work on something strategic to Microsoft. Microsoft Dataverse and the Power Platform Managed Platform provide secure, scalable, and cost\-efficient foundations for building AI\-powered, governed, and compliant applications at global scale. This team builds platform capabilities and microservices that deliver global scale, security, governance, and managed runtime for customers across Power Platform. You will be part of a team of engineers who thrive on solving complex problems at scale with impeccable quality.
 We are looking for a
 **Principal Research Engineer** 
 to join the Managed Platform team, which provides the foundation for global scale, security, governance, and compliance across Power Platform and Dataverse. In this role, you will apply data science techniques to improve platform reliability, optimize performance, and enable AI\-driven insights that shape the future of enterprise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Apply a deep understanding of fairness and bias in AI by proactively identifying and mitigating ethical and security risks—including XPIA (Cross\-Prompt Injection Attack) unfairness, bias, and privacy concerns—to ensure equitable and responsible outcomes.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 OR equivalent experience.
* 5\+ years experience creating publications (e.g., patents, libraries, peer\-reviewed academic papers).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2\+ years experience presenting at conferences or other events in the outside research/industry community as an invited speaker.
 \#BICJOBS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
      <c r="A42" t="inlineStr">
        <is>
          <t>li-4281789393</t>
        </is>
      </c>
      <c r="B42" t="inlineStr">
        <is>
          <t>Principal Applied Scientist (GenAI)</t>
        </is>
      </c>
      <c r="C42" t="inlineStr">
        <is>
          <t>Oracle</t>
        </is>
      </c>
      <c r="D42" t="inlineStr">
        <is>
          <t>linkedin</t>
        </is>
      </c>
      <c r="E42" t="inlineStr"/>
      <c r="F42" t="inlineStr"/>
      <c r="G42" t="inlineStr"/>
      <c r="H42" t="inlineStr"/>
      <c r="I42" t="inlineStr">
        <is>
          <t>**Job Description**
 We are seeking a visionary leader to spearhead post training model research and development efforts. As the post training science lead, you will be responsible for driving the development and implementation of cutting\-edge methodologies around improving model performance based on human feedback.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3">
      <c r="A43" t="inlineStr">
        <is>
          <t>li-4339835423</t>
        </is>
      </c>
      <c r="B43" t="inlineStr">
        <is>
          <t>Senior Staff Data Scientist</t>
        </is>
      </c>
      <c r="C43" t="inlineStr">
        <is>
          <t>Cisco</t>
        </is>
      </c>
      <c r="D43" t="inlineStr">
        <is>
          <t>linkedin</t>
        </is>
      </c>
      <c r="E43" t="inlineStr"/>
      <c r="F43" t="inlineStr"/>
      <c r="G43" t="inlineStr">
        <is>
          <t>San Jose, CA</t>
        </is>
      </c>
      <c r="H43" t="inlineStr"/>
      <c r="I43" t="inlineStr">
        <is>
          <t>Meet the Team
 Join the engineering team building the intelligent backbone of Splunk Observability Cloud. We are committed to leveraging the latest advancements in data science and machine learning to unlock unprecedented value from massive volumes of telemetry—metrics, traces, and logs—at petabyte scale. This role involves researching, developing, and deploying core analytical components focused on streaming anomaly detection, predictive intelligence, and automated root\-cause analysis. If you thrive on the challenge of building enterprise\-grade, scalable ML systems and applying sophisticated techniques to complex, high\-impact problems, you will be instrumental in delivering the full\-stack, real\-time answers and automation required for our customers to achieve true digital resilience across any cloud\-native or hybrid environment.
 Your Impact
* Lead the design, development, and evolution of Agentic platforms and machine learning algorithms for anomaly detection, prediction
* Apply the latest Generative AI and Agentic AI to enable AI features in Splunk Observability
* Collaborate across engineering and product teams to establish robust frameworks for evaluating AI systems’ trustworthiness and resilience.
* Provide technical leadership and mentorship within the team, establishing leading practices for development, testing, and artifact management.
**Minimum Qualifications**
* PhD degree in Computer Science or related field and 6\+ years of software engineering experience, or master's degree with 10\+ years of experience.
* Experience designing and building scalable cloud\-based systems (AWS, Azure, or GCP), including container orchestration (e.g., Kubernetes, Docker).
* Proven experience in technical leadership, architecture design, and end\-to\-end feature ownership in AI/ML or platform domains.
* Experience with API design and frameworks (e.g. OpenAPI, GraphQL, gRPC, REST, etc.)
* Prior working experience in delivering RAG and Agentic products into production
* Expert at using vibe coding tools (Claude Code, Codex, Copilot, Windsurf, Cursor) is a must
* Up To Date knowledge on the latest Agentic and Generative AI research papers
**Preferred Qualifications**
* Exceptional problem\-solving skills, with the ability to analyze complex requirements and propose effective solutions.
* Experience developing, deploying, and maintaining applications in AWS environment with cloud native solutions.
* Experience monitoring and analyzing metrics, trace, span, and log content
* Background in observability, generative AI, or model robustness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$226,300\.00 to $293,300\.00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$226,300\.00 \- $337,300\.00
**Non\-Metro New York State \&amp; Washington State**
 $205,600\.00 \- $300,800\.00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44">
      <c r="A44" t="inlineStr">
        <is>
          <t>li-4305666538</t>
        </is>
      </c>
      <c r="B44" t="inlineStr">
        <is>
          <t>Data Scientist II - Outreach Analytics</t>
        </is>
      </c>
      <c r="C44" t="inlineStr">
        <is>
          <t>Western Governors University</t>
        </is>
      </c>
      <c r="D44" t="inlineStr">
        <is>
          <t>linkedin</t>
        </is>
      </c>
      <c r="E44" t="inlineStr"/>
      <c r="F44" t="inlineStr"/>
      <c r="G44" t="inlineStr"/>
      <c r="H44" t="inlineStr"/>
      <c r="I44"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Technical 408
 Pay Range: $116,000\.00 \- $174,100\.00
**Job Description**
**What if your advanced analytics helped more people access a college education?**
 At WGU, we use data science to drive access, equity, and innovation. As a Data Scientist II on the Outreach Analytics team, you’ll lead complex analytics and modeling efforts that shape how thousands of students discover, choose, and succeed at WGU.
 The Institutional Analytics and Research (IAR) team supports and enables most university teams, departments, and colleges to make data\-informed decisions that lead to better student outcomes. Our analysts, scientists, researchers, and managers are distributed across several teams: Institutional Research, Institutional Metrics \&amp; Insights, Outreach Analytics, Faculty Analytics, Curriculum Analytics, and Student Success Analytics.
 The Outreach Analytics team works at the intersection of marketing, enrollment, and regional operations—turning customer journey data into actionable insights and predictive models that drive strategy and impact.
**The Role: Data Scientist II – Outreach Analytics**
 As a Data Scientist II, you will produce valuable information from very large sets of structured, semi\-structured, and unstructured data. You’ll lead the development of statistical and predictive models, apply advanced machine learning, and collaborate across teams to deliver insights that inform key decisions and improve student engagement.
**What You’ll Do**
* Lead advanced analytics and modeling on large, diverse data sets
* Apply machine learning, NLP, and statistical techniques to solve business challenges
* Build and maintain dashboards and visualizations in Tableau or Power BI
* Define and promote data quality standards; optimize SQL queries and data pipelines
* Mentor team members and share technical expertise across Outreach Analytics
* Interface with stakeholders to identify requirements, clarify priorities, set expectations, and present results.
**What You Bring**
* Bachelor’s degree in a related discipline
* 5 years of experience delivering data science solutions and analytical models
* Advance experience building predictive models using machine learning methods.
* Advanced proficiency with SQL (writing queries and subqueries, modifying data (INSERT, UPDATE, DELETE), creating views, and knowledge of the different join types, filtering, sorting, aggregation, window functions, common table expressions (CTE), and performance tuning)
* Experience using Python, R, or Natural Language Processing in an ML environment
* Experience with the selection and deployment of mathematical models, forecasting methods (e.g., time series, inferential, regression), descriptive statistics, and classification algorithms to make predictions and identify relationships based on limited data sets.
* Experience with Tableau or Power BI for data visualization (presenting data and information utilizing charts, graphs, and maps, in ways that make it easy to understand trends, patterns, and outliers)
* Experience working with large, structured, and unstructured data sets (accessing, retrieving, manipulating, inserting, and deleting data)
**Bonus if you have**
* Experience in higher education, marketing analytics, or learner success analytics
* Experience with A/B testing and advanced statistical methods
* Experience with versioning tools in the context of CI/CD (e.g., Github) and deploying models using machine learning operations (MLOps) self\-service capabilities
* Experience mentoring and supporting other analysts/scientists
**Experience In Lieu Of Education**
 An equivalent combination of training, experience, credentials, or accomplishments demonstrating the ability to perform the essential functions of this job may substitute for education degree requirements.
**Work Location**
 This is a full\-time, in\-office position at WGU’s headquarters in Salt Lake City, UT. You’ll work side\-by\-side with a multidisciplinary team of analysts, researchers, and educators committed to data\-informed innovation.
**What To Expect**
 At WGU, our mission drives everything we do—including how we hire. Our interview experience is designed to give qualified candidates the opportunity to show their best work through meaningful conversations, practical problem\-solving, and authentic collaboration.
 We thoughtfully review every application and invite forward the candidates whose experience and potential best align with the role and our mission. If selected, you’ll hear from a recruiter or hiring manager who will guide you through the process and help you know what to expect at each stage. We aim to communicate decisions promptly and respectfully.
 Here’s what that typically looks like:
* Introductory call (\~30 minutes): We’ll walk you through who we are at WGU and learn about your relevant experience.
* Hiring manager interview (\~45 minutes)
* Technical interview (\~45 minutes)
 We're looking forward to getting to know you and seeing how you think, collaborate and build. Welcome to WGU.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45">
      <c r="A45" t="inlineStr">
        <is>
          <t>li-4292390015</t>
        </is>
      </c>
      <c r="B45" t="inlineStr">
        <is>
          <t>Data Scientist TS/SCI with Poly Required</t>
        </is>
      </c>
      <c r="C45" t="inlineStr">
        <is>
          <t>Deloitte</t>
        </is>
      </c>
      <c r="D45" t="inlineStr">
        <is>
          <t>linkedin</t>
        </is>
      </c>
      <c r="E45" t="inlineStr"/>
      <c r="F45" t="inlineStr"/>
      <c r="G45" t="inlineStr">
        <is>
          <t>McLean, VA</t>
        </is>
      </c>
      <c r="H45" t="inlineStr"/>
      <c r="I45" t="inlineStr">
        <is>
          <t>Our Deloitte AI \&amp; Engineering team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**Work You'll Do**
 Deloitte is seeking a Data Scientist to join a high\-performing analytics team supporting our client in McLean, VA. In this on\-site role, you will leverage your expertise in Python, Palantir Foundry, Jupyter notebooks, pandas, and NumPy to develop and maintain data pipelines, apply advanced machine learning techniques, and extract actionable insights from large, complex datasets. You will collaborate closely with mission operations teams and client stakeholders, presenting technical findings to audiences of varying technical backgrounds and responding to high\-priority analytic requests. This position offers the opportunity to work on impactful, high\-visibility projects at the forefront of national security, while fostering professional growth and innovation in data science and AI/ML solutions. Excellent communication skills and the ability to work effectively under pressure are essential for success in this dynamic environment.
* Develop, implement, and maintain data pipelines to process and analyze large, complex datasets in support of the client mission.
* Apply advanced data science techniques\-including supervised and unsupervised machine learning, spatial analysis, and time\-series modeling\-to extract actionable insights for mission\-critical operations.
* Build, test, and optimize analytic methodologies and AI/ML solutions for integration into user\-facing technical tools.
* Collaborate directly with client stakeholders and mission operations teams to understand requirements, present findings, and tailor analytic solutions to evolving needs.
* Document code, workflows, and analytic processes following best practices to ensure reproducibility, transparency, and knowledge sharing within the team.
* Prepare and deliver clear, concise technical briefings and presentations to audiences ranging from technical peers to senior leadership and non\-technical stakeholders.
* Respond rapidly to high\-priority analytic requests, adapting to shifting mission priorities while maintaining high standards of technical rigor and communication.
**The Team**
 Deloitte's Government and Public Services (GPS) practice \- our people, ideas, technology and outcomes\-is designed for impact. Serving federal, state, \&amp; local government clients as well as public higher education institutions, our team of professionals brings fresh perspective to help clients anticipate disruption, reimagine the possible, and fulfill their mission promise.
 Our AI \&amp; Data offering provides a full spectrum of solutions for designing, developing, and operating cutting\-edge Data and AI platforms, products, insights, and services. Our offerings help clients innovate, enhance and operate their data, AI, and analytics capabilities, ensuring they can mature and scale effectively.
**Qualifications**
 Required:
* Active TS/SCI Clearance w/ Polygraph
* Bachelor's degree in Computer Science, Engineering, or a related field.
* Must be legally authorized to work in the United States without the need for employer sponsorship, now or at any time in the future
* Must be willing to work 100% onsite in McLean, VA.
* 4 \+ years of experience in Data Analytics, Data Science, and Data Engineering.
* 5 \+ years of experience in Advanced Python coding, and modeling.
* 2 \+ years of experience working with NumPy, Panda, and Spark.
 Preferred:
* 4 \+ years of experience building, testing, and optimizing AI/ML solutions.
* 1\+ years of experience with pipeline and application development within Palantir Foundry.
* Active Python certification.
* Active Palantir Foundry certification.
* Previous Federal Consulting and/ or professional services experience.
* Previous experience presenting to clients or other decision makers to present ideas to various audiences (technical and non\-technical).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\#CJ1
 \#DSJ</t>
        </is>
      </c>
    </row>
    <row r="46">
      <c r="A46" t="inlineStr">
        <is>
          <t>li-4359913425</t>
        </is>
      </c>
      <c r="B46" t="inlineStr">
        <is>
          <t>Data Scientist</t>
        </is>
      </c>
      <c r="C46" t="inlineStr">
        <is>
          <t>DoorDash</t>
        </is>
      </c>
      <c r="D46" t="inlineStr">
        <is>
          <t>linkedin</t>
        </is>
      </c>
      <c r="E46" t="inlineStr"/>
      <c r="F46" t="inlineStr"/>
      <c r="G46" t="inlineStr"/>
      <c r="H46" t="inlineStr"/>
      <c r="I46" t="inlineStr">
        <is>
          <t>**About The Company**
 DoorDash is a leading technology and logistics company dedicated to empowering local economies by connecting consumers with their favorite local merchants through innovative delivery solutions. Established with the mission to enable seamless access to a wide range of goods, DoorDash has revolutionized the way people shop and dine by providing efficient, reliable, and scalable delivery services. Our platform caters to a diverse customer base, including individual consumers, small and large businesses, and local merchants, fostering community growth and economic opportunity. As we continue to expand our reach globally, we remain committed to fostering a culture of innovation, inclusivity, and customer\-centricity, leveraging cutting\-edge technology to solve complex logistical challenges and deliver exceptional experiences.
**About The Role**
 The Analytics team at DoorDash is seeking experienced Data Scientists to lead efforts in measurement, strategy, and tactical decision\-making through advanced analytics approaches. In this role, you will be pivotal in uncovering actionable insights from complex data sets and translating them into strategic recommendations that influence key operational and product decisions. You will work closely with cross\-functional teams, including product, engineering, and operations, to identify opportunities for optimization and growth. Your work will directly impact various facets of the marketplace, including customer acquisition, supply\-demand balancing, fraud prevention, marketing effectiveness, and overall marketplace efficiency. This position offers a unique opportunity to engage in operationally impactful projects, from ideation and experimentation to implementation and measurement, enabling you to make a tangible difference in our business and customer experience.
 As a senior member of the team, you will lead and mentor junior data scientists, foster a data\-driven culture, and interface regularly with senior leadership to showcase insights, influence strategic initiatives, and shape the future roadmap. You will be responsible for defining measurement strategies, designing experiments, and developing learning roadmaps based on data observations and hypotheses. This role requires a blend of technical expertise, strategic thinking, and strong communication skills to translate complex analytical findings into clear, actionable insights for diverse audiences.
**Qualifications**
* A degree in Mathematics, Physics, Statistics, Economics, Computer Science, or a related field.
* 8\+ years of professional experience in Data Science and Product Analytics, preferably within related industries.
* Proven leadership experience, including managing and developing teams of data scientists.
* Deep expertise in experimental design, statistical analysis, and A/B testing methodologies.
* Hands\-on experience with data pipelines, data warehousing, and ETL processes.
* Strong analytical skills with proficiency in programming languages such as Python, R, or SQL.
* Excellent communication skills, capable of presenting complex insights to non\-technical stakeholders.
* Ability to influence strategic decisions through data\-driven insights and recommendations.
**Responsibilities**
* Lead and mentor a team of Data Scientists to investigate complex business problems and uncover key drivers.
* Collaborate with cross\-functional teams to develop and influence product and operational roadmaps with data\-backed insights.
* Design and implement measurement strategies, defining success metrics and best practices for experiments and analyses.
* Conduct deep data analysis to identify patterns, trends, and opportunities for growth and operational improvements.
* Develop and communicate strategic hypotheses and learning roadmaps based on data observations.
* Interface regularly with senior leadership to present findings, influence decision\-making, and drive strategic initiatives.
* Build and maintain scalable data pipelines and infrastructure to support ongoing analytics efforts.
* Ensure the integrity and quality of data, maintaining best practices around data governance and security.
**Benefits**
* Competitive salary within the range of $219,600 to $323,000 USD, commensurate with experience and qualifications.
* Opportunities for equity grants and other performance\-based incentives.
* Comprehensive health benefits including medical, dental, and vision coverage.
* Retirement plan options such as 401(k) with employer matching.
* Paid parental leave (up to 16 weeks) and family\-forming assistance.
* Paid time off including flexible vacation and sick leave policies.
* Wellness benefits, mental health programs, and commuter benefits.
* Paid holidays and disability and life insurance coverage.
* Supportive and inclusive work environment that promotes diversity and professional growth.
 Equal Opportunity
 DoorDash is an equal opportunity employer committed to fostering an inclusive and diverse workplace. We do not discriminate based on race, color, religion, gender, sexual orientation, gender identity or expression, national origin, age, disability, veteran status, or any other protected category. We believe that diverse teams drive innovation and better serve our communities. We encourage applicants from all backgrounds to apply and join us in our mission to empower local economies and create meaningful impact through technology.</t>
        </is>
      </c>
    </row>
    <row r="47">
      <c r="A47" t="inlineStr">
        <is>
          <t>li-4332532405</t>
        </is>
      </c>
      <c r="B47" t="inlineStr">
        <is>
          <t>Data Scientist</t>
        </is>
      </c>
      <c r="C47" t="inlineStr">
        <is>
          <t>MDpanel</t>
        </is>
      </c>
      <c r="D47" t="inlineStr">
        <is>
          <t>linkedin</t>
        </is>
      </c>
      <c r="E47" t="inlineStr"/>
      <c r="F47" t="inlineStr"/>
      <c r="G47" t="inlineStr"/>
      <c r="H47" t="inlineStr"/>
      <c r="I47" t="inlineStr">
        <is>
          <t>**Our Mission:** 
 MDpanel is one of the largest providers of expert medical opinions in the United States. We are committed to being the most coveted partner for physicians, carriers, attorneys, and patients by connecting those in need of medical opinions with the most qualified and highly regarded medical professionals in the U.S. MDpanel allows our member healthcare professional partners to maximize their time and produce unparalleled revenue opportunities. In return, our carrier and attorney clients receive timely, complete, thorough, and easy\-to\-understand opinions to support the medical legal inquiry. MDpanel is revolutionizing the medical opinion space by creating the first true marketplace to connect those in need of medical opinions to those capable of providing them. Unlike traditional, services\-based models, we are devoted to our healthcare professionals and are relentless about removing the burden of administration, securing exam volume, preparing for, and supporting physical examinations, backend processing, report submissions, and billing. And, at the heart of MDpanel, is our team committed to delivering an unparalleled experience for all stakeholders. We think big, start small, and move fast. Our culture is built on supporting each other with accountability, transparency, and passion for our mission.
**Position Summary:** 
 MDpanel is searching for a Data Scientist. The Data Scientist will use a variety of techniques to build models that can interpret medical records, tackle complex scheduling problems, perform multivariate optimizations, and uncover new business opportunities in a fast\-moving environment.
**Primary Responsibilities:** 
* Train models using millions of pages of documents to interpret and summarize a range of medical records
* Work with open source LLMs to build in\-house capabilities that will help assist doctors, customers, and employees.
* Take advantage of massive amounts of data to understand how our customers interact with our product and service offerings
* Lead the design, analysis, and interpretation of projects from data requirement gathering to data processing, modeling, and recommendations
* Proactively identify opportunities to improve the experience of doctors on the MDpanel family of apps using data science
* Effectively communicate insights and recommendations to business leaders and influence strategic decision\-making
* Frequently switch between on\-the\-ground tactical execution and high level strategy
**Minimum Qualifications:** 
* 2\+ years of experience in a data science capacity in a business strategy, marketing, finance, engineering, or analytics organization
* Experience with data querying and manipulation using Python, SQL, or R
* Experience with data analysis and statistical modeling using packages such as Pandas, statsmodels, scikit\-learn, tinygrad, or similar
* Communication and presentation skills
* Self\-starter, comfortable with ambiguity, experience initiating and driving projects with minimal oversight and guidance
* Bachelor's degree in Computer Science, Computer Engineering, Mathematics, Statistics, a relevant technical field, or equivalent practical experience
**Why Should You Work With Us:** 
* MDpanel was founded as a remote\-work company. Our team works around the country and fully supports a positive remote\-work culture.
* We are building a world\-class engineering team. Your coworkers come from companies like Google, Microsoft, and successful VC backed startups.
* You will have a large impact in a growing field. There are big problems to be solved that will move the needle for the entire company.
* We've got the basics covered \- competitive compensation, benefits, 401k, bonuses.
* The applicable salary range for this position is $102,000 \- $148,000 depending on a variety of factors such as relevant experience.
**Additional Information:** 
 The salary range for this position is provided as an estimate based on current market conditions and company benchmarks. Actual compensation may vary depending on factors such as experience, qualifications, skills, location, and internal equity.
 *Please note that we are unable to provide sponsorship assistance currently* 
 . All applicants must have a valid work authorization for the country in which they are applying.
 Please note that this compensation range is subject to change at any time and may not be applicable to all candidates. We are committed to ensuring fair and equitable pay practices and encourage applicants to discuss any questions or concerns regarding compensation during the interview process.
 MDpanel is an Equal Opportunity Employer. We are committed to creating a diverse and inclusive workplace where all associates feel valued, respected, and supported. We do not discriminate based on race, color, religion, sex (including pregnancy, gender identity, and sexual orientation), national origin, age, disability, genetic information, veteran status, or any other legally protected characteristic.</t>
        </is>
      </c>
    </row>
    <row r="48">
      <c r="A48" t="inlineStr">
        <is>
          <t>li-4359963166</t>
        </is>
      </c>
      <c r="B48" t="inlineStr">
        <is>
          <t>Data Scientist</t>
        </is>
      </c>
      <c r="C48" t="inlineStr">
        <is>
          <t>Humana</t>
        </is>
      </c>
      <c r="D48" t="inlineStr">
        <is>
          <t>linkedin</t>
        </is>
      </c>
      <c r="E48" t="inlineStr"/>
      <c r="F48" t="inlineStr"/>
      <c r="G48" t="inlineStr"/>
      <c r="H48" t="inlineStr"/>
      <c r="I48" t="inlineStr">
        <is>
          <t>**About The Company** 
 Humana Inc. (NYSE: HUM) is a leading health and well\-being company committed to putting health first for its members, customers, and employees. With a focus on innovative healthcare solutions, Humana offers a range of insurance services and healthcare programs designed to improve quality of life and health outcomes. Through its diverse portfolio, including Medicare, Medicaid, and commercial insurance plans, Humana strives to make healthcare more accessible, affordable, and personalized. The company emphasizes leveraging technology and analytics to transform member experiences and healthcare delivery, fostering a caring community dedicated to health and wellness.
**About The Role** 
 Become a part of our caring community and help us put health first. We are seeking a skilled Data Scientist to join our Growth Analytics \&amp; AI team within Humana. In this role, you will utilize mathematics, statistics, modeling, and advanced technology to analyze high volumes of complex data and develop innovative analytic solutions. Your responsibilities will include designing Generative AI models, implementing machine learning algorithms, and translating data insights into actionable strategies. You will collaborate closely with cross\-functional teams including IT, sales, and strategy, to identify opportunities for growth and enhance healthcare experiences for our members. This position offers a unique opportunity to influence Humana’s vision around member growth and outcomes by creating impactful AI solutions that improve healthcare delivery and member engagement.
**Qualifications** 
* Bachelor’s Degree in Math, Computer Science, Analytics, Quantitative Social Sciences, or related field with at least 4 years of relevant experience OR Master’s Degree with 1 year of experience
* Proficiency in SQL, Python, and data analysis/data mining tools
* Experience with machine learning frameworks such as Scikit\-Learn, TensorFlow, or PyTorch
* Knowledge of large language models, transformers, and model providers
* Strong understanding of statistical analysis, NLP, Generative AI, and machine learning techniques
* Excellent communication skills, capable of presenting complex insights to both technical and non\-technical audiences
**Responsibilities** 
* Develop and validate machine learning and statistical models using Python, R, SQL, and other programming tools
* Design and implement Generative AI solutions utilizing models like LLMs, APIs, and frameworks such as LangChain, LangGraph, and Google Agent Development Kit
* Collect, maintain, and analyze structured and unstructured data sets for reporting and insights generation
* Create reports, projections, models, and presentations to support business strategy and decision\-making
* Interpret and communicate analytic results effectively to both technical teams and business stakeholders
* Partner with business teams to understand challenges, co\-create AI\-driven solutions, and communicate AI capabilities and limitations
* Engage in continuous learning and experimentation to enhance AI models and analytic techniques
**Benefits** 
* Competitive salary within the range of $97,900 \- $133,500 annually
* Performance\-based bonus incentive plan
* Comprehensive medical, dental, and vision insurance plans
* 401(k) retirement savings plan with company matching
* Paid time off, including holidays, volunteer leave, and parental/caregiver leave
* Short\-term and long\-term disability coverage
* Life insurance and wellness programs
* Opportunities for professional development and career growth
 Equal Opportunity
 Humana is an equal opportunity employer and values diversity in the workplace. We do not discriminate against any employee or applicant based on race, color, religion, sex, sexual orientation, gender identity, national origin, age, marital status, genetic information, disability, or protected veteran status. We are committed to affirmative action and ensure all employment decisions are made based on valid job requirements.</t>
        </is>
      </c>
    </row>
    <row r="49">
      <c r="A49" t="inlineStr">
        <is>
          <t>li-4345302470</t>
        </is>
      </c>
      <c r="B49" t="inlineStr">
        <is>
          <t>Data Scientist</t>
        </is>
      </c>
      <c r="C49" t="inlineStr">
        <is>
          <t>RemoteHunter</t>
        </is>
      </c>
      <c r="D49" t="inlineStr">
        <is>
          <t>linkedin</t>
        </is>
      </c>
      <c r="E49" t="inlineStr"/>
      <c r="F49" t="inlineStr"/>
      <c r="G49" t="inlineStr"/>
      <c r="H49" t="inlineStr"/>
      <c r="I49" t="inlineStr">
        <is>
          <t>About the Opportunity:
 A growing team is seeking a Data Scientist to support data\-driven decisions across critical business initiatives such as carrier growth and new product development. The organization has achieved profitability and aims to scale from 5 million to 50 million customers with a goal to become a $10 billion business. The role involves leveraging advanced machine learning models to analyze data and inform growth strategies within a super app that simplifies car ownership—including insurance, loans, repairs, and more—in a $2 trillion U.S. market.
 Responsibilities:
 • Collaborate with marketing, product, and business development teams to apply customer insights to acquisition strategies
 • Lead design, execution, and analysis of A/B tests on new and existing features to extract actionable insights
 • Define and test levers to drive profitable and scalable user acquisition and partnership growth
 • Identify opportunities to automate processes and improve operational efficiency
 Requirements:
 • Bachelor’s degree in a quantitatively or intellectually rigorous discipline
 • Minimum 1 year experience at a top\-tier economic consulting firm (e.g., Analysis Group, Cornerstone Research, Charles River Associates), management consulting firm (e.g., McKinsey, Bain, Boston Consulting Group), or relevant data science/business analysis experience
 • Proficient in SQL or Python
 • Strong problem\-solving framework based on first principles
 • Effective communication skills across all organizational levels, from front\-line employees to C\-suite executives
 • High standards for personal and team performance, with a commitment to continual improvement
 Benefits \&amp; Perks:
 • Health, dental, and vision insurance
 • Paid time off and paid parental leave
 • 401(k) plan with employer matching
 • Wellness benefits
 • Equity opportunities as part of total rewards package
 Compensation:
 • Starting pay determined by job\-related factors including skills, experience, qualifications, work location, and market conditions
 • Compensation may include base salary and equity grants
 • Pay ranges are market\-dependent and subject to future modification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0">
      <c r="A50" t="inlineStr">
        <is>
          <t>li-4351852563</t>
        </is>
      </c>
      <c r="B50" t="inlineStr">
        <is>
          <t>Data Scientist - TikTok Local Services (San Jose)</t>
        </is>
      </c>
      <c r="C50" t="inlineStr">
        <is>
          <t>TikTok</t>
        </is>
      </c>
      <c r="D50" t="inlineStr">
        <is>
          <t>linkedin</t>
        </is>
      </c>
      <c r="E50" t="inlineStr"/>
      <c r="F50" t="inlineStr"/>
      <c r="G50" t="inlineStr">
        <is>
          <t>San Jose, CA</t>
        </is>
      </c>
      <c r="H50" t="inlineStr"/>
      <c r="I50" t="inlineStr">
        <is>
          <t>**Responsibilities**
 About the Team
 TikTok’s data scientist team is a critical component of the platform’s success, responsible for leveraging data to enhance user experience, optimize content delivery, and drive business decisions. As a leading social media app known for its short\-form video content, TikTok relies heavily on data science to stay ahead in a competitive market.
 Responsibilities
 1\. Build and improve the operational data infrastructure for TikTok local services. This includes managing both online and offline activities, video\-merchant matching processes, transaction processes, search/recommendation modules, traffic monitoring, and supply monitoring. Ensure data accuracy and alignment with business scenarios.
 2\. Develop a deep understanding of the impact of operational activities on transaction conversion rates and scientifically calculate the contribution of each activity to transaction improvements across various industries.
 3\. Regularly monitor key metrics, clearly identify reasons for metric fluctuations, and provide optimization and improvement suggestions.
 4\. Enhance communication with the business team, regularly produce analysis reports, and proactively help the business identify potential growth opportunities.
**Qualifications**
 Minimum Qualifications
 1\. Bachelor’s degree or higher, with 1\+ years of work experience
 2\. Background in data\-related fields such as statistics, computer science, business analytics, or quantitative analysis.
 3\. Experience in model development (causal inference, data mining, etc.)
 4\. Strong curiosity, the ability to proactively understand business needs, quickly grasp business logic, and translate it into data\-driven problems.
 Preferred Qualifications
 1\. Excellent communication and coordination skills
 2\. Ability to collaborate effectively across departments.
 3\. Strong sense of ownership, responsibility, and teamwork.
 4\. Industry experience related to local services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$144000 \- $329334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51">
      <c r="A51" t="inlineStr">
        <is>
          <t>li-4345372395</t>
        </is>
      </c>
      <c r="B51" t="inlineStr">
        <is>
          <t>Data Scientist</t>
        </is>
      </c>
      <c r="C51" t="inlineStr">
        <is>
          <t>RemoteHunter</t>
        </is>
      </c>
      <c r="D51" t="inlineStr">
        <is>
          <t>linkedin</t>
        </is>
      </c>
      <c r="E51" t="inlineStr"/>
      <c r="F51" t="inlineStr"/>
      <c r="G51" t="inlineStr"/>
      <c r="H51" t="inlineStr"/>
      <c r="I51" t="inlineStr">
        <is>
          <t>About the Organization:
 The organization is building the first super app to simplify car ownership by integrating services such as insurance, buy/sell, registration, loans, safety, repairs, and parking within a $2 trillion U.S. market. Founded in 2019, the company has expanded from insurance to loan refinancing, driving insights, repair marketplace, car diagnostics, and a GenAI\-powered chatbot and voicebot. It has grown to over 5 million customers, raised $240 million in funding, achieved 60X revenue growth, and scaled its team to 225 employees across six countries. The data scientist role supports critical business initiatives and growth strategies by leveraging advanced machine learning and data\-driven decision\-making.
 Responsibilities:
 • Partner with marketing, product, and business development teams to integrate customer performance insights into acquisition strategies
 • Lead the design, execution, and analysis of A/B experiments on new and existing features
 • Define, test, and optimize levers to drive profitable and scalable user acquisition and partnership growth
 • Identify opportunities to automate manual processes and improve operational efficiency
 Requirements:
 • Bachelor’s degree in a quantitatively or intellectually rigorous discipline
 • Minimum 1 year of experience from a top\-tier economic consulting firm (e.g., Analysis Group, Cornerstone Research, Charles River Associates) OR 1 year of management consulting experience from a top firm (e.g., McKinsey, Bain, Boston Consulting Group) OR relevant experience in data science or business analysis
 • Proficient in SQL or Python
 • Strong problem\-solving skills using first principles
 • Effective communication skills across all organizational levels
 • High standards for personal and team performance
 Benefits \&amp; Perks:
 • Health, dental, and vision coverage
 • Paid time off and paid parental leave
 • 401(k) plan with employer matching
 • Wellness benefits
 • Equity opportunities as part of total rewards package
 Compensation:
 • Starting pay will fall within the stated pay range for the role, based on skills, experience, qualifications, work location, and market conditions
 • Compensation may include base salary and opportunities for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2">
      <c r="A52" t="inlineStr">
        <is>
          <t>li-4332542561</t>
        </is>
      </c>
      <c r="B52" t="inlineStr">
        <is>
          <t>Data Scientist</t>
        </is>
      </c>
      <c r="C52" t="inlineStr">
        <is>
          <t>RemoteHunter</t>
        </is>
      </c>
      <c r="D52" t="inlineStr">
        <is>
          <t>linkedin</t>
        </is>
      </c>
      <c r="E52" t="inlineStr"/>
      <c r="F52" t="inlineStr"/>
      <c r="G52" t="inlineStr"/>
      <c r="H52" t="inlineStr"/>
      <c r="I52" t="inlineStr">
        <is>
          <t>About the Opportunity:
 The organization is seeking a Data Scientist to join a growing team that recently achieved profitability and aims to scale from 5 million to 50 million customers while targeting a $10 billion valuation. The role involves championing data\-driven decisions across critical business initiatives such as carrier growth and new product development. The team uses advanced machine learning models to conduct in\-depth analyses that shape growth strategies. The organization is developing a super app to simplify car ownership by integrating services including insurance, vehicle buying and selling, registration, loans, safety, repairs, and parking, addressing a $2 trillion market in the U.S. It has launched multiple features since 2019 and grown to over 5 million customers with $240 million in funding, 60X revenue growth, and a team of 225 across six countries.
 Responsibilities:
 • Collaborate with marketing, product, and business development teams to incorporate customer performance insights into acquisition strategies
 • Lead design, execution, and analysis of A/B tests on new and existing features to inform product and business decisions
 • Define and test factors driving profitable, scalable user acquisition and partnership growth
 • Identify opportunities to automate manual processes and improve operational efficiency
 Requirements:
 • Bachelor’s degree in a quantitatively or intellectually rigorous discipline
 • Minimum 1 year experience at a top\-tier economic consulting firm (e.g., Analysis Group, Cornerstone Research, Charles River Associates) or management consulting firm (e.g., McKinsey, Bain, Boston Consulting Group) or relevant data science/business analysis experience
 • Proficiency in SQL or Python
 • Strong problem\-solving framework with a first principles approach
 • Effective communication skills for audiences ranging from front\-line employees to C\-suite executives
 • High personal and team standards with a drive for excellence
 Benefits \&amp; Perks:
 • Health, dental, and vision insurance
 • Paid time off and paid parental leave
 • 401(k) plan with employer matching
 • Wellness benefits
 • Equity opportunities may be included in total rewards package
 • Note: Part\-time, contract, or freelance roles may not qualify for all benefits
 Compensation:
 • Starting pay within a market\-dependent range based on job\-related factors including skills, experience, qualifications, and work location
 • Potential equity grants as part of compensation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3">
      <c r="A53" t="inlineStr">
        <is>
          <t>li-4359766329</t>
        </is>
      </c>
      <c r="B53" t="inlineStr">
        <is>
          <t>Data Scientist</t>
        </is>
      </c>
      <c r="C53" t="inlineStr">
        <is>
          <t>Best Job Tool</t>
        </is>
      </c>
      <c r="D53" t="inlineStr">
        <is>
          <t>linkedin</t>
        </is>
      </c>
      <c r="E53" t="inlineStr"/>
      <c r="F53" t="inlineStr"/>
      <c r="G53" t="inlineStr"/>
      <c r="H53" t="inlineStr"/>
      <c r="I53" t="inlineStr">
        <is>
          <t>**About The Company**
 Bowhead / UIC Technical Services is a leading provider of specialized technical solutions and services dedicated to supporting national defense and military operations. With a strong commitment to innovation, excellence, and integrity, Bowhead collaborates closely with government agencies, including the Department of Defense, to deliver mission\-critical capabilities. Our team comprises highly skilled professionals who leverage cutting\-edge technology and industry best practices to address complex challenges in defense, intelligence, and security sectors. We pride ourselves on fostering a dynamic and inclusive work environment that promotes continuous learning and professional growth.
**About The Role**
 We are seeking a highly skilled Data Scientist to join our team supporting the Naval Surface Warfare Center Dahlgren Division (NSWCDD), E Department. This role is pivotal in analyzing complex data sets to uncover meaningful insights that can influence strategic decision\-making and operational effectiveness. The successful candidate will apply advanced mathematical, statistical, and machine learning techniques to diverse data sources, including numbers, symbols, text, sound, and images. This position requires onsite work at either the Bowhead office or Navy installation, emphasizing the importance of collaboration and direct engagement with project teams and stakeholders.
**Qualifications**
 The ideal candidate will possess a Bachelor’s Degree in physics or an equivalent field related to data science, coupled with a minimum of 5\-8 years of relevant experience. Strong analytical skills related to database management and development are essential, along with comprehensive knowledge of relational database management systems and data warehousing. Experience in creating reports and dashboards, along with proficiency in SQL querying and coding, is highly desirable. Familiarity with Virtual Machine environments or Artificial Intelligence applications will be considered a significant advantage. Candidates must demonstrate excellent mathematical reasoning, effective communication skills—both oral and written—and the ability to interact effectively with senior government clients. Security clearance at the Secret level is mandatory, with U.S. citizenship required to obtain and maintain this clearance. Physical ability to lift up to 25 pounds, stand, walk, and perform periodic twisting, bending, and squatting is also necessary.
**Responsibilities**
 The Data Scientist will be responsible for applying advanced analytical techniques to extract actionable insights from large, high\-velocity, and diverse data sets. Key responsibilities include planning, designing, developing, and maintaining software components that support data analysis activities, ensuring they deliver value to stakeholders. Building robust tools for data testing and validation will be a core part of the role. The candidate will analyze data across various formats—numbers, symbols, text, sound, and images—to develop predictive, real\-time, model\-based insights that enhance decision\-making processes. Presenting findings in a clear, compelling manner tailored to both technical and non\-technical audiences is vital. Additionally, the role involves identifying and validating internal and external data sources, managing data structures, and analyzing metadata and taxonomies to optimize data utilization. Other duties may include supporting requirements gathering, participating in technical reviews, and collaborating with multidisciplinary teams to achieve project goals.
**Benefits**
 Bowhead offers a comprehensive benefits package designed to support the health, well\-being, and professional development of our employees. Benefits include competitive health insurance plans, dental and vision coverage, life insurance, and retirement savings options. We also provide paid time off, holidays, and opportunities for ongoing training and certification to foster continuous learning. Our workplace culture emphasizes work\-life balance, diversity, and inclusion, ensuring a supportive environment where employees can thrive. Additionally, employees have access to flexible work arrangements and resources aimed at promoting overall wellness and job satisfaction.
 Equal Opportunity
 Bowhead / UIC Technical Services is an equal opportunity employer. We are committed to fostering an inclusive environment where all employees and applicants are treated with respect and dignity. We do not discriminate based on race, color, religion, sex, national origin, age, disability, veteran status, or any other protected characteristic. We encourage diverse candidates to apply and join our team, as we believe that diverse perspectives drive innovation and success in our mission\-critical work.</t>
        </is>
      </c>
    </row>
    <row r="54">
      <c r="A54" t="inlineStr">
        <is>
          <t>li-4306617942</t>
        </is>
      </c>
      <c r="B54" t="inlineStr">
        <is>
          <t>Staff Data Scientist - Global Tech Leader</t>
        </is>
      </c>
      <c r="C54" t="inlineStr">
        <is>
          <t>Andiamo</t>
        </is>
      </c>
      <c r="D54" t="inlineStr">
        <is>
          <t>linkedin</t>
        </is>
      </c>
      <c r="E54" t="inlineStr"/>
      <c r="F54" t="inlineStr"/>
      <c r="G54" t="inlineStr">
        <is>
          <t>Seattle, WA</t>
        </is>
      </c>
      <c r="H54" t="inlineStr"/>
      <c r="I54" t="inlineStr">
        <is>
          <t>**About The Role**
 We are seeking an accomplished
 **Principal Data Scientist** 
 to tackle some of the most complex and high\-impact problems in modern product development. This role sits at the intersection of data science, engineering, and strategy—shaping how our organization uses data to drive decisions, design products, and create transformative user experiences.
 You’ll work with
 **massive, high\-dimensional data sets** 
 , applying advanced statistical methods, machine learning, and causal inference to answer questions that directly influence product vision and business outcomes. You’ll architect large\-scale experiments, build predictive models, and partner with executives to design strategies that are grounded in rigorous quantitative analysis.
 This is an opportunity to go beyond dashboards—here, you’ll uncover hidden patterns in data, tell compelling data\-driven stories, and guide teams through ambiguity toward impact. You’ll join a world\-class analytics community committed to solving intellectually demanding problems, sharing knowledge, and advancing the craft of data science at scale.
 What You’ll Do
* Solve Complex Analytical Problems: Apply advanced statistical methods, ML models, and experimental design to extract insights from massive data sets and inform key decisions.
* Drive Product Strategy: Partner with product, engineering, and design teams to shape the direction of features and platforms using predictive modeling, causal inference, and goal\-setting frameworks.
* Experiment at Scale: Design, implement, and interpret large\-scale experiments to test hypotheses, quantify impact, and refine long\-term strategy.
* Build Predictive Systems: Develop models that forecast user behavior, product performance, and system dynamics to guide investment and innovation.
* Influence Executives: Communicate insights and recommendations to leadership with clarity and precision, framing technical findings in business terms that inspire action.
* Architect Data Platforms: Collaborate with engineering leaders to define instrumentation, data pipelines, and scalable infrastructure that enable analytics across the organization.
* Guide Teams with Data: Define success metrics, forecast key outcomes, and ensure cross\-functional alignment through measurable goals.
* Mentor \&amp; Lead: Support the growth of other data scientists by sharing best practices in statistical methodology, experimentation, and data storytelling.
 What We’re Looking For
* Technical Mastery: 8\+ years of experience applying statistical modeling, causal inference, machine learning, or optimization to real\-world product or business problems.
* Programming Proficiency: Deep expertise with SQL, Python, R, or other statistical/mathematical programming tools; strong software engineering fundamentals a plus.
* Analytical Breadth: Experience with experimentation platforms, Bayesian methods, time\-series forecasting, and predictive modeling at scale.
* Leadership Experience: Demonstrated success leading analytics initiatives, shaping product roadmaps, and influencing senior stakeholders.
* Communication Excellence: Ability to translate complex technical results into actionable insights for executives and cross\-functional teams.
* Educational Foundation: Bachelor’s degree in Computer Science, Engineering, Mathematics, Statistics, or Operations Research; advanced degree (Master’s or PhD) highly preferred.
**Preferred Qualifications**
* 10\+ years of experience in product analytics or applied data science with proven impact at scale.
* Track record of influencing C\-suite or executive strategy through data\-driven insights.
* Deep knowledge of experimentation, machine learning systems, and advanced statistical methods.
 ✨
 **Why Join** 
 : This isn’t just an analytics role—it’s a chance to push the boundaries of applied data science. You’ll be solving some of the most
 **challenging data problems in AI and product development** 
 , working with world\-class colleagues, and shaping decisions that affect millions of users and billions of data points.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5">
      <c r="A55" t="inlineStr">
        <is>
          <t>li-4359973295</t>
        </is>
      </c>
      <c r="B55" t="inlineStr">
        <is>
          <t>CLD Senior Data Scientist</t>
        </is>
      </c>
      <c r="C55" t="inlineStr">
        <is>
          <t>Sanofi</t>
        </is>
      </c>
      <c r="D55" t="inlineStr">
        <is>
          <t>linkedin</t>
        </is>
      </c>
      <c r="E55" t="inlineStr"/>
      <c r="F55" t="inlineStr"/>
      <c r="G55" t="inlineStr">
        <is>
          <t>Framingham, MA</t>
        </is>
      </c>
      <c r="H55" t="inlineStr"/>
      <c r="I55" t="inlineStr">
        <is>
          <t>**Job Title:** 
 CLD Senior Data Scientist
**Location:** 
 Framingham, MA
**About The Job**
 We seek a highly motivated Senior Scientist to join Cell Line Development, as part of a team focused on innovation and implementation of automated clone selection processes, high throughput data analytics and data management solutions. The individual in this role will work in a high\-performing, fast\-paced collaborative environment supporting end\-to\-end development, management, and optimization of data pipelines relevant to Cell Line Development workflows and in line with Sanofi’s “Play to Win” Digital Data Strategy.
 The senior scientist will be the key interface in operationalizing CLD data, and this work will directly support development projects in Sanofi’s pipeline. Specifically, responsibilities will be applying code\-based analytics and data flow expertise to streamline the connection between the laboratory and the information systems.
 We deliver 4\.3 billion healthcare solutions to people every year, thanks to the flawless planning and meticulous eye for detail of our Manufacturing \&amp; Supply teams. With your talent and ambition, we can do even more to protect people from infectious diseases and bring hope to patients and their families.
**Main Responsibilities**
* Build and maintain integrated CLD data infrastructure.
* Establish and maintain connectivity of laboratory equipment with existing data management solutions.
* Work directly with data generated from wet bench experiments to ensure accurate integration and analysis.
* Develop and implement data management solutions for clone screens and automation systems to support cell line development activities.
* Gather and organize large and complex CLD data assets, perform relevant analysis.
* Work with CLD team to understand data requirements and translate them into technical needs.
* Propose and implement relevant data models and workflows.
* Actively contribute to Data governance community and Sanofi’s “Play to Win” Digital Data Strategy.
**About You**
 Basic Qualifications
* Master’s degree in science, engineering, or information management with minimum 4\+ years working with data models and database architectures,
 OR Bachelor in science, engineering, or information management and 8 years of relevant experience,
 OR PhD \+ minimum 2 years of relevant experience.
* Experience in the biopharmaceutical industry (required).
* Proven experience working with wet bench data and translating experimental outputs into structured data pipelines.
* Experience working with database models and query tuning.
 Working knowledge of SQL and Python (familiarity with other scripting languages a plus).
* Self\-motivated with attention to detail, excellent organization, time\-management, \&amp; communication skills.
**Preferred Qualifications**
* Experience supporting laboratory\-based workflows.
* Experience with high throughput laboratory automation equipment (e.g., Hamilton, Beacon, or Ambr).
* Experience with a data pipelining application (e.g., Biovia Pipeline Pilot).
* Experience working with biological registration systems (e.g., Genedata Biologics) or LIMS in general.
* Experience with a variety of scientific analysis and BI software packages (e.g., Tableau or PowerBI).
* Good understanding of cloud database technologies.
**Why Choose Us?**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All compensation will be determined commensurate with demonstrated experience. Employees may be eligible to participate in Company employee benefit programs, and additional benefits information can be found here.</t>
        </is>
      </c>
    </row>
    <row r="56">
      <c r="A56" t="inlineStr">
        <is>
          <t>li-4359963737</t>
        </is>
      </c>
      <c r="B56" t="inlineStr">
        <is>
          <t>Senior Data Scientist</t>
        </is>
      </c>
      <c r="C56" t="inlineStr">
        <is>
          <t>SteerBridge</t>
        </is>
      </c>
      <c r="D56" t="inlineStr">
        <is>
          <t>linkedin</t>
        </is>
      </c>
      <c r="E56" t="inlineStr"/>
      <c r="F56" t="inlineStr"/>
      <c r="G56" t="inlineStr">
        <is>
          <t>Vienna, VA</t>
        </is>
      </c>
      <c r="H56" t="inlineStr"/>
      <c r="I56" t="inlineStr">
        <is>
          <t>SteerBridge Strategies is a CVE\-Verified Service\-Disabled, Veteran\-Owned Small Business (SDVOSB) delivering a broad spectrum of professional services to the U.S. Government and private sector. Backed by decades of hands\-on experience in federal acquisition and procurement, we provide agile, best\-in\-class commercial solutions that drive mission success.
 Our strength lies in our people—especially the veterans whose leadership, discipline, and dedication shape everything we do. At SteerBridge, we don’t just hire talent—we empower it, creating meaningful career paths for those who have served and those who share our commitment to excellence.
 SteerBridge is looking for a Data Scientist to evaluate multi\-dimensional USMC C130 global supplychain and operational data to construct and maintain predictive models. Candidates must befamiliar with multiple types of data models including, but not limited to, generalized linearand multilinear regression, logistic and multinomial regression, and time series analysis.Candidates must have hand\-on experience with supervised (classification, regression)and unsupervised learning (clustering, dimension reduction).The Data Scientist must be prepared to dive deep into disparate data from multiple sources inmultiple formats in order to integrate and evaluate to determine the most appropriate modelingapproach. The Data Scientist will be responsible for leading end\-to\-end analytical models anddata science framing activities, including but not limited to working with partners to identify fields,data provenance and integration, data quality assessments, and documentation of dataprocesses and models.The Data Scientist must be able to review and understand large sets of data while being able tohighlight relevant trends and patterns. The ideal candidate is a quick learner, curious, innovative,results\-oriented and has strong interpersonal skills.Benefits
* Health insurance
* Dental insurance
* Vision insurance
* Life Insurance
* 401(k) Retirement Plan with matching
* Paid Time Off
* Paid Federal Holidays
 Qualifications
* Must be a U.S. Citizen.
* MSc or PhD degree in applied mathematics, statistics, or relevant work experience.
* An active security clearance or the ability to obtain one is required.
* Collaborate with various stakeholders to understand requirements and translate those requirements into data science solutions.
* Provide guidance on best practices and industry standards across data science and analytics, data visualization, and share expertise to improve technical capabilities of the team.
* Design, develop, and integrate templates, data, and models for repeatability.
* Develop and implement data quality assurance and management protocols.
* Create, maintain, and organize technical documentation for all data collection, cleaning, and analyses.
 Required and Preferred Skillsets
* Must be familiar with multiple types of data models including, but not limited to, generalized linear and multilinear regression, logistic and multinomial regression, and time series analysis.
* Must have hand\-on experience with supervised (classification, regression) and unsupervised learning (clustering, dimension reduction).
* 7\+ years of experience evaluating relationships in data using statistical modeling and leveraging analytics tools.
* 7\+ years of experience in advanced Classification and Regression modeling.
* 7\+ years of professional proficiency using R, or Python for data wrangling and model building.
* Experience in SQL or Spark SQL, and basic database design.
* Cloud project work using Google, AWS and/or Azure.
* Demonstrated high proficiency in statistical analysis and data visualization.
* Demonstrated high proficiency in data wrangling and documentation.
* Solid technical skills across a wide variety of tools and data platforms.
* Able to successfully prioritize and manage multiple project tasks simultaneously and complete them in a timely manner with a high degree of accuracy.
* Strong record of applied data analysis.
* Excellent writing and presentation skills with a successful track record of communicating complex concepts to diverse audiences.
* Aviation Background Required!
 Preferred:(Highly preferred) AWS or Google Cloud Professional or Specialty Certification or ability to obtain certification.Top Secret security clearance.Experience with supply chain management data systems and technology is desirable (e.g., ERP, Transportation Management and Warehouse Management systems).Experience supporting DoD and/or VA missions.Proficiency in integrating and interfacing with software development processes.Consulting experience.$137,000 \- $155,000 a yearA salary commensurate with background and experience will be offered.
 **SteerBridge Strategies is proud to be an Equal Opportunity Employer.** 
 We are committed to creating a diverse and inclusive workplace where all qualified applicants and employees are treated with respect and dignity—regardless of race, color, gender, age, religion, national origin, ancestry, disability, veteran status, genetic information, sexual orientation, or any other characteristic protected by law.We also provide reasonable accommodations for individuals with disabilities in accordance with applicable laws. If you require assistance during the application process, we encourage you to reach out so we can support your needs.We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7">
      <c r="A57" t="inlineStr">
        <is>
          <t>li-4352444626</t>
        </is>
      </c>
      <c r="B57" t="inlineStr">
        <is>
          <t>Senior Data Scientist, Research and Development</t>
        </is>
      </c>
      <c r="C57" t="inlineStr">
        <is>
          <t>Cargill</t>
        </is>
      </c>
      <c r="D57" t="inlineStr">
        <is>
          <t>linkedin</t>
        </is>
      </c>
      <c r="E57" t="inlineStr"/>
      <c r="F57" t="inlineStr"/>
      <c r="G57" t="inlineStr">
        <is>
          <t>Minneapolis, MN</t>
        </is>
      </c>
      <c r="H57" t="inlineStr"/>
      <c r="I57"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As a Senior Data Scientist in Research and Development, your work will have a direct impact on efficient, sustainable food manufacturing solutions. This role will work collaboratively in multidisciplinary teams to develop complex proofs of concept, minimum viable products, and scale fully deployed solutions across multiple manufacturing facilities. In this role, you will create complex predictive and computer vision models that help deliver significant value to the company's businesses.
 Key Accountabilities
* Work on multidisciplinary teams of data engineers, software engineers, data scientists and business subject matter experts to deliver complex projects on time and within budgets.
* Translate ambiguous and complex business problems into project charters clearly identifying technical risks and project scope.
* Take ownership for the entire data science workflow that includes a well\-defined, complex project scope, exploratory data analysis, model development, deployment and monitoring.
* Continuously seek out best practices and develop skills.
* Create scalable structures to accelerate deployment to multiple facilities.
* Independently handle complex issues with minimal supervision, while escalating only the most complex issues to appropriate staff.
* Other duties as assigned
***This position is preferred to work from the Wayzata, MN headquarters location but could also work remote from a home\-office location anywhere in the United States.***
**Qualifications**
 MINIMUM QUALIFICATIONS
* Bachelor’s degree in Data Science, Computer Science, Mathematics, Engineering, or a related field; or equivalent practical experience.
* Minimum of 4 years of relevant professional experience, OR 3 years experience with a Master’s degree, OR 2 years experience with a Ph.D. in a related discipline.
* Proficiency in Python programming.
* Hands\-on experience developing computer vision models for image classification, object detection, and segmentation.
* Experience with computer vision tools, both traditional and deep learning, such as OpenCV, PyTorch, etc including transfer learning and fine\-tuning deep learning models.
* Experience deploying ML models using a containerized deployment framework (Docker, Podman, etc).
* Proven ability to develop proofs of concept and scale them into full production solutions.
* Demonstrated ability to present complex concepts to non\-technical audiences.
**Preferred Qualifications**
* Master's degree or PhD in data science, computer science, math, engineering or related field
* Solid understanding of Computer Vision fundamentals.
* Knowledge of MLOps practices for productionizing vision models.
* Experience scaling a production solution to multiple sites
* Experience working with continuous integration and delivery (CI/CD) pipelines
* Experience working with AWS
* Experience in manufacturing, supply chain, or agriculture
 Compensation Data
 The expected annual salary for this position is $120,000\-$150,000\.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https://www.cargill.com/page/my\-health/mh\-health\-and\-wellness to learn more (subject to certain collective bargaining agreements for Union positions).
 Minnesota Sick and Safe Leave accruals of one hour for every 30 worked, up to 48 hours per calendar year unless otherwise provided by law.
 \#themuse\#fbg
 Equal Opportunity Employer, including Disability/Vet.</t>
        </is>
      </c>
    </row>
    <row r="58">
      <c r="A58" t="inlineStr">
        <is>
          <t>li-4345352528</t>
        </is>
      </c>
      <c r="B58" t="inlineStr">
        <is>
          <t>Senior Data Scientist</t>
        </is>
      </c>
      <c r="C58" t="inlineStr">
        <is>
          <t>RemoteHunter</t>
        </is>
      </c>
      <c r="D58" t="inlineStr">
        <is>
          <t>linkedin</t>
        </is>
      </c>
      <c r="E58" t="inlineStr"/>
      <c r="F58" t="inlineStr"/>
      <c r="G58" t="inlineStr"/>
      <c r="H58" t="inlineStr"/>
      <c r="I58" t="inlineStr">
        <is>
          <t>About the Opportunity:
 This team within the Data and Analytics division focuses on understanding the features that drive vehicle pricing and predicting future vehicle values along with other critical sector insights. The role involves creating innovative machine learning processes, deploying them into production, and contributing to accurate, transparent, industry\-leading analytics in the automotive industry.
 Responsibilities:
 • Work daily with automotive industry data
 • Lead end\-to\-end data science projects
 • Design and implement complex feature engineering strategies
 • Build and deploy advanced AI/ML and classical regression models
 • Conduct advanced model evaluation and optimization
 • Document machine learning processes
 • Collaborate with technology and engineering teams to improve and build processes
 • Partner with product teams to develop analytics for new products
 • Create visual reports summarizing findings for internal and external clients
 • Perform ad\-hoc data analysis and reporting
 • Participate in a team environment encouraging idea sharing to build predictive algorithms
 Requirements:
 • Expertise in data analytics and/or statistical concepts such as regression, logistic regression, time\-series modeling, Bayesian statistics, machine learning, data mining, simulation, optimization, or forecasting
 • Ability to communicate technical processes to non\-technical audiences
 • Presentation experience
 • Curiosity and passion for problem\-solving with data
 • 4\+ years’ experience working with large datasets
 • 4\+ years’ fluency in statistical programming software, especially Python and Spark
 • 4\+ years’ experience with database software (RedShift, Hive, SQL, MySQL) with strong SQL skills
 • Master’s Degree in Statistics, Data Science, Economics, or related technical field
 Benefits \&amp; Perks:
 No direct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9">
      <c r="A59" t="inlineStr">
        <is>
          <t>li-4352278004</t>
        </is>
      </c>
      <c r="B59" t="inlineStr">
        <is>
          <t>Senior Data Scientist, Research and Development</t>
        </is>
      </c>
      <c r="C59" t="inlineStr">
        <is>
          <t>Cargill</t>
        </is>
      </c>
      <c r="D59" t="inlineStr">
        <is>
          <t>linkedin</t>
        </is>
      </c>
      <c r="E59" t="inlineStr"/>
      <c r="F59" t="inlineStr"/>
      <c r="G59" t="inlineStr">
        <is>
          <t>Wayzata, MN</t>
        </is>
      </c>
      <c r="H59" t="inlineStr"/>
      <c r="I59"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As a Senior Data Scientist in Research and Development, your work will have a direct impact on efficient, sustainable food manufacturing solutions. This role will work collaboratively in multidisciplinary teams to develop complex proofs of concept, minimum viable products, and scale fully deployed solutions across multiple manufacturing facilities. In this role, you will create complex predictive and computer vision models that help deliver significant value to the company's businesses.
 Key Accountabilities
* Work on multidisciplinary teams of data engineers, software engineers, data scientists and business subject matter experts to deliver complex projects on time and within budgets.
* Translate ambiguous and complex business problems into project charters clearly identifying technical risks and project scope.
* Take ownership for the entire data science workflow that includes a well\-defined, complex project scope, exploratory data analysis, model development, deployment and monitoring.
* Continuously seek out best practices and develop skills.
* Create scalable structures to accelerate deployment to multiple facilities.
* Independently handle complex issues with minimal supervision, while escalating only the most complex issues to appropriate staff.
* Other duties as assigned
***This position is preferred to work from the Wayzata, MN headquarters location but could also work remote from a home\-office location anywhere in the United States.***
**Qualifications**
 MINIMUM QUALIFICATIONS
* Bachelor’s degree in Data Science, Computer Science, Mathematics, Engineering, or a related field; or equivalent practical experience.
* Minimum of 4 years of relevant professional experience, OR 3 years experience with a Master’s degree, OR 2 years experience with a Ph.D. in a related discipline.
* Proficiency in Python programming.
* Hands\-on experience developing computer vision models for image classification, object detection, and segmentation.
* Experience with computer vision tools, both traditional and deep learning, such as OpenCV, PyTorch, etc including transfer learning and fine\-tuning deep learning models.
* Experience deploying ML models using a containerized deployment framework (Docker, Podman, etc).
* Proven ability to develop proofs of concept and scale them into full production solutions.
* Demonstrated ability to present complex concepts to non\-technical audiences.
**Preferred Qualifications**
* Master's degree or PhD in data science, computer science, math, engineering or related field
* Solid understanding of Computer Vision fundamentals.
* Knowledge of MLOps practices for productionizing vision models.
* Experience scaling a production solution to multiple sites
* Experience working with continuous integration and delivery (CI/CD) pipelines
* Experience working with AWS
* Experience in manufacturing, supply chain, or agriculture
 Compensation Data
 The expected annual salary for this position is $120,000\-$150,000\.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https://www.cargill.com/page/my\-health/mh\-health\-and\-wellness to learn more (subject to certain collective bargaining agreements for Union positions).
 Minnesota Sick and Safe Leave accruals of one hour for every 30 worked, up to 48 hours per calendar year unless otherwise provided by law.
 \#themuse\#fbg
 Equal Opportunity Employer, including Disability/Vet.</t>
        </is>
      </c>
    </row>
    <row r="60">
      <c r="A60" t="inlineStr">
        <is>
          <t>li-4359953313</t>
        </is>
      </c>
      <c r="B60" t="inlineStr">
        <is>
          <t>Business Model Staff Data Scientist</t>
        </is>
      </c>
      <c r="C60" t="inlineStr">
        <is>
          <t>Intuit</t>
        </is>
      </c>
      <c r="D60" t="inlineStr">
        <is>
          <t>linkedin</t>
        </is>
      </c>
      <c r="E60" t="inlineStr"/>
      <c r="F60" t="inlineStr"/>
      <c r="G60" t="inlineStr">
        <is>
          <t>Mountain View, CA</t>
        </is>
      </c>
      <c r="H60" t="inlineStr"/>
      <c r="I60" t="inlineStr">
        <is>
          <t>**Overview**
 We are seeking an experienced Staff Data Scientist to join our Business Strategy Data Science Team. This role is focused on product lineup and pricing strategy of Intuit’s core TurboTax business as it relates to driving growth and monetization. This is a high\-impact role where your work will directly influence product, marketing, and business model strategies.
 As a Staff Data Scientist, you will serve as a strategic thought partner to cross\-functional leaders, bringing deep analytical expertise and business acumen to bear on Intuit’s most critical growth questions. You’ll lead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**Responsibilities**
 Causal Inference: Lead causal inference and econometric analyses to understand and influence key levers of business growth with a crisp understanding of incremental impact.
 Experimentation: Design, implement, and analyze experiments and quasi\-experiments to measure the impact of new initiatives in product and marketing.
 Define KPIs and Success Metrics: Establish key business indicators for projects, ensuring alignment with company objectives and clear measures of success.
 Communication: Translate complex technical findings into clear, actionable insights for senior leadership, including product, finance, and marketing executives.
 Mentorship: Mentor junior team members and help shape the team’s analytical rigor and methodology standards in causal inference and A/B testing.
 Leadership and Ownership: Demonstrate boundaryless leadership and extreme accountability \- proactively drives outcomes across teams and leads with influence, not authority.
**Qualifications**
 A Bachelor's degree in Statistics, Economics, Computer Science or a related quantitative field is required. Advanced degrees, particularly a Master's or PhD in economics or statistics, are highly desirable.
 At least 6 years of experience applying statistical / econometric and modeling skills in decision making without an advanced degree, 2 years of experience with an advanced degree.
 Demonstrated expertise in causal inference—including but not limited to advanced experimentation, synthetic controls, regression discontinuity, and instrumental variables—with a track record of rigorously solving problems with these methods.
 A demonstrated ability to navigate through ambiguity and deliver results that significantly impact the business.
 Excellent communication skills and the ability to work effectively with both technical and non\-technical colleagues.
 Proficiency in SQL and a statistical programming language such as Python and/or 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61">
      <c r="A61" t="inlineStr">
        <is>
          <t>li-4359758020</t>
        </is>
      </c>
      <c r="B61" t="inlineStr">
        <is>
          <t>Sr. Applied Scientist, Prime Video - Personalization and Discovery Science</t>
        </is>
      </c>
      <c r="C61" t="inlineStr">
        <is>
          <t>Prime Video &amp; Amazon MGM Studios</t>
        </is>
      </c>
      <c r="D61" t="inlineStr">
        <is>
          <t>linkedin</t>
        </is>
      </c>
      <c r="E61" t="inlineStr"/>
      <c r="F61" t="inlineStr"/>
      <c r="G61" t="inlineStr">
        <is>
          <t>Sunnyvale, CA</t>
        </is>
      </c>
      <c r="H61" t="inlineStr"/>
      <c r="I61"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A3118785</t>
        </is>
      </c>
    </row>
    <row r="62">
      <c r="A62" t="inlineStr">
        <is>
          <t>li-4359775849</t>
        </is>
      </c>
      <c r="B62" t="inlineStr">
        <is>
          <t>Sr. Applied Scientist, Prime Video - Personalization and Discovery Science</t>
        </is>
      </c>
      <c r="C62" t="inlineStr">
        <is>
          <t>Prime Video &amp; Amazon MGM Studios</t>
        </is>
      </c>
      <c r="D62" t="inlineStr">
        <is>
          <t>linkedin</t>
        </is>
      </c>
      <c r="E62" t="inlineStr"/>
      <c r="F62" t="inlineStr"/>
      <c r="G62" t="inlineStr">
        <is>
          <t>New York, United States</t>
        </is>
      </c>
      <c r="H62" t="inlineStr"/>
      <c r="I6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A3118785</t>
        </is>
      </c>
    </row>
    <row r="63">
      <c r="A63" t="inlineStr">
        <is>
          <t>li-4360652409</t>
        </is>
      </c>
      <c r="B63" t="inlineStr">
        <is>
          <t>Sr. Applied Scientist, Prime Video - Personalization and Discovery Science</t>
        </is>
      </c>
      <c r="C63" t="inlineStr">
        <is>
          <t>Prime Video &amp; Amazon MGM Studios</t>
        </is>
      </c>
      <c r="D63" t="inlineStr">
        <is>
          <t>linkedin</t>
        </is>
      </c>
      <c r="E63" t="inlineStr"/>
      <c r="F63" t="inlineStr"/>
      <c r="G63" t="inlineStr">
        <is>
          <t>Seattle, WA</t>
        </is>
      </c>
      <c r="H63" t="inlineStr"/>
      <c r="I6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A3118785</t>
        </is>
      </c>
    </row>
    <row r="64">
      <c r="A64" t="inlineStr">
        <is>
          <t>li-4359963165</t>
        </is>
      </c>
      <c r="B64" t="inlineStr">
        <is>
          <t>Sr Staff Data Scientist</t>
        </is>
      </c>
      <c r="C64" t="inlineStr">
        <is>
          <t>Intuit</t>
        </is>
      </c>
      <c r="D64" t="inlineStr">
        <is>
          <t>linkedin</t>
        </is>
      </c>
      <c r="E64" t="inlineStr"/>
      <c r="F64" t="inlineStr"/>
      <c r="G64" t="inlineStr">
        <is>
          <t>San Diego, CA</t>
        </is>
      </c>
      <c r="H64" t="inlineStr"/>
      <c r="I64" t="inlineStr">
        <is>
          <t>**Overview**
 Join the Intuit Customer Success team as a Principal Data Scientist within our Expert Network.
 In this role, you will help shape the AI strategy for our product support and live experiences. You’ll be central to optimizing our greatest resource, our people, through innovating, experimenting, learning, pivoting, and scaling AI\-driven solutions.
 This is a mission\-critical role requiring a strategic thought partner who brings cutting\-edge data science techniques and deep domain expertise to influence our Customer Success strategy and drive business growth at scale. You will partner directly with cross\-functional leaders—across Product Management, Engineering, Data, Customer Success, and Service Delivery—to architect the analytical frameworks and modeling solutions that shape our Expert Network and our AI Driven platform.
 This role demands a strong foundation in statistical methods, machine learning, experimentation design, and causal inference, coupled with a demonstrated ability to lead with influence, navigate ambiguity, and execute with precision.
**Responsibilities**
* Advanced Predictive Modeling \&amp; Machine Learning: Design, build, and deploy scalable models—including ensemble methods, time\-series forecasting, LTV modeling, deep learning architectures, and uplift modeling—to uncover high\-impact growth opportunities and drive personalization.
* Experimentation Science \&amp; Design: Own the end\-to\-end experimentation pipeline—from hypothesis generation and design (e.g., CUPED, multi\-armed bandits, Bayesian Inference) to rigorous causal interpretation and impact quantification.
* Causal Inference: Lead causal inference and econometric analyses to understand and influence key levers of business growth with a crisp understanding of incremental impact.
* Metric Design \&amp; Impact Attribution: Define and evolve success metrics using state\-of\-the\-art measurement frameworks, ensuring that business KPIs are both predictive and causally informative.
* Communication: Deliver compelling, data\-driven narratives to VP and Director stakeholders; distill complex findings into clear, actionable strategy recommendations with quantified business impact.
* ML Engineering \&amp; Native AI: Collaborate with the Central AI team to productionalize models that enhance personalization and automation throughout the user experience.
* Thought Leadership \&amp; Mentorship: Mentor senior data scientists and establish best practices in experimental design, model validation, and responsible AI usage; drive a culture of analytical excellence and scientific rigor.
* Strategic Influence: Demonstrate extreme ownership across cross\-functional initiatives, influencing product vision and delivering measurable impact through analytics innovation.
**Qualifications**
* Master’s or PhD degree in Computer Science, Statistics, Econometrics, Data Science, or a quantitative field.
* 10\+ years of progressive experience in applied data science roles with increasing scope and complexity.
* Proven experience applying state\-of\-the\-art machine learning and causal inference methodologies in high\-impact, product\-facing applications.
* Expert\-level proficiency in SQL as well as Python or R
* Demonstrated success integrating ML models into production environments, especially within personalization, recommendation, or AI\-assisted UX.
* Deep understanding of Generative AI and other evolving technologies. Application of GenAI at scale in a production environment
* Deep knowledge of experimental design, including non\-standard A/B testing methods, uplift modeling, and sequential testing frameworks.
* Hands\-on experience with data visualization tools like Tableau or Qlik.
* Strong communication and storytelling abilities—adept at translating sophisticated analytics into strategic guidance.
* Proven leadership in mentoring technical talent and driving cross\-team alignment through data science innovation.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65">
      <c r="A65" t="inlineStr">
        <is>
          <t>li-4351832236</t>
        </is>
      </c>
      <c r="B65" t="inlineStr">
        <is>
          <t>AI &amp; GenAI Data Scientist - Manager</t>
        </is>
      </c>
      <c r="C65" t="inlineStr">
        <is>
          <t>PwC</t>
        </is>
      </c>
      <c r="D65" t="inlineStr">
        <is>
          <t>linkedin</t>
        </is>
      </c>
      <c r="E65" t="inlineStr"/>
      <c r="F65" t="inlineStr"/>
      <c r="G65" t="inlineStr">
        <is>
          <t>Boston, MA</t>
        </is>
      </c>
      <c r="H65" t="inlineStr"/>
      <c r="I65"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6">
      <c r="A66" t="inlineStr">
        <is>
          <t>li-4351852366</t>
        </is>
      </c>
      <c r="B66" t="inlineStr">
        <is>
          <t>AI &amp; GenAI Data Scientist - Manager</t>
        </is>
      </c>
      <c r="C66" t="inlineStr">
        <is>
          <t>PwC</t>
        </is>
      </c>
      <c r="D66" t="inlineStr">
        <is>
          <t>linkedin</t>
        </is>
      </c>
      <c r="E66" t="inlineStr"/>
      <c r="F66" t="inlineStr"/>
      <c r="G66" t="inlineStr">
        <is>
          <t>Washington, DC</t>
        </is>
      </c>
      <c r="H66" t="inlineStr"/>
      <c r="I66"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7">
      <c r="A67" t="inlineStr">
        <is>
          <t>li-4345362270</t>
        </is>
      </c>
      <c r="B67" t="inlineStr">
        <is>
          <t>AI &amp; GenAI Data Scientist - Manager</t>
        </is>
      </c>
      <c r="C67" t="inlineStr">
        <is>
          <t>PwC</t>
        </is>
      </c>
      <c r="D67" t="inlineStr">
        <is>
          <t>linkedin</t>
        </is>
      </c>
      <c r="E67" t="inlineStr"/>
      <c r="F67" t="inlineStr"/>
      <c r="G67" t="inlineStr">
        <is>
          <t>Austin, TX</t>
        </is>
      </c>
      <c r="H67" t="inlineStr"/>
      <c r="I67"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8">
      <c r="A68" t="inlineStr">
        <is>
          <t>li-4332572312</t>
        </is>
      </c>
      <c r="B68" t="inlineStr">
        <is>
          <t>AI &amp; GenAI Data Scientist - Manager</t>
        </is>
      </c>
      <c r="C68" t="inlineStr">
        <is>
          <t>PwC</t>
        </is>
      </c>
      <c r="D68" t="inlineStr">
        <is>
          <t>linkedin</t>
        </is>
      </c>
      <c r="E68" t="inlineStr"/>
      <c r="F68" t="inlineStr"/>
      <c r="G68" t="inlineStr">
        <is>
          <t>Dallas, TX</t>
        </is>
      </c>
      <c r="H68" t="inlineStr"/>
      <c r="I68"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9">
      <c r="A69" t="inlineStr">
        <is>
          <t>li-4332532324</t>
        </is>
      </c>
      <c r="B69" t="inlineStr">
        <is>
          <t>AI &amp; GenAI Data Scientist - Manager</t>
        </is>
      </c>
      <c r="C69" t="inlineStr">
        <is>
          <t>PwC</t>
        </is>
      </c>
      <c r="D69" t="inlineStr">
        <is>
          <t>linkedin</t>
        </is>
      </c>
      <c r="E69" t="inlineStr"/>
      <c r="F69" t="inlineStr"/>
      <c r="G69" t="inlineStr">
        <is>
          <t>Atlanta, GA</t>
        </is>
      </c>
      <c r="H69" t="inlineStr"/>
      <c r="I69"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0">
      <c r="A70" t="inlineStr">
        <is>
          <t>li-4345352363</t>
        </is>
      </c>
      <c r="B70" t="inlineStr">
        <is>
          <t>AI &amp; GenAI Data Scientist - Manager</t>
        </is>
      </c>
      <c r="C70" t="inlineStr">
        <is>
          <t>PwC</t>
        </is>
      </c>
      <c r="D70" t="inlineStr">
        <is>
          <t>linkedin</t>
        </is>
      </c>
      <c r="E70" t="inlineStr"/>
      <c r="F70" t="inlineStr"/>
      <c r="G70" t="inlineStr">
        <is>
          <t>Buffalo, NY</t>
        </is>
      </c>
      <c r="H70" t="inlineStr"/>
      <c r="I70"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1">
      <c r="A71" t="inlineStr">
        <is>
          <t>li-4332592399</t>
        </is>
      </c>
      <c r="B71" t="inlineStr">
        <is>
          <t>AI &amp; GenAI Data Scientist - Manager</t>
        </is>
      </c>
      <c r="C71" t="inlineStr">
        <is>
          <t>PwC</t>
        </is>
      </c>
      <c r="D71" t="inlineStr">
        <is>
          <t>linkedin</t>
        </is>
      </c>
      <c r="E71" t="inlineStr"/>
      <c r="F71" t="inlineStr"/>
      <c r="G71" t="inlineStr">
        <is>
          <t>Orlando, FL</t>
        </is>
      </c>
      <c r="H71" t="inlineStr"/>
      <c r="I71"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2">
      <c r="A72" t="inlineStr">
        <is>
          <t>li-4345372221</t>
        </is>
      </c>
      <c r="B72" t="inlineStr">
        <is>
          <t>AI &amp; GenAI Data Scientist - Manager</t>
        </is>
      </c>
      <c r="C72" t="inlineStr">
        <is>
          <t>PwC</t>
        </is>
      </c>
      <c r="D72" t="inlineStr">
        <is>
          <t>linkedin</t>
        </is>
      </c>
      <c r="E72" t="inlineStr"/>
      <c r="F72" t="inlineStr"/>
      <c r="G72" t="inlineStr">
        <is>
          <t>Seattle, WA</t>
        </is>
      </c>
      <c r="H72" t="inlineStr"/>
      <c r="I72"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3">
      <c r="A73" t="inlineStr">
        <is>
          <t>li-4332562331</t>
        </is>
      </c>
      <c r="B73" t="inlineStr">
        <is>
          <t>AI &amp; GenAI Data Scientist - Manager</t>
        </is>
      </c>
      <c r="C73" t="inlineStr">
        <is>
          <t>PwC</t>
        </is>
      </c>
      <c r="D73" t="inlineStr">
        <is>
          <t>linkedin</t>
        </is>
      </c>
      <c r="E73" t="inlineStr"/>
      <c r="F73" t="inlineStr"/>
      <c r="G73" t="inlineStr">
        <is>
          <t>Rochester, NY</t>
        </is>
      </c>
      <c r="H73" t="inlineStr"/>
      <c r="I73"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4">
      <c r="A74" t="inlineStr">
        <is>
          <t>li-4345342235</t>
        </is>
      </c>
      <c r="B74" t="inlineStr">
        <is>
          <t>AI &amp; GenAI Data Scientist - Manager</t>
        </is>
      </c>
      <c r="C74" t="inlineStr">
        <is>
          <t>PwC</t>
        </is>
      </c>
      <c r="D74" t="inlineStr">
        <is>
          <t>linkedin</t>
        </is>
      </c>
      <c r="E74" t="inlineStr"/>
      <c r="F74" t="inlineStr"/>
      <c r="G74" t="inlineStr">
        <is>
          <t>Charlotte, NC</t>
        </is>
      </c>
      <c r="H74" t="inlineStr"/>
      <c r="I74"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5">
      <c r="A75" t="inlineStr">
        <is>
          <t>li-4345342242</t>
        </is>
      </c>
      <c r="B75" t="inlineStr">
        <is>
          <t>AI &amp; GenAI Data Scientist - Manager</t>
        </is>
      </c>
      <c r="C75" t="inlineStr">
        <is>
          <t>PwC</t>
        </is>
      </c>
      <c r="D75" t="inlineStr">
        <is>
          <t>linkedin</t>
        </is>
      </c>
      <c r="E75" t="inlineStr"/>
      <c r="F75" t="inlineStr"/>
      <c r="G75" t="inlineStr">
        <is>
          <t>Nashville, TN</t>
        </is>
      </c>
      <c r="H75" t="inlineStr"/>
      <c r="I75"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6">
      <c r="A76" t="inlineStr">
        <is>
          <t>li-4345342233</t>
        </is>
      </c>
      <c r="B76" t="inlineStr">
        <is>
          <t>AI &amp; GenAI Data Scientist - Manager</t>
        </is>
      </c>
      <c r="C76" t="inlineStr">
        <is>
          <t>PwC</t>
        </is>
      </c>
      <c r="D76" t="inlineStr">
        <is>
          <t>linkedin</t>
        </is>
      </c>
      <c r="E76" t="inlineStr"/>
      <c r="F76" t="inlineStr"/>
      <c r="G76" t="inlineStr">
        <is>
          <t>Raleigh, NC</t>
        </is>
      </c>
      <c r="H76" t="inlineStr"/>
      <c r="I76"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7">
      <c r="A77" t="inlineStr">
        <is>
          <t>li-4351862376</t>
        </is>
      </c>
      <c r="B77" t="inlineStr">
        <is>
          <t>AI &amp; GenAI Data Scientist - Manager</t>
        </is>
      </c>
      <c r="C77" t="inlineStr">
        <is>
          <t>PwC</t>
        </is>
      </c>
      <c r="D77" t="inlineStr">
        <is>
          <t>linkedin</t>
        </is>
      </c>
      <c r="E77" t="inlineStr"/>
      <c r="F77" t="inlineStr"/>
      <c r="G77" t="inlineStr">
        <is>
          <t>Fort Worth, TX</t>
        </is>
      </c>
      <c r="H77" t="inlineStr"/>
      <c r="I77"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8">
      <c r="A78" t="inlineStr">
        <is>
          <t>li-4332572317</t>
        </is>
      </c>
      <c r="B78" t="inlineStr">
        <is>
          <t>AI &amp; GenAI Data Scientist - Manager</t>
        </is>
      </c>
      <c r="C78" t="inlineStr">
        <is>
          <t>PwC</t>
        </is>
      </c>
      <c r="D78" t="inlineStr">
        <is>
          <t>linkedin</t>
        </is>
      </c>
      <c r="E78" t="inlineStr"/>
      <c r="F78" t="inlineStr"/>
      <c r="G78" t="inlineStr">
        <is>
          <t>Minneapolis, MN</t>
        </is>
      </c>
      <c r="H78" t="inlineStr"/>
      <c r="I78"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9">
      <c r="A79" t="inlineStr">
        <is>
          <t>li-4351822371</t>
        </is>
      </c>
      <c r="B79" t="inlineStr">
        <is>
          <t>AI &amp; GenAI Data Scientist - Manager</t>
        </is>
      </c>
      <c r="C79" t="inlineStr">
        <is>
          <t>PwC</t>
        </is>
      </c>
      <c r="D79" t="inlineStr">
        <is>
          <t>linkedin</t>
        </is>
      </c>
      <c r="E79" t="inlineStr"/>
      <c r="F79" t="inlineStr"/>
      <c r="G79" t="inlineStr">
        <is>
          <t>Greensboro, NC</t>
        </is>
      </c>
      <c r="H79" t="inlineStr"/>
      <c r="I79"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0">
      <c r="A80" t="inlineStr">
        <is>
          <t>li-4345312351</t>
        </is>
      </c>
      <c r="B80" t="inlineStr">
        <is>
          <t>AI &amp; GenAI Data Scientist - Manager</t>
        </is>
      </c>
      <c r="C80" t="inlineStr">
        <is>
          <t>PwC</t>
        </is>
      </c>
      <c r="D80" t="inlineStr">
        <is>
          <t>linkedin</t>
        </is>
      </c>
      <c r="E80" t="inlineStr"/>
      <c r="F80" t="inlineStr"/>
      <c r="G80" t="inlineStr">
        <is>
          <t>San Antonio, TX</t>
        </is>
      </c>
      <c r="H80" t="inlineStr"/>
      <c r="I80"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1">
      <c r="A81" t="inlineStr">
        <is>
          <t>li-4351852365</t>
        </is>
      </c>
      <c r="B81" t="inlineStr">
        <is>
          <t>AI &amp; GenAI Data Scientist - Manager</t>
        </is>
      </c>
      <c r="C81" t="inlineStr">
        <is>
          <t>PwC</t>
        </is>
      </c>
      <c r="D81" t="inlineStr">
        <is>
          <t>linkedin</t>
        </is>
      </c>
      <c r="E81" t="inlineStr"/>
      <c r="F81" t="inlineStr"/>
      <c r="G81" t="inlineStr">
        <is>
          <t>St Louis, MO</t>
        </is>
      </c>
      <c r="H81" t="inlineStr"/>
      <c r="I81"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2">
      <c r="A82" t="inlineStr">
        <is>
          <t>li-4330618007</t>
        </is>
      </c>
      <c r="B82" t="inlineStr">
        <is>
          <t>Senior Data Scientist</t>
        </is>
      </c>
      <c r="C82" t="inlineStr">
        <is>
          <t>Jobs via Dice</t>
        </is>
      </c>
      <c r="D82" t="inlineStr">
        <is>
          <t>linkedin</t>
        </is>
      </c>
      <c r="E82" t="inlineStr"/>
      <c r="F82" t="inlineStr"/>
      <c r="G82" t="inlineStr">
        <is>
          <t>Atlanta, GA</t>
        </is>
      </c>
      <c r="H82" t="inlineStr"/>
      <c r="I82" t="inlineStr">
        <is>
          <t>**Description:**
 A leading home improvement specialty retailer operating 2,300\+ stores across the U.S., Canada, and Mexico is seeking a talented Sr. Data Scientist to drive business profitability and customer experience through advanced analytics. This is a hybrid role working 4 days/week onsite near Smyrna. Relocation assistance is available if needed.
*This is a full\-time, permanent opportunity, offering a competitive salary and comprehensive benefits package. Qualified applicants must be willing and able to work on a w2 basis.*
*Rate: $150k \- $160k / yr. w2*
**Responsibilities:**
 Design and develop sophisticated algorithms and models using large datasets
 Create business insights through advanced analytical methodologies
 Collaborate with cross\-functional teams to solve complex business challenges
 Mentor junior data science team members
 Identify and leverage new business opportunities through data science
**Experience Requirements:**
 Demonstrated experience in pricing analytics or optimization
 Strong understanding of prescriptive pricing and dealer discounting strategies
 Experience with operations research and optimization value space problems
 Strong Python programming skills
 Demonstrated ability to communicate technical insights to business leaders
 Preferred Skills:
 Experience with Google BigQuery, SQL
 Optimization tools (e.g., Gurobi)
 Tableau or similar data visualization software
**Education Requirements:**
 Master's or PhD in Computer Science, Math, Statistics, or related field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83">
      <c r="A83" t="inlineStr">
        <is>
          <t>li-4345352356</t>
        </is>
      </c>
      <c r="B83" t="inlineStr">
        <is>
          <t>AI &amp; GenAI Data Scientist - Manager</t>
        </is>
      </c>
      <c r="C83" t="inlineStr">
        <is>
          <t>PwC</t>
        </is>
      </c>
      <c r="D83" t="inlineStr">
        <is>
          <t>linkedin</t>
        </is>
      </c>
      <c r="E83" t="inlineStr"/>
      <c r="F83" t="inlineStr"/>
      <c r="G83" t="inlineStr">
        <is>
          <t>Columbus, OH</t>
        </is>
      </c>
      <c r="H83" t="inlineStr"/>
      <c r="I83"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4">
      <c r="A84" t="inlineStr">
        <is>
          <t>li-4351822380</t>
        </is>
      </c>
      <c r="B84" t="inlineStr">
        <is>
          <t>AI &amp; GenAI Data Scientist - Manager</t>
        </is>
      </c>
      <c r="C84" t="inlineStr">
        <is>
          <t>PwC</t>
        </is>
      </c>
      <c r="D84" t="inlineStr">
        <is>
          <t>linkedin</t>
        </is>
      </c>
      <c r="E84" t="inlineStr"/>
      <c r="F84" t="inlineStr"/>
      <c r="G84" t="inlineStr">
        <is>
          <t>Pittsburgh, PA</t>
        </is>
      </c>
      <c r="H84" t="inlineStr"/>
      <c r="I84"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5">
      <c r="A85" t="inlineStr">
        <is>
          <t>li-4359913425</t>
        </is>
      </c>
      <c r="B85" t="inlineStr">
        <is>
          <t>Data Scientist</t>
        </is>
      </c>
      <c r="C85" t="inlineStr">
        <is>
          <t>DoorDash</t>
        </is>
      </c>
      <c r="D85" t="inlineStr">
        <is>
          <t>linkedin</t>
        </is>
      </c>
      <c r="E85">
        <f>HYPERLINK("https://www.linkedin.com/jobs/view/4359913425", "https://www.linkedin.com/jobs/view/4359913425")</f>
        <v/>
      </c>
      <c r="F85" t="inlineStr"/>
      <c r="G85" t="inlineStr"/>
      <c r="H85" t="inlineStr"/>
      <c r="I85" t="inlineStr">
        <is>
          <t>**About The Company**
 DoorDash is a leading technology and logistics company dedicated to empowering local economies by connecting consumers with their favorite local merchants through innovative delivery solutions. Established with the mission to enable seamless access to a wide range of goods, DoorDash has revolutionized the way people shop and dine by providing efficient, reliable, and scalable delivery services. Our platform caters to a diverse customer base, including individual consumers, small and large businesses, and local merchants, fostering community growth and economic opportunity. As we continue to expand our reach globally, we remain committed to fostering a culture of innovation, inclusivity, and customer\-centricity, leveraging cutting\-edge technology to solve complex logistical challenges and deliver exceptional experiences.
**About The Role**
 The Analytics team at DoorDash is seeking experienced Data Scientists to lead efforts in measurement, strategy, and tactical decision\-making through advanced analytics approaches. In this role, you will be pivotal in uncovering actionable insights from complex data sets and translating them into strategic recommendations that influence key operational and product decisions. You will work closely with cross\-functional teams, including product, engineering, and operations, to identify opportunities for optimization and growth. Your work will directly impact various facets of the marketplace, including customer acquisition, supply\-demand balancing, fraud prevention, marketing effectiveness, and overall marketplace efficiency. This position offers a unique opportunity to engage in operationally impactful projects, from ideation and experimentation to implementation and measurement, enabling you to make a tangible difference in our business and customer experience.
 As a senior member of the team, you will lead and mentor junior data scientists, foster a data\-driven culture, and interface regularly with senior leadership to showcase insights, influence strategic initiatives, and shape the future roadmap. You will be responsible for defining measurement strategies, designing experiments, and developing learning roadmaps based on data observations and hypotheses. This role requires a blend of technical expertise, strategic thinking, and strong communication skills to translate complex analytical findings into clear, actionable insights for diverse audiences.
**Qualifications**
* A degree in Mathematics, Physics, Statistics, Economics, Computer Science, or a related field.
* 8\+ years of professional experience in Data Science and Product Analytics, preferably within related industries.
* Proven leadership experience, including managing and developing teams of data scientists.
* Deep expertise in experimental design, statistical analysis, and A/B testing methodologies.
* Hands\-on experience with data pipelines, data warehousing, and ETL processes.
* Strong analytical skills with proficiency in programming languages such as Python, R, or SQL.
* Excellent communication skills, capable of presenting complex insights to non\-technical stakeholders.
* Ability to influence strategic decisions through data\-driven insights and recommendations.
**Responsibilities**
* Lead and mentor a team of Data Scientists to investigate complex business problems and uncover key drivers.
* Collaborate with cross\-functional teams to develop and influence product and operational roadmaps with data\-backed insights.
* Design and implement measurement strategies, defining success metrics and best practices for experiments and analyses.
* Conduct deep data analysis to identify patterns, trends, and opportunities for growth and operational improvements.
* Develop and communicate strategic hypotheses and learning roadmaps based on data observations.
* Interface regularly with senior leadership to present findings, influence decision\-making, and drive strategic initiatives.
* Build and maintain scalable data pipelines and infrastructure to support ongoing analytics efforts.
* Ensure the integrity and quality of data, maintaining best practices around data governance and security.
**Benefits**
* Competitive salary within the range of $219,600 to $323,000 USD, commensurate with experience and qualifications.
* Opportunities for equity grants and other performance\-based incentives.
* Comprehensive health benefits including medical, dental, and vision coverage.
* Retirement plan options such as 401(k) with employer matching.
* Paid parental leave (up to 16 weeks) and family\-forming assistance.
* Paid time off including flexible vacation and sick leave policies.
* Wellness benefits, mental health programs, and commuter benefits.
* Paid holidays and disability and life insurance coverage.
* Supportive and inclusive work environment that promotes diversity and professional growth.
 Equal Opportunity
 DoorDash is an equal opportunity employer committed to fostering an inclusive and diverse workplace. We do not discriminate based on race, color, religion, gender, sexual orientation, gender identity or expression, national origin, age, disability, veteran status, or any other protected category. We believe that diverse teams drive innovation and better serve our communities. We encourage applicants from all backgrounds to apply and join us in our mission to empower local economies and create meaningful impact through technology.</t>
        </is>
      </c>
    </row>
    <row r="86">
      <c r="A86" t="inlineStr">
        <is>
          <t>li-4359963166</t>
        </is>
      </c>
      <c r="B86" t="inlineStr">
        <is>
          <t>Data Scientist</t>
        </is>
      </c>
      <c r="C86" t="inlineStr">
        <is>
          <t>Humana</t>
        </is>
      </c>
      <c r="D86" t="inlineStr">
        <is>
          <t>linkedin</t>
        </is>
      </c>
      <c r="E86">
        <f>HYPERLINK("https://www.linkedin.com/jobs/view/4359963166", "https://www.linkedin.com/jobs/view/4359963166")</f>
        <v/>
      </c>
      <c r="F86" t="inlineStr"/>
      <c r="G86" t="inlineStr"/>
      <c r="H86" t="inlineStr"/>
      <c r="I86" t="inlineStr">
        <is>
          <t>**About The Company** 
 Humana Inc. (NYSE: HUM) is a leading health and well\-being company committed to putting health first for its members, customers, and employees. With a focus on innovative healthcare solutions, Humana offers a range of insurance services and healthcare programs designed to improve quality of life and health outcomes. Through its diverse portfolio, including Medicare, Medicaid, and commercial insurance plans, Humana strives to make healthcare more accessible, affordable, and personalized. The company emphasizes leveraging technology and analytics to transform member experiences and healthcare delivery, fostering a caring community dedicated to health and wellness.
**About The Role** 
 Become a part of our caring community and help us put health first. We are seeking a skilled Data Scientist to join our Growth Analytics \&amp; AI team within Humana. In this role, you will utilize mathematics, statistics, modeling, and advanced technology to analyze high volumes of complex data and develop innovative analytic solutions. Your responsibilities will include designing Generative AI models, implementing machine learning algorithms, and translating data insights into actionable strategies. You will collaborate closely with cross\-functional teams including IT, sales, and strategy, to identify opportunities for growth and enhance healthcare experiences for our members. This position offers a unique opportunity to influence Humana’s vision around member growth and outcomes by creating impactful AI solutions that improve healthcare delivery and member engagement.
**Qualifications** 
* Bachelor’s Degree in Math, Computer Science, Analytics, Quantitative Social Sciences, or related field with at least 4 years of relevant experience OR Master’s Degree with 1 year of experience
* Proficiency in SQL, Python, and data analysis/data mining tools
* Experience with machine learning frameworks such as Scikit\-Learn, TensorFlow, or PyTorch
* Knowledge of large language models, transformers, and model providers
* Strong understanding of statistical analysis, NLP, Generative AI, and machine learning techniques
* Excellent communication skills, capable of presenting complex insights to both technical and non\-technical audiences
**Responsibilities** 
* Develop and validate machine learning and statistical models using Python, R, SQL, and other programming tools
* Design and implement Generative AI solutions utilizing models like LLMs, APIs, and frameworks such as LangChain, LangGraph, and Google Agent Development Kit
* Collect, maintain, and analyze structured and unstructured data sets for reporting and insights generation
* Create reports, projections, models, and presentations to support business strategy and decision\-making
* Interpret and communicate analytic results effectively to both technical teams and business stakeholders
* Partner with business teams to understand challenges, co\-create AI\-driven solutions, and communicate AI capabilities and limitations
* Engage in continuous learning and experimentation to enhance AI models and analytic techniques
**Benefits** 
* Competitive salary within the range of $97,900 \- $133,500 annually
* Performance\-based bonus incentive plan
* Comprehensive medical, dental, and vision insurance plans
* 401(k) retirement savings plan with company matching
* Paid time off, including holidays, volunteer leave, and parental/caregiver leave
* Short\-term and long\-term disability coverage
* Life insurance and wellness programs
* Opportunities for professional development and career growth
 Equal Opportunity
 Humana is an equal opportunity employer and values diversity in the workplace. We do not discriminate against any employee or applicant based on race, color, religion, sex, sexual orientation, gender identity, national origin, age, marital status, genetic information, disability, or protected veteran status. We are committed to affirmative action and ensure all employment decisions are made based on valid job requirements.</t>
        </is>
      </c>
    </row>
    <row r="87">
      <c r="A87" t="inlineStr">
        <is>
          <t>li-4352358611</t>
        </is>
      </c>
      <c r="B87" t="inlineStr">
        <is>
          <t>Data Scientist - Model Optimization</t>
        </is>
      </c>
      <c r="C87" t="inlineStr">
        <is>
          <t>Quadric</t>
        </is>
      </c>
      <c r="D87" t="inlineStr">
        <is>
          <t>linkedin</t>
        </is>
      </c>
      <c r="E87">
        <f>HYPERLINK("https://www.linkedin.com/jobs/view/4352358611", "https://www.linkedin.com/jobs/view/4352358611")</f>
        <v/>
      </c>
      <c r="F87" t="inlineStr"/>
      <c r="G87" t="inlineStr">
        <is>
          <t>Burlingame, CA</t>
        </is>
      </c>
      <c r="H87" t="inlineStr"/>
      <c r="I87" t="inlineStr">
        <is>
          <t>Quadric has created an innovative general purpose neural processing unit (GPNPU) architecture. Quadric's co\-optimized software and hardware is targeted to run neural network (NN) inference workloads in a wide variety of edge and endpoint devices, ranging from battery operated smart\-sensor systems to high\-performance automotive or autonomous vehicle systems. Unlike other NPUs or neural network accelerators in the industry today that can only accelerate a portion of a machine learning graph, the Quadric GPNPU executes both NN graph code and conventional C\+\+ DSP and control code.
**What We Value**
 Integrity, Humility, Happiness
**What We Expect**
 Initiative, Collaboration, Completion
**Role**
 You will be joining the data science team that is focused on model optimization, will research, prototype, and validate low‑precision techniques that make neural networks leaner and faster on the Chimera GPNPU. Your analyses will set the quantization recipes that ship in the Chimera SDK and influence future hardware features.
**Responsibilities**
* Design statistically rigorous experiments to compare PTQ, QAT, pruning, and mixed‑precision schemes on vision, language, and multimodal models.
* Build calibration datasets; develop Python notebooks/dashboards to track accuracy, latency, power, and memory trade‑offs.
* Perform layer‑ and token‑level error analysis to guide numerical‐format choices.
* Partner with compiler team to convert your findings into turnkey SDK flows and reference configs.
* Publish internal whitepapers, external benchmarks, and present results to customers and at industry events.
* Monitor academic literature in compression and efficient inference; translate promising ideas into reproducible prototypes.
**Requirements**
* M.S./Ph.D. in CS, EE, Applied Math, or similar, with 5 \+ years in ML model optimization or data‑science‑driven research.
* Deep grasp of fixed‑point arithmetic, quantization theory, and statistical calibration.
* Fluent in Python, PyTorch or TensorFlow, NumPy/Pandas/SciPy, and data‑viz tools (Matplotlib/Plotly).
* Hands‑on with at least one quantization toolkit (PyTorch FX/PTQ/QAT, TF‑Lite, ONNX‑Runtime, TVM, MLIR Quant).
* Working knowledge of CNNs, Transformers and DNN architectures
**Benefits**
* Provide competitive salaries and meaningful equity
* Health Care Plan (Medical, Dental \&amp; Vision)
* Retirement Plan (401k, IRA)
* Life Insurance (Basic, Voluntary \&amp; AD\&amp;D)
* Paid Time Off (Vacation, Sick \&amp; Public Holidays)
* Family Leave (Maternity, Paternity)
* Work From Home
* Free Food \&amp; Snacks
 Founded in 2016 and based in downtown Burlingame, California, Quadric is building the world’s first supercomputer designed for the real\-time needs of edge devices. Quadric aims to empower developers in every industry with superpowers to create tomorrow’s technology, today. The company was co\-founded by technologists from MIT and Carnegie Mellon, who were previously the technical co\-founders of the Bitcoin computing company 21\.
* Quadric is proud to be an equal opportunity workplace and is an affirmative action employer. We are committed to equal employment opportunity regardless of race, religion, sex, national origin, sexual orientation, age, citizenship, marital status, or disability.</t>
        </is>
      </c>
    </row>
    <row r="88">
      <c r="A88" t="inlineStr">
        <is>
          <t>li-4359945099</t>
        </is>
      </c>
      <c r="B88" t="inlineStr">
        <is>
          <t>Senior Product Data Scientist, Risk and Payments</t>
        </is>
      </c>
      <c r="C88" t="inlineStr">
        <is>
          <t>Owner.com</t>
        </is>
      </c>
      <c r="D88" t="inlineStr">
        <is>
          <t>linkedin</t>
        </is>
      </c>
      <c r="E88">
        <f>HYPERLINK("https://www.linkedin.com/jobs/view/4359945099", "https://www.linkedin.com/jobs/view/4359945099")</f>
        <v/>
      </c>
      <c r="F88">
        <f>HYPERLINK("https://www.owner.com/careers/role?=0a4a2378-f55f-43a9-9329-56693f2a52cc&amp;urlHash=RWHP", "https://www.owner.com/careers/role?=0a4a2378-f55f-43a9-9329-56693f2a52cc&amp;urlHash=RWHP")</f>
        <v/>
      </c>
      <c r="G88" t="inlineStr"/>
      <c r="H88" t="inlineStr"/>
      <c r="I88" t="inlineStr">
        <is>
          <t>🔍
 **Why we’re looking for you** 
 We’re building an effective, impactful Product Analytics function at
 Owner.com
 . As a Risk \&amp; Payments Data Scientist, you will play a pivotal role in shaping the product roadmap through close collaboration with Product Managers to establish proper metrics and impact sizing. You will drive experimentation initiatives and manage the testing framework. You will be instrumental in designing and implementing KPIs for our payments product squad, identifying gaps and potential opportunities that will help grow the business. The best candidates will not just provide insights to the EPD (Engineering \&amp; Product) org, but be a strategic driver, identifying gaps/opportunities in the money \&amp; risk area, building internal alignment around them, and creating meaning business impact.
 We’re migrating from Stripe Standard to Custom Connect / Adyen for Platforms, which means we’ll own far more of the risk surface: merchant onboarding/underwriting, fraud detection, dispute mitigation, reserves, and payout risk. As a Risk Data Scientist you will be building the models, signals, and decisioning that protect our merchants and our P\&amp;L—while keeping conversion high and friction low.
 For this particular role we are focused on candidates located in the San Francisco Bay Area. We are a remote\-first company with a home base in SF, where our team comes together for periodic in\-person collaboration (most local teammates opt to come in on Tuesdays/Thursdays). For more details chat with your recruiter!
**💥 The impact you will have** 
* Payments modeling:
* Cut losses without killing conversion: Ship ML models that reduce fraud/chargebacks and credit losses while maintaining checkout auth rates and onboarding pass\-through.
* Accelerate safe growth: Create merchant risk scores and dynamic controls (e.g., reserves/holdbacks, payout delays) that scale to 10k\+ restaurants.
* Give Ops superpowers: Build signals, alerts, and tools that let our Payments Ops / Risk Ops team review what matters—and automate the rest.
* Make risk measurable: Define loss budgets and risk SLIs/SLOs; deliver dashboards that make risk tradeoffs explicit.
* Build and maintain ML models for merchant underwriting, transaction fraud, chargeback propensity, payout risk.
* Design reusable frameworks for feature generation, model training, deployment, and monitoring so we can add new models quickly without reinventing the wheel.
* Payments analytics:
* Own analytics for payments, billing, and risk features, from user checkout experience to internal financial reporting.
* Monitor and improve critical KPIs such as payment success rate, failed payment recovery, fraud rates, chargeback volume, and revenue leakage. Set up monitoring for drift, stability, and business KPIs, with automated alerts.
* Identify and size revenue \&amp; risk opportunities across the payments funnel (from checkout to Stripe to invoice collection).
* Partner with Product Managers on AB tests and experiments related to payments UX, fraud flags, or risk workflows.
* Collaborate with Engineering to instrument new product features and ensure great event tracking and data integrity in payment flows.
* Enhance product planning influencing product planning through informative impact sizing, enabling more strategic decision\-making.
* Improve data Integrity and quality: Collaborate with developers on database design to strengthen data integrity and quality.
* Establish a Single Source of Truth (SSOT): Work alongside Data \&amp; Analytics Engineers to implement robust models in DBT and Snowflake, and design dashboards that provide a unified view of business\-critical data. Integrate third\-party and processor signals (Stripe Radar, Adyen RevenueProtect, device/identity data) into our models.
**🤝 Who you’ll work with** 
* Reporting Structure: This role reports directly to our Director of Data Analytics, Piotr Rosiak.
* Technical Collaboration: You will collaborate with Analytics Engineers on all technical aspects, including data modeling, data quality, and the use of tools like DBT and Snowflake.
* Work hand\-in\-glove with Payments Ops \&amp; Risk Lead to encode policy into models, define review queues, and reduce manual workload.
* Collaborate with Payments PM/GM on onboarding UX, step\-up flows, and dispute tooling; quantify conversion vs. loss tradeoffs with clear, dollarized impact.
* Provide merchant\-level insights (watchlists, risk cohorts) and playbooks (what to hold, what to terminate, what to educate).
**✅ What we're looking for** 
* 4–8\+ years in applied ML or risk data science (fintech/payments, marketplace, or anti\-fraud).
* Hands\-on with Python, SQL, and ML libraries/frameworks; comfortable with MLflow (or equivalent), and feature stores.
* Proven track record shipping production models that materially reduced losses or improved conversion; strong offline evaluation \+ online experimentation skills.
* Deep familiarity with payments/risk concepts: KYC/KYB, underwriting, auth vs capture, chargebacks, friendly fraud, card testing, reserves, payout returns, soft/hard declines.
* Strength in feature engineering on messy, imbalanced data; rigorous cost\-sensitive evaluation (ROC/PR, cost curves, business impact).
* Excellent communicator who can turn model output into clear decisions and dollarized tradeoffs.
* Strong grasp of metrics design, experimentation, and product funnel analysis.
* Ability to handle ambiguity, deep dive into financial systems, and proactively flag problems before they escalate.
* KPI Development: A proven track record of developing KPIs and metrics tailored for product squads, particularly within a startup environment.
* Data Product Expertise: Ability to build comprehensive end\-to\-end data products.
* Organizational Skills: Highly organized with a keen eye for precision.
* Industry Experience: Prior experience in SaaS and/or startup environments is highly preferred. Experience in the restaurant industry is an added advantage.
**🚩 Notice \- Employment Scams** 
 Communication from our team regarding job opportunities will only be made by an Owner team member with an @owner.com email address. We do not conduct interviews over email or chat platforms, and we will never ask you to provide personal or financial information such as your mailing address, social security number, credit card numbers or banking information. If you believe you are being contacted by scammer, please mark the communication as "phishing" or “spam” and do not respond.</t>
        </is>
      </c>
    </row>
    <row r="89">
      <c r="A89" t="inlineStr">
        <is>
          <t>li-4359775904</t>
        </is>
      </c>
      <c r="B89" t="inlineStr">
        <is>
          <t>Senior Data Scientist</t>
        </is>
      </c>
      <c r="C89" t="inlineStr">
        <is>
          <t>West Coast University</t>
        </is>
      </c>
      <c r="D89" t="inlineStr">
        <is>
          <t>linkedin</t>
        </is>
      </c>
      <c r="E89">
        <f>HYPERLINK("https://www.linkedin.com/jobs/view/4359775904", "https://www.linkedin.com/jobs/view/4359775904")</f>
        <v/>
      </c>
      <c r="F89" t="inlineStr"/>
      <c r="G89" t="inlineStr">
        <is>
          <t>Irvine, CA</t>
        </is>
      </c>
      <c r="H89" t="inlineStr"/>
      <c r="I89" t="inlineStr">
        <is>
          <t>Reporting to the Director, Analytics Intelligence, the Senior Data Scientist provides analytical guidance and support to organizational decision makers via analysis, interpretation, and modeling of data. Leverages critical thinking and problem\-solving skills to extract valuable business insights. Supports the entire analytics lifecycle including requirements gathering, problem formulation, solution design, analytical modeling, and presenting findings. Develops algorithms to extract and leverage insights from data to optimize organizational opportunities. Supports the deployment and implementation of analytical solutions with constant performance monitoring. Possesses a passion for applying data and analytics while consistently developing personal and organizational capabilities. Aids the organization to consistently be more data\-driven and seek actionable insights. Tells a story with data by finding relationships, drawing conclusions, and making recommendations. Develops predictive models and prescriptive solutions to help maximize student success for all students. Possesses an initiate ability to apply a champion\-challenger approach throughout the analytics lifecycle. Mines complex data to create statistical models, reports/visualizations, machine learning models, and identify champion predictive models for deployment. May provide guidance to Data Scientist(s).
**Essential Functions And Responsibilities**
* Design and write programs and algorithms to train, test and develop complex analysis, predictive models, and detailed insights using Python, R, SPSS Modeler, SAS, and other appropriate best practice tools. Perform ad hoc requests to provide supervised and unsupervised analysis on student academic and success data, recruitment and enrollment data, state board pre\-licensure exams, financial and operational data, and other efforts as assigned.
* Analyzes enterprise\-wide data to understand behaviors and trends. Applies iterative process of analyze, test, learn, pivot or scale approach to analytical solutions. Develops and maintains predictive models to support prescriptive solutions including machine\-learning algorithms. Applies both supervised and unsupervised methods to discover hidden insights within data.
* Interprets data using statistical techniques to analyze results and present output. Presents information using data visualization techniques and software. Distills complex data sets into a narrative that optimizes organizational outcomes while applying the art of storytelling. Proposes solutions and strategies to solve business opportunities. Monitors deployed solutions to ensure degradation and issues are proactively identified.
* Query, extract and mine necessary large data from Oracle CVUE database, CRM, IR\&amp;A Data Warehouse, College Board, IPEDS, National Student Clearing House, Common Dataset, and other utilities and sources. Be a champion of rigorous data integrity and collection across the institution.
* General Scope of Responsibilities: Collaborates with key stakeholders.
* Adheres to University policies and procedures and conducts job responsibilities in accordance with the standards set out in the University's Code of Ethical Conduct, Compliance Agreement, Sexual Harassment Policy or any of its policies and procedures, applicable federal and state laws, and applicable professional standards.
* Performs other duties as assigned.
**Preferred Education, Certifications And Licensures**
* Master's degree or higher in data science, statistics, economics, mathematics, engineering, or a related quantitative field is strongly preferred.
**Required Education**
* Bachelor's degree in data science, statistics, economics, mathematics, engineering, or a related quantitative field is required.
**Required Experience And Skills**
* 5\+ year's experience in a data science or advanced analytics role.
* 3\+ year's experience developing, deploying, and implementing predictive models.
* Superior experience and working knowledge of model design, data analysis, exploratory quantitative methods feature/variable creation, model development, analytical solution implementation, and explainable advanced analytics methods.
* Proven experience investigating difficult problems with a natural curiosity in data discovery to create a high\- quality solution.
* Demonstrated experience with hypothesis testing to ensure limitations and assumptions are either validated or minimized.
* Working knowledge of relational databases and database query tools (SQL Server or similar).
* Demonstrated experience with cloud environments including Azure, AWS, Google cloud, advanced analytic methods including machine learning techniques (Gradient Boosting, Random Forest, Neural Networks, Clustering, PCA, NLP, Image analytics, etc.
* Familiarity with model explanation methods including SHAP, PDP, LIME, Sabaas, etc.
* Experience creating data visualizations using Power BI, Tableau, or similar applications.
* Proficiency using R, Python, SAS, or similar languages.
* Strong Excel skills.
**Do you want a career that allows you to make a difference in other people’s lives? Discover what it means to truly believe in the work that you do at West Coast University.**
 At West Coast University, we have the privilege of educating students seeking careers in healthcare and guide them through their transformational journey from student to caregiver. Our associates are united behind that purpose and share a deep commitment to our values of teamwork, collegiality, transparency, and a student\-centric approach to all we do. This focus creates an aligned, nimble, and consensus\-driven culture that is solution\-oriented and supports our associates’ professional growth.
*West Coast University is proud to be an equal opportunity employer. We embrace diversity and are dedicated to creating an inclusive environment for all associates.*</t>
        </is>
      </c>
    </row>
    <row r="90">
      <c r="A90" t="inlineStr">
        <is>
          <t>li-4340734603</t>
        </is>
      </c>
      <c r="B90" t="inlineStr">
        <is>
          <t>Associate Systems Engineer / Data Scientist</t>
        </is>
      </c>
      <c r="C90" t="inlineStr">
        <is>
          <t>MITRE</t>
        </is>
      </c>
      <c r="D90" t="inlineStr">
        <is>
          <t>linkedin</t>
        </is>
      </c>
      <c r="E90">
        <f>HYPERLINK("https://www.linkedin.com/jobs/view/4340734603", "https://www.linkedin.com/jobs/view/4340734603")</f>
        <v/>
      </c>
      <c r="F90" t="inlineStr"/>
      <c r="G90" t="inlineStr">
        <is>
          <t>Huntsville, AL</t>
        </is>
      </c>
      <c r="H90" t="inlineStr"/>
      <c r="I90"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The System Engineering Analytics Department is seeking a motivated, creative Data Scientist to apply cutting edge tools and techniques to challenging problems facing the US government. This position offers the opportunity to combine Systems Engineering with Data Analytics to build end to end data analytic pipelines. You will have the opportunity to learn from seasoned data professionals in a fast paced and dynamic atmosphere. You will have the opportunity to make strategic differences and have real long\-term impacts on some of the most challenging problems in the government space.
**Roles \&amp; Responsibilities:**
 The successful candidate will:
* Be passionate about applying data analytics to real world problems.
* Have an innate curiosity and interest in developing research questions and testing hypotheses with open ended tasking.
* Work with a spectrum of government sponsors to gain understanding of their challenges, evaluate possible solutions and conduct insightful, actionable analyses.
* Support the development and application of a variety of analytical models to sponsor challenges, with a willingness to adapt and learn.
* Present results in an intuitive, actionable manner that can be understood by all sponsor audiences, regardless of technical expertise.
**Basic Qualifications:**
* Typically requires less than 1 year of related experience with a related Bachelor’s degree, or equivalent combination of related education and work experience
* Must be a U.S. citizen with ability to obtain and maintain a DoD clearance
* Demonstrated ability to manipulate large datasets
* Experience with analytic tools such as Python, SAS, MATLAB, JavaScript, R, Java
* Data Visualization tools such as Tableau, QuickSight, PowerBI, etc.
* Ability to formulate complex algorithms and process to solve complex data problems
* Proficiency in use of Microsoft Office including Outlook, Excel, and Word
* Must have demonstrated proficiency and strength in verbal, written, PC, presentation, and communications skills
* This position requires a minimum of 50% hybrid on\-site
**Preferred Qualifications:**
* Candidates that possess a current/active US Government clearance are preferred
* Academic/ project experience working with databases (e.g., Oracle, PostgreSQL, MySQL, SQL Server, MongoDB)
* Software Development experience in a shared environment leveraging tools such as GIT
* Experience with full\-stack development (e.g. HTML, JS, HTML, NodeJS, SQL, Python, etc.)
**This requisition requires the candidate to have a minimum of the following clearance(s):**
 None
**This requisition requires the hired candidate to have or obtain, within one year from the date of hire, the following clearance(s):**
 Secret
**Salary compensation range and midpoint:**
 $80,000 \- $100,000 \- $120,000 Annual
**Work Location Type:**
 Hybrid
 It is unlawful in Massachusetts to require or administer a lie detector test as a condition of employment or continued employment. An employer who violates this law shall be subject to criminal penalties and civil liability.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2026-01-11T03:02:21Z</dcterms:created>
  <dcterms:modified xsi:type="dcterms:W3CDTF">2026-01-11T03:02:21Z</dcterms:modified>
</cp:coreProperties>
</file>