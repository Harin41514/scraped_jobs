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in-55f150ba15ca86c8</t>
        </is>
      </c>
      <c r="B2" t="inlineStr">
        <is>
          <t>Director, AI Engineering</t>
        </is>
      </c>
      <c r="C2" t="inlineStr">
        <is>
          <t>Capital One</t>
        </is>
      </c>
      <c r="D2" t="inlineStr">
        <is>
          <t>indeed</t>
        </is>
      </c>
      <c r="E2" t="inlineStr"/>
      <c r="F2" t="inlineStr"/>
      <c r="G2" t="inlineStr">
        <is>
          <t>San Jose, CA, US</t>
        </is>
      </c>
      <c r="H2" s="2" t="n">
        <v>46030</v>
      </c>
      <c r="I2" t="inlineStr">
        <is>
          <t>Director, AI Engineering**Overview:**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Oversee the design, development, testing, deployment, and support AI software components including foundation model training, large language model inference, similarity search, guardrails, model evaluation, experimentation, governance, and observability, etc.
* Make high judgment build\-vs\-buy decisions across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 Attract and retain top talent in the AI industry and nurture personal and professional development for your team. Foster a culture of learning and staying abreast of the state\-of\-the\-art in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get fulfillment from empowering others to achieve their potential and you actively drive professional development through mentoring and coaching. You are hands\-on when necessary and lead by example.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3 years of people leadership experience
**Preferred Qualifications:**
* 5 years of experience managing and leading an engineering team
* 7 years of experience deploying scalable and responsible AI solutions on cloud platforms (e.g. AWS, Google Cloud, Azure, or equivalent private cloud)
* Experience developing AI and ML algorithms or technologies (e.g. LLM Inference, Similarity Search and VectorDBs, Guardrails, Memory) using Python, C\+\+, C\#, Java, or Golang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Francisco, CA: $293,600 \- $335,100 for Director, AI Engineering  
San Jose, CA: $293,600 \- $335,100 for Director, AI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
      <c r="A3" t="inlineStr">
        <is>
          <t>in-0af62680969c474c</t>
        </is>
      </c>
      <c r="B3" t="inlineStr">
        <is>
          <t>Distinguished AI Engineer</t>
        </is>
      </c>
      <c r="C3" t="inlineStr">
        <is>
          <t>Capital One</t>
        </is>
      </c>
      <c r="D3" t="inlineStr">
        <is>
          <t>indeed</t>
        </is>
      </c>
      <c r="E3" t="inlineStr"/>
      <c r="F3" t="inlineStr"/>
      <c r="G3" t="inlineStr">
        <is>
          <t>San Jose, CA, US</t>
        </is>
      </c>
      <c r="H3" s="2" t="n">
        <v>46030</v>
      </c>
      <c r="I3" t="inlineStr">
        <is>
          <t>Distinguished AI Engineer**Overview:**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Distinguished AI Engineer  
Richmond, VA: $244,700 \- $279,200 for Distinguished AI Engineer  
New York, NY: $293,600 \- $335,100 for Distinguished AI Engineer  
Cambridge, MA: $269,100 \- $307,200 for Distinguished AI Engineer  
San Francisco, CA: $293,600 \- $335,100 for Distinguished AI Engineer  
San Jose, CA: $293,600 \- $335,100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
      <c r="A4" t="inlineStr">
        <is>
          <t>in-4856cc3cd0090c21</t>
        </is>
      </c>
      <c r="B4" t="inlineStr">
        <is>
          <t>Sr, Distinguished AI Engineer</t>
        </is>
      </c>
      <c r="C4" t="inlineStr">
        <is>
          <t>Capital One</t>
        </is>
      </c>
      <c r="D4" t="inlineStr">
        <is>
          <t>indeed</t>
        </is>
      </c>
      <c r="E4" t="inlineStr"/>
      <c r="F4" t="inlineStr"/>
      <c r="G4" t="inlineStr">
        <is>
          <t>McLean, VA, US</t>
        </is>
      </c>
      <c r="H4" s="2" t="n">
        <v>46030</v>
      </c>
      <c r="I4" t="inlineStr">
        <is>
          <t>Sr, Distinguished AI Engineer**AI Engineer \- Sr. Director Level (IC)**
------------------------------------------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10 years of experience developing AI and ML algorithms or technologies, or a Master's degree in Computer Science, AI, Electrical Engineering, Computer Engineering, or related fields plus at least 8 years of experience developing AI and ML algorithms or technologies
* At least 10 years of experience programming with Python, Go, Scala, or Java
Preferred Qualifications:
* 9 years of experience deploying scalable and responsible AI solutions on cloud platforms (e.g. AWS, Google Cloud, Azure, or equivalent private cloud)
* Experience architecting, designing, developing, integrating, delivering, and supporting complex enterprise AI systems
* Demonstrated ability to lead and mentor an engineering organization and influence cross\-functional stakeholders up to the SVP level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Sales Territory: $286,200 \- $326,700 for Sr. Distinguished AI Engineer  
Cambridge, MA: $314,800 \- $359,300 for Sr. Distinguished AI Engineer  
McLean, VA: $314,800 \- $359,300 for Sr. Distinguished AI Engineer  
New York, NY: $343,400 \- $392,000 for Sr. Distinguished AI Engineer  
San Francisco, CA: $343,400 \- $392,000 for Sr.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
      <c r="A5" t="inlineStr">
        <is>
          <t>in-466385445f9e1552</t>
        </is>
      </c>
      <c r="B5" t="inlineStr">
        <is>
          <t>Applied Scientist, Copilot Shared Services</t>
        </is>
      </c>
      <c r="C5" t="inlineStr">
        <is>
          <t>Microsoft</t>
        </is>
      </c>
      <c r="D5" t="inlineStr">
        <is>
          <t>indeed</t>
        </is>
      </c>
      <c r="E5" t="inlineStr"/>
      <c r="F5" t="inlineStr"/>
      <c r="G5" t="inlineStr">
        <is>
          <t>Redmond, WA, US</t>
        </is>
      </c>
      <c r="H5" s="2" t="n">
        <v>46023</v>
      </c>
      <c r="I5" t="inlineStr">
        <is>
          <t>**Overview**  
Join an innovative team that delivers core Copilot Shared Services for our flagship Office Apps such as Word, Excel, and PowerPoint. Our mission is to deliver the next generation of personalized Copilot experiences leveraging best of breed Microsoft technologies across Copilot Platform, Microsoft Substrate, and beyond. Consider this opportunity to advance our approach in ways that benefits millions of people. We will achieve this through innovation and vision for our next\-gen solutions, connecting key partnerships across Microsoft, and influencing best\-of\-breed advancements leveraging AI technology.  
Within Copilot Shared Services, we apply new foundational LLMs, create advanced ML techniques, develop rich algorithms, and leverage AI and the skills of Applied Science to accelerate developmental advancements and improve quality of our customer experiences. We invest in agentic solutions and are working to advance methods of evaluation and automated customer solutions.  
We are looking for a **Senior Applied Scientist** to join our team to help establish the vision of the future. In this role, you’ll work closely with engineers, program managers, data scientists and applied scientists to improve our approach to personalized experiences, best leverage and fine tune foundational models, advance evaluation techniques, and improve engineering productivity.  
If you're excited about an opportunity to advance applied AI and making a difference in the future of Copilot for Office apps, we’d love to hear from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Define, lead, and help to conduct research projects and workstreams that directly benefit our customers, drive positive usage, and improve Microsoft’s core productivity products.
* Formulation of advanced prompt engineering, selecting and fine\-tuning LLMs, designing and managing evaluation datasets, develop concepts for more efficient and accurate solutions, and researching and assessing different architectures and approaches from across the M365 ecosystem.
* Collaborate and coordinate with people in a range of roles, including researchers, engineers, product managers, designers, and product leaders and other key product stakeholders.
* Generate ML / AI based models that can be shipped to customers to improve their experience and used internally to generate data insights to shape the features and products we ship to customers.
* Teach, guide, and tutor colleagues without research backgrounds in state\-of\-the\-art techniques and research best practices.
* Many of the things you will try should lead to unexpected outcomes. You must be comfortable learning from experience, developing new hypotheses, and iterating.
* Share project outcomes and insights with others via a range of means, including publication, to enable others to build on your work and to contribute to the understanding of our products as cutting\-edge and science driven.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1\+ year(s) experience developing and deploying products or systems at multiple points in the product cycle from ideation to shipping.
* 3\+ years of experience in machine learning, deep learning, natural language processing, computer vision, and/or statistics.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2\+ years related experience (e.g., statistics, predictive analytics, research)
	+ OR equivalent experience
* Ability to apply research, preferring the large\-scale application of new ideas over theory and prototypes.
* Experience working on successful applied research projects in industry environments.
* Experience coding and hands\-on experience working with foundation models.
* Demonstrated collaboration and communication skills, both within\-team and cross\-team, and experience working through problems in ambiguous environments adapting to new research challenges as technology develops.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
      <c r="A6" t="inlineStr">
        <is>
          <t>in-3f74c1b7dc2b10da</t>
        </is>
      </c>
      <c r="B6" t="inlineStr">
        <is>
          <t>AI Engineer</t>
        </is>
      </c>
      <c r="C6" t="inlineStr">
        <is>
          <t>Barclays</t>
        </is>
      </c>
      <c r="D6" t="inlineStr">
        <is>
          <t>indeed</t>
        </is>
      </c>
      <c r="E6" t="inlineStr"/>
      <c r="F6" t="inlineStr"/>
      <c r="G6" t="inlineStr">
        <is>
          <t>Whippany, NJ, US</t>
        </is>
      </c>
      <c r="H6" s="2" t="n">
        <v>46030</v>
      </c>
      <c r="I6" t="inlineStr">
        <is>
          <t>Embark on a transformative journey as an AI Engineer. At Barclays, our vision is clear – to redefine the future of banking and help craft innovative solutions. In this role, you will design and build secure, scalable GenAI and agentic AI capabilities that support markets businesses, improve trading workflows, and enable intelligent data services within Securitized Products. You will own core LLM services and modular, goal\-driven agents that deliver context\-aware insights while operating within good governance and compliance standards.
To be successful as an AI Engineer, you should have experience with:
* Software development with direct experience building AI/ML applications
* Being a Python engineer with good software craftsmanship, including testing, CI/CD, and performance
* LLM engineering, including model selection and integration, prompt design, fine\-tuning, RAG pipelines, evaluation, guardrails, and reusable LLM core services
* Designing and deploying agentic AI solutions that orchestrate workflows and deliver context\-aware insights securely and at scale
* Building cloud\-native AI solutions on AWS with a focus on scalability, reliability, and cost\-efficient performance
Some other highly valued skills may include:
* Exposure to capital markets domains such as trading, risk, or analytics
* Data engineering fundamentals and integration with ML platforms
* Practical MLOps, including model deployment, monitoring, and quality management
* Experience working with governance and controls teams to embed responsible AI practices
* Familiarity with enterprise virtual assistants, copilot patterns, or LLM\-enabled colleague experiences
You may be assessed on the key critical skills relevant for success in this role, such as risk and controls, change and transformation, business acumen, strategic thinking, digital and technology, as well as job\-specific technical skills.
This role is located in Whippany, New Jersey.
Minimum Salary: $120,000
Maximum Salary: $175,000
The minimum and maximum salary/rate information above includes only base salary or base hourly rate. It does not include any other type of compensation or benefits that may be available.
Barclays employees are eligible for a suite of competitive and generous employee benefits, including medical, dental and vision coverage, 401(k), life insurance, and other paid leave for qualifying circumstances.
This position is eligible for an incentive award.
**Purpose of the role**
To build and maintain the systems that collect, store, process, and analyse data, such as data pipelines, data warehouses and data lakes to ensure that all data is accurate, accessible, and secure.
**Accountabilities**
* Build and maintenance of data architectures pipelines that enable the transfer and processing of durable, complete and consistent data.
* Design and implementation of data warehoused and data lakes that manage the appropriate data volumes and velocity and adhere to the required security measures.
* Development of processing and analysis algorithms fit for the intended data complexity and volumes.
* Collaboration with data scientist to build and deploy machine learning models.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row>
    <row r="7">
      <c r="A7" t="inlineStr">
        <is>
          <t>in-0db15dc567f81250</t>
        </is>
      </c>
      <c r="B7" t="inlineStr">
        <is>
          <t>Principal Applied Scientist</t>
        </is>
      </c>
      <c r="C7" t="inlineStr">
        <is>
          <t>Microsoft</t>
        </is>
      </c>
      <c r="D7" t="inlineStr">
        <is>
          <t>indeed</t>
        </is>
      </c>
      <c r="E7" t="inlineStr"/>
      <c r="F7" t="inlineStr"/>
      <c r="G7" t="inlineStr">
        <is>
          <t>Redmond, WA, US</t>
        </is>
      </c>
      <c r="H7" s="2" t="n">
        <v>46027</v>
      </c>
      <c r="I7" t="inlineStr">
        <is>
          <t>**Overview**  
Microsoft is a company where passionate innovators come to collaborate, envision what can be and take their careers to levels they cannot achieve anywhere else. This is a world of more possibilities, more innovation, more openness in a cloud\-enabled world. The Business and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This is an exciting time to join our group and work on something strategic to Microsoft. Microsoft Dataverse and the Power Platform Managed Platform provide secure, scalable, and cost\-efficient foundations for building AI\-powered, governed, and compliant applications at global scale. This team builds platform capabilities and microservices that deliver global scale, security, governance, and managed runtime for customers across Power Platform. You will be part of a team of engineers who thrive on solving complex problems at scale with impeccable quality.  
We are looking for a **Principal Research Engineer** to join the Managed Platform team, which provides the foundation for global scale, security, governance, and compliance across Power Platform and Dataverse. In this role, you will apply data science techniques to improve platform reliability, optimize performance, and enable AI\-driven insights that shape the future of enterprise applications.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Build collaborative relationships with product and business groups to deliver AI\-driven impact
* Research and implement state\-of\-the\-art using foundation models, prompt engineering, RAG, graphs, multi\-agent architectures, as well as classical machine learning techniques.
* Fine\-tune foundation models using domain\-specific datasets. \- Evaluate model behavior on relevance, bias, hallucination, and response quality via offline evaluations, shadow experiments, online experiments, and ROI analysis.
* Build rapid AI solution prototypes, contribute to production deployment of these solutions, debug production code, support MLOps/AIOps.  
Contribute to papers, patents, and conference presentations. \- Translate research into production\-ready solutions and measure their impact through A/B testing and telemetry that address customer needs.
* Ability to use data to identify gaps in AI quality, uncover insights and implement PoCs to show proof of concepts.
* Demonstrate deep expertise in AI subfields (e.g., deep learning, Generative AI, NLP, muti\-modal models) to translate cutting\-edge research into practical, real\-world solutions that drive product innovation and business impact.
* Share insights on industry trends and applied technologies with engineering and product teams.
* Apply a deep understanding of fairness and bias in AI by proactively identifying and mitigating ethical and security risks—including XPIA (Cross\-Prompt Injection Attack) unfairness, bias, and privacy concerns—to ensure equitable and responsible outcomes.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OR Doctorate in Statistics, Econometrics, Computer Science, Electrical or Computer Engineering, or related field AND 3\+ years related experience (e.g., statistics, predictive analytics, research)
	+ OR equivalent experience.
* 5\+ years experience creating publications (e.g., patents, libraries, peer\-reviewed academic papers).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 Microsoft Cloud background check upon hire/transfer and every two years thereafter.
 **Preferred Qualifications:**
* Master's Degree in Statistics, Econometrics, Computer Science, Electrical or Computer Engineering, or related field AND 9\+ years related experience (e.g., statistics, predictive analytics, research)
* + OR Doctorate in Statistics, Econometrics, Computer Science, Electrical or Computer Engineering, or related field AND 6\+ years related experience (e.g., statistics, predictive analytics, research)
	+ OR equivalent experience.
* 5\+ years experience conducting research as part of a research program (in academic or industry settings).
* 3\+ years experience developing and deploying live production systems, as part of a product team.
* 3\+ years experience developing and deploying products or systems at multiple points in the product cycle from ideation to shipping.
* 2\+ years experience presenting at conferences or other events in the outside research/industry community as an invited speaker.
\#BICJOBS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
      <c r="A8" t="inlineStr">
        <is>
          <t>in-c42d898f7e335606</t>
        </is>
      </c>
      <c r="B8" t="inlineStr">
        <is>
          <t>Applied Scientist ||</t>
        </is>
      </c>
      <c r="C8" t="inlineStr">
        <is>
          <t>Microsoft</t>
        </is>
      </c>
      <c r="D8" t="inlineStr">
        <is>
          <t>indeed</t>
        </is>
      </c>
      <c r="E8" t="inlineStr"/>
      <c r="F8" t="inlineStr"/>
      <c r="G8" t="inlineStr">
        <is>
          <t>Redmond, WA, US</t>
        </is>
      </c>
      <c r="H8" s="2" t="n">
        <v>45985</v>
      </c>
      <c r="I8" t="inlineStr">
        <is>
          <t>**Overview**  
Join the forefront of data center innovation with Microsoft’s Cloud Operations \&amp; Innovation (CO\+I) Cloud Applied Artificial Intelligence (CAAI) group as an **Applied Scientist II**. In this pivotal role, you’ll help drive sustainability and efficiency across Microsoft’s core infrastructure that powers services like Bing, Office 365, Xbox, OneDrive, and Azure.
As an Applied Scientist II, you will leverage machine learning, big data, predictive analytics, and time series analysis to transform data center efficiency. With over 400 data centers in 32 countries and millions of servers, our infrastructure offers a unique opportunity to make a global impact. You’ll collaborate with cross\-discipline teams to push the boundaries of data center sustainability and efficiency. With environmental sustainability and optimization at the heart of our design and operations, we continue to evolve to meet the ever\-changing business demands that position Microsoft as a world\-class cloud provider.
Microsoft’s mission is to empower every person and every organization on the planet to achieve more. We embrace a growth mindset, innovate to empower others, and collaborate to achieve shared goals. Each day we build on our values of respect, integrity, and accountability to create a culture of inclusion where everyone can thrive.
 **Responsibilities**  
* Apply advanced techniques in data science, machine learning, and AI to improve data center sustainability and efficiency.
* Translate complex datasets into actionable insights and communicate findings clearly to stakeholders.
* Design and execute experiments to validate hypotheses and evaluate new approaches, ensuring rigor and reproducibility.
* Provide strategic input on business opportunities and product enhancements based on data\-driven insights.
* Collaborate with engineering teams to deploy and optimize models at scale.
* Contribute to product strategy, aligning scientific solutions with business objectives to deliver measurable impact.
* Partner with cross\-functional stakeholders to drive initiatives that achieve tangible business outcomes.
Embody our culture and values.
 **Qualifications** **Required Qualifications:**
* Doctorate in Data Science, Mathematics, Statistics, Econometrics, Economics, Operations Research, Computer Science, or related field **AND** 1\+ year of data science experience
	+ **OR** Master’s degree in related field **AND** 3\+ years of data science experience
	+ **OR** Bachelor’s degree in related field **AND** 5\+ years of data science experience
	+ **OR** equivalent experience.
While not required, we also look for the following**Preferred Qualifications:**
* Doctorate in related field **AND** 3\+ years of data science experience
	+ **OR** Master’s degree **AND** 5\+ years
	+ **OR** Bachelor’s degree **AND** 7\+ years
	+ **OR** equivalent experience.
* Experience with large\-scale telemetry systems, data collection, processing, and analytics.
* Expertise in Exploratory Data Analysis, Inference, Predictive Modeling (Regression, Classification), Time Series Analysis, and Machine Learning (SVMs, Gradient Boosted Trees, Neural Networks, CNNs).
* Strong foundation in applied statistics and mathematics with ability to apply advanced analytical techniques to solve complex problems.
* 4\+ years of experience applying statistical techniques (e.g., experimentation, statistical modeling).
* 2\+ years of customer\-facing, project\-delivery experience.
* Proficiency with Spark and Python.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\#COICareers \| \#EPCCareers \| \#DCDCareers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
      <c r="A9" t="inlineStr">
        <is>
          <t>in-65507f2d1abe7a73</t>
        </is>
      </c>
      <c r="B9" t="inlineStr">
        <is>
          <t>AI Engineer, AI.x</t>
        </is>
      </c>
      <c r="C9" t="inlineStr">
        <is>
          <t>Charles Schwab</t>
        </is>
      </c>
      <c r="D9" t="inlineStr">
        <is>
          <t>indeed</t>
        </is>
      </c>
      <c r="E9" t="inlineStr"/>
      <c r="F9" t="inlineStr"/>
      <c r="G9" t="inlineStr">
        <is>
          <t>San Francisco, CA, US</t>
        </is>
      </c>
      <c r="H9" s="2" t="n">
        <v>46031</v>
      </c>
      <c r="I9" t="inlineStr">
        <is>
          <t>**Your opportunity**
--------------------
At Schwab, you will build a rewarding career while making a difference in the lives of our millions of clients. Here, innovative thinking meets creative problem solving as we work together to challenge the status quo. We believe in the power of collaboration and value being together in the office, which is why this role is based on\-site in our San Francisco office. Joining Schwab means joining a company committed to transforming the financial industry and putting clients at the center of everything we do.  
Schwab’s AI Strategy \&amp; Transformation team, known as AI.x, is the central hub for Artificial Intelligence at Schwab. We are an integrated product, engineering, strategy and risk team, all based in San Francisco. We help set the enterprise vision for AI, invest in the most promising opportunities, and accelerate delivery across the company. We also build the core platform that powers AI at scale and explore next\-generation GenAI efforts that will redefine how we serve our clients. As an AI Engineer on AI.x, you will play an important role in bringing these priorities to life by designing and delivering innovative AI solutions.  
This role is more than an engineering position. It is an opportunity to join a high\-profile team shaping Schwab’s future with AI, to build solutions that matter to millions of clients, and to grow your career in one of the most exciting areas of technology today.  
As an AI Engineer, you will contribute to the design, development, and delivery of GenAI applications that enhance client experience and create business value. You will collaborate with architects, engineers, and business leaders to ensure solutions align with Schwab’s enterprise strategy. You will have the opportunity to learn from senior engineers, participate in technical discussions, and help to build strong engineering practices while fostering a culture of continuous learning. You will work on solving complex technical challenges, support best engineering standards, and help drive iterations from concept to production. Above all, you will bring curiosity, creativity, and technical skill to help shape the next generation of AI at Schwab.**What you have**
-----------------
 **Required Qualifications*** 5\+ years of software development experience and 3\+ years as a hands\-on engineer in startups and/or large organizations.
* Bachelor's degree in Computer Science or related field.
* 3\+ years of experience building complex products from scratch and supporting them in production environments.
* 1\+ years of experience developing applications that use Artificial Intelligence (AI) models to deliver business impact.
* 2\+ years of experience working with applications or data pipelines that interface with large datasets.
* 2\+ years of experience with containers and cloud\-native applications, with exposure to deploying them in the public cloud using infrastructure as code.
**Preferred Qualifications*** Robust computer science fundamentals and experience working across different parts of the tech stack.
* Exposure to proprietary or open\-source LLMs (Gemini, Claude, OpenAI or other models) and contributing to LLM\-powered applications.
* Commitment to quality in your work, with experience writing and maintaining tests.
* Experience evaluating and monitoring LLM\-generated outputs for quality and consistency.
* Strong communication skills – able to clearly share your perspective with others on the team, both verbally and in writing.
* Interest in mentoring peers and learning from senior engineers through feedback and code reviews.
* Demonstrated commitment to continuous learning and improvement.
* Ability to address complex problems, even with ambiguous or incomplete data, within distributed systems.
* Broad business domain knowledge related to the products you've contributed to.
* Curiosity about new technologies and processes – you seek to grow your skills and share knowledge with team members.
* Experience with Python and front\-end development is preferred but not required.
* Master’s or advanced degrees in Computer Science or related fields are a plus.
In addition to the salary range, this role is also eligible for bonus or incentive opportunities.**What’s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10">
      <c r="A10" t="inlineStr">
        <is>
          <t>in-608797dd24ebfba1</t>
        </is>
      </c>
      <c r="B10" t="inlineStr">
        <is>
          <t>Senior Lead Machine Learning Engineer (Big Data and Machine Learning)</t>
        </is>
      </c>
      <c r="C10" t="inlineStr">
        <is>
          <t>Capital One</t>
        </is>
      </c>
      <c r="D10" t="inlineStr">
        <is>
          <t>indeed</t>
        </is>
      </c>
      <c r="E10" t="inlineStr"/>
      <c r="F10" t="inlineStr"/>
      <c r="G10" t="inlineStr">
        <is>
          <t>New York, NY, US</t>
        </is>
      </c>
      <c r="H10" s="2" t="n">
        <v>46030</v>
      </c>
      <c r="I10" t="inlineStr">
        <is>
          <t>Senior Lead Machine Learning Engineer (Big Data and Machine Learning)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8 years of experience designing and building data\-intensive solutions using distributed computing (Internship experience does not apply)
* At least 4 years of experience programming with Python, Scala, or Java
* At least 3 years of experience building, scaling, and optimizing ML systems
* At least 2 years of experience leading teams developing ML solutions
**Preferred Qualifications:**
* Master's or doctoral degree in computer science, electrical engineering, mathematics, or a similar field
* Experience developing and deploying ML solutions in a public cloud such as AWS, Azure, or Google Cloud Platform
* 4\+ years of on\-the\-job experience with an industry recognized ML framework such as scikit\-learn, PyTorch, Dask, Spark, or TensorFlow
* 3\+ years of experience developing performant, resilient, and maintainable code
* 3\+ years of experience with data gathering and preparation for ML models
* 3\+ years of people management experience
* ML industry impact through conference presentations, papers, blog posts, open source contributions, or patents
* 3\+ years of experience building production\-ready data pipelines that feed ML models
* Ability to communicate complex technical concepts clearly to a variety of audiences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$209,000 \- $238,500 for Sr. Lead Machine Learning Engineer  
McLean, VA: $229,900 \- $262,400 for Sr. Lead Machine Learning Engineer  
New York, NY: $250,800 \- $286,200 for Sr.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
      <c r="A11" t="inlineStr">
        <is>
          <t>in-9582b5009df1e131</t>
        </is>
      </c>
      <c r="B11" t="inlineStr">
        <is>
          <t>Principal AI Engineer</t>
        </is>
      </c>
      <c r="C11" t="inlineStr">
        <is>
          <t>Microsoft</t>
        </is>
      </c>
      <c r="D11" t="inlineStr">
        <is>
          <t>indeed</t>
        </is>
      </c>
      <c r="E11" t="inlineStr"/>
      <c r="F11" t="inlineStr"/>
      <c r="G11" t="inlineStr">
        <is>
          <t>US</t>
        </is>
      </c>
      <c r="H11" s="2" t="n">
        <v>46001</v>
      </c>
      <c r="I11"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NEXT is the incubation and research arm of Microsoft Security AI (MSECAI), building the next generation of Artificial Intelligence (AI)\-native security products. In the 18 months since our founding, we’ve driven the science behind Microsoft Security Copilot and delivered both foundational and specialized models. We pursue long horizon bets while landing near term impact, taking ideas from zero\-to\-one (0 1\) prototypes to Minimum Viable Products (MVPs) and then one\-to\-many (1 N) platform integration across Microsoft Defender, Sentinel, Entra, Intune, and Purview. Our culture blends ambition and scientific rigor with curiosity, humility, and customer obsession; we invest in new knowledge, collaborate across worldclass scientists and engineers, and tackle the immense challenge of protecting millions of customers. We are looking for a Principal AI Engineer for our team. In this role, you will set the multi\-year strategy and roadmap for AI\-first security experiences and the underlying platform. You will lead zero\-to\-one (0 1\) incubation and one\-to\-many (1 N) scale\-out, provide hands\-on technical leadership across architecture, data, and model layers, and orchestrate cross\-discipline teams to deliver responsible, high\-quality AI features end to end. You are a builder who rapidly prototypes code to de\-risk ideas, navigate ambiguity, and drive clarity and results across organizations. You are a presenter who commands your audience to demonstrate amazing ideas from both you and the team.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**Responsibilities:**
* Define the technical vision, strategy, and roadmap for AI\-native incubation initiatives; align stakeholders across Security Copilot, Defender, Sentinel, Entra, Purview, Azure AI Foundry and Microsoft AI to deliver cohesive customer value.
Lead zero\-to\-one (0 1\) incubation R\&amp;D through MVP and private preview, then drive one\-to\-many (1* N) platformization and scale to GA; make principled tradeoffs across quality, latency, reliability, cost, and safety.
* Provide hands\-on technical leadership: prototype in code, review designs and Pull Requests (PRs), define Application Programming Interfaces (APIs)/data contracts, build comprehensive well\-architected systems, and establish evaluation frameworks to de\-risk complex systems.
* Set strategy for AI\-native security experiences and platform components: where to use Large Language Models (LLMs) versus classical Machine Learning (ML), retrieval/Retrieval\-Augmented Generation (RAG) design, grounding, model routing/fallbacks, and safety guardrails to meet customer outcomes and Service Level Objectives (SLOs).
* Ensure Responsible AI, privacy, and security guardrails are designed in from day one, coordinate safety reviews, abuse prevention, compliance, and incident readiness.
* Lead v\-teams and mentor others; cultivate a builder culture of velocity and quality as a force multiplier. Engage directly with enterprise customers and field to co\-design solutions and land adoption; communicate program status and strategy to executives with hands on real code demonstrations.
**Qualifications**  
**Required Qualifications:***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background and Microsoft Cloud background check upon hire/transfer and every two years thereafter.
**Preffered Qualifications:***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 6\+ years of experience driving complex, cross\-functional initiatives; experience leading without authority across multiple teams.
* 3\+ years working with Machine Learning (ML)/Artificial Intelligence (AI) systems (e.g., Large Language Models (LLMs)/Generative AI (GenAI), retrieval/Retrieval\-Augmented Generation (RAG), model serving, experimentation platforms, data pipelines) including establishing evaluation metrics and improving model quality.
* Experienced in program leadership, communication, and stakeholder management skills with the ability to influence leaders and make data\-informed decisions.
* Proven track record shipping cloud services or platforms at scale (multi\-tenant, high\-throughput) with measurable customer and business impact.
* Security domain expertise (e.g., threat detection/response, SIEM/SOAR, identity, endpoint, cloud security) and familiarity with analyst workflows.
* Experience with GenAI/LLM techniques and tooling (prompt engineering, retrieval/vector stores, agents/tool use, content safety/guardrails, offline/online eval frameworks, vibe coding).
* Hands\-on coding ability in one or more languages (e.g., Python, C\#, C\+\+, Rust, JavaScript/TypeScript); comfortable prototyping, reading Pull Requests (PRs), and engaging deeply in technical design reviews.
Demonstrated success driving zero\-to\-one (0 1\) initiatives from ambiguity to Minimum Viable Product (MVP) to General Availability (GA) and then to one\-to\-many (1* N) platform adoption across multiple product teams. What makes a great Principal AI Engineer here
* Model\-literate and pragmatic: you know when to use a Large Language Model (LLM), when a deterministic/rules\-based or classical Machine Learning (ML) approach is better, and how to hybridize them with retrieval, caching, routing, and fallbacks to meet Service Level Objectives (SLOs) and cost targets.
* Evaluation\-obsessed: you can define the right metrics and datasets (clarity, groundedness, precision/recall, latency/cost etc.), build the eval harness, and insist on measurable improvements before broad rollout.
Zero\-to\-one (0 1\) builder and one\-to\-many (1* N) integrator: you turn ambiguous ideas into Minimum Viable Products (MVPs), then lead General Availability (GA) platformization and integration into large, multi\-tenant Microsoft Security products. You define durable data/Application Programming Interface (API) contracts and Software Development Kits (SDKs), negotiate dependency graphs across partner teams to meet delivery dates and Service Level Objectives (SLOs) within complex cost, security/privacy/compliance constraints to ensure operational readiness.
* Customer\-back and outcome\-focused: you spend time with defenders and admins, translate workflows into crisp specs, land adoption, and iterate quickly based on feedback and telemetry.
* Clear communicator and connector: you create clarity in ambiguity, align diverse stakeholders across research/engineering/design/field, and mentor others to raise the bar.
 \#MSFTSecurity \#MSECAI \#AI \#SecurityAI \#GenerativeAI \#Cybersecurity \#ResponsibleAI \#Azure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
      <c r="A12" t="inlineStr">
        <is>
          <t>in-bb5c584b56a209b4</t>
        </is>
      </c>
      <c r="B12" t="inlineStr">
        <is>
          <t>Computer Vision and Machine Learning Engineer, Creativity Apps</t>
        </is>
      </c>
      <c r="C12" t="inlineStr">
        <is>
          <t>Apple</t>
        </is>
      </c>
      <c r="D12" t="inlineStr">
        <is>
          <t>indeed</t>
        </is>
      </c>
      <c r="E12" t="inlineStr"/>
      <c r="F12" t="inlineStr"/>
      <c r="G12" t="inlineStr">
        <is>
          <t>Cupertino, CA, US</t>
        </is>
      </c>
      <c r="H12" s="2" t="n">
        <v>46031</v>
      </c>
      <c r="I12" t="inlineStr">
        <is>
          <t>At Apple, new ideas have a way of becoming phenomenal products, services, and customer experiences very quickly! The Creativity Apps team needs your help shaping the next generation of creative editing tools by working on pioneering technologies to surprise and delight creative pros and enthusiasts alike.  
As a Computer Vision \&amp; Machine Learning Engineer, you will be working alongside our world\-class creatives, designers, and engineers to help innovate in the creative space in ways that only Apple can. This is a highly visible, highly impactful opportunity!  
**Description**  
The ideal candidate should have deep experience in computer vision and machine learning and care about long term sustainable software development. This position requires a self\-motivated individual with excellent interpersonal skills to effectively collaborate with all levels of the organization.  
","responsibilities":"Build state\-of\-the\-art machine learning models to power application features.  
Collect model training data, design model architectures, and train custom models suited for application features.  
Partner with cross\-functional teams to design and implement end\-to\-end machine learning enabled features to power the next\-generation tools for creators.  
Drive application features from concept, model design, development and all the way to delivery.  
**Preferred Qualifications**  
PhD in Computer Science, Machine Learning or related field.  
Experience delivering high quality software at scale is a plus.  
Familiarity with modern camera ISP and digital image processing algorithms and models is a plus.  
Experience optimizing models and algorithms that run efficiently on resource constrained platforms is a plus.  
Strong patent and publication record at top conferences is a plus.  
Experience with Core ML, Swift, and iOS/macOS machine learning development is a plus.  
Knowledge and keen interest in learning the art and science of photography.  
**Minimum Qualifications**  
MS Computer Science, Machine Learning or related field, and 2\+ years of significant industry experience delivering products using state\-of\-the\-art computer vision and machine learning technologies.  
Knowledge in theory and practice of computer vision, machine learning and deep learning techniques.  
Experience delivering products in Computer Vision, Computational Photography, Generative AI, Machine Learning, or related areas.  
Hands\-on experience with building, training, evaluating, and deploying transformer based vision models, Generative Adversarial Network based models, or related methods.  
Strong programming skills in Python and/or C\+\+ and one of the deep learning toolkits such as PyTorch, JAX, or Tensorflow.  
Ability to solve everyday problems in innovative ways.  
Ability to communicate effectively and collaborate with partner teams.  
Committed to encouraging an open and inclusive work environment.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
      <c r="A13" t="inlineStr">
        <is>
          <t>in-5af26a24c0968cfd</t>
        </is>
      </c>
      <c r="B13" t="inlineStr">
        <is>
          <t>Sr. Machine Learning Engineer, Apple Services Engineering</t>
        </is>
      </c>
      <c r="C13" t="inlineStr">
        <is>
          <t>Apple</t>
        </is>
      </c>
      <c r="D13" t="inlineStr">
        <is>
          <t>indeed</t>
        </is>
      </c>
      <c r="E13" t="inlineStr"/>
      <c r="F13" t="inlineStr"/>
      <c r="G13" t="inlineStr">
        <is>
          <t>Seattle, WA, US</t>
        </is>
      </c>
      <c r="H13" s="2" t="n">
        <v>46031</v>
      </c>
      <c r="I13" t="inlineStr">
        <is>
          <t>The Applied Machine Learning team builds production multimodal systems that understand and transform large\-scale image, audio, and video content. Our work spans diffusion\-based image generation, transcription and diarization, face and object detection, OCR and image description for search, and automated quality control of media pipelines.  
We are looking for a Staff Machine Learning Engineer to strengthen our diffusion and video models, adapt small and mid\-sized LLMs, and turn our uniquely large corpus of weakly labeled media into a durable product advantage. This is an opportunity to shape the next generation of multimodal experiences end\-to\-end, from data and models to evaluation and user impact.  
**Description**  
The Staff Machine Learning Engineer \- Multimodal Generation \&amp; Post\-Training will be a senior individual contributor on a small, applied ML team focused on production multimodal systems. The role will lead fine\-tuning and adaptation of diffusion and emerging video models, as well as post\-training of small and medium LLMs for captioning, moderation, and retrieval\-friendly descriptions.  
The engineer will design data and evaluation workflows that use our large archive of weakly labeled music, podcast, film, TV, and short\-form content to drive measurable quality and efficiency improvements. The role includes close collaboration with partner infra teams for model serving and with adjacent product and research groups to bring new capabilities into production.  
**Preferred Qualifications**  
PhD in Computer Science, Machine Learning, or a related technical field.  
8\+ years of industry experience with production multimodal systems spanning image, audio, and/or video.  
Deep expertise with diffusion and video generation techniques (e.g., ControlNet/IP\-Adapter, temporal consistency methods, sampling and latency optimization).  
Experience with PEFT/QLoRA and post\-training approaches such as DPO or related preference\-based methods for small and mid\-sized LLMs.  
Background in ASR/VAD/diarization, OCR, multimodal retrieval, or face recognition with fine\-grained temporal alignment.  
Familiarity collaborating with infra/platform teams on model serving (e.g., batching strategies, quantization, observability) and translating requirements into reliable production deployments.  
Demonstrated ability to define metrics, build evaluation harnesses, and communicate results clearly to cross\-functional partners.  
Track record of publications, patents, or open\-source contributions in relevant areas of machine learning or multimodal modeling.  
**Minimum Qualifications**  
Master’s degree in Computer Science, Electrical Engineering, or a related technical field, or equivalent practical experience.  
5\+ years of hands\-on industry experience building and shipping machine learning systems to production.  
Proven experience training and fine\-tuning diffusion or other image/video generative models, including adapter\-based methods such as LoRA.  
Proficiency in Python and at least one major deep learning framework such as PyTorch.  
Experience designing and operating ML pipelines for noisy or weakly labeled data, including offline evaluation and monitoring in production.  
Strong software engineering skills, including code quality, experimentation discipline, and debugging/profiling of model performance.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4">
      <c r="A14" t="inlineStr">
        <is>
          <t>in-3148b5b2a1fe49e8</t>
        </is>
      </c>
      <c r="B14" t="inlineStr">
        <is>
          <t>Senior Computer Vision and Machine Learning Engineer, Creativity Apps</t>
        </is>
      </c>
      <c r="C14" t="inlineStr">
        <is>
          <t>Apple</t>
        </is>
      </c>
      <c r="D14" t="inlineStr">
        <is>
          <t>indeed</t>
        </is>
      </c>
      <c r="E14" t="inlineStr"/>
      <c r="F14" t="inlineStr"/>
      <c r="G14" t="inlineStr">
        <is>
          <t>Cupertino, CA, US</t>
        </is>
      </c>
      <c r="H14" s="2" t="n">
        <v>46031</v>
      </c>
      <c r="I14" t="inlineStr">
        <is>
          <t>At Apple, new ideas have a way of becoming phenomenal products, services, and customer experiences very quickly! The Creativity Apps team needs your help shaping the next generation of creative editing tools by working on pioneering technologies to surprise and delight pros and enthusiasts alike.  
As a Senior Computer Vision \&amp; Machine Learning Engineer, you will work alongside our world\-class creatives, designers, and engineers to help innovate in the creative space in ways that only Apple can. This is a highly visible, highly impactful opportunity!  
**Description**  
We are hiring a software engineer to work on a new initiative that will push the boundary of what's possible in the field of Generative AI. The ideal candidate will have deep knowledge in computational photography and multi\-modal image editing. This position requires a self\-motivated individual with excellent interpersonal skills to effectively collaborate with all levels of the organization.  
","responsibilities":"Incubate state\-of\-the\-art machine learning algorithms and demonstrate their applicability to Apple's products  
Take ownership of the full lifecycle of machine learning models, from large distributed training and validation to efficient inference at scale  
Design data pipelines in partnership with collection, curation and evaluation teams to ensure suitable model inputs  
Communicate the latest research developments in image generation to help drive the long\-term product roadmap  
Partner with cross\-functional teams to bring experimental models and proof\-of\-concept features to next\-generation products  
**Preferred Qualifications**  
Experience optimizing models and algorithms that run efficiently on resource\-constrained platforms is a plus.  
Experience with flow matching and multi\-modal conditioning for generative modeling is a plus.  
Familiarity with 3D reconstruction techniques from single or multiple images, particularly ML\-based methods, is a plus.  
Knowledge of and keen interest in the art and science of photography and aesthetics.  
Publications at major conferences (CVPR, ICCV, ECCV, NeurIPS, ICML, ICLR) is a plus.  
**Minimum Qualifications**  
MS or PhD in Computer Science, Machine Learning or related field, and 5\+ years of significant industry experience delivering products using state\-of\-the\-art computational photography and machine learning technologies.  
Extensive knowledge in theory and practice of machine learning and deep learning techniques, particularly diffusion models, variational auto\-encoders and transformers.  
Experience delivering customer\-facing products with computer vision, computational photography or generative AI features.  
Hands\-on experience building, training, evaluating, and deploying diffusion, transformer and Generative Adversarial Network based models, or related methods.  
Experience contributing to large codebases while delivering high\-quality software at scale.  
Strong programming skills in high\-level languages like Python and one of the deep learning toolkits such as PyTorch, JAX, or TensorFlow.  
Ability to collaborate effectively across organizations and drive alignment in large cross\-functional projects.  
Ability to concisely communicate with audiences of different backgrounds, from non\-technical individuals to experts in the field.  
Committed to encouraging an open and inclusive work environment.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5">
      <c r="A15" t="inlineStr">
        <is>
          <t>in-d38b96b19a453a10</t>
        </is>
      </c>
      <c r="B15" t="inlineStr">
        <is>
          <t>Senior Computer Vision and Machine Learning Engineer, Creativity Apps</t>
        </is>
      </c>
      <c r="C15" t="inlineStr">
        <is>
          <t>Apple</t>
        </is>
      </c>
      <c r="D15" t="inlineStr">
        <is>
          <t>indeed</t>
        </is>
      </c>
      <c r="E15" t="inlineStr"/>
      <c r="F15" t="inlineStr"/>
      <c r="G15" t="inlineStr">
        <is>
          <t>Cupertino, CA, US</t>
        </is>
      </c>
      <c r="H15" s="2" t="n">
        <v>46031</v>
      </c>
      <c r="I15" t="inlineStr">
        <is>
          <t>At Apple, new ideas have a way of becoming phenomenal products, services, and customer experiences very quickly! The Creativity Apps team needs your help shaping the next generation of creative editing tools by working on pioneering technologies to surprise and delight pros and enthusiasts alike.  
As a Senior Computer Vision \&amp; Machine Learning Engineer, you will work alongside our world\-class creatives, designers, and engineers to help innovate in the creative space in ways that only Apple can. This is a highly visible, highly impactful opportunity!  
**Description**  
We are hiring a software engineer to work on a new initiative that will push the boundary of what's possible in the field of Generative AI. The ideal candidate will have deep knowledge in computational photography and multi\-modal image editing. This position requires a self\-motivated individual with excellent interpersonal skills to effectively collaborate with all levels of the organization.  
","responsibilities":"Incubate state\-of\-the\-art machine learning algorithms and demonstrate their applicability to Apple's products  
Take ownership of the full lifecycle of machine learning models, from large distributed training and validation to efficient inference at scale  
Design data pipelines in partnership with collection, curation and evaluation teams to ensure suitable model inputs  
Communicate the latest research developments in image generation to help drive the long\-term product roadmap  
Partner with cross\-functional teams to bring experimental models and proof\-of\-concept features to next\-generation products  
**Preferred Qualifications**  
Experience optimizing models and algorithms that run efficiently on resource\-constrained platforms is a plus.  
Experience with flow matching and multi\-modal conditioning for generative modeling is a plus.  
Familiarity with 3D reconstruction techniques from single or multiple images, particularly ML\-based methods, is a plus.  
Knowledge of and keen interest in the art and science of photography and aesthetics.  
Publications at major conferences (CVPR, ICCV, ECCV, NeurIPS, ICML, ICLR) is a plus.  
**Minimum Qualifications**  
MS or PhD in Computer Science, Machine Learning or related field, and 5\+ years of significant industry experience delivering products using state\-of\-the\-art computational photography and machine learning technologies.  
Extensive knowledge in theory and practice of machine learning and deep learning techniques, particularly diffusion models, variational auto\-encoders and transformers.  
Experience delivering customer\-facing products with computer vision, computational photography or generative AI features.  
Hands\-on experience building, training, evaluating, and deploying diffusion, transformer and Generative Adversarial Network based models, or related methods.  
Experience contributing to large codebases while delivering high\-quality software at scale.  
Strong programming skills in high\-level languages like Python and one of the deep learning toolkits such as PyTorch, JAX, or TensorFlow.  
Ability to collaborate effectively across organizations and drive alignment in large cross\-functional projects.  
Ability to concisely communicate with audiences of different backgrounds, from non\-technical individuals to experts in the field.  
Committed to encouraging an open and inclusive work environment.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6">
      <c r="A16" t="inlineStr">
        <is>
          <t>in-6df1ad1b58284e3e</t>
        </is>
      </c>
      <c r="B16" t="inlineStr">
        <is>
          <t>Google Cloud ML Engineer Vertex AI-1</t>
        </is>
      </c>
      <c r="C16" t="inlineStr">
        <is>
          <t>Realign</t>
        </is>
      </c>
      <c r="D16" t="inlineStr">
        <is>
          <t>indeed</t>
        </is>
      </c>
      <c r="E16" t="inlineStr"/>
      <c r="F16" t="inlineStr"/>
      <c r="G16" t="inlineStr">
        <is>
          <t>Dallas, TX, US</t>
        </is>
      </c>
      <c r="H16" s="2" t="n">
        <v>46031</v>
      </c>
      <c r="I16" t="inlineStr">
        <is>
          <t>Job Type: Contract
Job Category: IT
Job Description
**Role**: Google Cloud ML Engineer\- Vertex AI  
**Location**: Dallas, TX (Onsite)  
**Contract \&amp; FTE Both**  
**Must have:** Vertex AI \&amp; CCAI Chat Virtual Agent Expert**Requirements:*** Experience architecting, designing, and developing scalable chat Virtual Agent frameworks using Google Vertex AI, with proficiency in Vertex AI Agent Engine, Model Garden and Google Agent Development Kit (ADK).
* Hands\-on experience in developing NLP and GenAI Models on Vertex AI
* Proficiency in training, fine\-tuning, and deploying custom LLMs, transformer models, and Retrieval Augmented Generation (RAG) pipelines to AI Models.
**Required Qualifications:*** 5\-7 years in software development (4\+ in NLP/NLU for chat).
* Good to have an understanding on other GCP services and cloud\-native architectures
**Preferred Qualifications:*** Master’s/PhD in Computer Science, AI/ML, or related field
* Must have GCP Certification\- Google Cloud Certified Professional Machine Learning Engineer
* Experience with GenAI frameworks (PaLM, Gemini)
* Integration with CRM, knowledge bases, and live agent systems
Required Skills
DEVOPS ENGINEER</t>
        </is>
      </c>
    </row>
    <row r="17">
      <c r="A17" t="inlineStr">
        <is>
          <t>in-4969f5be81a89857</t>
        </is>
      </c>
      <c r="B17" t="inlineStr">
        <is>
          <t>Senior Applied Scientist, Sponsored Products and Brands</t>
        </is>
      </c>
      <c r="C17" t="inlineStr">
        <is>
          <t>Amazon.com</t>
        </is>
      </c>
      <c r="D17" t="inlineStr">
        <is>
          <t>indeed</t>
        </is>
      </c>
      <c r="E17">
        <f>HYPERLINK("https://www.indeed.com/viewjob?jk=4969f5be81a89857", "https://www.indeed.com/viewjob?jk=4969f5be81a89857")</f>
        <v/>
      </c>
      <c r="F17">
        <f>HYPERLINK("https://www.amazon.jobs/jobs/3130062/senior-applied-scientist-sponsored-products-and-brands?cmpid=DA_INAD200785B", "https://www.amazon.jobs/jobs/3130062/senior-applied-scientist-sponsored-products-and-brands?cmpid=DA_INAD200785B")</f>
        <v/>
      </c>
      <c r="G17" t="inlineStr">
        <is>
          <t>Seattle, WA, US</t>
        </is>
      </c>
      <c r="H17" s="3" t="n">
        <v>45979</v>
      </c>
      <c r="I1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in-77287af5246fd2d2</t>
        </is>
      </c>
      <c r="B18" t="inlineStr">
        <is>
          <t>Sr. Applied Scientist, AGI Foundations</t>
        </is>
      </c>
      <c r="C18" t="inlineStr">
        <is>
          <t>Amazon.com</t>
        </is>
      </c>
      <c r="D18" t="inlineStr">
        <is>
          <t>indeed</t>
        </is>
      </c>
      <c r="E18">
        <f>HYPERLINK("https://www.indeed.com/viewjob?jk=77287af5246fd2d2", "https://www.indeed.com/viewjob?jk=77287af5246fd2d2")</f>
        <v/>
      </c>
      <c r="F18">
        <f>HYPERLINK("https://www.amazon.jobs/jobs/3128807/sr-applied-scientist-agi-foundations?cmpid=DA_INAD200785B", "https://www.amazon.jobs/jobs/3128807/sr-applied-scientist-agi-foundations?cmpid=DA_INAD200785B")</f>
        <v/>
      </c>
      <c r="G18" t="inlineStr">
        <is>
          <t>New York, NY, US</t>
        </is>
      </c>
      <c r="H18" s="3" t="n">
        <v>45978</v>
      </c>
      <c r="I1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in-06e728a1f06fc9b4</t>
        </is>
      </c>
      <c r="B19" t="inlineStr">
        <is>
          <t>Sr. Applied Scientist, AGI Foundations</t>
        </is>
      </c>
      <c r="C19" t="inlineStr">
        <is>
          <t>Amazon.com</t>
        </is>
      </c>
      <c r="D19" t="inlineStr">
        <is>
          <t>indeed</t>
        </is>
      </c>
      <c r="E19">
        <f>HYPERLINK("https://www.indeed.com/viewjob?jk=06e728a1f06fc9b4", "https://www.indeed.com/viewjob?jk=06e728a1f06fc9b4")</f>
        <v/>
      </c>
      <c r="F19">
        <f>HYPERLINK("https://www.amazon.jobs/jobs/3128807/sr-applied-scientist-agi-foundations?cmpid=DA_INAD200785B", "https://www.amazon.jobs/jobs/3128807/sr-applied-scientist-agi-foundations?cmpid=DA_INAD200785B")</f>
        <v/>
      </c>
      <c r="G19" t="inlineStr">
        <is>
          <t>Sunnyvale, CA, US</t>
        </is>
      </c>
      <c r="H19" s="3" t="n">
        <v>45978</v>
      </c>
      <c r="I1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in-626781437b388dd5</t>
        </is>
      </c>
      <c r="B20" t="inlineStr">
        <is>
          <t>Sr. Applied Scientist, AGI Foundations</t>
        </is>
      </c>
      <c r="C20" t="inlineStr">
        <is>
          <t>Amazon.com</t>
        </is>
      </c>
      <c r="D20" t="inlineStr">
        <is>
          <t>indeed</t>
        </is>
      </c>
      <c r="E20">
        <f>HYPERLINK("https://www.indeed.com/viewjob?jk=626781437b388dd5", "https://www.indeed.com/viewjob?jk=626781437b388dd5")</f>
        <v/>
      </c>
      <c r="F20">
        <f>HYPERLINK("https://www.amazon.jobs/jobs/3128807/sr-applied-scientist-agi-foundations?cmpid=DA_INAD200785B", "https://www.amazon.jobs/jobs/3128807/sr-applied-scientist-agi-foundations?cmpid=DA_INAD200785B")</f>
        <v/>
      </c>
      <c r="G20" t="inlineStr">
        <is>
          <t>Bellevue, WA, US</t>
        </is>
      </c>
      <c r="H20" s="3" t="n">
        <v>45978</v>
      </c>
      <c r="I2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in-7e1ba59dad65b405</t>
        </is>
      </c>
      <c r="B21" t="inlineStr">
        <is>
          <t>Sr. Applied Scientist, AGI Foundations</t>
        </is>
      </c>
      <c r="C21" t="inlineStr">
        <is>
          <t>Amazon.com</t>
        </is>
      </c>
      <c r="D21" t="inlineStr">
        <is>
          <t>indeed</t>
        </is>
      </c>
      <c r="E21">
        <f>HYPERLINK("https://www.indeed.com/viewjob?jk=7e1ba59dad65b405", "https://www.indeed.com/viewjob?jk=7e1ba59dad65b405")</f>
        <v/>
      </c>
      <c r="F21">
        <f>HYPERLINK("https://www.amazon.jobs/jobs/3128807/sr-applied-scientist-agi-foundations?cmpid=DA_INAD200785B", "https://www.amazon.jobs/jobs/3128807/sr-applied-scientist-agi-foundations?cmpid=DA_INAD200785B")</f>
        <v/>
      </c>
      <c r="G21" t="inlineStr">
        <is>
          <t>Boston, MA, US</t>
        </is>
      </c>
      <c r="H21" s="3" t="n">
        <v>45978</v>
      </c>
      <c r="I2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in-762813cb41848249</t>
        </is>
      </c>
      <c r="B22" t="inlineStr">
        <is>
          <t>Applied Scientist II, Prime Video Personalization and Discovery Science</t>
        </is>
      </c>
      <c r="C22" t="inlineStr">
        <is>
          <t>Amazon.com</t>
        </is>
      </c>
      <c r="D22" t="inlineStr">
        <is>
          <t>indeed</t>
        </is>
      </c>
      <c r="E22">
        <f>HYPERLINK("https://www.indeed.com/viewjob?jk=762813cb41848249", "https://www.indeed.com/viewjob?jk=762813cb41848249")</f>
        <v/>
      </c>
      <c r="F22">
        <f>HYPERLINK("https://www.amazon.jobs/jobs/3129475/applied-scientist-ii-prime-video-personalization-and-discovery-science?cmpid=DA_INAD200785B", "https://www.amazon.jobs/jobs/3129475/applied-scientist-ii-prime-video-personalization-and-discovery-science?cmpid=DA_INAD200785B")</f>
        <v/>
      </c>
      <c r="G22" t="inlineStr">
        <is>
          <t>New York, NY, US</t>
        </is>
      </c>
      <c r="H22" s="3" t="n">
        <v>45978</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in-95153da2407506db</t>
        </is>
      </c>
      <c r="B23" t="inlineStr">
        <is>
          <t>Sr. Applied Scientist, AGI Foundations</t>
        </is>
      </c>
      <c r="C23" t="inlineStr">
        <is>
          <t>Amazon.com</t>
        </is>
      </c>
      <c r="D23" t="inlineStr">
        <is>
          <t>indeed</t>
        </is>
      </c>
      <c r="E23">
        <f>HYPERLINK("https://www.indeed.com/viewjob?jk=95153da2407506db", "https://www.indeed.com/viewjob?jk=95153da2407506db")</f>
        <v/>
      </c>
      <c r="F23">
        <f>HYPERLINK("https://www.amazon.jobs/jobs/3123268/sr-applied-scientist-agi-foundations?cmpid=DA_INAD200785B", "https://www.amazon.jobs/jobs/3123268/sr-applied-scientist-agi-foundations?cmpid=DA_INAD200785B")</f>
        <v/>
      </c>
      <c r="G23" t="inlineStr">
        <is>
          <t>Boston, MA, US</t>
        </is>
      </c>
      <c r="H23" s="3" t="n">
        <v>45963</v>
      </c>
      <c r="I2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in-4c7f90dc6b745ec0</t>
        </is>
      </c>
      <c r="B24" t="inlineStr">
        <is>
          <t>Sr. Applied Scientist, AGI Foundations</t>
        </is>
      </c>
      <c r="C24" t="inlineStr">
        <is>
          <t>Amazon.com</t>
        </is>
      </c>
      <c r="D24" t="inlineStr">
        <is>
          <t>indeed</t>
        </is>
      </c>
      <c r="E24">
        <f>HYPERLINK("https://www.indeed.com/viewjob?jk=4c7f90dc6b745ec0", "https://www.indeed.com/viewjob?jk=4c7f90dc6b745ec0")</f>
        <v/>
      </c>
      <c r="F24">
        <f>HYPERLINK("https://www.amazon.jobs/jobs/3123268/sr-applied-scientist-agi-foundations?cmpid=DA_INAD200785B", "https://www.amazon.jobs/jobs/3123268/sr-applied-scientist-agi-foundations?cmpid=DA_INAD200785B")</f>
        <v/>
      </c>
      <c r="G24" t="inlineStr">
        <is>
          <t>Bellevue, WA, US</t>
        </is>
      </c>
      <c r="H24" s="3" t="n">
        <v>45963</v>
      </c>
      <c r="I2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in-ab21c3608b466e0e</t>
        </is>
      </c>
      <c r="B25" t="inlineStr">
        <is>
          <t>Sr. Applied Scientist, AGI Foundations</t>
        </is>
      </c>
      <c r="C25" t="inlineStr">
        <is>
          <t>Amazon.com</t>
        </is>
      </c>
      <c r="D25" t="inlineStr">
        <is>
          <t>indeed</t>
        </is>
      </c>
      <c r="E25">
        <f>HYPERLINK("https://www.indeed.com/viewjob?jk=ab21c3608b466e0e", "https://www.indeed.com/viewjob?jk=ab21c3608b466e0e")</f>
        <v/>
      </c>
      <c r="F25">
        <f>HYPERLINK("https://www.amazon.jobs/jobs/3123268/sr-applied-scientist-agi-foundations?cmpid=DA_INAD200785B", "https://www.amazon.jobs/jobs/3123268/sr-applied-scientist-agi-foundations?cmpid=DA_INAD200785B")</f>
        <v/>
      </c>
      <c r="G25" t="inlineStr">
        <is>
          <t>New York, NY, US</t>
        </is>
      </c>
      <c r="H25" s="3" t="n">
        <v>45963</v>
      </c>
      <c r="I2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in-c1555c9db449120d</t>
        </is>
      </c>
      <c r="B26" t="inlineStr">
        <is>
          <t>Applied Scientist II, Prime Video - Personalization and Discovery Science, Personalization and Discovery Science</t>
        </is>
      </c>
      <c r="C26" t="inlineStr">
        <is>
          <t>Amazon.com</t>
        </is>
      </c>
      <c r="D26" t="inlineStr">
        <is>
          <t>indeed</t>
        </is>
      </c>
      <c r="E26">
        <f>HYPERLINK("https://www.indeed.com/viewjob?jk=c1555c9db449120d", "https://www.indeed.com/viewjob?jk=c1555c9db449120d")</f>
        <v/>
      </c>
      <c r="F26">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6" t="inlineStr">
        <is>
          <t>Seattle, WA, US</t>
        </is>
      </c>
      <c r="H26" s="3" t="n">
        <v>45930</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in-aaa0651e3e37fd92</t>
        </is>
      </c>
      <c r="B27" t="inlineStr">
        <is>
          <t>Applied Scientist II, Prime Video - Personalization and Discovery Science, Personalization and Discovery Science</t>
        </is>
      </c>
      <c r="C27" t="inlineStr">
        <is>
          <t>Amazon.com</t>
        </is>
      </c>
      <c r="D27" t="inlineStr">
        <is>
          <t>indeed</t>
        </is>
      </c>
      <c r="E27">
        <f>HYPERLINK("https://www.indeed.com/viewjob?jk=aaa0651e3e37fd92", "https://www.indeed.com/viewjob?jk=aaa0651e3e37fd92")</f>
        <v/>
      </c>
      <c r="F27">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7" t="inlineStr">
        <is>
          <t>New York, NY, US</t>
        </is>
      </c>
      <c r="H27" s="3" t="n">
        <v>45930</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in-e865895b77eb4a55</t>
        </is>
      </c>
      <c r="B28" t="inlineStr">
        <is>
          <t>Applied Scientist II, Prime Video - Personalization and Discovery Science, Personalization and Discovery Science</t>
        </is>
      </c>
      <c r="C28" t="inlineStr">
        <is>
          <t>Amazon.com</t>
        </is>
      </c>
      <c r="D28" t="inlineStr">
        <is>
          <t>indeed</t>
        </is>
      </c>
      <c r="E28">
        <f>HYPERLINK("https://www.indeed.com/viewjob?jk=e865895b77eb4a55", "https://www.indeed.com/viewjob?jk=e865895b77eb4a55")</f>
        <v/>
      </c>
      <c r="F28">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8" t="inlineStr">
        <is>
          <t>Sunnyvale, CA, US</t>
        </is>
      </c>
      <c r="H28" s="3" t="n">
        <v>45930</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in-e10c2062c014bb8e</t>
        </is>
      </c>
      <c r="B29" t="inlineStr">
        <is>
          <t>Applied Scientist II, Prime Video - Personalization and Discovery Science</t>
        </is>
      </c>
      <c r="C29" t="inlineStr">
        <is>
          <t>Amazon.com</t>
        </is>
      </c>
      <c r="D29" t="inlineStr">
        <is>
          <t>indeed</t>
        </is>
      </c>
      <c r="E29">
        <f>HYPERLINK("https://www.indeed.com/viewjob?jk=e10c2062c014bb8e", "https://www.indeed.com/viewjob?jk=e10c2062c014bb8e")</f>
        <v/>
      </c>
      <c r="F29">
        <f>HYPERLINK("https://www.amazon.jobs/jobs/3086060/applied-scientist-ii-prime-video--personalization-and-discovery-science?cmpid=DA_INAD200785B", "https://www.amazon.jobs/jobs/3086060/applied-scientist-ii-prime-video--personalization-and-discovery-science?cmpid=DA_INAD200785B")</f>
        <v/>
      </c>
      <c r="G29" t="inlineStr">
        <is>
          <t>New York, NY, US</t>
        </is>
      </c>
      <c r="H29" s="3" t="n">
        <v>45915</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in-7b8e220fe31bc050</t>
        </is>
      </c>
      <c r="B30" t="inlineStr">
        <is>
          <t>Applied Scientist II, Prime Video - Personalization and Discovery Science</t>
        </is>
      </c>
      <c r="C30" t="inlineStr">
        <is>
          <t>Amazon.com</t>
        </is>
      </c>
      <c r="D30" t="inlineStr">
        <is>
          <t>indeed</t>
        </is>
      </c>
      <c r="E30">
        <f>HYPERLINK("https://www.indeed.com/viewjob?jk=7b8e220fe31bc050", "https://www.indeed.com/viewjob?jk=7b8e220fe31bc050")</f>
        <v/>
      </c>
      <c r="F30">
        <f>HYPERLINK("https://www.amazon.jobs/jobs/3086060/applied-scientist-ii-prime-video--personalization-and-discovery-science?cmpid=DA_INAD200785B", "https://www.amazon.jobs/jobs/3086060/applied-scientist-ii-prime-video--personalization-and-discovery-science?cmpid=DA_INAD200785B")</f>
        <v/>
      </c>
      <c r="G30" t="inlineStr">
        <is>
          <t>Seattle, WA, US</t>
        </is>
      </c>
      <c r="H30" s="3" t="n">
        <v>45915</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in-c18ab1af3c599add</t>
        </is>
      </c>
      <c r="B31" t="inlineStr">
        <is>
          <t>Applied Scientist II, Prime Video - Personalization and Discovery Science</t>
        </is>
      </c>
      <c r="C31" t="inlineStr">
        <is>
          <t>Amazon.com</t>
        </is>
      </c>
      <c r="D31" t="inlineStr">
        <is>
          <t>indeed</t>
        </is>
      </c>
      <c r="E31">
        <f>HYPERLINK("https://www.indeed.com/viewjob?jk=c18ab1af3c599add", "https://www.indeed.com/viewjob?jk=c18ab1af3c599add")</f>
        <v/>
      </c>
      <c r="F31">
        <f>HYPERLINK("https://www.amazon.jobs/jobs/3086060/applied-scientist-ii-prime-video--personalization-and-discovery-science?cmpid=DA_INAD200785B", "https://www.amazon.jobs/jobs/3086060/applied-scientist-ii-prime-video--personalization-and-discovery-science?cmpid=DA_INAD200785B")</f>
        <v/>
      </c>
      <c r="G31" t="inlineStr">
        <is>
          <t>Sunnyvale, CA, US</t>
        </is>
      </c>
      <c r="H31" s="3" t="n">
        <v>45915</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in-00f02458efa562f6</t>
        </is>
      </c>
      <c r="B32" t="inlineStr">
        <is>
          <t>Sr. Applied Scientist, Prime Video - Personalization and Discovery Science</t>
        </is>
      </c>
      <c r="C32" t="inlineStr">
        <is>
          <t>Amazon.com</t>
        </is>
      </c>
      <c r="D32" t="inlineStr">
        <is>
          <t>indeed</t>
        </is>
      </c>
      <c r="E32">
        <f>HYPERLINK("https://www.indeed.com/viewjob?jk=00f02458efa562f6", "https://www.indeed.com/viewjob?jk=00f02458efa562f6")</f>
        <v/>
      </c>
      <c r="F32">
        <f>HYPERLINK("https://www.amazon.jobs/jobs/3083564/sr-applied-scientist-prime-video--personalization-and-discovery-science?cmpid=DA_INAD200785B", "https://www.amazon.jobs/jobs/3083564/sr-applied-scientist-prime-video--personalization-and-discovery-science?cmpid=DA_INAD200785B")</f>
        <v/>
      </c>
      <c r="G32" t="inlineStr">
        <is>
          <t>Sunnyvale, CA, US</t>
        </is>
      </c>
      <c r="H32" s="3" t="n">
        <v>45914</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in-5b327594f5fa7c4f</t>
        </is>
      </c>
      <c r="B33" t="inlineStr">
        <is>
          <t>Sr. Applied Scientist, Prime Video - Personalization and Discovery Science</t>
        </is>
      </c>
      <c r="C33" t="inlineStr">
        <is>
          <t>Amazon.com</t>
        </is>
      </c>
      <c r="D33" t="inlineStr">
        <is>
          <t>indeed</t>
        </is>
      </c>
      <c r="E33">
        <f>HYPERLINK("https://www.indeed.com/viewjob?jk=5b327594f5fa7c4f", "https://www.indeed.com/viewjob?jk=5b327594f5fa7c4f")</f>
        <v/>
      </c>
      <c r="F33">
        <f>HYPERLINK("https://www.amazon.jobs/jobs/3083564/sr-applied-scientist-prime-video--personalization-and-discovery-science?cmpid=DA_INAD200785B", "https://www.amazon.jobs/jobs/3083564/sr-applied-scientist-prime-video--personalization-and-discovery-science?cmpid=DA_INAD200785B")</f>
        <v/>
      </c>
      <c r="G33" t="inlineStr">
        <is>
          <t>New York, NY, US</t>
        </is>
      </c>
      <c r="H33" s="3" t="n">
        <v>45914</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in-49557f200c0bc688</t>
        </is>
      </c>
      <c r="B34" t="inlineStr">
        <is>
          <t>Sr. Applied Scientist, Prime Video - Personalization and Discovery Science</t>
        </is>
      </c>
      <c r="C34" t="inlineStr">
        <is>
          <t>Amazon.com</t>
        </is>
      </c>
      <c r="D34" t="inlineStr">
        <is>
          <t>indeed</t>
        </is>
      </c>
      <c r="E34">
        <f>HYPERLINK("https://www.indeed.com/viewjob?jk=49557f200c0bc688", "https://www.indeed.com/viewjob?jk=49557f200c0bc688")</f>
        <v/>
      </c>
      <c r="F34">
        <f>HYPERLINK("https://www.amazon.jobs/jobs/3083564/sr-applied-scientist-prime-video--personalization-and-discovery-science?cmpid=DA_INAD200785B", "https://www.amazon.jobs/jobs/3083564/sr-applied-scientist-prime-video--personalization-and-discovery-science?cmpid=DA_INAD200785B")</f>
        <v/>
      </c>
      <c r="G34" t="inlineStr">
        <is>
          <t>Seattle, WA, US</t>
        </is>
      </c>
      <c r="H34" s="3" t="n">
        <v>45914</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in-247ebb5ea338c34e</t>
        </is>
      </c>
      <c r="B35" t="inlineStr">
        <is>
          <t>Senior Applied Scientist, Artificial General Intelligence</t>
        </is>
      </c>
      <c r="C35" t="inlineStr">
        <is>
          <t>Amazon.com</t>
        </is>
      </c>
      <c r="D35" t="inlineStr">
        <is>
          <t>indeed</t>
        </is>
      </c>
      <c r="E35">
        <f>HYPERLINK("https://www.indeed.com/viewjob?jk=247ebb5ea338c34e", "https://www.indeed.com/viewjob?jk=247ebb5ea338c34e")</f>
        <v/>
      </c>
      <c r="F35">
        <f>HYPERLINK("https://www.amazon.jobs/jobs/3078137/senior-applied-scientist-artificial-general-intelligence?cmpid=DA_INAD200785B", "https://www.amazon.jobs/jobs/3078137/senior-applied-scientist-artificial-general-intelligence?cmpid=DA_INAD200785B")</f>
        <v/>
      </c>
      <c r="G35" t="inlineStr">
        <is>
          <t>New York, NY, US</t>
        </is>
      </c>
      <c r="H35" s="3" t="n">
        <v>45907</v>
      </c>
      <c r="I35"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in-3ce8ef1336079333</t>
        </is>
      </c>
      <c r="B36" t="inlineStr">
        <is>
          <t>Senior Applied Scientist, Artificial General Intelligence</t>
        </is>
      </c>
      <c r="C36" t="inlineStr">
        <is>
          <t>Amazon.com</t>
        </is>
      </c>
      <c r="D36" t="inlineStr">
        <is>
          <t>indeed</t>
        </is>
      </c>
      <c r="E36">
        <f>HYPERLINK("https://www.indeed.com/viewjob?jk=3ce8ef1336079333", "https://www.indeed.com/viewjob?jk=3ce8ef1336079333")</f>
        <v/>
      </c>
      <c r="F36">
        <f>HYPERLINK("https://www.amazon.jobs/jobs/3078137/senior-applied-scientist-artificial-general-intelligence?cmpid=DA_INAD200785B", "https://www.amazon.jobs/jobs/3078137/senior-applied-scientist-artificial-general-intelligence?cmpid=DA_INAD200785B")</f>
        <v/>
      </c>
      <c r="G36" t="inlineStr">
        <is>
          <t>Sunnyvale, CA, US</t>
        </is>
      </c>
      <c r="H36" s="3" t="n">
        <v>45907</v>
      </c>
      <c r="I3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in-c73f6207a4f5fc81</t>
        </is>
      </c>
      <c r="B37" t="inlineStr">
        <is>
          <t>Senior Applied Scientist, Artificial General Intelligence</t>
        </is>
      </c>
      <c r="C37" t="inlineStr">
        <is>
          <t>Amazon.com</t>
        </is>
      </c>
      <c r="D37" t="inlineStr">
        <is>
          <t>indeed</t>
        </is>
      </c>
      <c r="E37">
        <f>HYPERLINK("https://www.indeed.com/viewjob?jk=c73f6207a4f5fc81", "https://www.indeed.com/viewjob?jk=c73f6207a4f5fc81")</f>
        <v/>
      </c>
      <c r="F37">
        <f>HYPERLINK("https://www.amazon.jobs/jobs/3078137/senior-applied-scientist-artificial-general-intelligence?cmpid=DA_INAD200785B", "https://www.amazon.jobs/jobs/3078137/senior-applied-scientist-artificial-general-intelligence?cmpid=DA_INAD200785B")</f>
        <v/>
      </c>
      <c r="G37" t="inlineStr">
        <is>
          <t>Cambridge, MA, US</t>
        </is>
      </c>
      <c r="H37" s="3" t="n">
        <v>45907</v>
      </c>
      <c r="I37"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in-8222b09eb72027d4</t>
        </is>
      </c>
      <c r="B38" t="inlineStr">
        <is>
          <t>Senior Applied Scientist, Artificial General Intelligence</t>
        </is>
      </c>
      <c r="C38" t="inlineStr">
        <is>
          <t>Amazon.com</t>
        </is>
      </c>
      <c r="D38" t="inlineStr">
        <is>
          <t>indeed</t>
        </is>
      </c>
      <c r="E38">
        <f>HYPERLINK("https://www.indeed.com/viewjob?jk=8222b09eb72027d4", "https://www.indeed.com/viewjob?jk=8222b09eb72027d4")</f>
        <v/>
      </c>
      <c r="F38">
        <f>HYPERLINK("https://www.amazon.jobs/jobs/3078137/senior-applied-scientist-artificial-general-intelligence?cmpid=DA_INAD200785B", "https://www.amazon.jobs/jobs/3078137/senior-applied-scientist-artificial-general-intelligence?cmpid=DA_INAD200785B")</f>
        <v/>
      </c>
      <c r="G38" t="inlineStr">
        <is>
          <t>Bellevue, WA, US</t>
        </is>
      </c>
      <c r="H38" s="3" t="n">
        <v>45907</v>
      </c>
      <c r="I3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in-bfd762d0b72b39ec</t>
        </is>
      </c>
      <c r="B39" t="inlineStr">
        <is>
          <t>Sr. Applied Scientist, Prime Video - Personalization and Discovery Science</t>
        </is>
      </c>
      <c r="C39" t="inlineStr">
        <is>
          <t>Amazon.com</t>
        </is>
      </c>
      <c r="D39" t="inlineStr">
        <is>
          <t>indeed</t>
        </is>
      </c>
      <c r="E39">
        <f>HYPERLINK("https://www.indeed.com/viewjob?jk=bfd762d0b72b39ec", "https://www.indeed.com/viewjob?jk=bfd762d0b72b39ec")</f>
        <v/>
      </c>
      <c r="F39">
        <f>HYPERLINK("https://www.amazon.jobs/jobs/3084479/sr-applied-scientist-prime-video--personalization-and-discovery-science?cmpid=DA_INAD200785B", "https://www.amazon.jobs/jobs/3084479/sr-applied-scientist-prime-video--personalization-and-discovery-science?cmpid=DA_INAD200785B")</f>
        <v/>
      </c>
      <c r="G39" t="inlineStr">
        <is>
          <t>New York, NY, US</t>
        </is>
      </c>
      <c r="H39" s="3" t="n">
        <v>45896</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in-30263f60e2067c22</t>
        </is>
      </c>
      <c r="B40" t="inlineStr">
        <is>
          <t>Sr. Applied Scientist, Prime Video - Personalization and Discovery Science</t>
        </is>
      </c>
      <c r="C40" t="inlineStr">
        <is>
          <t>Amazon.com</t>
        </is>
      </c>
      <c r="D40" t="inlineStr">
        <is>
          <t>indeed</t>
        </is>
      </c>
      <c r="E40">
        <f>HYPERLINK("https://www.indeed.com/viewjob?jk=30263f60e2067c22", "https://www.indeed.com/viewjob?jk=30263f60e2067c22")</f>
        <v/>
      </c>
      <c r="F40">
        <f>HYPERLINK("https://www.amazon.jobs/jobs/3084479/sr-applied-scientist-prime-video--personalization-and-discovery-science?cmpid=DA_INAD200785B", "https://www.amazon.jobs/jobs/3084479/sr-applied-scientist-prime-video--personalization-and-discovery-science?cmpid=DA_INAD200785B")</f>
        <v/>
      </c>
      <c r="G40" t="inlineStr">
        <is>
          <t>Sunnyvale, CA, US</t>
        </is>
      </c>
      <c r="H40" s="3" t="n">
        <v>45896</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in-b2c7cae93e5af43b</t>
        </is>
      </c>
      <c r="B41" t="inlineStr">
        <is>
          <t>Sr. Applied Scientist, Prime Video - Personalization and Discovery Science</t>
        </is>
      </c>
      <c r="C41" t="inlineStr">
        <is>
          <t>Amazon.com</t>
        </is>
      </c>
      <c r="D41" t="inlineStr">
        <is>
          <t>indeed</t>
        </is>
      </c>
      <c r="E41">
        <f>HYPERLINK("https://www.indeed.com/viewjob?jk=b2c7cae93e5af43b", "https://www.indeed.com/viewjob?jk=b2c7cae93e5af43b")</f>
        <v/>
      </c>
      <c r="F41">
        <f>HYPERLINK("https://www.amazon.jobs/jobs/3084479/sr-applied-scientist-prime-video--personalization-and-discovery-science?cmpid=DA_INAD200785B", "https://www.amazon.jobs/jobs/3084479/sr-applied-scientist-prime-video--personalization-and-discovery-science?cmpid=DA_INAD200785B")</f>
        <v/>
      </c>
      <c r="G41" t="inlineStr">
        <is>
          <t>Seattle, WA, US</t>
        </is>
      </c>
      <c r="H41" s="3" t="n">
        <v>45896</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in-9141c0270c1d85db</t>
        </is>
      </c>
      <c r="B42" t="inlineStr">
        <is>
          <t>Sr. Applied Scientist, Prime Video - Personalization and Discovery Science</t>
        </is>
      </c>
      <c r="C42" t="inlineStr">
        <is>
          <t>Amazon.com</t>
        </is>
      </c>
      <c r="D42" t="inlineStr">
        <is>
          <t>indeed</t>
        </is>
      </c>
      <c r="E42">
        <f>HYPERLINK("https://www.indeed.com/viewjob?jk=9141c0270c1d85db", "https://www.indeed.com/viewjob?jk=9141c0270c1d85db")</f>
        <v/>
      </c>
      <c r="F42">
        <f>HYPERLINK("https://www.amazon.jobs/jobs/3061266/sr-applied-scientist-prime-video--personalization-and-discovery-science?cmpid=DA_INAD200785B", "https://www.amazon.jobs/jobs/3061266/sr-applied-scientist-prime-video--personalization-and-discovery-science?cmpid=DA_INAD200785B")</f>
        <v/>
      </c>
      <c r="G42" t="inlineStr">
        <is>
          <t>New York, NY, US</t>
        </is>
      </c>
      <c r="H42" s="3" t="n">
        <v>45886</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in-a3bd0f9ab85f9925</t>
        </is>
      </c>
      <c r="B43" t="inlineStr">
        <is>
          <t>Applied Scientist II, Prime Video - Personalization and Discovery Science, Personalization and Discovery Science</t>
        </is>
      </c>
      <c r="C43" t="inlineStr">
        <is>
          <t>Amazon.com</t>
        </is>
      </c>
      <c r="D43" t="inlineStr">
        <is>
          <t>indeed</t>
        </is>
      </c>
      <c r="E43">
        <f>HYPERLINK("https://www.indeed.com/viewjob?jk=a3bd0f9ab85f9925", "https://www.indeed.com/viewjob?jk=a3bd0f9ab85f9925")</f>
        <v/>
      </c>
      <c r="F43">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43" t="inlineStr">
        <is>
          <t>New York, NY, US</t>
        </is>
      </c>
      <c r="H43" s="3" t="n">
        <v>45886</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in-40517a7ec741acfb</t>
        </is>
      </c>
      <c r="B44" t="inlineStr">
        <is>
          <t>Applied Scientist II, Prime Video - Personalization and Discovery Science, Personalization and Discovery Science</t>
        </is>
      </c>
      <c r="C44" t="inlineStr">
        <is>
          <t>Amazon.com</t>
        </is>
      </c>
      <c r="D44" t="inlineStr">
        <is>
          <t>indeed</t>
        </is>
      </c>
      <c r="E44">
        <f>HYPERLINK("https://www.indeed.com/viewjob?jk=40517a7ec741acfb", "https://www.indeed.com/viewjob?jk=40517a7ec741acfb")</f>
        <v/>
      </c>
      <c r="F44">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44" t="inlineStr">
        <is>
          <t>Seattle, WA, US</t>
        </is>
      </c>
      <c r="H44" s="3" t="n">
        <v>45886</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in-66f91822086a7e6e</t>
        </is>
      </c>
      <c r="B45" t="inlineStr">
        <is>
          <t>Sr. Applied Scientist, Prime Video - Personalization and Discovery Science</t>
        </is>
      </c>
      <c r="C45" t="inlineStr">
        <is>
          <t>Amazon.com</t>
        </is>
      </c>
      <c r="D45" t="inlineStr">
        <is>
          <t>indeed</t>
        </is>
      </c>
      <c r="E45">
        <f>HYPERLINK("https://www.indeed.com/viewjob?jk=66f91822086a7e6e", "https://www.indeed.com/viewjob?jk=66f91822086a7e6e")</f>
        <v/>
      </c>
      <c r="F45">
        <f>HYPERLINK("https://www.amazon.jobs/jobs/3061266/sr-applied-scientist-prime-video--personalization-and-discovery-science?cmpid=DA_INAD200785B", "https://www.amazon.jobs/jobs/3061266/sr-applied-scientist-prime-video--personalization-and-discovery-science?cmpid=DA_INAD200785B")</f>
        <v/>
      </c>
      <c r="G45" t="inlineStr">
        <is>
          <t>Sunnyvale, CA, US</t>
        </is>
      </c>
      <c r="H45" s="3" t="n">
        <v>45886</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in-8eada70a46ca967c</t>
        </is>
      </c>
      <c r="B46" t="inlineStr">
        <is>
          <t>Sr. Applied Scientist, Prime Video - Personalization and Discovery Science</t>
        </is>
      </c>
      <c r="C46" t="inlineStr">
        <is>
          <t>Amazon.com</t>
        </is>
      </c>
      <c r="D46" t="inlineStr">
        <is>
          <t>indeed</t>
        </is>
      </c>
      <c r="E46">
        <f>HYPERLINK("https://www.indeed.com/viewjob?jk=8eada70a46ca967c", "https://www.indeed.com/viewjob?jk=8eada70a46ca967c")</f>
        <v/>
      </c>
      <c r="F46">
        <f>HYPERLINK("https://www.amazon.jobs/jobs/3061266/sr-applied-scientist-prime-video--personalization-and-discovery-science?cmpid=DA_INAD200785B", "https://www.amazon.jobs/jobs/3061266/sr-applied-scientist-prime-video--personalization-and-discovery-science?cmpid=DA_INAD200785B")</f>
        <v/>
      </c>
      <c r="G46" t="inlineStr">
        <is>
          <t>Seattle, WA, US</t>
        </is>
      </c>
      <c r="H46" s="3" t="n">
        <v>45886</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in-ae6f03c3485c81ae</t>
        </is>
      </c>
      <c r="B47" t="inlineStr">
        <is>
          <t>Applied Scientist II, Prime Video - Personalization and Discovery Science, Personalization and Discovery Science</t>
        </is>
      </c>
      <c r="C47" t="inlineStr">
        <is>
          <t>Amazon.com</t>
        </is>
      </c>
      <c r="D47" t="inlineStr">
        <is>
          <t>indeed</t>
        </is>
      </c>
      <c r="E47">
        <f>HYPERLINK("https://www.indeed.com/viewjob?jk=ae6f03c3485c81ae", "https://www.indeed.com/viewjob?jk=ae6f03c3485c81ae")</f>
        <v/>
      </c>
      <c r="F47">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47" t="inlineStr">
        <is>
          <t>Sunnyvale, CA, US</t>
        </is>
      </c>
      <c r="H47" s="3" t="n">
        <v>45886</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in-959ba9890420c7b8</t>
        </is>
      </c>
      <c r="B48" t="inlineStr">
        <is>
          <t>Sr. Applied Scientist, Prime Video - Personalization and Discovery Science</t>
        </is>
      </c>
      <c r="C48" t="inlineStr">
        <is>
          <t>Amazon.com</t>
        </is>
      </c>
      <c r="D48" t="inlineStr">
        <is>
          <t>indeed</t>
        </is>
      </c>
      <c r="E48">
        <f>HYPERLINK("https://www.indeed.com/viewjob?jk=959ba9890420c7b8", "https://www.indeed.com/viewjob?jk=959ba9890420c7b8")</f>
        <v/>
      </c>
      <c r="F48">
        <f>HYPERLINK("https://www.amazon.jobs/jobs/3059256/sr-applied-scientist-prime-video--personalization-and-discovery-science?cmpid=DA_INAD200785B", "https://www.amazon.jobs/jobs/3059256/sr-applied-scientist-prime-video--personalization-and-discovery-science?cmpid=DA_INAD200785B")</f>
        <v/>
      </c>
      <c r="G48" t="inlineStr">
        <is>
          <t>Seattle, WA, US</t>
        </is>
      </c>
      <c r="H48" s="3" t="n">
        <v>45881</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in-0c9866ad9d49da24</t>
        </is>
      </c>
      <c r="B49" t="inlineStr">
        <is>
          <t>Applied Scientist II, Prime Video - Personalization and Discovery Science</t>
        </is>
      </c>
      <c r="C49" t="inlineStr">
        <is>
          <t>Amazon.com</t>
        </is>
      </c>
      <c r="D49" t="inlineStr">
        <is>
          <t>indeed</t>
        </is>
      </c>
      <c r="E49">
        <f>HYPERLINK("https://www.indeed.com/viewjob?jk=0c9866ad9d49da24", "https://www.indeed.com/viewjob?jk=0c9866ad9d49da24")</f>
        <v/>
      </c>
      <c r="F49">
        <f>HYPERLINK("https://www.amazon.jobs/jobs/3059253/applied-scientist-ii-prime-video--personalization-and-discovery-science?cmpid=DA_INAD200785B", "https://www.amazon.jobs/jobs/3059253/applied-scientist-ii-prime-video--personalization-and-discovery-science?cmpid=DA_INAD200785B")</f>
        <v/>
      </c>
      <c r="G49" t="inlineStr">
        <is>
          <t>New York, NY, US</t>
        </is>
      </c>
      <c r="H49" s="3" t="n">
        <v>45881</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in-9a21289d873e2372</t>
        </is>
      </c>
      <c r="B50" t="inlineStr">
        <is>
          <t>Sr. Applied Scientist, Prime Video - Personalization and Discovery Science</t>
        </is>
      </c>
      <c r="C50" t="inlineStr">
        <is>
          <t>Amazon.com</t>
        </is>
      </c>
      <c r="D50" t="inlineStr">
        <is>
          <t>indeed</t>
        </is>
      </c>
      <c r="E50">
        <f>HYPERLINK("https://www.indeed.com/viewjob?jk=9a21289d873e2372", "https://www.indeed.com/viewjob?jk=9a21289d873e2372")</f>
        <v/>
      </c>
      <c r="F50">
        <f>HYPERLINK("https://www.amazon.jobs/jobs/3059256/sr-applied-scientist-prime-video--personalization-and-discovery-science?cmpid=DA_INAD200785B", "https://www.amazon.jobs/jobs/3059256/sr-applied-scientist-prime-video--personalization-and-discovery-science?cmpid=DA_INAD200785B")</f>
        <v/>
      </c>
      <c r="G50" t="inlineStr">
        <is>
          <t>New York, NY, US</t>
        </is>
      </c>
      <c r="H50" s="3" t="n">
        <v>45881</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in-77ba56d89d958234</t>
        </is>
      </c>
      <c r="B51" t="inlineStr">
        <is>
          <t>Applied Scientist II, Prime Video - Personalization and Discovery Science</t>
        </is>
      </c>
      <c r="C51" t="inlineStr">
        <is>
          <t>Amazon.com</t>
        </is>
      </c>
      <c r="D51" t="inlineStr">
        <is>
          <t>indeed</t>
        </is>
      </c>
      <c r="E51">
        <f>HYPERLINK("https://www.indeed.com/viewjob?jk=77ba56d89d958234", "https://www.indeed.com/viewjob?jk=77ba56d89d958234")</f>
        <v/>
      </c>
      <c r="F51">
        <f>HYPERLINK("https://www.amazon.jobs/jobs/3059253/applied-scientist-ii-prime-video--personalization-and-discovery-science?cmpid=DA_INAD200785B", "https://www.amazon.jobs/jobs/3059253/applied-scientist-ii-prime-video--personalization-and-discovery-science?cmpid=DA_INAD200785B")</f>
        <v/>
      </c>
      <c r="G51" t="inlineStr">
        <is>
          <t>Seattle, WA, US</t>
        </is>
      </c>
      <c r="H51" s="3" t="n">
        <v>45881</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in-7298f547ab30a35c</t>
        </is>
      </c>
      <c r="B52" t="inlineStr">
        <is>
          <t>Sr. Applied Scientist, Prime Video - Personalization and Discovery Science</t>
        </is>
      </c>
      <c r="C52" t="inlineStr">
        <is>
          <t>Amazon.com</t>
        </is>
      </c>
      <c r="D52" t="inlineStr">
        <is>
          <t>indeed</t>
        </is>
      </c>
      <c r="E52">
        <f>HYPERLINK("https://www.indeed.com/viewjob?jk=7298f547ab30a35c", "https://www.indeed.com/viewjob?jk=7298f547ab30a35c")</f>
        <v/>
      </c>
      <c r="F52">
        <f>HYPERLINK("https://www.amazon.jobs/jobs/3059256/sr-applied-scientist-prime-video--personalization-and-discovery-science?cmpid=DA_INAD200785B", "https://www.amazon.jobs/jobs/3059256/sr-applied-scientist-prime-video--personalization-and-discovery-science?cmpid=DA_INAD200785B")</f>
        <v/>
      </c>
      <c r="G52" t="inlineStr">
        <is>
          <t>Sunnyvale, CA, US</t>
        </is>
      </c>
      <c r="H52" s="3" t="n">
        <v>45881</v>
      </c>
      <c r="I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in-fd7fc22f26e603c3</t>
        </is>
      </c>
      <c r="B53" t="inlineStr">
        <is>
          <t>Applied Scientist II, Prime Video - Personalization and Discovery Science</t>
        </is>
      </c>
      <c r="C53" t="inlineStr">
        <is>
          <t>Amazon.com</t>
        </is>
      </c>
      <c r="D53" t="inlineStr">
        <is>
          <t>indeed</t>
        </is>
      </c>
      <c r="E53">
        <f>HYPERLINK("https://www.indeed.com/viewjob?jk=fd7fc22f26e603c3", "https://www.indeed.com/viewjob?jk=fd7fc22f26e603c3")</f>
        <v/>
      </c>
      <c r="F53">
        <f>HYPERLINK("https://www.amazon.jobs/jobs/3059253/applied-scientist-ii-prime-video--personalization-and-discovery-science?cmpid=DA_INAD200785B", "https://www.amazon.jobs/jobs/3059253/applied-scientist-ii-prime-video--personalization-and-discovery-science?cmpid=DA_INAD200785B")</f>
        <v/>
      </c>
      <c r="G53" t="inlineStr">
        <is>
          <t>Sunnyvale, CA, US</t>
        </is>
      </c>
      <c r="H53" s="3" t="n">
        <v>45881</v>
      </c>
      <c r="I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in-203af5918704eaf6</t>
        </is>
      </c>
      <c r="B54" t="inlineStr">
        <is>
          <t>Applied Scientist II, Prime Video Personalization and Discovery Science</t>
        </is>
      </c>
      <c r="C54" t="inlineStr">
        <is>
          <t>Amazon.com</t>
        </is>
      </c>
      <c r="D54" t="inlineStr">
        <is>
          <t>indeed</t>
        </is>
      </c>
      <c r="E54">
        <f>HYPERLINK("https://www.indeed.com/viewjob?jk=203af5918704eaf6", "https://www.indeed.com/viewjob?jk=203af5918704eaf6")</f>
        <v/>
      </c>
      <c r="F54">
        <f>HYPERLINK("https://www.amazon.jobs/jobs/3046662/applied-scientist-ii-prime-video-personalization-and-discovery-science?cmpid=DA_INAD200785B", "https://www.amazon.jobs/jobs/3046662/applied-scientist-ii-prime-video-personalization-and-discovery-science?cmpid=DA_INAD200785B")</f>
        <v/>
      </c>
      <c r="G54" t="inlineStr">
        <is>
          <t>Sunnyvale, CA, US</t>
        </is>
      </c>
      <c r="H54" s="3" t="n">
        <v>45859</v>
      </c>
      <c r="I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in-6aa9dab51ba21cb1</t>
        </is>
      </c>
      <c r="B55" t="inlineStr">
        <is>
          <t>Applied Scientist II, Prime Video Personalization and Discovery Science</t>
        </is>
      </c>
      <c r="C55" t="inlineStr">
        <is>
          <t>Amazon.com</t>
        </is>
      </c>
      <c r="D55" t="inlineStr">
        <is>
          <t>indeed</t>
        </is>
      </c>
      <c r="E55">
        <f>HYPERLINK("https://www.indeed.com/viewjob?jk=6aa9dab51ba21cb1", "https://www.indeed.com/viewjob?jk=6aa9dab51ba21cb1")</f>
        <v/>
      </c>
      <c r="F55">
        <f>HYPERLINK("https://www.amazon.jobs/jobs/3046662/applied-scientist-ii-prime-video-personalization-and-discovery-science?cmpid=DA_INAD200785B", "https://www.amazon.jobs/jobs/3046662/applied-scientist-ii-prime-video-personalization-and-discovery-science?cmpid=DA_INAD200785B")</f>
        <v/>
      </c>
      <c r="G55" t="inlineStr">
        <is>
          <t>Seattle, WA, US</t>
        </is>
      </c>
      <c r="H55" s="3" t="n">
        <v>45859</v>
      </c>
      <c r="I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in-56b3758325c893bd</t>
        </is>
      </c>
      <c r="B56" t="inlineStr">
        <is>
          <t>Applied Scientist II, Prime Video Personalization and Discovery Science</t>
        </is>
      </c>
      <c r="C56" t="inlineStr">
        <is>
          <t>Amazon.com</t>
        </is>
      </c>
      <c r="D56" t="inlineStr">
        <is>
          <t>indeed</t>
        </is>
      </c>
      <c r="E56">
        <f>HYPERLINK("https://www.indeed.com/viewjob?jk=56b3758325c893bd", "https://www.indeed.com/viewjob?jk=56b3758325c893bd")</f>
        <v/>
      </c>
      <c r="F56">
        <f>HYPERLINK("https://www.amazon.jobs/jobs/3046662/applied-scientist-ii-prime-video-personalization-and-discovery-science?cmpid=DA_INAD200785B", "https://www.amazon.jobs/jobs/3046662/applied-scientist-ii-prime-video-personalization-and-discovery-science?cmpid=DA_INAD200785B")</f>
        <v/>
      </c>
      <c r="G56" t="inlineStr">
        <is>
          <t>New York, NY, US</t>
        </is>
      </c>
      <c r="H56" s="3" t="n">
        <v>45859</v>
      </c>
      <c r="I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in-6b196e0c93dafba1</t>
        </is>
      </c>
      <c r="B57" t="inlineStr">
        <is>
          <t>Applied Scientist, Prime Video - Personalization and Discovery Science</t>
        </is>
      </c>
      <c r="C57" t="inlineStr">
        <is>
          <t>Amazon.com</t>
        </is>
      </c>
      <c r="D57" t="inlineStr">
        <is>
          <t>indeed</t>
        </is>
      </c>
      <c r="E57">
        <f>HYPERLINK("https://www.indeed.com/viewjob?jk=6b196e0c93dafba1", "https://www.indeed.com/viewjob?jk=6b196e0c93dafba1")</f>
        <v/>
      </c>
      <c r="F57">
        <f>HYPERLINK("https://www.amazon.jobs/jobs/3033050/applied-scientist-prime-video--personalization-and-discovery-science?cmpid=DA_INAD200785B", "https://www.amazon.jobs/jobs/3033050/applied-scientist-prime-video--personalization-and-discovery-science?cmpid=DA_INAD200785B")</f>
        <v/>
      </c>
      <c r="G57" t="inlineStr">
        <is>
          <t>Sunnyvale, CA, US</t>
        </is>
      </c>
      <c r="H57" s="3" t="n">
        <v>45845</v>
      </c>
      <c r="I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in-77e886681796f8d9</t>
        </is>
      </c>
      <c r="B58" t="inlineStr">
        <is>
          <t>Applied Scientist, Prime Video - Personalization and Discovery Science</t>
        </is>
      </c>
      <c r="C58" t="inlineStr">
        <is>
          <t>Amazon.com</t>
        </is>
      </c>
      <c r="D58" t="inlineStr">
        <is>
          <t>indeed</t>
        </is>
      </c>
      <c r="E58">
        <f>HYPERLINK("https://www.indeed.com/viewjob?jk=77e886681796f8d9", "https://www.indeed.com/viewjob?jk=77e886681796f8d9")</f>
        <v/>
      </c>
      <c r="F58">
        <f>HYPERLINK("https://www.amazon.jobs/jobs/3033050/applied-scientist-prime-video--personalization-and-discovery-science?cmpid=DA_INAD200785B", "https://www.amazon.jobs/jobs/3033050/applied-scientist-prime-video--personalization-and-discovery-science?cmpid=DA_INAD200785B")</f>
        <v/>
      </c>
      <c r="G58" t="inlineStr">
        <is>
          <t>New York, NY, US</t>
        </is>
      </c>
      <c r="H58" s="3" t="n">
        <v>45845</v>
      </c>
      <c r="I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in-da3aae2e0107680e</t>
        </is>
      </c>
      <c r="B59" t="inlineStr">
        <is>
          <t>Applied Scientist, Prime Video - Personalization and Discovery Science</t>
        </is>
      </c>
      <c r="C59" t="inlineStr">
        <is>
          <t>Amazon.com</t>
        </is>
      </c>
      <c r="D59" t="inlineStr">
        <is>
          <t>indeed</t>
        </is>
      </c>
      <c r="E59">
        <f>HYPERLINK("https://www.indeed.com/viewjob?jk=da3aae2e0107680e", "https://www.indeed.com/viewjob?jk=da3aae2e0107680e")</f>
        <v/>
      </c>
      <c r="F59">
        <f>HYPERLINK("https://www.amazon.jobs/jobs/3033050/applied-scientist-prime-video--personalization-and-discovery-science?cmpid=DA_INAD200785B", "https://www.amazon.jobs/jobs/3033050/applied-scientist-prime-video--personalization-and-discovery-science?cmpid=DA_INAD200785B")</f>
        <v/>
      </c>
      <c r="G59" t="inlineStr">
        <is>
          <t>Seattle, WA, US</t>
        </is>
      </c>
      <c r="H59" s="3" t="n">
        <v>45845</v>
      </c>
      <c r="I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in-764efa156169cb3a</t>
        </is>
      </c>
      <c r="B60" t="inlineStr">
        <is>
          <t>Sr. Applied Scientist, Prime Video - Personalization and Discovery Science</t>
        </is>
      </c>
      <c r="C60" t="inlineStr">
        <is>
          <t>Amazon.com</t>
        </is>
      </c>
      <c r="D60" t="inlineStr">
        <is>
          <t>indeed</t>
        </is>
      </c>
      <c r="E60">
        <f>HYPERLINK("https://www.indeed.com/viewjob?jk=764efa156169cb3a", "https://www.indeed.com/viewjob?jk=764efa156169cb3a")</f>
        <v/>
      </c>
      <c r="F60">
        <f>HYPERLINK("https://www.amazon.jobs/jobs/3011754/sr-applied-scientist-prime-video--personalization-and-discovery-science?cmpid=DA_INAD200785B", "https://www.amazon.jobs/jobs/3011754/sr-applied-scientist-prime-video--personalization-and-discovery-science?cmpid=DA_INAD200785B")</f>
        <v/>
      </c>
      <c r="G60" t="inlineStr">
        <is>
          <t>Sunnyvale, CA, US</t>
        </is>
      </c>
      <c r="H60" s="3" t="n">
        <v>45819</v>
      </c>
      <c r="I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in-c6e4d823fa5e4f6d</t>
        </is>
      </c>
      <c r="B61" t="inlineStr">
        <is>
          <t>Sr. Applied Scientist, Prime Video - Personalization and Discovery Science</t>
        </is>
      </c>
      <c r="C61" t="inlineStr">
        <is>
          <t>Amazon.com</t>
        </is>
      </c>
      <c r="D61" t="inlineStr">
        <is>
          <t>indeed</t>
        </is>
      </c>
      <c r="E61">
        <f>HYPERLINK("https://www.indeed.com/viewjob?jk=c6e4d823fa5e4f6d", "https://www.indeed.com/viewjob?jk=c6e4d823fa5e4f6d")</f>
        <v/>
      </c>
      <c r="F61">
        <f>HYPERLINK("https://www.amazon.jobs/jobs/3011754/sr-applied-scientist-prime-video--personalization-and-discovery-science?cmpid=DA_INAD200785B", "https://www.amazon.jobs/jobs/3011754/sr-applied-scientist-prime-video--personalization-and-discovery-science?cmpid=DA_INAD200785B")</f>
        <v/>
      </c>
      <c r="G61" t="inlineStr">
        <is>
          <t>Seattle, WA, US</t>
        </is>
      </c>
      <c r="H61" s="3" t="n">
        <v>45819</v>
      </c>
      <c r="I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in-1c49e6450c244499</t>
        </is>
      </c>
      <c r="B62" t="inlineStr">
        <is>
          <t>Applied Scientist, Skill Builder, AWS Training and Certifications</t>
        </is>
      </c>
      <c r="C62" t="inlineStr">
        <is>
          <t>Amazon Web Services</t>
        </is>
      </c>
      <c r="D62" t="inlineStr">
        <is>
          <t>indeed</t>
        </is>
      </c>
      <c r="E62">
        <f>HYPERLINK("https://www.indeed.com/viewjob?jk=1c49e6450c244499", "https://www.indeed.com/viewjob?jk=1c49e6450c244499")</f>
        <v/>
      </c>
      <c r="F62">
        <f>HYPERLINK("https://www.amazon.jobs/jobs/3140583/applied-scientist-skill-builder-aws-training-and-certifications?cmpid=DA_INAD200785B", "https://www.amazon.jobs/jobs/3140583/applied-scientist-skill-builder-aws-training-and-certifications?cmpid=DA_INAD200785B")</f>
        <v/>
      </c>
      <c r="G62" t="inlineStr">
        <is>
          <t>Bellevue, WA, US</t>
        </is>
      </c>
      <c r="H62" s="3" t="n">
        <v>46000</v>
      </c>
      <c r="I62"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in-5740ac0e6b2c5cd9</t>
        </is>
      </c>
      <c r="B63" t="inlineStr">
        <is>
          <t>Applied Scientist, Skill Builder, AWS Training and Certifications</t>
        </is>
      </c>
      <c r="C63" t="inlineStr">
        <is>
          <t>Amazon Web Services</t>
        </is>
      </c>
      <c r="D63" t="inlineStr">
        <is>
          <t>indeed</t>
        </is>
      </c>
      <c r="E63">
        <f>HYPERLINK("https://www.indeed.com/viewjob?jk=5740ac0e6b2c5cd9", "https://www.indeed.com/viewjob?jk=5740ac0e6b2c5cd9")</f>
        <v/>
      </c>
      <c r="F63">
        <f>HYPERLINK("https://www.amazon.jobs/jobs/3140583/applied-scientist-skill-builder-aws-training-and-certifications?cmpid=DA_INAD200785B", "https://www.amazon.jobs/jobs/3140583/applied-scientist-skill-builder-aws-training-and-certifications?cmpid=DA_INAD200785B")</f>
        <v/>
      </c>
      <c r="G63" t="inlineStr">
        <is>
          <t>Arlington, VA, US</t>
        </is>
      </c>
      <c r="H63" s="3" t="n">
        <v>46000</v>
      </c>
      <c r="I63"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in-e1b4f634a4d59023</t>
        </is>
      </c>
      <c r="B64" t="inlineStr">
        <is>
          <t>Applied Scientist, Skill Builder, AWS Training and Certifications</t>
        </is>
      </c>
      <c r="C64" t="inlineStr">
        <is>
          <t>Amazon Web Services</t>
        </is>
      </c>
      <c r="D64" t="inlineStr">
        <is>
          <t>indeed</t>
        </is>
      </c>
      <c r="E64">
        <f>HYPERLINK("https://www.indeed.com/viewjob?jk=e1b4f634a4d59023", "https://www.indeed.com/viewjob?jk=e1b4f634a4d59023")</f>
        <v/>
      </c>
      <c r="F64">
        <f>HYPERLINK("https://www.amazon.jobs/jobs/3140583/applied-scientist-skill-builder-aws-training-and-certifications?cmpid=DA_INAD200785B", "https://www.amazon.jobs/jobs/3140583/applied-scientist-skill-builder-aws-training-and-certifications?cmpid=DA_INAD200785B")</f>
        <v/>
      </c>
      <c r="G64" t="inlineStr">
        <is>
          <t>Seattle, WA, US</t>
        </is>
      </c>
      <c r="H64" s="3" t="n">
        <v>46000</v>
      </c>
      <c r="I64"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in-5e57c72e9943a041</t>
        </is>
      </c>
      <c r="B65" t="inlineStr">
        <is>
          <t>Senior Applied Scientist, Sponsored Products and Brands</t>
        </is>
      </c>
      <c r="C65" t="inlineStr">
        <is>
          <t>Amazon.com</t>
        </is>
      </c>
      <c r="D65" t="inlineStr">
        <is>
          <t>indeed</t>
        </is>
      </c>
      <c r="E65">
        <f>HYPERLINK("https://www.indeed.com/viewjob?jk=5e57c72e9943a041", "https://www.indeed.com/viewjob?jk=5e57c72e9943a041")</f>
        <v/>
      </c>
      <c r="F65">
        <f>HYPERLINK("https://www.amazon.jobs/jobs/3130062/senior-applied-scientist-sponsored-products-and-brands?cmpid=DA_INAD200785B", "https://www.amazon.jobs/jobs/3130062/senior-applied-scientist-sponsored-products-and-brands?cmpid=DA_INAD200785B")</f>
        <v/>
      </c>
      <c r="G65" t="inlineStr">
        <is>
          <t>New York, NY, US</t>
        </is>
      </c>
      <c r="H65" s="3" t="n">
        <v>45979</v>
      </c>
      <c r="I6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in-fc086548c7e8ea05</t>
        </is>
      </c>
      <c r="B66" t="inlineStr">
        <is>
          <t>Principal Applied Scientist, AGI Foundations, AGI Foundations</t>
        </is>
      </c>
      <c r="C66" t="inlineStr">
        <is>
          <t>Amazon.com</t>
        </is>
      </c>
      <c r="D66" t="inlineStr">
        <is>
          <t>indeed</t>
        </is>
      </c>
      <c r="E66">
        <f>HYPERLINK("https://www.indeed.com/viewjob?jk=fc086548c7e8ea05", "https://www.indeed.com/viewjob?jk=fc086548c7e8ea05")</f>
        <v/>
      </c>
      <c r="F66">
        <f>HYPERLINK("https://www.amazon.jobs/jobs/3127969/principal-applied-scientist-agi-foundations-agi-foundations?cmpid=DA_INAD200785B", "https://www.amazon.jobs/jobs/3127969/principal-applied-scientist-agi-foundations-agi-foundations?cmpid=DA_INAD200785B")</f>
        <v/>
      </c>
      <c r="G66" t="inlineStr">
        <is>
          <t>New York, NY, US</t>
        </is>
      </c>
      <c r="H66" s="3" t="n">
        <v>45978</v>
      </c>
      <c r="I66"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in-9701ff826b21d8e4</t>
        </is>
      </c>
      <c r="B67" t="inlineStr">
        <is>
          <t>Principal Applied Scientist, AGI Foundations, AGI Foundations</t>
        </is>
      </c>
      <c r="C67" t="inlineStr">
        <is>
          <t>Amazon.com</t>
        </is>
      </c>
      <c r="D67" t="inlineStr">
        <is>
          <t>indeed</t>
        </is>
      </c>
      <c r="E67">
        <f>HYPERLINK("https://www.indeed.com/viewjob?jk=9701ff826b21d8e4", "https://www.indeed.com/viewjob?jk=9701ff826b21d8e4")</f>
        <v/>
      </c>
      <c r="F67">
        <f>HYPERLINK("https://www.amazon.jobs/jobs/3127969/principal-applied-scientist-agi-foundations-agi-foundations?cmpid=DA_INAD200785B", "https://www.amazon.jobs/jobs/3127969/principal-applied-scientist-agi-foundations-agi-foundations?cmpid=DA_INAD200785B")</f>
        <v/>
      </c>
      <c r="G67" t="inlineStr">
        <is>
          <t>Bellevue, WA, US</t>
        </is>
      </c>
      <c r="H67" s="3" t="n">
        <v>45978</v>
      </c>
      <c r="I67"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in-0afd2d9d95caf508</t>
        </is>
      </c>
      <c r="B68" t="inlineStr">
        <is>
          <t>Principal Applied Scientist, AGI Foundations, AGI Foundations</t>
        </is>
      </c>
      <c r="C68" t="inlineStr">
        <is>
          <t>Amazon.com</t>
        </is>
      </c>
      <c r="D68" t="inlineStr">
        <is>
          <t>indeed</t>
        </is>
      </c>
      <c r="E68">
        <f>HYPERLINK("https://www.indeed.com/viewjob?jk=0afd2d9d95caf508", "https://www.indeed.com/viewjob?jk=0afd2d9d95caf508")</f>
        <v/>
      </c>
      <c r="F68">
        <f>HYPERLINK("https://www.amazon.jobs/jobs/3127969/principal-applied-scientist-agi-foundations-agi-foundations?cmpid=DA_INAD200785B", "https://www.amazon.jobs/jobs/3127969/principal-applied-scientist-agi-foundations-agi-foundations?cmpid=DA_INAD200785B")</f>
        <v/>
      </c>
      <c r="G68" t="inlineStr">
        <is>
          <t>Boston, MA, US</t>
        </is>
      </c>
      <c r="H68" s="3" t="n">
        <v>45978</v>
      </c>
      <c r="I68"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in-8290f6ac832717a7</t>
        </is>
      </c>
      <c r="B69" t="inlineStr">
        <is>
          <t>Principal Applied Scientist, AGI Foundations, AGI Foundations</t>
        </is>
      </c>
      <c r="C69" t="inlineStr">
        <is>
          <t>Amazon.com</t>
        </is>
      </c>
      <c r="D69" t="inlineStr">
        <is>
          <t>indeed</t>
        </is>
      </c>
      <c r="E69">
        <f>HYPERLINK("https://www.indeed.com/viewjob?jk=8290f6ac832717a7", "https://www.indeed.com/viewjob?jk=8290f6ac832717a7")</f>
        <v/>
      </c>
      <c r="F69">
        <f>HYPERLINK("https://www.amazon.jobs/jobs/3127969/principal-applied-scientist-agi-foundations-agi-foundations?cmpid=DA_INAD200785B", "https://www.amazon.jobs/jobs/3127969/principal-applied-scientist-agi-foundations-agi-foundations?cmpid=DA_INAD200785B")</f>
        <v/>
      </c>
      <c r="G69" t="inlineStr">
        <is>
          <t>Sunnyvale, CA, US</t>
        </is>
      </c>
      <c r="H69" s="3" t="n">
        <v>45978</v>
      </c>
      <c r="I69"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in-de30113074e38a1d</t>
        </is>
      </c>
      <c r="B70" t="inlineStr">
        <is>
          <t>Principal Applied Scientist, Artificial General Intelligence</t>
        </is>
      </c>
      <c r="C70" t="inlineStr">
        <is>
          <t>Amazon.com</t>
        </is>
      </c>
      <c r="D70" t="inlineStr">
        <is>
          <t>indeed</t>
        </is>
      </c>
      <c r="E70">
        <f>HYPERLINK("https://www.indeed.com/viewjob?jk=de30113074e38a1d", "https://www.indeed.com/viewjob?jk=de30113074e38a1d")</f>
        <v/>
      </c>
      <c r="F70">
        <f>HYPERLINK("https://www.amazon.jobs/jobs/3128477/principal-applied-scientist--artificial-general-intelligence?cmpid=DA_INAD200785B", "https://www.amazon.jobs/jobs/3128477/principal-applied-scientist--artificial-general-intelligence?cmpid=DA_INAD200785B")</f>
        <v/>
      </c>
      <c r="G70" t="inlineStr">
        <is>
          <t>Bellevue, WA, US</t>
        </is>
      </c>
      <c r="H70" s="3" t="n">
        <v>45978</v>
      </c>
      <c r="I70"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in-af16082bafec9fab</t>
        </is>
      </c>
      <c r="B71" t="inlineStr">
        <is>
          <t>Principal Applied Scientist, Artificial General Intelligence</t>
        </is>
      </c>
      <c r="C71" t="inlineStr">
        <is>
          <t>Amazon.com</t>
        </is>
      </c>
      <c r="D71" t="inlineStr">
        <is>
          <t>indeed</t>
        </is>
      </c>
      <c r="E71">
        <f>HYPERLINK("https://www.indeed.com/viewjob?jk=af16082bafec9fab", "https://www.indeed.com/viewjob?jk=af16082bafec9fab")</f>
        <v/>
      </c>
      <c r="F71">
        <f>HYPERLINK("https://www.amazon.jobs/jobs/3128477/principal-applied-scientist--artificial-general-intelligence?cmpid=DA_INAD200785B", "https://www.amazon.jobs/jobs/3128477/principal-applied-scientist--artificial-general-intelligence?cmpid=DA_INAD200785B")</f>
        <v/>
      </c>
      <c r="G71" t="inlineStr">
        <is>
          <t>San Francisco, CA, US</t>
        </is>
      </c>
      <c r="H71" s="3" t="n">
        <v>45978</v>
      </c>
      <c r="I71"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in-01ac9697f9075129</t>
        </is>
      </c>
      <c r="B72" t="inlineStr">
        <is>
          <t>Principal Applied Scientist, Artificial General Intelligence</t>
        </is>
      </c>
      <c r="C72" t="inlineStr">
        <is>
          <t>Amazon.com</t>
        </is>
      </c>
      <c r="D72" t="inlineStr">
        <is>
          <t>indeed</t>
        </is>
      </c>
      <c r="E72">
        <f>HYPERLINK("https://www.indeed.com/viewjob?jk=01ac9697f9075129", "https://www.indeed.com/viewjob?jk=01ac9697f9075129")</f>
        <v/>
      </c>
      <c r="F72">
        <f>HYPERLINK("https://www.amazon.jobs/jobs/3128477/principal-applied-scientist--artificial-general-intelligence?cmpid=DA_INAD200785B", "https://www.amazon.jobs/jobs/3128477/principal-applied-scientist--artificial-general-intelligence?cmpid=DA_INAD200785B")</f>
        <v/>
      </c>
      <c r="G72" t="inlineStr">
        <is>
          <t>Seattle, WA, US</t>
        </is>
      </c>
      <c r="H72" s="3" t="n">
        <v>45978</v>
      </c>
      <c r="I72"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in-0225302c56fbd67a</t>
        </is>
      </c>
      <c r="B73" t="inlineStr">
        <is>
          <t>Principal Applied Scientist, Artificial General Intelligence</t>
        </is>
      </c>
      <c r="C73" t="inlineStr">
        <is>
          <t>Amazon.com</t>
        </is>
      </c>
      <c r="D73" t="inlineStr">
        <is>
          <t>indeed</t>
        </is>
      </c>
      <c r="E73">
        <f>HYPERLINK("https://www.indeed.com/viewjob?jk=0225302c56fbd67a", "https://www.indeed.com/viewjob?jk=0225302c56fbd67a")</f>
        <v/>
      </c>
      <c r="F73">
        <f>HYPERLINK("https://www.amazon.jobs/jobs/3128477/principal-applied-scientist--artificial-general-intelligence?cmpid=DA_INAD200785B", "https://www.amazon.jobs/jobs/3128477/principal-applied-scientist--artificial-general-intelligence?cmpid=DA_INAD200785B")</f>
        <v/>
      </c>
      <c r="G73" t="inlineStr">
        <is>
          <t>Sunnyvale, CA, US</t>
        </is>
      </c>
      <c r="H73" s="3" t="n">
        <v>45978</v>
      </c>
      <c r="I73"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in-8a1fd279e4a31c99</t>
        </is>
      </c>
      <c r="B74" t="inlineStr">
        <is>
          <t>Applied Scientist II, Prime Video Personalization and Discovery Science</t>
        </is>
      </c>
      <c r="C74" t="inlineStr">
        <is>
          <t>Amazon.com</t>
        </is>
      </c>
      <c r="D74" t="inlineStr">
        <is>
          <t>indeed</t>
        </is>
      </c>
      <c r="E74">
        <f>HYPERLINK("https://www.indeed.com/viewjob?jk=8a1fd279e4a31c99", "https://www.indeed.com/viewjob?jk=8a1fd279e4a31c99")</f>
        <v/>
      </c>
      <c r="F74">
        <f>HYPERLINK("https://www.amazon.jobs/jobs/3129475/applied-scientist-ii-prime-video-personalization-and-discovery-science?cmpid=DA_INAD200785B", "https://www.amazon.jobs/jobs/3129475/applied-scientist-ii-prime-video-personalization-and-discovery-science?cmpid=DA_INAD200785B")</f>
        <v/>
      </c>
      <c r="G74" t="inlineStr">
        <is>
          <t>Sunnyvale, CA, US</t>
        </is>
      </c>
      <c r="H74" s="3" t="n">
        <v>45978</v>
      </c>
      <c r="I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in-f66d1d3f8c73a269</t>
        </is>
      </c>
      <c r="B75" t="inlineStr">
        <is>
          <t>Applied Scientist II, Prime Video Personalization and Discovery Science</t>
        </is>
      </c>
      <c r="C75" t="inlineStr">
        <is>
          <t>Amazon.com</t>
        </is>
      </c>
      <c r="D75" t="inlineStr">
        <is>
          <t>indeed</t>
        </is>
      </c>
      <c r="E75">
        <f>HYPERLINK("https://www.indeed.com/viewjob?jk=f66d1d3f8c73a269", "https://www.indeed.com/viewjob?jk=f66d1d3f8c73a269")</f>
        <v/>
      </c>
      <c r="F75">
        <f>HYPERLINK("https://www.amazon.jobs/jobs/3129475/applied-scientist-ii-prime-video-personalization-and-discovery-science?cmpid=DA_INAD200785B", "https://www.amazon.jobs/jobs/3129475/applied-scientist-ii-prime-video-personalization-and-discovery-science?cmpid=DA_INAD200785B")</f>
        <v/>
      </c>
      <c r="G75" t="inlineStr">
        <is>
          <t>Seattle, WA, US</t>
        </is>
      </c>
      <c r="H75" s="3" t="n">
        <v>45978</v>
      </c>
      <c r="I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in-2e022b53ce9b267b</t>
        </is>
      </c>
      <c r="B76" t="inlineStr">
        <is>
          <t>Applied Scientist, Artificial General Intelligence</t>
        </is>
      </c>
      <c r="C76" t="inlineStr">
        <is>
          <t>Amazon.com</t>
        </is>
      </c>
      <c r="D76" t="inlineStr">
        <is>
          <t>indeed</t>
        </is>
      </c>
      <c r="E76">
        <f>HYPERLINK("https://www.indeed.com/viewjob?jk=2e022b53ce9b267b", "https://www.indeed.com/viewjob?jk=2e022b53ce9b267b")</f>
        <v/>
      </c>
      <c r="F76">
        <f>HYPERLINK("https://www.amazon.jobs/jobs/3127075/applied-scientist-artificial-general-intelligence?cmpid=DA_INAD200785B", "https://www.amazon.jobs/jobs/3127075/applied-scientist-artificial-general-intelligence?cmpid=DA_INAD200785B")</f>
        <v/>
      </c>
      <c r="G76" t="inlineStr">
        <is>
          <t>Sunnyvale, CA, US</t>
        </is>
      </c>
      <c r="H76" s="3" t="n">
        <v>45974</v>
      </c>
      <c r="I76"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in-1918fd2baa52b9f9</t>
        </is>
      </c>
      <c r="B77" t="inlineStr">
        <is>
          <t>Applied Scientist, Artificial General Intelligence</t>
        </is>
      </c>
      <c r="C77" t="inlineStr">
        <is>
          <t>Amazon.com</t>
        </is>
      </c>
      <c r="D77" t="inlineStr">
        <is>
          <t>indeed</t>
        </is>
      </c>
      <c r="E77">
        <f>HYPERLINK("https://www.indeed.com/viewjob?jk=1918fd2baa52b9f9", "https://www.indeed.com/viewjob?jk=1918fd2baa52b9f9")</f>
        <v/>
      </c>
      <c r="F77">
        <f>HYPERLINK("https://www.amazon.jobs/jobs/3127075/applied-scientist-artificial-general-intelligence?cmpid=DA_INAD200785B", "https://www.amazon.jobs/jobs/3127075/applied-scientist-artificial-general-intelligence?cmpid=DA_INAD200785B")</f>
        <v/>
      </c>
      <c r="G77" t="inlineStr">
        <is>
          <t>Seattle, WA, US</t>
        </is>
      </c>
      <c r="H77" s="3" t="n">
        <v>45974</v>
      </c>
      <c r="I77"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in-dc8115a3bd5e9e7a</t>
        </is>
      </c>
      <c r="B78" t="inlineStr">
        <is>
          <t>Applied Scientist, Artificial General Intelligence</t>
        </is>
      </c>
      <c r="C78" t="inlineStr">
        <is>
          <t>Amazon.com</t>
        </is>
      </c>
      <c r="D78" t="inlineStr">
        <is>
          <t>indeed</t>
        </is>
      </c>
      <c r="E78">
        <f>HYPERLINK("https://www.indeed.com/viewjob?jk=dc8115a3bd5e9e7a", "https://www.indeed.com/viewjob?jk=dc8115a3bd5e9e7a")</f>
        <v/>
      </c>
      <c r="F78">
        <f>HYPERLINK("https://www.amazon.jobs/jobs/3127075/applied-scientist-artificial-general-intelligence?cmpid=DA_INAD200785B", "https://www.amazon.jobs/jobs/3127075/applied-scientist-artificial-general-intelligence?cmpid=DA_INAD200785B")</f>
        <v/>
      </c>
      <c r="G78" t="inlineStr">
        <is>
          <t>Boston, MA, US</t>
        </is>
      </c>
      <c r="H78" s="3" t="n">
        <v>45974</v>
      </c>
      <c r="I78"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in-8c102bc22b7e300e</t>
        </is>
      </c>
      <c r="B79" t="inlineStr">
        <is>
          <t>Senior Applied Scientist, Creative X - RAPID</t>
        </is>
      </c>
      <c r="C79" t="inlineStr">
        <is>
          <t>Amazon.com</t>
        </is>
      </c>
      <c r="D79" t="inlineStr">
        <is>
          <t>indeed</t>
        </is>
      </c>
      <c r="E79">
        <f>HYPERLINK("https://www.indeed.com/viewjob?jk=8c102bc22b7e300e", "https://www.indeed.com/viewjob?jk=8c102bc22b7e300e")</f>
        <v/>
      </c>
      <c r="F79">
        <f>HYPERLINK("https://www.amazon.jobs/jobs/3128786/senior-applied-scientist-creative-x--rapid?cmpid=DA_INAD200785B", "https://www.amazon.jobs/jobs/3128786/senior-applied-scientist-creative-x--rapid?cmpid=DA_INAD200785B")</f>
        <v/>
      </c>
      <c r="G79" t="inlineStr">
        <is>
          <t>New York, NY, US</t>
        </is>
      </c>
      <c r="H79" s="3" t="n">
        <v>45971</v>
      </c>
      <c r="I79"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The role will focus on developing predictive creative recommendations along with insights to improve campaign performance and creative generation process. Every member of the team is expected to build customer (advertiser) facing features, contribute to the collaborative spirit within the team, publish, patent, and bring state\-of\-the\-art research to raise the bar within the team.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in-56b1bb96e706147a</t>
        </is>
      </c>
      <c r="B80" t="inlineStr">
        <is>
          <t>Senior Applied Scientist, Creative X - RAPID</t>
        </is>
      </c>
      <c r="C80" t="inlineStr">
        <is>
          <t>Amazon.com</t>
        </is>
      </c>
      <c r="D80" t="inlineStr">
        <is>
          <t>indeed</t>
        </is>
      </c>
      <c r="E80">
        <f>HYPERLINK("https://www.indeed.com/viewjob?jk=56b1bb96e706147a", "https://www.indeed.com/viewjob?jk=56b1bb96e706147a")</f>
        <v/>
      </c>
      <c r="F80">
        <f>HYPERLINK("https://www.amazon.jobs/jobs/3128786/senior-applied-scientist-creative-x--rapid?cmpid=DA_INAD200785B", "https://www.amazon.jobs/jobs/3128786/senior-applied-scientist-creative-x--rapid?cmpid=DA_INAD200785B")</f>
        <v/>
      </c>
      <c r="G80" t="inlineStr">
        <is>
          <t>Seattle, WA, US</t>
        </is>
      </c>
      <c r="H80" s="3" t="n">
        <v>45971</v>
      </c>
      <c r="I80"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The role will focus on developing predictive creative recommendations along with insights to improve campaign performance and creative generation process. Every member of the team is expected to build customer (advertiser) facing features, contribute to the collaborative spirit within the team, publish, patent, and bring state\-of\-the\-art research to raise the bar within the team.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in-b0d0fd410028ace5</t>
        </is>
      </c>
      <c r="B81" t="inlineStr">
        <is>
          <t>Applied Scientist, Sponsored Products and Brands</t>
        </is>
      </c>
      <c r="C81" t="inlineStr">
        <is>
          <t>Amazon.com</t>
        </is>
      </c>
      <c r="D81" t="inlineStr">
        <is>
          <t>indeed</t>
        </is>
      </c>
      <c r="E81">
        <f>HYPERLINK("https://www.indeed.com/viewjob?jk=b0d0fd410028ace5", "https://www.indeed.com/viewjob?jk=b0d0fd410028ace5")</f>
        <v/>
      </c>
      <c r="F81">
        <f>HYPERLINK("https://www.amazon.jobs/jobs/3122617/applied-scientist-sponsored-products-and-brands?cmpid=DA_INAD200785B", "https://www.amazon.jobs/jobs/3122617/applied-scientist-sponsored-products-and-brands?cmpid=DA_INAD200785B")</f>
        <v/>
      </c>
      <c r="G81" t="inlineStr">
        <is>
          <t>New York, NY, US</t>
        </is>
      </c>
      <c r="H81" s="3" t="n">
        <v>45965</v>
      </c>
      <c r="I8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in-7bc394d096005855</t>
        </is>
      </c>
      <c r="B82" t="inlineStr">
        <is>
          <t>Applied Scientist, Sponsored Products and Brands</t>
        </is>
      </c>
      <c r="C82" t="inlineStr">
        <is>
          <t>Amazon.com</t>
        </is>
      </c>
      <c r="D82" t="inlineStr">
        <is>
          <t>indeed</t>
        </is>
      </c>
      <c r="E82">
        <f>HYPERLINK("https://www.indeed.com/viewjob?jk=7bc394d096005855", "https://www.indeed.com/viewjob?jk=7bc394d096005855")</f>
        <v/>
      </c>
      <c r="F82">
        <f>HYPERLINK("https://www.amazon.jobs/jobs/3122617/applied-scientist-sponsored-products-and-brands?cmpid=DA_INAD200785B", "https://www.amazon.jobs/jobs/3122617/applied-scientist-sponsored-products-and-brands?cmpid=DA_INAD200785B")</f>
        <v/>
      </c>
      <c r="G82" t="inlineStr">
        <is>
          <t>Seattle, WA, US</t>
        </is>
      </c>
      <c r="H82" s="3" t="n">
        <v>45965</v>
      </c>
      <c r="I8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in-ea37c4231be66b2b</t>
        </is>
      </c>
      <c r="B83" t="inlineStr">
        <is>
          <t>Principal Applied Scientist, Amazon AGI</t>
        </is>
      </c>
      <c r="C83" t="inlineStr">
        <is>
          <t>Amazon.com</t>
        </is>
      </c>
      <c r="D83" t="inlineStr">
        <is>
          <t>indeed</t>
        </is>
      </c>
      <c r="E83">
        <f>HYPERLINK("https://www.indeed.com/viewjob?jk=ea37c4231be66b2b", "https://www.indeed.com/viewjob?jk=ea37c4231be66b2b")</f>
        <v/>
      </c>
      <c r="F83">
        <f>HYPERLINK("https://www.amazon.jobs/jobs/3128808/principal-applied-scientist-amazon-agi?cmpid=DA_INAD200785B", "https://www.amazon.jobs/jobs/3128808/principal-applied-scientist-amazon-agi?cmpid=DA_INAD200785B")</f>
        <v/>
      </c>
      <c r="G83" t="inlineStr">
        <is>
          <t>San Francisco, CA, US</t>
        </is>
      </c>
      <c r="H83" s="3" t="n">
        <v>45964</v>
      </c>
      <c r="I83"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in-cd38ade168370817</t>
        </is>
      </c>
      <c r="B84" t="inlineStr">
        <is>
          <t>Principal Applied Scientist, Amazon AGI</t>
        </is>
      </c>
      <c r="C84" t="inlineStr">
        <is>
          <t>Amazon.com</t>
        </is>
      </c>
      <c r="D84" t="inlineStr">
        <is>
          <t>indeed</t>
        </is>
      </c>
      <c r="E84">
        <f>HYPERLINK("https://www.indeed.com/viewjob?jk=cd38ade168370817", "https://www.indeed.com/viewjob?jk=cd38ade168370817")</f>
        <v/>
      </c>
      <c r="F84">
        <f>HYPERLINK("https://www.amazon.jobs/jobs/3128808/principal-applied-scientist-amazon-agi?cmpid=DA_INAD200785B", "https://www.amazon.jobs/jobs/3128808/principal-applied-scientist-amazon-agi?cmpid=DA_INAD200785B")</f>
        <v/>
      </c>
      <c r="G84" t="inlineStr">
        <is>
          <t>Boston, MA, US</t>
        </is>
      </c>
      <c r="H84" s="3" t="n">
        <v>45964</v>
      </c>
      <c r="I84"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in-c7c62ec1d3e41775</t>
        </is>
      </c>
      <c r="B85" t="inlineStr">
        <is>
          <t>Principal Applied Scientist, Advertiser Growth, Amazon Sponsored Products &amp; Brands</t>
        </is>
      </c>
      <c r="C85" t="inlineStr">
        <is>
          <t>Amazon.com</t>
        </is>
      </c>
      <c r="D85" t="inlineStr">
        <is>
          <t>indeed</t>
        </is>
      </c>
      <c r="E85">
        <f>HYPERLINK("https://www.indeed.com/viewjob?jk=c7c62ec1d3e41775", "https://www.indeed.com/viewjob?jk=c7c62ec1d3e41775")</f>
        <v/>
      </c>
      <c r="F85">
        <f>HYPERLINK("https://www.amazon.jobs/jobs/3115279/principal-applied-scientist-advertiser-growth-amazon-sponsored-products--brands?cmpid=DA_INAD200785B", "https://www.amazon.jobs/jobs/3115279/principal-applied-scientist-advertiser-growth-amazon-sponsored-products--brands?cmpid=DA_INAD200785B")</f>
        <v/>
      </c>
      <c r="G85" t="inlineStr">
        <is>
          <t>Palo Alto, CA, US</t>
        </is>
      </c>
      <c r="H85" s="3" t="n">
        <v>45942</v>
      </c>
      <c r="I8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in-fd39cdfc2fdb6344</t>
        </is>
      </c>
      <c r="B86" t="inlineStr">
        <is>
          <t>Principal Applied Scientist, Advertiser Growth, Amazon Sponsored Products &amp; Brands</t>
        </is>
      </c>
      <c r="C86" t="inlineStr">
        <is>
          <t>Amazon.com</t>
        </is>
      </c>
      <c r="D86" t="inlineStr">
        <is>
          <t>indeed</t>
        </is>
      </c>
      <c r="E86">
        <f>HYPERLINK("https://www.indeed.com/viewjob?jk=fd39cdfc2fdb6344", "https://www.indeed.com/viewjob?jk=fd39cdfc2fdb6344")</f>
        <v/>
      </c>
      <c r="F86">
        <f>HYPERLINK("https://www.amazon.jobs/jobs/3115279/principal-applied-scientist-advertiser-growth-amazon-sponsored-products--brands?cmpid=DA_INAD200785B", "https://www.amazon.jobs/jobs/3115279/principal-applied-scientist-advertiser-growth-amazon-sponsored-products--brands?cmpid=DA_INAD200785B")</f>
        <v/>
      </c>
      <c r="G86" t="inlineStr">
        <is>
          <t>New York, NY, US</t>
        </is>
      </c>
      <c r="H86" s="3" t="n">
        <v>45942</v>
      </c>
      <c r="I8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in-b5c71f06542aa9f4</t>
        </is>
      </c>
      <c r="B87" t="inlineStr">
        <is>
          <t>Principal Applied Scientist, Advertiser Growth, Amazon Sponsored Products &amp; Brands</t>
        </is>
      </c>
      <c r="C87" t="inlineStr">
        <is>
          <t>Amazon.com</t>
        </is>
      </c>
      <c r="D87" t="inlineStr">
        <is>
          <t>indeed</t>
        </is>
      </c>
      <c r="E87">
        <f>HYPERLINK("https://www.indeed.com/viewjob?jk=b5c71f06542aa9f4", "https://www.indeed.com/viewjob?jk=b5c71f06542aa9f4")</f>
        <v/>
      </c>
      <c r="F87">
        <f>HYPERLINK("https://www.amazon.jobs/jobs/3115279/principal-applied-scientist-advertiser-growth-amazon-sponsored-products--brands?cmpid=DA_INAD200785B", "https://www.amazon.jobs/jobs/3115279/principal-applied-scientist-advertiser-growth-amazon-sponsored-products--brands?cmpid=DA_INAD200785B")</f>
        <v/>
      </c>
      <c r="G87" t="inlineStr">
        <is>
          <t>Seattle, WA, US</t>
        </is>
      </c>
      <c r="H87" s="3" t="n">
        <v>45942</v>
      </c>
      <c r="I8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in-ce4c34e0e9d0f232</t>
        </is>
      </c>
      <c r="B88" t="inlineStr">
        <is>
          <t>Applied Scientist, Artificial General Intelligence</t>
        </is>
      </c>
      <c r="C88" t="inlineStr">
        <is>
          <t>Amazon.com</t>
        </is>
      </c>
      <c r="D88" t="inlineStr">
        <is>
          <t>indeed</t>
        </is>
      </c>
      <c r="E88">
        <f>HYPERLINK("https://www.indeed.com/viewjob?jk=ce4c34e0e9d0f232", "https://www.indeed.com/viewjob?jk=ce4c34e0e9d0f232")</f>
        <v/>
      </c>
      <c r="F88">
        <f>HYPERLINK("https://www.amazon.jobs/jobs/3104517/applied-scientist-artificial-general-intelligence?cmpid=DA_INAD200785B", "https://www.amazon.jobs/jobs/3104517/applied-scientist-artificial-general-intelligence?cmpid=DA_INAD200785B")</f>
        <v/>
      </c>
      <c r="G88" t="inlineStr">
        <is>
          <t>Seattle, WA, US</t>
        </is>
      </c>
      <c r="H88" s="3" t="n">
        <v>45937</v>
      </c>
      <c r="I8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in-b50089973cd6bcc7</t>
        </is>
      </c>
      <c r="B89" t="inlineStr">
        <is>
          <t>Applied Scientist, Artificial General Intelligence</t>
        </is>
      </c>
      <c r="C89" t="inlineStr">
        <is>
          <t>Amazon.com</t>
        </is>
      </c>
      <c r="D89" t="inlineStr">
        <is>
          <t>indeed</t>
        </is>
      </c>
      <c r="E89">
        <f>HYPERLINK("https://www.indeed.com/viewjob?jk=b50089973cd6bcc7", "https://www.indeed.com/viewjob?jk=b50089973cd6bcc7")</f>
        <v/>
      </c>
      <c r="F89">
        <f>HYPERLINK("https://www.amazon.jobs/jobs/3104517/applied-scientist-artificial-general-intelligence?cmpid=DA_INAD200785B", "https://www.amazon.jobs/jobs/3104517/applied-scientist-artificial-general-intelligence?cmpid=DA_INAD200785B")</f>
        <v/>
      </c>
      <c r="G89" t="inlineStr">
        <is>
          <t>New York, NY, US</t>
        </is>
      </c>
      <c r="H89" s="3" t="n">
        <v>45937</v>
      </c>
      <c r="I8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in-8fd9c41ab76c5260</t>
        </is>
      </c>
      <c r="B90" t="inlineStr">
        <is>
          <t>Applied Scientist, Artificial General Intelligence</t>
        </is>
      </c>
      <c r="C90" t="inlineStr">
        <is>
          <t>Amazon.com</t>
        </is>
      </c>
      <c r="D90" t="inlineStr">
        <is>
          <t>indeed</t>
        </is>
      </c>
      <c r="E90">
        <f>HYPERLINK("https://www.indeed.com/viewjob?jk=8fd9c41ab76c5260", "https://www.indeed.com/viewjob?jk=8fd9c41ab76c5260")</f>
        <v/>
      </c>
      <c r="F90">
        <f>HYPERLINK("https://www.amazon.jobs/jobs/3104517/applied-scientist-artificial-general-intelligence?cmpid=DA_INAD200785B", "https://www.amazon.jobs/jobs/3104517/applied-scientist-artificial-general-intelligence?cmpid=DA_INAD200785B")</f>
        <v/>
      </c>
      <c r="G90" t="inlineStr">
        <is>
          <t>Bellevue, WA, US</t>
        </is>
      </c>
      <c r="H90" s="3" t="n">
        <v>45937</v>
      </c>
      <c r="I9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in-dcc1892b729033a0</t>
        </is>
      </c>
      <c r="B91" t="inlineStr">
        <is>
          <t>Applied Scientist, Artificial General Intelligence</t>
        </is>
      </c>
      <c r="C91" t="inlineStr">
        <is>
          <t>Amazon.com</t>
        </is>
      </c>
      <c r="D91" t="inlineStr">
        <is>
          <t>indeed</t>
        </is>
      </c>
      <c r="E91">
        <f>HYPERLINK("https://www.indeed.com/viewjob?jk=dcc1892b729033a0", "https://www.indeed.com/viewjob?jk=dcc1892b729033a0")</f>
        <v/>
      </c>
      <c r="F91">
        <f>HYPERLINK("https://www.amazon.jobs/jobs/3104517/applied-scientist-artificial-general-intelligence?cmpid=DA_INAD200785B", "https://www.amazon.jobs/jobs/3104517/applied-scientist-artificial-general-intelligence?cmpid=DA_INAD200785B")</f>
        <v/>
      </c>
      <c r="G91" t="inlineStr">
        <is>
          <t>Sunnyvale, CA, US</t>
        </is>
      </c>
      <c r="H91" s="3" t="n">
        <v>45937</v>
      </c>
      <c r="I9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in-789040befbe19fe9</t>
        </is>
      </c>
      <c r="B92" t="inlineStr">
        <is>
          <t>Principal Applied Scientist, Artificial General Intelligence</t>
        </is>
      </c>
      <c r="C92" t="inlineStr">
        <is>
          <t>Amazon.com</t>
        </is>
      </c>
      <c r="D92" t="inlineStr">
        <is>
          <t>indeed</t>
        </is>
      </c>
      <c r="E92">
        <f>HYPERLINK("https://www.indeed.com/viewjob?jk=789040befbe19fe9", "https://www.indeed.com/viewjob?jk=789040befbe19fe9")</f>
        <v/>
      </c>
      <c r="F92">
        <f>HYPERLINK("https://www.amazon.jobs/jobs/3092462/principal-applied-scientist-artificial-general-intelligence?cmpid=DA_INAD200785B", "https://www.amazon.jobs/jobs/3092462/principal-applied-scientist-artificial-general-intelligence?cmpid=DA_INAD200785B")</f>
        <v/>
      </c>
      <c r="G92" t="inlineStr">
        <is>
          <t>Sunnyvale, CA, US</t>
        </is>
      </c>
      <c r="H92" s="3" t="n">
        <v>45923</v>
      </c>
      <c r="I9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in-f6b4b143fd1c840c</t>
        </is>
      </c>
      <c r="B93" t="inlineStr">
        <is>
          <t>Principal Applied Scientist, Artificial General Intelligence</t>
        </is>
      </c>
      <c r="C93" t="inlineStr">
        <is>
          <t>Amazon.com</t>
        </is>
      </c>
      <c r="D93" t="inlineStr">
        <is>
          <t>indeed</t>
        </is>
      </c>
      <c r="E93">
        <f>HYPERLINK("https://www.indeed.com/viewjob?jk=f6b4b143fd1c840c", "https://www.indeed.com/viewjob?jk=f6b4b143fd1c840c")</f>
        <v/>
      </c>
      <c r="F93">
        <f>HYPERLINK("https://www.amazon.jobs/jobs/3092462/principal-applied-scientist-artificial-general-intelligence?cmpid=DA_INAD200785B", "https://www.amazon.jobs/jobs/3092462/principal-applied-scientist-artificial-general-intelligence?cmpid=DA_INAD200785B")</f>
        <v/>
      </c>
      <c r="G93" t="inlineStr">
        <is>
          <t>Boston, MA, US</t>
        </is>
      </c>
      <c r="H93" s="3" t="n">
        <v>45923</v>
      </c>
      <c r="I93"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in-606f866b8ac2b0db</t>
        </is>
      </c>
      <c r="B94" t="inlineStr">
        <is>
          <t>Principal Applied Scientist, Artificial General Intelligence</t>
        </is>
      </c>
      <c r="C94" t="inlineStr">
        <is>
          <t>Amazon.com</t>
        </is>
      </c>
      <c r="D94" t="inlineStr">
        <is>
          <t>indeed</t>
        </is>
      </c>
      <c r="E94">
        <f>HYPERLINK("https://www.indeed.com/viewjob?jk=606f866b8ac2b0db", "https://www.indeed.com/viewjob?jk=606f866b8ac2b0db")</f>
        <v/>
      </c>
      <c r="F94">
        <f>HYPERLINK("https://www.amazon.jobs/jobs/3092462/principal-applied-scientist-artificial-general-intelligence?cmpid=DA_INAD200785B", "https://www.amazon.jobs/jobs/3092462/principal-applied-scientist-artificial-general-intelligence?cmpid=DA_INAD200785B")</f>
        <v/>
      </c>
      <c r="G94" t="inlineStr">
        <is>
          <t>New York, NY, US</t>
        </is>
      </c>
      <c r="H94" s="3" t="n">
        <v>45923</v>
      </c>
      <c r="I94"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in-d947394ff1ad8698</t>
        </is>
      </c>
      <c r="B95" t="inlineStr">
        <is>
          <t>Principal Applied Scientist, Artificial General Intelligence</t>
        </is>
      </c>
      <c r="C95" t="inlineStr">
        <is>
          <t>Amazon.com</t>
        </is>
      </c>
      <c r="D95" t="inlineStr">
        <is>
          <t>indeed</t>
        </is>
      </c>
      <c r="E95">
        <f>HYPERLINK("https://www.indeed.com/viewjob?jk=d947394ff1ad8698", "https://www.indeed.com/viewjob?jk=d947394ff1ad8698")</f>
        <v/>
      </c>
      <c r="F95">
        <f>HYPERLINK("https://www.amazon.jobs/jobs/3092462/principal-applied-scientist-artificial-general-intelligence?cmpid=DA_INAD200785B", "https://www.amazon.jobs/jobs/3092462/principal-applied-scientist-artificial-general-intelligence?cmpid=DA_INAD200785B")</f>
        <v/>
      </c>
      <c r="G95" t="inlineStr">
        <is>
          <t>Bellevue, WA, US</t>
        </is>
      </c>
      <c r="H95" s="3" t="n">
        <v>45923</v>
      </c>
      <c r="I95"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in-4e90878bb04fedaa</t>
        </is>
      </c>
      <c r="B96" t="inlineStr">
        <is>
          <t>Senior Applied Scientist, Artificial General Intelligence</t>
        </is>
      </c>
      <c r="C96" t="inlineStr">
        <is>
          <t>Amazon.com</t>
        </is>
      </c>
      <c r="D96" t="inlineStr">
        <is>
          <t>indeed</t>
        </is>
      </c>
      <c r="E96">
        <f>HYPERLINK("https://www.indeed.com/viewjob?jk=4e90878bb04fedaa", "https://www.indeed.com/viewjob?jk=4e90878bb04fedaa")</f>
        <v/>
      </c>
      <c r="F96">
        <f>HYPERLINK("https://www.amazon.jobs/jobs/3091494/senior-applied-scientist-artificial-general-intelligence?cmpid=DA_INAD200785B", "https://www.amazon.jobs/jobs/3091494/senior-applied-scientist-artificial-general-intelligence?cmpid=DA_INAD200785B")</f>
        <v/>
      </c>
      <c r="G96" t="inlineStr">
        <is>
          <t>Seattle, WA, US</t>
        </is>
      </c>
      <c r="H96" s="3" t="n">
        <v>45922</v>
      </c>
      <c r="I9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in-b07771b93cdb3425</t>
        </is>
      </c>
      <c r="B97" t="inlineStr">
        <is>
          <t>Senior Applied Scientist, Artificial General Intelligence</t>
        </is>
      </c>
      <c r="C97" t="inlineStr">
        <is>
          <t>Amazon.com</t>
        </is>
      </c>
      <c r="D97" t="inlineStr">
        <is>
          <t>indeed</t>
        </is>
      </c>
      <c r="E97">
        <f>HYPERLINK("https://www.indeed.com/viewjob?jk=b07771b93cdb3425", "https://www.indeed.com/viewjob?jk=b07771b93cdb3425")</f>
        <v/>
      </c>
      <c r="F97">
        <f>HYPERLINK("https://www.amazon.jobs/jobs/3091494/senior-applied-scientist-artificial-general-intelligence?cmpid=DA_INAD200785B", "https://www.amazon.jobs/jobs/3091494/senior-applied-scientist-artificial-general-intelligence?cmpid=DA_INAD200785B")</f>
        <v/>
      </c>
      <c r="G97" t="inlineStr">
        <is>
          <t>Boston, MA, US</t>
        </is>
      </c>
      <c r="H97" s="3" t="n">
        <v>45922</v>
      </c>
      <c r="I9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in-8dda255c4611b124</t>
        </is>
      </c>
      <c r="B98" t="inlineStr">
        <is>
          <t>Senior Applied Scientist, Artificial General Intelligence</t>
        </is>
      </c>
      <c r="C98" t="inlineStr">
        <is>
          <t>Amazon.com</t>
        </is>
      </c>
      <c r="D98" t="inlineStr">
        <is>
          <t>indeed</t>
        </is>
      </c>
      <c r="E98">
        <f>HYPERLINK("https://www.indeed.com/viewjob?jk=8dda255c4611b124", "https://www.indeed.com/viewjob?jk=8dda255c4611b124")</f>
        <v/>
      </c>
      <c r="F98">
        <f>HYPERLINK("https://www.amazon.jobs/jobs/3091494/senior-applied-scientist-artificial-general-intelligence?cmpid=DA_INAD200785B", "https://www.amazon.jobs/jobs/3091494/senior-applied-scientist-artificial-general-intelligence?cmpid=DA_INAD200785B")</f>
        <v/>
      </c>
      <c r="G98" t="inlineStr">
        <is>
          <t>Sunnyvale, CA, US</t>
        </is>
      </c>
      <c r="H98" s="3" t="n">
        <v>45922</v>
      </c>
      <c r="I9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in-93bba238c322d3f8</t>
        </is>
      </c>
      <c r="B99" t="inlineStr">
        <is>
          <t>Applied Scientist, Artificial General Intelligence</t>
        </is>
      </c>
      <c r="C99" t="inlineStr">
        <is>
          <t>Amazon.com</t>
        </is>
      </c>
      <c r="D99" t="inlineStr">
        <is>
          <t>indeed</t>
        </is>
      </c>
      <c r="E99">
        <f>HYPERLINK("https://www.indeed.com/viewjob?jk=93bba238c322d3f8", "https://www.indeed.com/viewjob?jk=93bba238c322d3f8")</f>
        <v/>
      </c>
      <c r="F99">
        <f>HYPERLINK("https://www.amazon.jobs/jobs/3090846/applied-scientist-artificial-general-intelligence?cmpid=DA_INAD200785B", "https://www.amazon.jobs/jobs/3090846/applied-scientist-artificial-general-intelligence?cmpid=DA_INAD200785B")</f>
        <v/>
      </c>
      <c r="G99" t="inlineStr">
        <is>
          <t>New York, NY, US</t>
        </is>
      </c>
      <c r="H99" s="3" t="n">
        <v>45921</v>
      </c>
      <c r="I9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in-9fd34920a7997faf</t>
        </is>
      </c>
      <c r="B100" t="inlineStr">
        <is>
          <t>Applied Scientist, Artificial General Intelligence</t>
        </is>
      </c>
      <c r="C100" t="inlineStr">
        <is>
          <t>Amazon.com</t>
        </is>
      </c>
      <c r="D100" t="inlineStr">
        <is>
          <t>indeed</t>
        </is>
      </c>
      <c r="E100">
        <f>HYPERLINK("https://www.indeed.com/viewjob?jk=9fd34920a7997faf", "https://www.indeed.com/viewjob?jk=9fd34920a7997faf")</f>
        <v/>
      </c>
      <c r="F100">
        <f>HYPERLINK("https://www.amazon.jobs/jobs/3090846/applied-scientist-artificial-general-intelligence?cmpid=DA_INAD200785B", "https://www.amazon.jobs/jobs/3090846/applied-scientist-artificial-general-intelligence?cmpid=DA_INAD200785B")</f>
        <v/>
      </c>
      <c r="G100" t="inlineStr">
        <is>
          <t>Bellevue, WA, US</t>
        </is>
      </c>
      <c r="H100" s="3" t="n">
        <v>45921</v>
      </c>
      <c r="I100"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in-2ae1febc241e0a5e</t>
        </is>
      </c>
      <c r="B101" t="inlineStr">
        <is>
          <t>Applied Scientist, Artificial General Intelligence</t>
        </is>
      </c>
      <c r="C101" t="inlineStr">
        <is>
          <t>Amazon.com</t>
        </is>
      </c>
      <c r="D101" t="inlineStr">
        <is>
          <t>indeed</t>
        </is>
      </c>
      <c r="E101">
        <f>HYPERLINK("https://www.indeed.com/viewjob?jk=2ae1febc241e0a5e", "https://www.indeed.com/viewjob?jk=2ae1febc241e0a5e")</f>
        <v/>
      </c>
      <c r="F101">
        <f>HYPERLINK("https://www.amazon.jobs/jobs/3090846/applied-scientist-artificial-general-intelligence?cmpid=DA_INAD200785B", "https://www.amazon.jobs/jobs/3090846/applied-scientist-artificial-general-intelligence?cmpid=DA_INAD200785B")</f>
        <v/>
      </c>
      <c r="G101" t="inlineStr">
        <is>
          <t>Boston, MA, US</t>
        </is>
      </c>
      <c r="H101" s="3" t="n">
        <v>45921</v>
      </c>
      <c r="I101"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in-17c394c07ba2e3ed</t>
        </is>
      </c>
      <c r="B102" t="inlineStr">
        <is>
          <t>Applied Scientist, Artificial General Intelligence</t>
        </is>
      </c>
      <c r="C102" t="inlineStr">
        <is>
          <t>Amazon.com</t>
        </is>
      </c>
      <c r="D102" t="inlineStr">
        <is>
          <t>indeed</t>
        </is>
      </c>
      <c r="E102">
        <f>HYPERLINK("https://www.indeed.com/viewjob?jk=17c394c07ba2e3ed", "https://www.indeed.com/viewjob?jk=17c394c07ba2e3ed")</f>
        <v/>
      </c>
      <c r="F102">
        <f>HYPERLINK("https://www.amazon.jobs/jobs/3090846/applied-scientist-artificial-general-intelligence?cmpid=DA_INAD200785B", "https://www.amazon.jobs/jobs/3090846/applied-scientist-artificial-general-intelligence?cmpid=DA_INAD200785B")</f>
        <v/>
      </c>
      <c r="G102" t="inlineStr">
        <is>
          <t>Seattle, WA, US</t>
        </is>
      </c>
      <c r="H102" s="3" t="n">
        <v>45921</v>
      </c>
      <c r="I102"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in-a90047850964aaa6</t>
        </is>
      </c>
      <c r="B103" t="inlineStr">
        <is>
          <t>Senior Applied Scientist, Model Customization, Generative AI Innovation Center</t>
        </is>
      </c>
      <c r="C103" t="inlineStr">
        <is>
          <t>Amazon Web Services</t>
        </is>
      </c>
      <c r="D103" t="inlineStr">
        <is>
          <t>indeed</t>
        </is>
      </c>
      <c r="E103">
        <f>HYPERLINK("https://www.indeed.com/viewjob?jk=a90047850964aaa6", "https://www.indeed.com/viewjob?jk=a90047850964aaa6")</f>
        <v/>
      </c>
      <c r="F103">
        <f>HYPERLINK("https://www.amazon.jobs/jobs/3088254/senior-applied-scientist-model-customization-generative-ai-innovation-center?cmpid=DA_INAD200785B", "https://www.amazon.jobs/jobs/3088254/senior-applied-scientist-model-customization-generative-ai-innovation-center?cmpid=DA_INAD200785B")</f>
        <v/>
      </c>
      <c r="G103" t="inlineStr">
        <is>
          <t>Bellevue, WA, US</t>
        </is>
      </c>
      <c r="H103" s="3" t="n">
        <v>45908</v>
      </c>
      <c r="I10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in-93d5bda225b2b0c9</t>
        </is>
      </c>
      <c r="B104" t="inlineStr">
        <is>
          <t>Senior Applied Scientist, Model Customization, Generative AI Innovation Center</t>
        </is>
      </c>
      <c r="C104" t="inlineStr">
        <is>
          <t>Amazon Web Services</t>
        </is>
      </c>
      <c r="D104" t="inlineStr">
        <is>
          <t>indeed</t>
        </is>
      </c>
      <c r="E104">
        <f>HYPERLINK("https://www.indeed.com/viewjob?jk=93d5bda225b2b0c9", "https://www.indeed.com/viewjob?jk=93d5bda225b2b0c9")</f>
        <v/>
      </c>
      <c r="F104">
        <f>HYPERLINK("https://www.amazon.jobs/jobs/3088254/senior-applied-scientist-model-customization-generative-ai-innovation-center?cmpid=DA_INAD200785B", "https://www.amazon.jobs/jobs/3088254/senior-applied-scientist-model-customization-generative-ai-innovation-center?cmpid=DA_INAD200785B")</f>
        <v/>
      </c>
      <c r="G104" t="inlineStr">
        <is>
          <t>New York, NY, US</t>
        </is>
      </c>
      <c r="H104" s="3" t="n">
        <v>45908</v>
      </c>
      <c r="I104"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in-399558729626cba4</t>
        </is>
      </c>
      <c r="B105" t="inlineStr">
        <is>
          <t>Senior Applied Scientist, Model Customization, Generative AI Innovation Center</t>
        </is>
      </c>
      <c r="C105" t="inlineStr">
        <is>
          <t>Amazon Web Services</t>
        </is>
      </c>
      <c r="D105" t="inlineStr">
        <is>
          <t>indeed</t>
        </is>
      </c>
      <c r="E105">
        <f>HYPERLINK("https://www.indeed.com/viewjob?jk=399558729626cba4", "https://www.indeed.com/viewjob?jk=399558729626cba4")</f>
        <v/>
      </c>
      <c r="F105">
        <f>HYPERLINK("https://www.amazon.jobs/jobs/3088254/senior-applied-scientist-model-customization-generative-ai-innovation-center?cmpid=DA_INAD200785B", "https://www.amazon.jobs/jobs/3088254/senior-applied-scientist-model-customization-generative-ai-innovation-center?cmpid=DA_INAD200785B")</f>
        <v/>
      </c>
      <c r="G105" t="inlineStr">
        <is>
          <t>Seattle, WA, US</t>
        </is>
      </c>
      <c r="H105" s="3" t="n">
        <v>45908</v>
      </c>
      <c r="I105"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in-202ec812caa5aa2a</t>
        </is>
      </c>
      <c r="B106" t="inlineStr">
        <is>
          <t>Senior Applied Scientist, Model Customization, Generative AI Innovation Center</t>
        </is>
      </c>
      <c r="C106" t="inlineStr">
        <is>
          <t>Amazon Web Services</t>
        </is>
      </c>
      <c r="D106" t="inlineStr">
        <is>
          <t>indeed</t>
        </is>
      </c>
      <c r="E106">
        <f>HYPERLINK("https://www.indeed.com/viewjob?jk=202ec812caa5aa2a", "https://www.indeed.com/viewjob?jk=202ec812caa5aa2a")</f>
        <v/>
      </c>
      <c r="F106">
        <f>HYPERLINK("https://www.amazon.jobs/jobs/3088254/senior-applied-scientist-model-customization-generative-ai-innovation-center?cmpid=DA_INAD200785B", "https://www.amazon.jobs/jobs/3088254/senior-applied-scientist-model-customization-generative-ai-innovation-center?cmpid=DA_INAD200785B")</f>
        <v/>
      </c>
      <c r="G106" t="inlineStr">
        <is>
          <t>Arlington, VA, US</t>
        </is>
      </c>
      <c r="H106" s="3" t="n">
        <v>45908</v>
      </c>
      <c r="I106"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in-5f0bcf066ed3a723</t>
        </is>
      </c>
      <c r="B107" t="inlineStr">
        <is>
          <t>Applied Scientist II, Creative X - RAPID</t>
        </is>
      </c>
      <c r="C107" t="inlineStr">
        <is>
          <t>Amazon.com</t>
        </is>
      </c>
      <c r="D107" t="inlineStr">
        <is>
          <t>indeed</t>
        </is>
      </c>
      <c r="E107">
        <f>HYPERLINK("https://www.indeed.com/viewjob?jk=5f0bcf066ed3a723", "https://www.indeed.com/viewjob?jk=5f0bcf066ed3a723")</f>
        <v/>
      </c>
      <c r="F107">
        <f>HYPERLINK("https://www.amazon.jobs/jobs/3083576/applied-scientist-ii-creative-x--rapid?cmpid=DA_INAD200785B", "https://www.amazon.jobs/jobs/3083576/applied-scientist-ii-creative-x--rapid?cmpid=DA_INAD200785B")</f>
        <v/>
      </c>
      <c r="G107" t="inlineStr">
        <is>
          <t>New York, NY, US</t>
        </is>
      </c>
      <c r="H107" s="3" t="n">
        <v>45908</v>
      </c>
      <c r="I107"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in-e5ba165f3d148b13</t>
        </is>
      </c>
      <c r="B108" t="inlineStr">
        <is>
          <t>Applied Scientist II, Creative X - RAPID</t>
        </is>
      </c>
      <c r="C108" t="inlineStr">
        <is>
          <t>Amazon.com</t>
        </is>
      </c>
      <c r="D108" t="inlineStr">
        <is>
          <t>indeed</t>
        </is>
      </c>
      <c r="E108">
        <f>HYPERLINK("https://www.indeed.com/viewjob?jk=e5ba165f3d148b13", "https://www.indeed.com/viewjob?jk=e5ba165f3d148b13")</f>
        <v/>
      </c>
      <c r="F108">
        <f>HYPERLINK("https://www.amazon.jobs/jobs/3083576/applied-scientist-ii-creative-x--rapid?cmpid=DA_INAD200785B", "https://www.amazon.jobs/jobs/3083576/applied-scientist-ii-creative-x--rapid?cmpid=DA_INAD200785B")</f>
        <v/>
      </c>
      <c r="G108" t="inlineStr">
        <is>
          <t>Seattle, WA, US</t>
        </is>
      </c>
      <c r="H108" s="3" t="n">
        <v>45908</v>
      </c>
      <c r="I108"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in-7c7cb43e11b95ac8</t>
        </is>
      </c>
      <c r="B109" t="inlineStr">
        <is>
          <t>Senior Applied Scientist, Artificial General Intelligence</t>
        </is>
      </c>
      <c r="C109" t="inlineStr">
        <is>
          <t>Amazon.com</t>
        </is>
      </c>
      <c r="D109" t="inlineStr">
        <is>
          <t>indeed</t>
        </is>
      </c>
      <c r="E109">
        <f>HYPERLINK("https://www.indeed.com/viewjob?jk=7c7cb43e11b95ac8", "https://www.indeed.com/viewjob?jk=7c7cb43e11b95ac8")</f>
        <v/>
      </c>
      <c r="F109">
        <f>HYPERLINK("https://www.amazon.jobs/jobs/3078169/senior-applied-scientist-artificial-general-intelligence?cmpid=DA_INAD200785B", "https://www.amazon.jobs/jobs/3078169/senior-applied-scientist-artificial-general-intelligence?cmpid=DA_INAD200785B")</f>
        <v/>
      </c>
      <c r="G109" t="inlineStr">
        <is>
          <t>New York, NY, US</t>
        </is>
      </c>
      <c r="H109" s="3" t="n">
        <v>45907</v>
      </c>
      <c r="I109"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in-b972e4aad7e87eac</t>
        </is>
      </c>
      <c r="B110" t="inlineStr">
        <is>
          <t>Senior Applied Scientist, Artificial General Intelligence</t>
        </is>
      </c>
      <c r="C110" t="inlineStr">
        <is>
          <t>Amazon.com</t>
        </is>
      </c>
      <c r="D110" t="inlineStr">
        <is>
          <t>indeed</t>
        </is>
      </c>
      <c r="E110">
        <f>HYPERLINK("https://www.indeed.com/viewjob?jk=b972e4aad7e87eac", "https://www.indeed.com/viewjob?jk=b972e4aad7e87eac")</f>
        <v/>
      </c>
      <c r="F110">
        <f>HYPERLINK("https://www.amazon.jobs/jobs/3078169/senior-applied-scientist-artificial-general-intelligence?cmpid=DA_INAD200785B", "https://www.amazon.jobs/jobs/3078169/senior-applied-scientist-artificial-general-intelligence?cmpid=DA_INAD200785B")</f>
        <v/>
      </c>
      <c r="G110" t="inlineStr">
        <is>
          <t>Bellevue, WA, US</t>
        </is>
      </c>
      <c r="H110" s="3" t="n">
        <v>45907</v>
      </c>
      <c r="I110"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in-a7baf5bde08ff8b4</t>
        </is>
      </c>
      <c r="B111" t="inlineStr">
        <is>
          <t>Senior Applied Scientist, Artificial General Intelligence</t>
        </is>
      </c>
      <c r="C111" t="inlineStr">
        <is>
          <t>Amazon.com</t>
        </is>
      </c>
      <c r="D111" t="inlineStr">
        <is>
          <t>indeed</t>
        </is>
      </c>
      <c r="E111">
        <f>HYPERLINK("https://www.indeed.com/viewjob?jk=a7baf5bde08ff8b4", "https://www.indeed.com/viewjob?jk=a7baf5bde08ff8b4")</f>
        <v/>
      </c>
      <c r="F111">
        <f>HYPERLINK("https://www.amazon.jobs/jobs/3078169/senior-applied-scientist-artificial-general-intelligence?cmpid=DA_INAD200785B", "https://www.amazon.jobs/jobs/3078169/senior-applied-scientist-artificial-general-intelligence?cmpid=DA_INAD200785B")</f>
        <v/>
      </c>
      <c r="G111" t="inlineStr">
        <is>
          <t>Seattle, WA, US</t>
        </is>
      </c>
      <c r="H111" s="3" t="n">
        <v>45907</v>
      </c>
      <c r="I111"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in-36c1dffa00a3f62f</t>
        </is>
      </c>
      <c r="B112" t="inlineStr">
        <is>
          <t>Senior Applied Scientist, Artificial General Intelligence</t>
        </is>
      </c>
      <c r="C112" t="inlineStr">
        <is>
          <t>Amazon.com</t>
        </is>
      </c>
      <c r="D112" t="inlineStr">
        <is>
          <t>indeed</t>
        </is>
      </c>
      <c r="E112">
        <f>HYPERLINK("https://www.indeed.com/viewjob?jk=36c1dffa00a3f62f", "https://www.indeed.com/viewjob?jk=36c1dffa00a3f62f")</f>
        <v/>
      </c>
      <c r="F112">
        <f>HYPERLINK("https://www.amazon.jobs/jobs/3078169/senior-applied-scientist-artificial-general-intelligence?cmpid=DA_INAD200785B", "https://www.amazon.jobs/jobs/3078169/senior-applied-scientist-artificial-general-intelligence?cmpid=DA_INAD200785B")</f>
        <v/>
      </c>
      <c r="G112" t="inlineStr">
        <is>
          <t>Sunnyvale, CA, US</t>
        </is>
      </c>
      <c r="H112" s="3" t="n">
        <v>45907</v>
      </c>
      <c r="I112"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in-e632d0b25dd13a29</t>
        </is>
      </c>
      <c r="B113" t="inlineStr">
        <is>
          <t>Principal Applied Scientist, AGI Foundations, AGI Foundations</t>
        </is>
      </c>
      <c r="C113" t="inlineStr">
        <is>
          <t>Amazon.com</t>
        </is>
      </c>
      <c r="D113" t="inlineStr">
        <is>
          <t>indeed</t>
        </is>
      </c>
      <c r="E113">
        <f>HYPERLINK("https://www.indeed.com/viewjob?jk=e632d0b25dd13a29", "https://www.indeed.com/viewjob?jk=e632d0b25dd13a29")</f>
        <v/>
      </c>
      <c r="F113">
        <f>HYPERLINK("https://www.amazon.jobs/jobs/3047563/principal-applied-scientist-agi-foundations-agi-foundations?cmpid=DA_INAD200785B", "https://www.amazon.jobs/jobs/3047563/principal-applied-scientist-agi-foundations-agi-foundations?cmpid=DA_INAD200785B")</f>
        <v/>
      </c>
      <c r="G113" t="inlineStr">
        <is>
          <t>New York, NY, US</t>
        </is>
      </c>
      <c r="H113" s="3" t="n">
        <v>45856</v>
      </c>
      <c r="I11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in-0f8ccbc0eb7c59fe</t>
        </is>
      </c>
      <c r="B114" t="inlineStr">
        <is>
          <t>Principal Applied Scientist, AGI Foundations, AGI Foundations</t>
        </is>
      </c>
      <c r="C114" t="inlineStr">
        <is>
          <t>Amazon.com</t>
        </is>
      </c>
      <c r="D114" t="inlineStr">
        <is>
          <t>indeed</t>
        </is>
      </c>
      <c r="E114">
        <f>HYPERLINK("https://www.indeed.com/viewjob?jk=0f8ccbc0eb7c59fe", "https://www.indeed.com/viewjob?jk=0f8ccbc0eb7c59fe")</f>
        <v/>
      </c>
      <c r="F114">
        <f>HYPERLINK("https://www.amazon.jobs/jobs/3047563/principal-applied-scientist-agi-foundations-agi-foundations?cmpid=DA_INAD200785B", "https://www.amazon.jobs/jobs/3047563/principal-applied-scientist-agi-foundations-agi-foundations?cmpid=DA_INAD200785B")</f>
        <v/>
      </c>
      <c r="G114" t="inlineStr">
        <is>
          <t>Bellevue, WA, US</t>
        </is>
      </c>
      <c r="H114" s="3" t="n">
        <v>45856</v>
      </c>
      <c r="I114"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in-52fd3e1b0e801ab0</t>
        </is>
      </c>
      <c r="B115" t="inlineStr">
        <is>
          <t>Principal Applied Scientist, AGI Foundations, AGI Foundations</t>
        </is>
      </c>
      <c r="C115" t="inlineStr">
        <is>
          <t>Amazon.com</t>
        </is>
      </c>
      <c r="D115" t="inlineStr">
        <is>
          <t>indeed</t>
        </is>
      </c>
      <c r="E115">
        <f>HYPERLINK("https://www.indeed.com/viewjob?jk=52fd3e1b0e801ab0", "https://www.indeed.com/viewjob?jk=52fd3e1b0e801ab0")</f>
        <v/>
      </c>
      <c r="F115">
        <f>HYPERLINK("https://www.amazon.jobs/jobs/3047563/principal-applied-scientist-agi-foundations-agi-foundations?cmpid=DA_INAD200785B", "https://www.amazon.jobs/jobs/3047563/principal-applied-scientist-agi-foundations-agi-foundations?cmpid=DA_INAD200785B")</f>
        <v/>
      </c>
      <c r="G115" t="inlineStr">
        <is>
          <t>Sunnyvale, CA, US</t>
        </is>
      </c>
      <c r="H115" s="3" t="n">
        <v>45856</v>
      </c>
      <c r="I11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in-27949670ca1e6730</t>
        </is>
      </c>
      <c r="B116" t="inlineStr">
        <is>
          <t>Principal Applied Scientist, AGI Foundations, AGI Foundations</t>
        </is>
      </c>
      <c r="C116" t="inlineStr">
        <is>
          <t>Amazon.com</t>
        </is>
      </c>
      <c r="D116" t="inlineStr">
        <is>
          <t>indeed</t>
        </is>
      </c>
      <c r="E116">
        <f>HYPERLINK("https://www.indeed.com/viewjob?jk=27949670ca1e6730", "https://www.indeed.com/viewjob?jk=27949670ca1e6730")</f>
        <v/>
      </c>
      <c r="F116">
        <f>HYPERLINK("https://www.amazon.jobs/jobs/3047563/principal-applied-scientist-agi-foundations-agi-foundations?cmpid=DA_INAD200785B", "https://www.amazon.jobs/jobs/3047563/principal-applied-scientist-agi-foundations-agi-foundations?cmpid=DA_INAD200785B")</f>
        <v/>
      </c>
      <c r="G116" t="inlineStr">
        <is>
          <t>Boston, MA, US</t>
        </is>
      </c>
      <c r="H116" s="3" t="n">
        <v>45856</v>
      </c>
      <c r="I11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in-11f407ba80d2caef</t>
        </is>
      </c>
      <c r="B117" t="inlineStr">
        <is>
          <t>Sr. Applied Scientist, Amazon Advertising</t>
        </is>
      </c>
      <c r="C117" t="inlineStr">
        <is>
          <t>Amazon.com</t>
        </is>
      </c>
      <c r="D117" t="inlineStr">
        <is>
          <t>indeed</t>
        </is>
      </c>
      <c r="E117">
        <f>HYPERLINK("https://www.indeed.com/viewjob?jk=11f407ba80d2caef", "https://www.indeed.com/viewjob?jk=11f407ba80d2caef")</f>
        <v/>
      </c>
      <c r="F117">
        <f>HYPERLINK("https://www.amazon.jobs/jobs/3035686/sr-applied-scientist-amazon-advertising?cmpid=DA_INAD200785B", "https://www.amazon.jobs/jobs/3035686/sr-applied-scientist-amazon-advertising?cmpid=DA_INAD200785B")</f>
        <v/>
      </c>
      <c r="G117" t="inlineStr">
        <is>
          <t>Palo Alto, CA, US</t>
        </is>
      </c>
      <c r="H117" s="3" t="n">
        <v>45851</v>
      </c>
      <c r="I11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in-b498368ed41a859f</t>
        </is>
      </c>
      <c r="B118" t="inlineStr">
        <is>
          <t>Sr. Applied Scientist, Amazon Advertising</t>
        </is>
      </c>
      <c r="C118" t="inlineStr">
        <is>
          <t>Amazon.com</t>
        </is>
      </c>
      <c r="D118" t="inlineStr">
        <is>
          <t>indeed</t>
        </is>
      </c>
      <c r="E118">
        <f>HYPERLINK("https://www.indeed.com/viewjob?jk=b498368ed41a859f", "https://www.indeed.com/viewjob?jk=b498368ed41a859f")</f>
        <v/>
      </c>
      <c r="F118">
        <f>HYPERLINK("https://www.amazon.jobs/jobs/3035686/sr-applied-scientist-amazon-advertising?cmpid=DA_INAD200785B", "https://www.amazon.jobs/jobs/3035686/sr-applied-scientist-amazon-advertising?cmpid=DA_INAD200785B")</f>
        <v/>
      </c>
      <c r="G118" t="inlineStr">
        <is>
          <t>Los Angeles, CA, US</t>
        </is>
      </c>
      <c r="H118" s="3" t="n">
        <v>45851</v>
      </c>
      <c r="I11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in-9138702aed17c519</t>
        </is>
      </c>
      <c r="B119" t="inlineStr">
        <is>
          <t>Sr. Applied Scientist, Amazon Advertising</t>
        </is>
      </c>
      <c r="C119" t="inlineStr">
        <is>
          <t>Amazon.com</t>
        </is>
      </c>
      <c r="D119" t="inlineStr">
        <is>
          <t>indeed</t>
        </is>
      </c>
      <c r="E119">
        <f>HYPERLINK("https://www.indeed.com/viewjob?jk=9138702aed17c519", "https://www.indeed.com/viewjob?jk=9138702aed17c519")</f>
        <v/>
      </c>
      <c r="F119">
        <f>HYPERLINK("https://www.amazon.jobs/jobs/3035686/sr-applied-scientist-amazon-advertising?cmpid=DA_INAD200785B", "https://www.amazon.jobs/jobs/3035686/sr-applied-scientist-amazon-advertising?cmpid=DA_INAD200785B")</f>
        <v/>
      </c>
      <c r="G119" t="inlineStr">
        <is>
          <t>Arlington, VA, US</t>
        </is>
      </c>
      <c r="H119" s="3" t="n">
        <v>45851</v>
      </c>
      <c r="I11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in-8f7b9ba1c1c18b1b</t>
        </is>
      </c>
      <c r="B120" t="inlineStr">
        <is>
          <t>Sr. Applied Scientist, Amazon Advertising</t>
        </is>
      </c>
      <c r="C120" t="inlineStr">
        <is>
          <t>Amazon.com</t>
        </is>
      </c>
      <c r="D120" t="inlineStr">
        <is>
          <t>indeed</t>
        </is>
      </c>
      <c r="E120">
        <f>HYPERLINK("https://www.indeed.com/viewjob?jk=8f7b9ba1c1c18b1b", "https://www.indeed.com/viewjob?jk=8f7b9ba1c1c18b1b")</f>
        <v/>
      </c>
      <c r="F120">
        <f>HYPERLINK("https://www.amazon.jobs/jobs/3035686/sr-applied-scientist-amazon-advertising?cmpid=DA_INAD200785B", "https://www.amazon.jobs/jobs/3035686/sr-applied-scientist-amazon-advertising?cmpid=DA_INAD200785B")</f>
        <v/>
      </c>
      <c r="G120" t="inlineStr">
        <is>
          <t>Seattle, WA, US</t>
        </is>
      </c>
      <c r="H120" s="3" t="n">
        <v>45851</v>
      </c>
      <c r="I12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in-8c90427ffdf51939</t>
        </is>
      </c>
      <c r="B121" t="inlineStr">
        <is>
          <t>Sr. Applied Scientist, Amazon Advertising</t>
        </is>
      </c>
      <c r="C121" t="inlineStr">
        <is>
          <t>Amazon.com</t>
        </is>
      </c>
      <c r="D121" t="inlineStr">
        <is>
          <t>indeed</t>
        </is>
      </c>
      <c r="E121">
        <f>HYPERLINK("https://www.indeed.com/viewjob?jk=8c90427ffdf51939", "https://www.indeed.com/viewjob?jk=8c90427ffdf51939")</f>
        <v/>
      </c>
      <c r="F121">
        <f>HYPERLINK("https://www.amazon.jobs/jobs/3035686/sr-applied-scientist-amazon-advertising?cmpid=DA_INAD200785B", "https://www.amazon.jobs/jobs/3035686/sr-applied-scientist-amazon-advertising?cmpid=DA_INAD200785B")</f>
        <v/>
      </c>
      <c r="G121" t="inlineStr">
        <is>
          <t>West Hollywood, CA, US</t>
        </is>
      </c>
      <c r="H121" s="3" t="n">
        <v>45851</v>
      </c>
      <c r="I12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in-0eaca493265ad838</t>
        </is>
      </c>
      <c r="B122" t="inlineStr">
        <is>
          <t>Sr. Applied Scientist, Amazon Advertising</t>
        </is>
      </c>
      <c r="C122" t="inlineStr">
        <is>
          <t>Amazon.com</t>
        </is>
      </c>
      <c r="D122" t="inlineStr">
        <is>
          <t>indeed</t>
        </is>
      </c>
      <c r="E122">
        <f>HYPERLINK("https://www.indeed.com/viewjob?jk=0eaca493265ad838", "https://www.indeed.com/viewjob?jk=0eaca493265ad838")</f>
        <v/>
      </c>
      <c r="F122">
        <f>HYPERLINK("https://www.amazon.jobs/jobs/3035686/sr-applied-scientist-amazon-advertising?cmpid=DA_INAD200785B", "https://www.amazon.jobs/jobs/3035686/sr-applied-scientist-amazon-advertising?cmpid=DA_INAD200785B")</f>
        <v/>
      </c>
      <c r="G122" t="inlineStr">
        <is>
          <t>Simi Valley, CA, US</t>
        </is>
      </c>
      <c r="H122" s="3" t="n">
        <v>45851</v>
      </c>
      <c r="I12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in-bf499662a42e4da1</t>
        </is>
      </c>
      <c r="B123" t="inlineStr">
        <is>
          <t>Sr. Applied Scientist, Amazon Advertising</t>
        </is>
      </c>
      <c r="C123" t="inlineStr">
        <is>
          <t>Amazon.com</t>
        </is>
      </c>
      <c r="D123" t="inlineStr">
        <is>
          <t>indeed</t>
        </is>
      </c>
      <c r="E123">
        <f>HYPERLINK("https://www.indeed.com/viewjob?jk=bf499662a42e4da1", "https://www.indeed.com/viewjob?jk=bf499662a42e4da1")</f>
        <v/>
      </c>
      <c r="F123">
        <f>HYPERLINK("https://www.amazon.jobs/jobs/3035686/sr-applied-scientist-amazon-advertising?cmpid=DA_INAD200785B", "https://www.amazon.jobs/jobs/3035686/sr-applied-scientist-amazon-advertising?cmpid=DA_INAD200785B")</f>
        <v/>
      </c>
      <c r="G123" t="inlineStr">
        <is>
          <t>Austin, TX, US</t>
        </is>
      </c>
      <c r="H123" s="3" t="n">
        <v>45851</v>
      </c>
      <c r="I12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in-d2ff414133304556</t>
        </is>
      </c>
      <c r="B124" t="inlineStr">
        <is>
          <t>Sr. Applied Scientist, Amazon Advertising</t>
        </is>
      </c>
      <c r="C124" t="inlineStr">
        <is>
          <t>Amazon.com</t>
        </is>
      </c>
      <c r="D124" t="inlineStr">
        <is>
          <t>indeed</t>
        </is>
      </c>
      <c r="E124">
        <f>HYPERLINK("https://www.indeed.com/viewjob?jk=d2ff414133304556", "https://www.indeed.com/viewjob?jk=d2ff414133304556")</f>
        <v/>
      </c>
      <c r="F124">
        <f>HYPERLINK("https://www.amazon.jobs/jobs/3035686/sr-applied-scientist-amazon-advertising?cmpid=DA_INAD200785B", "https://www.amazon.jobs/jobs/3035686/sr-applied-scientist-amazon-advertising?cmpid=DA_INAD200785B")</f>
        <v/>
      </c>
      <c r="G124" t="inlineStr">
        <is>
          <t>New York, NY, US</t>
        </is>
      </c>
      <c r="H124" s="3" t="n">
        <v>45851</v>
      </c>
      <c r="I12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in-10720bbdf0700f30</t>
        </is>
      </c>
      <c r="B125" t="inlineStr">
        <is>
          <t>Senior Applied Scientist, Artificial General Intelligence</t>
        </is>
      </c>
      <c r="C125" t="inlineStr">
        <is>
          <t>Amazon.com</t>
        </is>
      </c>
      <c r="D125" t="inlineStr">
        <is>
          <t>indeed</t>
        </is>
      </c>
      <c r="E125">
        <f>HYPERLINK("https://www.indeed.com/viewjob?jk=10720bbdf0700f30", "https://www.indeed.com/viewjob?jk=10720bbdf0700f30")</f>
        <v/>
      </c>
      <c r="F125">
        <f>HYPERLINK("https://www.amazon.jobs/jobs/3029958/senior-applied-scientist-artificial-general-intelligence?cmpid=DA_INAD200785B", "https://www.amazon.jobs/jobs/3029958/senior-applied-scientist-artificial-general-intelligence?cmpid=DA_INAD200785B")</f>
        <v/>
      </c>
      <c r="G125" t="inlineStr">
        <is>
          <t>Boston, MA, US</t>
        </is>
      </c>
      <c r="H125" s="3" t="n">
        <v>45846</v>
      </c>
      <c r="I125"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in-e67c06b2ebec5938</t>
        </is>
      </c>
      <c r="B126" t="inlineStr">
        <is>
          <t>Senior Applied Scientist, Artificial General Intelligence</t>
        </is>
      </c>
      <c r="C126" t="inlineStr">
        <is>
          <t>Amazon.com</t>
        </is>
      </c>
      <c r="D126" t="inlineStr">
        <is>
          <t>indeed</t>
        </is>
      </c>
      <c r="E126">
        <f>HYPERLINK("https://www.indeed.com/viewjob?jk=e67c06b2ebec5938", "https://www.indeed.com/viewjob?jk=e67c06b2ebec5938")</f>
        <v/>
      </c>
      <c r="F126">
        <f>HYPERLINK("https://www.amazon.jobs/jobs/3029958/senior-applied-scientist-artificial-general-intelligence?cmpid=DA_INAD200785B", "https://www.amazon.jobs/jobs/3029958/senior-applied-scientist-artificial-general-intelligence?cmpid=DA_INAD200785B")</f>
        <v/>
      </c>
      <c r="G126" t="inlineStr">
        <is>
          <t>Sunnyvale, CA, US</t>
        </is>
      </c>
      <c r="H126" s="3" t="n">
        <v>45846</v>
      </c>
      <c r="I126"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in-c3b25a89c145fe38</t>
        </is>
      </c>
      <c r="B127" t="inlineStr">
        <is>
          <t>Senior Applied Scientist, Artificial General Intelligence</t>
        </is>
      </c>
      <c r="C127" t="inlineStr">
        <is>
          <t>Amazon.com</t>
        </is>
      </c>
      <c r="D127" t="inlineStr">
        <is>
          <t>indeed</t>
        </is>
      </c>
      <c r="E127">
        <f>HYPERLINK("https://www.indeed.com/viewjob?jk=c3b25a89c145fe38", "https://www.indeed.com/viewjob?jk=c3b25a89c145fe38")</f>
        <v/>
      </c>
      <c r="F127">
        <f>HYPERLINK("https://www.amazon.jobs/jobs/3029958/senior-applied-scientist-artificial-general-intelligence?cmpid=DA_INAD200785B", "https://www.amazon.jobs/jobs/3029958/senior-applied-scientist-artificial-general-intelligence?cmpid=DA_INAD200785B")</f>
        <v/>
      </c>
      <c r="G127" t="inlineStr">
        <is>
          <t>Seattle, WA, US</t>
        </is>
      </c>
      <c r="H127" s="3" t="n">
        <v>45846</v>
      </c>
      <c r="I127"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in-7b4f455287c533b0</t>
        </is>
      </c>
      <c r="B128" t="inlineStr">
        <is>
          <t>Machine Learning Engineer, Amazon General Intelligence (AGI)</t>
        </is>
      </c>
      <c r="C128" t="inlineStr">
        <is>
          <t>Amazon.com</t>
        </is>
      </c>
      <c r="D128" t="inlineStr">
        <is>
          <t>indeed</t>
        </is>
      </c>
      <c r="E128">
        <f>HYPERLINK("https://www.indeed.com/viewjob?jk=7b4f455287c533b0", "https://www.indeed.com/viewjob?jk=7b4f455287c533b0")</f>
        <v/>
      </c>
      <c r="F128">
        <f>HYPERLINK("https://www.amazon.jobs/jobs/3003288/machine-learning-engineer-amazon-general-intelligence-agi?cmpid=DA_INAD200785B", "https://www.amazon.jobs/jobs/3003288/machine-learning-engineer-amazon-general-intelligence-agi?cmpid=DA_INAD200785B")</f>
        <v/>
      </c>
      <c r="G128" t="inlineStr">
        <is>
          <t>Bellevue, WA, US</t>
        </is>
      </c>
      <c r="H128" s="3" t="n">
        <v>45813</v>
      </c>
      <c r="I128"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in-519aad3fea9e11dd</t>
        </is>
      </c>
      <c r="B129" t="inlineStr">
        <is>
          <t>Machine Learning Engineer, Amazon General Intelligence (AGI)</t>
        </is>
      </c>
      <c r="C129" t="inlineStr">
        <is>
          <t>Amazon.com</t>
        </is>
      </c>
      <c r="D129" t="inlineStr">
        <is>
          <t>indeed</t>
        </is>
      </c>
      <c r="E129">
        <f>HYPERLINK("https://www.indeed.com/viewjob?jk=519aad3fea9e11dd", "https://www.indeed.com/viewjob?jk=519aad3fea9e11dd")</f>
        <v/>
      </c>
      <c r="F129">
        <f>HYPERLINK("https://www.amazon.jobs/jobs/3003288/machine-learning-engineer-amazon-general-intelligence-agi?cmpid=DA_INAD200785B", "https://www.amazon.jobs/jobs/3003288/machine-learning-engineer-amazon-general-intelligence-agi?cmpid=DA_INAD200785B")</f>
        <v/>
      </c>
      <c r="G129" t="inlineStr">
        <is>
          <t>Seattle, WA, US</t>
        </is>
      </c>
      <c r="H129" s="3" t="n">
        <v>45813</v>
      </c>
      <c r="I129"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in-8bd52eabaf3f27a7</t>
        </is>
      </c>
      <c r="B130" t="inlineStr">
        <is>
          <t>Sr. Applied Scientist, AGI Info</t>
        </is>
      </c>
      <c r="C130" t="inlineStr">
        <is>
          <t>Amazon.com</t>
        </is>
      </c>
      <c r="D130" t="inlineStr">
        <is>
          <t>indeed</t>
        </is>
      </c>
      <c r="E130">
        <f>HYPERLINK("https://www.indeed.com/viewjob?jk=8bd52eabaf3f27a7", "https://www.indeed.com/viewjob?jk=8bd52eabaf3f27a7")</f>
        <v/>
      </c>
      <c r="F130">
        <f>HYPERLINK("https://www.amazon.jobs/jobs/2999351/sr-applied-scientist-agi-info?cmpid=DA_INAD200785B", "https://www.amazon.jobs/jobs/2999351/sr-applied-scientist-agi-info?cmpid=DA_INAD200785B")</f>
        <v/>
      </c>
      <c r="G130" t="inlineStr">
        <is>
          <t>Sunnyvale, CA, US</t>
        </is>
      </c>
      <c r="H130" s="3" t="n">
        <v>45811</v>
      </c>
      <c r="I130"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in-4794cdf7641d750a</t>
        </is>
      </c>
      <c r="B131" t="inlineStr">
        <is>
          <t>Sr. Applied Scientist, AGI Info</t>
        </is>
      </c>
      <c r="C131" t="inlineStr">
        <is>
          <t>Amazon.com</t>
        </is>
      </c>
      <c r="D131" t="inlineStr">
        <is>
          <t>indeed</t>
        </is>
      </c>
      <c r="E131">
        <f>HYPERLINK("https://www.indeed.com/viewjob?jk=4794cdf7641d750a", "https://www.indeed.com/viewjob?jk=4794cdf7641d750a")</f>
        <v/>
      </c>
      <c r="F131">
        <f>HYPERLINK("https://www.amazon.jobs/jobs/2999351/sr-applied-scientist-agi-info?cmpid=DA_INAD200785B", "https://www.amazon.jobs/jobs/2999351/sr-applied-scientist-agi-info?cmpid=DA_INAD200785B")</f>
        <v/>
      </c>
      <c r="G131" t="inlineStr">
        <is>
          <t>Bellevue, WA, US</t>
        </is>
      </c>
      <c r="H131" s="3" t="n">
        <v>45811</v>
      </c>
      <c r="I131"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in-bdcdcc21dc9c59d8</t>
        </is>
      </c>
      <c r="B132" t="inlineStr">
        <is>
          <t>Principal Applied Scientist, FAR (Frontier AI &amp; Robotics)</t>
        </is>
      </c>
      <c r="C132" t="inlineStr">
        <is>
          <t>Amazon.com</t>
        </is>
      </c>
      <c r="D132" t="inlineStr">
        <is>
          <t>indeed</t>
        </is>
      </c>
      <c r="E132">
        <f>HYPERLINK("https://www.indeed.com/viewjob?jk=bdcdcc21dc9c59d8", "https://www.indeed.com/viewjob?jk=bdcdcc21dc9c59d8")</f>
        <v/>
      </c>
      <c r="F132">
        <f>HYPERLINK("https://www.amazon.jobs/jobs/2938625/principal-applied-scientist-far-frontier-ai--robotics?cmpid=DA_INAD200785B", "https://www.amazon.jobs/jobs/2938625/principal-applied-scientist-far-frontier-ai--robotics?cmpid=DA_INAD200785B")</f>
        <v/>
      </c>
      <c r="G132" t="inlineStr">
        <is>
          <t>San Francisco, CA, US</t>
        </is>
      </c>
      <c r="H132" s="3" t="n">
        <v>45740</v>
      </c>
      <c r="I13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in-37439d972ec24b88</t>
        </is>
      </c>
      <c r="B133" t="inlineStr">
        <is>
          <t>Principal Applied Scientist, FAR (Frontier AI &amp; Robotics)</t>
        </is>
      </c>
      <c r="C133" t="inlineStr">
        <is>
          <t>Amazon.com</t>
        </is>
      </c>
      <c r="D133" t="inlineStr">
        <is>
          <t>indeed</t>
        </is>
      </c>
      <c r="E133">
        <f>HYPERLINK("https://www.indeed.com/viewjob?jk=37439d972ec24b88", "https://www.indeed.com/viewjob?jk=37439d972ec24b88")</f>
        <v/>
      </c>
      <c r="F133">
        <f>HYPERLINK("https://www.amazon.jobs/jobs/2938625/principal-applied-scientist-far-frontier-ai--robotics?cmpid=DA_INAD200785B", "https://www.amazon.jobs/jobs/2938625/principal-applied-scientist-far-frontier-ai--robotics?cmpid=DA_INAD200785B")</f>
        <v/>
      </c>
      <c r="G133" t="inlineStr">
        <is>
          <t>Seattle, WA, US</t>
        </is>
      </c>
      <c r="H133" s="3" t="n">
        <v>45740</v>
      </c>
      <c r="I133"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in-d3048ff637624442</t>
        </is>
      </c>
      <c r="B134" t="inlineStr">
        <is>
          <t>Founding AI/ML Engineer (Recommenders &amp; Graph) — Equity Only</t>
        </is>
      </c>
      <c r="C134" t="inlineStr">
        <is>
          <t>Streak Promoter</t>
        </is>
      </c>
      <c r="D134" t="inlineStr">
        <is>
          <t>indeed</t>
        </is>
      </c>
      <c r="E134">
        <f>HYPERLINK("https://www.indeed.com/viewjob?jk=d3048ff637624442", "https://www.indeed.com/viewjob?jk=d3048ff637624442")</f>
        <v/>
      </c>
      <c r="F134">
        <f>HYPERLINK("http://www.indeed.com/job/founding-aiml-engineer-recommenders-graph-equity-only-d3048ff637624442", "http://www.indeed.com/job/founding-aiml-engineer-recommenders-graph-equity-only-d3048ff637624442")</f>
        <v/>
      </c>
      <c r="G134" t="inlineStr">
        <is>
          <t>Remote, US</t>
        </is>
      </c>
      <c r="H134" s="3" t="n">
        <v>46032</v>
      </c>
      <c r="I134" t="inlineStr">
        <is>
          <t>**Company:** Streak Promoter  
**Location:** Remote (US\-friendly time zones)  
**Comp:** **Equity only** at this stage (founder\-level; standard 4\-year vesting with 1\-year cliff). No salary until we raise.
Streak is a new kind of event platform: ticketing \+ a promoter rewards marketplace \+ local business partnerships. Think **mycelium network for IRL culture**—connecting attendees, promoters, venues, and neighborhood businesses so everyone grows together.
We’re pre\-seed and pre\-revenue. You’d join as a **founding team member** and shape the product, data, and ML stack from day one. We are currently in the final stages of finishing the web beta and have venues and businesses ready to onboard and are ready to start implementing AI\-powered features.
The Opportunity:
Competitors sell tickets. We’re building **intelligence**:
* Event \&amp; reward **recommendations** that feel like Spotify for going out.
* A living **mycelium graph** (users ↔ promoters ↔ venues ↔ businesses).
* **Content assistants** for promoters and venues.
* **Dynamic reward matching** and **predictive** ticketing/attendance.
* Your work will directly move core business metrics: discovery, conversion, repeat attendance, and partner ROI.
What You’ll Do
* **Own recommendations end\-to\-end:** telemetry → features → recall/rank/rerank → online serving → A/B measurement.
* **Design the data contracts** for events, rewards, promoter referrals, and conversions; partner with backend to instrument logging.
* **Stand up the Feature Store** (MVP) and **Vector Index** for semantic search/recs.
* **Model the “mycelium” graph:** build/maintain a graph of users/promoters/venues/businesses; ship graph\-powered recall \&amp; similarity.
* **Ship AI content tools:** promoter copy, event descriptions; safe prompt/response pipelines with guardrails.
* **Predictive models:** initial ticket sales/attendance forecasts and triggers for dynamic promos.
* **Productionize ML:** AB tests, monitoring, drift checks, cost/perf tuning, incident playbooks.
* **Collaborate deeply** with Product, Design, and our NestJS team to ship fast behind feature flags.
Our Stack (you don’t need all of this—just be eager to own and learn)
* **App/backend:** NestJS (TypeScript), PostgreSQL, Stripe, AWS (S3, ECS).
* **Data/ML:** Python, dbt, Airflow, S3/Parquet \+ Warehouse, **pgvector/Milvus**, **Neo4j/Neptune**, **Feast** (or equivalent), ANN search, XGBoost/Prophet.
* **LLM/RAG:** Open\-source \+ hosted LLMs, retrieval over events/rewards/FAQs.
* **Ops:** OpenTelemetry, MLflow, Evidently, feature flags/A\-B (e.g., GrowthBook/ConfigCat/LaunchDarkly).
What Great Looks Like (Requirements)
* 4–8\+ years building **production** ML systems, including at least one **shipped recommender** that moved a business metric.
* Strong **Python** \+ practical ML (feature engineering, AB testing, offline/online evals).
* Experience with **ANN/vector search** and at least basic **graph** modeling (Neo4j/Graph embeddings/GNNs or equivalent).
* Comfortable across data plumbing (streaming/ETL/dbt) and **serving** (APIs, latency, caching, fallbacks).
* Obsessed with **measurement** (metrics, guardrails, experiment design) and reliability in prod.
* Startup\-ready: you prototype fast, instrument carefully, and ship.
Nice to Have
* LLM experience for **assistive tools** (prompt pipelines, safety/PII filtering).
* Forecasting/dynamic pricing exposure.
* AWS data stack (Kinesis/MSK, Redshift) and **Feast**.
* TypeScript/NestJS familiarity to collaborate closely with backend.
Day\-0 to Day\-90: What You’ll Ship
* **Days 0–30:**
* Telemetry schema \+ dbt models for events/rewards/promoter referrals.
* **Feature Store MVP** \+ **pgvector** set up.
* **Content Assistant MVP** (promoter copy \&amp; event descriptions) behind a flag.
* **Days 31–60:**
* **Event/Reward Recs v1** (hybrid rules \+ embeddings) with online AB.
* **Promoter Insights v0** (simple attribution \&amp; actionable suggestions).
* Baseline **guardrails**: PII scrubbing, prompt linting, abuse heuristics.
* **Days 61–90:**
* **Dynamic reward matching** (semantic \+ context).
* **Forecasting MVP** for ticket sales/attendance and promo triggers.
* Post\-launch iteration plan based on experiment readouts.
Why Join Streak
* **Founder\-level ownership** and a chance to architect the intelligence layer of a new marketplace.
* Hard, interesting problems at the intersection of **recs, graph, and local commerce**.
* Ship fast, learn fast, and see your work live in the world—nights out, packed rooms, real community impact.
Compensation
* **Equity only** until we raise (founder\-level; exact range based on fit/scope).
* Standard 4\-year vesting with 1\-year cliff.
* We’ll formalize equity in written agreements and comply with applicable laws in your location.
Job Types: Full\-time, Part\-time
Pay: $22,000\.00 \- $100,000\.00 per year
Work Location: Remote</t>
        </is>
      </c>
    </row>
    <row r="135">
      <c r="A135" t="inlineStr">
        <is>
          <t>in-abc46f4882046b49</t>
        </is>
      </c>
      <c r="B135" t="inlineStr">
        <is>
          <t>AI/ML Engineer</t>
        </is>
      </c>
      <c r="C135" t="inlineStr">
        <is>
          <t>Realign</t>
        </is>
      </c>
      <c r="D135" t="inlineStr">
        <is>
          <t>indeed</t>
        </is>
      </c>
      <c r="E135">
        <f>HYPERLINK("https://www.indeed.com/viewjob?jk=abc46f4882046b49", "https://www.indeed.com/viewjob?jk=abc46f4882046b49")</f>
        <v/>
      </c>
      <c r="F135">
        <f>HYPERLINK("https://realign-llc.com/careers/job-details/IT1953AI", "https://realign-llc.com/careers/job-details/IT1953AI")</f>
        <v/>
      </c>
      <c r="G135" t="inlineStr">
        <is>
          <t>IL, US</t>
        </is>
      </c>
      <c r="H135" s="3" t="n">
        <v>46031</v>
      </c>
      <c r="I135" t="inlineStr">
        <is>
          <t>Job Type: Contract
Job Category: IT
Job Description
**JOB Role: AI/ML Engineer****Location: Remote****Contract**  
We are seeking a skilled Agentic AI/ML Engineer with a strong background in Python scripting and experience in developing AI solutions using LangChain and LangGraph. The ideal candidate will have a solid understanding of Google Cloud Platform (GCP) and be proficient in application to application (A2A) integrations and microservices architecture (MCP). **Mandatory Skills:*** Proficient in Python scripting.
* Experience with LangChain and LangGraph frameworks.
* Strong understanding of Google Cloud Platform (GCP).
* Knowledge of application to application (A2A) integrations.
* Familiarity with microservices architecture (MCP).
 **Qualifications:*** Bachelor's or Master's degree in Computer Science, Data Science, or a related field.
* 5 7 years of experience in AI/ML engineering or a related role.
Proven track record of successfully delivering AI/ML projects
Required Skills
DEVOPS ENGINEER
 SENIOR EMAIL SECURITY ENGINEER
 SRE ENGINEER (SITE RELIABILITY/RESILIENCY)</t>
        </is>
      </c>
    </row>
    <row r="136">
      <c r="A136" t="inlineStr">
        <is>
          <t>in-f5874254cf23d7f0</t>
        </is>
      </c>
      <c r="B136" t="inlineStr">
        <is>
          <t>Machine Learning Engineer, Model Customization, Generative AI Innovation Center</t>
        </is>
      </c>
      <c r="C136" t="inlineStr">
        <is>
          <t>Amazon Web Services</t>
        </is>
      </c>
      <c r="D136" t="inlineStr">
        <is>
          <t>indeed</t>
        </is>
      </c>
      <c r="E136">
        <f>HYPERLINK("https://www.indeed.com/viewjob?jk=f5874254cf23d7f0", "https://www.indeed.com/viewjob?jk=f5874254cf23d7f0")</f>
        <v/>
      </c>
      <c r="F136">
        <f>HYPERLINK("https://www.amazon.jobs/jobs/3146359/machine-learning-engineer-model-customization-generative-ai-innovation-center?cmpid=DA_INAD200785B", "https://www.amazon.jobs/jobs/3146359/machine-learning-engineer-model-customization-generative-ai-innovation-center?cmpid=DA_INAD200785B")</f>
        <v/>
      </c>
      <c r="G136" t="inlineStr">
        <is>
          <t>Mountain View, CA, US</t>
        </is>
      </c>
      <c r="H136" s="3" t="n">
        <v>46008</v>
      </c>
      <c r="I136"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in-83e1cde11103a4e5</t>
        </is>
      </c>
      <c r="B137" t="inlineStr">
        <is>
          <t>Machine Learning Engineer, Model Customization, Generative AI Innovation Center</t>
        </is>
      </c>
      <c r="C137" t="inlineStr">
        <is>
          <t>Amazon Web Services</t>
        </is>
      </c>
      <c r="D137" t="inlineStr">
        <is>
          <t>indeed</t>
        </is>
      </c>
      <c r="E137">
        <f>HYPERLINK("https://www.indeed.com/viewjob?jk=83e1cde11103a4e5", "https://www.indeed.com/viewjob?jk=83e1cde11103a4e5")</f>
        <v/>
      </c>
      <c r="F137">
        <f>HYPERLINK("https://www.amazon.jobs/jobs/3146359/machine-learning-engineer-model-customization-generative-ai-innovation-center?cmpid=DA_INAD200785B", "https://www.amazon.jobs/jobs/3146359/machine-learning-engineer-model-customization-generative-ai-innovation-center?cmpid=DA_INAD200785B")</f>
        <v/>
      </c>
      <c r="G137" t="inlineStr">
        <is>
          <t>Seattle, WA, US</t>
        </is>
      </c>
      <c r="H137" s="3" t="n">
        <v>46008</v>
      </c>
      <c r="I137"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in-19498e7ad7614bcd</t>
        </is>
      </c>
      <c r="B138" t="inlineStr">
        <is>
          <t>Sr. Machine Learning Engineer, AGIF | Finetuning</t>
        </is>
      </c>
      <c r="C138" t="inlineStr">
        <is>
          <t>Amazon.com</t>
        </is>
      </c>
      <c r="D138" t="inlineStr">
        <is>
          <t>indeed</t>
        </is>
      </c>
      <c r="E138">
        <f>HYPERLINK("https://www.indeed.com/viewjob?jk=19498e7ad7614bcd", "https://www.indeed.com/viewjob?jk=19498e7ad7614bcd")</f>
        <v/>
      </c>
      <c r="F138">
        <f>HYPERLINK("https://www.amazon.jobs/jobs/3145989/sr-machine-learning-engineer-agif--finetuning?cmpid=DA_INAD200785B", "https://www.amazon.jobs/jobs/3145989/sr-machine-learning-engineer-agif--finetuning?cmpid=DA_INAD200785B")</f>
        <v/>
      </c>
      <c r="G138" t="inlineStr">
        <is>
          <t>Bellevue, WA, US</t>
        </is>
      </c>
      <c r="H138" s="3" t="n">
        <v>45984</v>
      </c>
      <c r="I138"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in-5455863c6fd4d077</t>
        </is>
      </c>
      <c r="B139" t="inlineStr">
        <is>
          <t>Sr. Machine Learning Engineer, AGIF | Finetuning</t>
        </is>
      </c>
      <c r="C139" t="inlineStr">
        <is>
          <t>Amazon.com</t>
        </is>
      </c>
      <c r="D139" t="inlineStr">
        <is>
          <t>indeed</t>
        </is>
      </c>
      <c r="E139">
        <f>HYPERLINK("https://www.indeed.com/viewjob?jk=5455863c6fd4d077", "https://www.indeed.com/viewjob?jk=5455863c6fd4d077")</f>
        <v/>
      </c>
      <c r="F139">
        <f>HYPERLINK("https://www.amazon.jobs/jobs/3145989/sr-machine-learning-engineer-agif--finetuning?cmpid=DA_INAD200785B", "https://www.amazon.jobs/jobs/3145989/sr-machine-learning-engineer-agif--finetuning?cmpid=DA_INAD200785B")</f>
        <v/>
      </c>
      <c r="G139" t="inlineStr">
        <is>
          <t>New York, NY, US</t>
        </is>
      </c>
      <c r="H139" s="3" t="n">
        <v>45984</v>
      </c>
      <c r="I139"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in-8996a6bcd26cad6e</t>
        </is>
      </c>
      <c r="B140" t="inlineStr">
        <is>
          <t>Sr. Machine Learning Engineer, AGIF | Finetuning</t>
        </is>
      </c>
      <c r="C140" t="inlineStr">
        <is>
          <t>Amazon.com</t>
        </is>
      </c>
      <c r="D140" t="inlineStr">
        <is>
          <t>indeed</t>
        </is>
      </c>
      <c r="E140">
        <f>HYPERLINK("https://www.indeed.com/viewjob?jk=8996a6bcd26cad6e", "https://www.indeed.com/viewjob?jk=8996a6bcd26cad6e")</f>
        <v/>
      </c>
      <c r="F140">
        <f>HYPERLINK("https://www.amazon.jobs/jobs/3145989/sr-machine-learning-engineer-agif--finetuning?cmpid=DA_INAD200785B", "https://www.amazon.jobs/jobs/3145989/sr-machine-learning-engineer-agif--finetuning?cmpid=DA_INAD200785B")</f>
        <v/>
      </c>
      <c r="G140" t="inlineStr">
        <is>
          <t>Sunnyvale, CA, US</t>
        </is>
      </c>
      <c r="H140" s="3" t="n">
        <v>45984</v>
      </c>
      <c r="I140"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in-7ad126541452bde1</t>
        </is>
      </c>
      <c r="B141" t="inlineStr">
        <is>
          <t>Senior Delivery Consultant - Senior Machine Learning Engineer, AWS Professional Services, AWS Professional Services</t>
        </is>
      </c>
      <c r="C141" t="inlineStr">
        <is>
          <t>Amazon Web Services</t>
        </is>
      </c>
      <c r="D141" t="inlineStr">
        <is>
          <t>indeed</t>
        </is>
      </c>
      <c r="E141">
        <f>HYPERLINK("https://www.indeed.com/viewjob?jk=7ad126541452bde1", "https://www.indeed.com/viewjob?jk=7ad126541452bde1")</f>
        <v/>
      </c>
      <c r="F141">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141" t="inlineStr">
        <is>
          <t>New York, NY, US</t>
        </is>
      </c>
      <c r="H141" s="3" t="n">
        <v>45825</v>
      </c>
      <c r="I14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in-7e11b4e023d56fa3</t>
        </is>
      </c>
      <c r="B142" t="inlineStr">
        <is>
          <t>Senior Delivery Consultant - Senior Machine Learning Engineer, AWS Professional Services, AWS Professional Services</t>
        </is>
      </c>
      <c r="C142" t="inlineStr">
        <is>
          <t>Amazon Web Services</t>
        </is>
      </c>
      <c r="D142" t="inlineStr">
        <is>
          <t>indeed</t>
        </is>
      </c>
      <c r="E142">
        <f>HYPERLINK("https://www.indeed.com/viewjob?jk=7e11b4e023d56fa3", "https://www.indeed.com/viewjob?jk=7e11b4e023d56fa3")</f>
        <v/>
      </c>
      <c r="F142">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142" t="inlineStr">
        <is>
          <t>Chicago, IL, US</t>
        </is>
      </c>
      <c r="H142" s="3" t="n">
        <v>45825</v>
      </c>
      <c r="I14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in-0fa4d13b786aae47</t>
        </is>
      </c>
      <c r="B143" t="inlineStr">
        <is>
          <t>Senior Delivery Consultant - Senior Machine Learning Engineer, AWS Professional Services, AWS Professional Services</t>
        </is>
      </c>
      <c r="C143" t="inlineStr">
        <is>
          <t>Amazon Web Services</t>
        </is>
      </c>
      <c r="D143" t="inlineStr">
        <is>
          <t>indeed</t>
        </is>
      </c>
      <c r="E143">
        <f>HYPERLINK("https://www.indeed.com/viewjob?jk=0fa4d13b786aae47", "https://www.indeed.com/viewjob?jk=0fa4d13b786aae47")</f>
        <v/>
      </c>
      <c r="F143">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143" t="inlineStr">
        <is>
          <t>Herndon, VA, US</t>
        </is>
      </c>
      <c r="H143" s="3" t="n">
        <v>45825</v>
      </c>
      <c r="I143"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in-dd270bbbe2d451b9</t>
        </is>
      </c>
      <c r="B144" t="inlineStr">
        <is>
          <t>Senior Delivery Consultant - Senior Machine Learning Engineer, AWS Professional Services, AWS Professional Services</t>
        </is>
      </c>
      <c r="C144" t="inlineStr">
        <is>
          <t>Amazon Web Services</t>
        </is>
      </c>
      <c r="D144" t="inlineStr">
        <is>
          <t>indeed</t>
        </is>
      </c>
      <c r="E144">
        <f>HYPERLINK("https://www.indeed.com/viewjob?jk=dd270bbbe2d451b9", "https://www.indeed.com/viewjob?jk=dd270bbbe2d451b9")</f>
        <v/>
      </c>
      <c r="F144">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144" t="inlineStr">
        <is>
          <t>Austin, TX, US</t>
        </is>
      </c>
      <c r="H144" s="3" t="n">
        <v>45825</v>
      </c>
      <c r="I14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in-d3e48fc6d70c34c1</t>
        </is>
      </c>
      <c r="B145" t="inlineStr">
        <is>
          <t>Senior Delivery Consultant - Senior Machine Learning Engineer, AWS Professional Services, AWS Professional Services</t>
        </is>
      </c>
      <c r="C145" t="inlineStr">
        <is>
          <t>Amazon Web Services</t>
        </is>
      </c>
      <c r="D145" t="inlineStr">
        <is>
          <t>indeed</t>
        </is>
      </c>
      <c r="E145">
        <f>HYPERLINK("https://www.indeed.com/viewjob?jk=d3e48fc6d70c34c1", "https://www.indeed.com/viewjob?jk=d3e48fc6d70c34c1")</f>
        <v/>
      </c>
      <c r="F145">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145" t="inlineStr">
        <is>
          <t>Boston, MA, US</t>
        </is>
      </c>
      <c r="H145" s="3" t="n">
        <v>45825</v>
      </c>
      <c r="I145"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in-7aa0adb1bb205865</t>
        </is>
      </c>
      <c r="B146" t="inlineStr">
        <is>
          <t>Senior Delivery Consultant - Senior Machine Learning Engineer, AWS Professional Services, AWS Professional Services</t>
        </is>
      </c>
      <c r="C146" t="inlineStr">
        <is>
          <t>Amazon Web Services</t>
        </is>
      </c>
      <c r="D146" t="inlineStr">
        <is>
          <t>indeed</t>
        </is>
      </c>
      <c r="E146">
        <f>HYPERLINK("https://www.indeed.com/viewjob?jk=7aa0adb1bb205865", "https://www.indeed.com/viewjob?jk=7aa0adb1bb205865")</f>
        <v/>
      </c>
      <c r="F146">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146" t="inlineStr">
        <is>
          <t>Dallas, TX, US</t>
        </is>
      </c>
      <c r="H146" s="3" t="n">
        <v>45825</v>
      </c>
      <c r="I14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in-d22521d3d670398c</t>
        </is>
      </c>
      <c r="B147" t="inlineStr">
        <is>
          <t>Senior Delivery Consultant - Senior Machine Learning Engineer, AWS Professional Services, AWS Professional Services</t>
        </is>
      </c>
      <c r="C147" t="inlineStr">
        <is>
          <t>Amazon Web Services</t>
        </is>
      </c>
      <c r="D147" t="inlineStr">
        <is>
          <t>indeed</t>
        </is>
      </c>
      <c r="E147">
        <f>HYPERLINK("https://www.indeed.com/viewjob?jk=d22521d3d670398c", "https://www.indeed.com/viewjob?jk=d22521d3d670398c")</f>
        <v/>
      </c>
      <c r="F147">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147" t="inlineStr">
        <is>
          <t>Atlanta, GA, US</t>
        </is>
      </c>
      <c r="H147" s="3" t="n">
        <v>45825</v>
      </c>
      <c r="I14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in-cc9dfe63113aa1a1</t>
        </is>
      </c>
      <c r="B148" t="inlineStr">
        <is>
          <t>Senior Delivery Consultant - Senior Machine Learning Engineer, AWS Professional Services, AWS Professional Services</t>
        </is>
      </c>
      <c r="C148" t="inlineStr">
        <is>
          <t>Amazon Web Services</t>
        </is>
      </c>
      <c r="D148" t="inlineStr">
        <is>
          <t>indeed</t>
        </is>
      </c>
      <c r="E148">
        <f>HYPERLINK("https://www.indeed.com/viewjob?jk=cc9dfe63113aa1a1", "https://www.indeed.com/viewjob?jk=cc9dfe63113aa1a1")</f>
        <v/>
      </c>
      <c r="F148">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148" t="inlineStr">
        <is>
          <t>Seattle, WA, US</t>
        </is>
      </c>
      <c r="H148" s="3" t="n">
        <v>45825</v>
      </c>
      <c r="I14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in-f8dc8d8a7501ade4</t>
        </is>
      </c>
      <c r="B149" t="inlineStr">
        <is>
          <t>Senior Delivery Consultant - Senior Machine Learning Engineer, AWS Professional Services, AWS Professional Services</t>
        </is>
      </c>
      <c r="C149" t="inlineStr">
        <is>
          <t>Amazon Web Services</t>
        </is>
      </c>
      <c r="D149" t="inlineStr">
        <is>
          <t>indeed</t>
        </is>
      </c>
      <c r="E149">
        <f>HYPERLINK("https://www.indeed.com/viewjob?jk=f8dc8d8a7501ade4", "https://www.indeed.com/viewjob?jk=f8dc8d8a7501ade4")</f>
        <v/>
      </c>
      <c r="F149">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149" t="inlineStr">
        <is>
          <t>Arlington, VA, US</t>
        </is>
      </c>
      <c r="H149" s="3" t="n">
        <v>45825</v>
      </c>
      <c r="I14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in-d03cf8f4d09b277b</t>
        </is>
      </c>
      <c r="B150" t="inlineStr">
        <is>
          <t>Sr. Machine Learning Engineer, Amazon General Intelligence (AGI)</t>
        </is>
      </c>
      <c r="C150" t="inlineStr">
        <is>
          <t>Amazon.com</t>
        </is>
      </c>
      <c r="D150" t="inlineStr">
        <is>
          <t>indeed</t>
        </is>
      </c>
      <c r="E150">
        <f>HYPERLINK("https://www.indeed.com/viewjob?jk=d03cf8f4d09b277b", "https://www.indeed.com/viewjob?jk=d03cf8f4d09b277b")</f>
        <v/>
      </c>
      <c r="F150">
        <f>HYPERLINK("https://www.amazon.jobs/jobs/3003295/sr-machine-learning-engineer-amazon-general-intelligence-agi?cmpid=DA_INAD200785B", "https://www.amazon.jobs/jobs/3003295/sr-machine-learning-engineer-amazon-general-intelligence-agi?cmpid=DA_INAD200785B")</f>
        <v/>
      </c>
      <c r="G150" t="inlineStr">
        <is>
          <t>Bellevue, WA, US</t>
        </is>
      </c>
      <c r="H150" s="3" t="n">
        <v>45813</v>
      </c>
      <c r="I150"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in-3665a31307e47863</t>
        </is>
      </c>
      <c r="B151" t="inlineStr">
        <is>
          <t>Sr. Machine Learning Engineer, Amazon General Intelligence (AGI)</t>
        </is>
      </c>
      <c r="C151" t="inlineStr">
        <is>
          <t>Amazon.com</t>
        </is>
      </c>
      <c r="D151" t="inlineStr">
        <is>
          <t>indeed</t>
        </is>
      </c>
      <c r="E151">
        <f>HYPERLINK("https://www.indeed.com/viewjob?jk=3665a31307e47863", "https://www.indeed.com/viewjob?jk=3665a31307e47863")</f>
        <v/>
      </c>
      <c r="F151">
        <f>HYPERLINK("https://www.amazon.jobs/jobs/3003295/sr-machine-learning-engineer-amazon-general-intelligence-agi?cmpid=DA_INAD200785B", "https://www.amazon.jobs/jobs/3003295/sr-machine-learning-engineer-amazon-general-intelligence-agi?cmpid=DA_INAD200785B")</f>
        <v/>
      </c>
      <c r="G151" t="inlineStr">
        <is>
          <t>Seattle, WA, US</t>
        </is>
      </c>
      <c r="H151" s="3" t="n">
        <v>45813</v>
      </c>
      <c r="I151"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in-338552c8f58f355c</t>
        </is>
      </c>
      <c r="B152" t="inlineStr">
        <is>
          <t>Applied Scientist, Personalization, DTx Science</t>
        </is>
      </c>
      <c r="C152" t="inlineStr">
        <is>
          <t>Amazon.com</t>
        </is>
      </c>
      <c r="D152" t="inlineStr">
        <is>
          <t>indeed</t>
        </is>
      </c>
      <c r="E152">
        <f>HYPERLINK("https://www.indeed.com/viewjob?jk=338552c8f58f355c", "https://www.indeed.com/viewjob?jk=338552c8f58f355c")</f>
        <v/>
      </c>
      <c r="F152">
        <f>HYPERLINK("https://www.amazon.jobs/jobs/3136853/applied-scientist-personalization-dtx-science?cmpid=DA_INAD200785B", "https://www.amazon.jobs/jobs/3136853/applied-scientist-personalization-dtx-science?cmpid=DA_INAD200785B")</f>
        <v/>
      </c>
      <c r="G152" t="inlineStr">
        <is>
          <t>New York, NY, US</t>
        </is>
      </c>
      <c r="H152" s="3" t="n">
        <v>45979</v>
      </c>
      <c r="I152"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in-9ce6605e300fc1dc</t>
        </is>
      </c>
      <c r="B153" t="inlineStr">
        <is>
          <t>Applied Scientist, Personalization, DTx Science</t>
        </is>
      </c>
      <c r="C153" t="inlineStr">
        <is>
          <t>Amazon.com</t>
        </is>
      </c>
      <c r="D153" t="inlineStr">
        <is>
          <t>indeed</t>
        </is>
      </c>
      <c r="E153">
        <f>HYPERLINK("https://www.indeed.com/viewjob?jk=9ce6605e300fc1dc", "https://www.indeed.com/viewjob?jk=9ce6605e300fc1dc")</f>
        <v/>
      </c>
      <c r="F153">
        <f>HYPERLINK("https://www.amazon.jobs/jobs/3136853/applied-scientist-personalization-dtx-science?cmpid=DA_INAD200785B", "https://www.amazon.jobs/jobs/3136853/applied-scientist-personalization-dtx-science?cmpid=DA_INAD200785B")</f>
        <v/>
      </c>
      <c r="G153" t="inlineStr">
        <is>
          <t>Seattle, WA, US</t>
        </is>
      </c>
      <c r="H153" s="3" t="n">
        <v>45979</v>
      </c>
      <c r="I153"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in-2fdfb28564f61cad</t>
        </is>
      </c>
      <c r="B154" t="inlineStr">
        <is>
          <t>Applied Scientist, Sponsored Products</t>
        </is>
      </c>
      <c r="C154" t="inlineStr">
        <is>
          <t>Amazon.com</t>
        </is>
      </c>
      <c r="D154" t="inlineStr">
        <is>
          <t>indeed</t>
        </is>
      </c>
      <c r="E154">
        <f>HYPERLINK("https://www.indeed.com/viewjob?jk=2fdfb28564f61cad", "https://www.indeed.com/viewjob?jk=2fdfb28564f61cad")</f>
        <v/>
      </c>
      <c r="F154">
        <f>HYPERLINK("https://www.amazon.jobs/jobs/3140511/applied-scientist-sponsored-products?cmpid=DA_INAD200785B", "https://www.amazon.jobs/jobs/3140511/applied-scientist-sponsored-products?cmpid=DA_INAD200785B")</f>
        <v/>
      </c>
      <c r="G154" t="inlineStr">
        <is>
          <t>Seattle, WA, US</t>
        </is>
      </c>
      <c r="H154" s="3" t="n">
        <v>45971</v>
      </c>
      <c r="I154"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in-5e7e6c7b74364bd9</t>
        </is>
      </c>
      <c r="B155" t="inlineStr">
        <is>
          <t>Applied Scientist, Sponsored Products</t>
        </is>
      </c>
      <c r="C155" t="inlineStr">
        <is>
          <t>Amazon.com</t>
        </is>
      </c>
      <c r="D155" t="inlineStr">
        <is>
          <t>indeed</t>
        </is>
      </c>
      <c r="E155">
        <f>HYPERLINK("https://www.indeed.com/viewjob?jk=5e7e6c7b74364bd9", "https://www.indeed.com/viewjob?jk=5e7e6c7b74364bd9")</f>
        <v/>
      </c>
      <c r="F155">
        <f>HYPERLINK("https://www.amazon.jobs/jobs/3140511/applied-scientist-sponsored-products?cmpid=DA_INAD200785B", "https://www.amazon.jobs/jobs/3140511/applied-scientist-sponsored-products?cmpid=DA_INAD200785B")</f>
        <v/>
      </c>
      <c r="G155" t="inlineStr">
        <is>
          <t>Arlington, VA, US</t>
        </is>
      </c>
      <c r="H155" s="3" t="n">
        <v>45971</v>
      </c>
      <c r="I155"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in-b82f946b5926d027</t>
        </is>
      </c>
      <c r="B156" t="inlineStr">
        <is>
          <t>Applied Scientist, AWS Agentic AI</t>
        </is>
      </c>
      <c r="C156" t="inlineStr">
        <is>
          <t>Amazon Web Services</t>
        </is>
      </c>
      <c r="D156" t="inlineStr">
        <is>
          <t>indeed</t>
        </is>
      </c>
      <c r="E156">
        <f>HYPERLINK("https://www.indeed.com/viewjob?jk=b82f946b5926d027", "https://www.indeed.com/viewjob?jk=b82f946b5926d027")</f>
        <v/>
      </c>
      <c r="F156">
        <f>HYPERLINK("https://www.amazon.jobs/jobs/3141517/applied-scientist-aws-agentic-ai-?cmpid=DA_INAD200785B", "https://www.amazon.jobs/jobs/3141517/applied-scientist-aws-agentic-ai-?cmpid=DA_INAD200785B")</f>
        <v/>
      </c>
      <c r="G156" t="inlineStr">
        <is>
          <t>Seattle, WA, US</t>
        </is>
      </c>
      <c r="H156" s="3" t="n">
        <v>45962</v>
      </c>
      <c r="I15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in-2c2dca8732b0214b</t>
        </is>
      </c>
      <c r="B157" t="inlineStr">
        <is>
          <t>Applied Scientist, AWS Agentic AI</t>
        </is>
      </c>
      <c r="C157" t="inlineStr">
        <is>
          <t>Amazon Web Services</t>
        </is>
      </c>
      <c r="D157" t="inlineStr">
        <is>
          <t>indeed</t>
        </is>
      </c>
      <c r="E157">
        <f>HYPERLINK("https://www.indeed.com/viewjob?jk=2c2dca8732b0214b", "https://www.indeed.com/viewjob?jk=2c2dca8732b0214b")</f>
        <v/>
      </c>
      <c r="F157">
        <f>HYPERLINK("https://www.amazon.jobs/jobs/3141517/applied-scientist-aws-agentic-ai-?cmpid=DA_INAD200785B", "https://www.amazon.jobs/jobs/3141517/applied-scientist-aws-agentic-ai-?cmpid=DA_INAD200785B")</f>
        <v/>
      </c>
      <c r="G157" t="inlineStr">
        <is>
          <t>New York, NY, US</t>
        </is>
      </c>
      <c r="H157" s="3" t="n">
        <v>45962</v>
      </c>
      <c r="I15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in-2f2c5bbde098cf40</t>
        </is>
      </c>
      <c r="B158" t="inlineStr">
        <is>
          <t>Applied Scientist, AWS Agentic AI</t>
        </is>
      </c>
      <c r="C158" t="inlineStr">
        <is>
          <t>Amazon Web Services</t>
        </is>
      </c>
      <c r="D158" t="inlineStr">
        <is>
          <t>indeed</t>
        </is>
      </c>
      <c r="E158">
        <f>HYPERLINK("https://www.indeed.com/viewjob?jk=2f2c5bbde098cf40", "https://www.indeed.com/viewjob?jk=2f2c5bbde098cf40")</f>
        <v/>
      </c>
      <c r="F158">
        <f>HYPERLINK("https://www.amazon.jobs/jobs/3141517/applied-scientist-aws-agentic-ai-?cmpid=DA_INAD200785B", "https://www.amazon.jobs/jobs/3141517/applied-scientist-aws-agentic-ai-?cmpid=DA_INAD200785B")</f>
        <v/>
      </c>
      <c r="G158" t="inlineStr">
        <is>
          <t>Santa Clara, CA, US</t>
        </is>
      </c>
      <c r="H158" s="3" t="n">
        <v>45962</v>
      </c>
      <c r="I15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in-656879a9b9866af3</t>
        </is>
      </c>
      <c r="B159" t="inlineStr">
        <is>
          <t>Sr. Applied Scientist, Sales AI</t>
        </is>
      </c>
      <c r="C159" t="inlineStr">
        <is>
          <t>Amazon.com</t>
        </is>
      </c>
      <c r="D159" t="inlineStr">
        <is>
          <t>indeed</t>
        </is>
      </c>
      <c r="E159">
        <f>HYPERLINK("https://www.indeed.com/viewjob?jk=656879a9b9866af3", "https://www.indeed.com/viewjob?jk=656879a9b9866af3")</f>
        <v/>
      </c>
      <c r="F159">
        <f>HYPERLINK("https://www.amazon.jobs/jobs/3020528/sr-applied-scientist-sales-ai?cmpid=DA_INAD200785B", "https://www.amazon.jobs/jobs/3020528/sr-applied-scientist-sales-ai?cmpid=DA_INAD200785B")</f>
        <v/>
      </c>
      <c r="G159" t="inlineStr">
        <is>
          <t>Seattle, WA, US</t>
        </is>
      </c>
      <c r="H159" s="3" t="n">
        <v>45830</v>
      </c>
      <c r="I15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in-a2fced5c7597689a</t>
        </is>
      </c>
      <c r="B160" t="inlineStr">
        <is>
          <t>Sr. Applied Scientist, Sales AI</t>
        </is>
      </c>
      <c r="C160" t="inlineStr">
        <is>
          <t>Amazon.com</t>
        </is>
      </c>
      <c r="D160" t="inlineStr">
        <is>
          <t>indeed</t>
        </is>
      </c>
      <c r="E160">
        <f>HYPERLINK("https://www.indeed.com/viewjob?jk=a2fced5c7597689a", "https://www.indeed.com/viewjob?jk=a2fced5c7597689a")</f>
        <v/>
      </c>
      <c r="F160">
        <f>HYPERLINK("https://www.amazon.jobs/jobs/3020528/sr-applied-scientist-sales-ai?cmpid=DA_INAD200785B", "https://www.amazon.jobs/jobs/3020528/sr-applied-scientist-sales-ai?cmpid=DA_INAD200785B")</f>
        <v/>
      </c>
      <c r="G160" t="inlineStr">
        <is>
          <t>New York, NY, US</t>
        </is>
      </c>
      <c r="H160" s="3" t="n">
        <v>45830</v>
      </c>
      <c r="I16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in-19879bd6f93981f0</t>
        </is>
      </c>
      <c r="B161" t="inlineStr">
        <is>
          <t>Sr. Applied Scientist, Sales AI</t>
        </is>
      </c>
      <c r="C161" t="inlineStr">
        <is>
          <t>Amazon.com</t>
        </is>
      </c>
      <c r="D161" t="inlineStr">
        <is>
          <t>indeed</t>
        </is>
      </c>
      <c r="E161">
        <f>HYPERLINK("https://www.indeed.com/viewjob?jk=19879bd6f93981f0", "https://www.indeed.com/viewjob?jk=19879bd6f93981f0")</f>
        <v/>
      </c>
      <c r="F161">
        <f>HYPERLINK("https://www.amazon.jobs/jobs/3020528/sr-applied-scientist-sales-ai?cmpid=DA_INAD200785B", "https://www.amazon.jobs/jobs/3020528/sr-applied-scientist-sales-ai?cmpid=DA_INAD200785B")</f>
        <v/>
      </c>
      <c r="G161" t="inlineStr">
        <is>
          <t>Sunnyvale, CA, US</t>
        </is>
      </c>
      <c r="H161" s="3" t="n">
        <v>45830</v>
      </c>
      <c r="I16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li-4359952614</t>
        </is>
      </c>
      <c r="B2" t="inlineStr">
        <is>
          <t>Applied Scientist ||</t>
        </is>
      </c>
      <c r="C2" t="inlineStr">
        <is>
          <t>Microsoft</t>
        </is>
      </c>
      <c r="D2" t="inlineStr">
        <is>
          <t>linkedin</t>
        </is>
      </c>
      <c r="E2" t="inlineStr"/>
      <c r="F2" t="inlineStr"/>
      <c r="G2" t="inlineStr">
        <is>
          <t>Redmond, WA</t>
        </is>
      </c>
      <c r="H2" t="inlineStr"/>
      <c r="I2" t="inlineStr">
        <is>
          <t>**Overview**
 Join the forefront of data center innovation with Microsoft’s Cloud Operations \&amp; Innovation (CO\+I) Cloud Applied Artificial Intelligence (CAAI) group as an
 **Applied Scientist II** 
 . In this pivotal role, you’ll help drive sustainability and efficiency across Microsoft’s core infrastructure that powers services like Bing, Office 365, Xbox, OneDrive, and Azure.
 As an Applied Scientist II, you will leverage machine learning, big data, predictive analytics, and time series analysis to transform data center efficiency. With over 400 data centers in 32 countries and millions of servers, our infrastructure offers a unique opportunity to make a global impact. You’ll collaborate with cross\-discipline teams to push the boundaries of data center sustainability and efficiency. With environmental sustainability and optimization at the heart of our design and operations, we continue to evolve to meet the ever\-changing business demands that position Microsoft as a world\-class cloud provider.
 Microsoft’s mission is to empower every person and every organization on the planet to achieve more. We embrace a growth mindset, innovate to empower others, and collaborate to achieve shared goals. Each day we build on our values of respect, integrity, and accountability to create a culture of inclusion where everyone can thrive.
**Responsibilities**
* Apply advanced techniques in data science, machine learning, and AI to improve data center sustainability and efficiency.
* Translate complex datasets into actionable insights and communicate findings clearly to stakeholders.
* Design and execute experiments to validate hypotheses and evaluate new approaches, ensuring rigor and reproducibility.
* Provide strategic input on business opportunities and product enhancements based on data\-driven insights.
* Collaborate with engineering teams to deploy and optimize models at scale.
* Contribute to product strategy, aligning scientific solutions with business objectives to deliver measurable impact.
* Partner with cross\-functional stakeholders to drive initiatives that achieve tangible business outcomes.
 Embody our culture and values.
**Qualifications**
**Required Qualifications:**
* Doctorate in Data Science, Mathematics, Statistics, Econometrics, Economics, Operations Research, Computer Science, or related field AND 1\+ year of data science experience
+ OR Master’s degree in related field AND 3\+ years of data science experience
+ OR Bachelor’s degree in related field AND 5\+ years of data science experience
+ OR equivalent experience.
 While not required, we also look for the following
 **Preferred Qualifications:**
* Doctorate in related field AND 3\+ years of data science experience
+ OR Master’s degree AND 5\+ years
+ OR Bachelor’s degree AND 7\+ years
+ OR equivalent experience.
* Experience with large\-scale telemetry systems, data collection, processing, and analytics.
* Expertise in Exploratory Data Analysis, Inference, Predictive Modeling (Regression, Classification), Time Series Analysis, and Machine Learning (SVMs, Gradient Boosted Trees, Neural Networks, CNNs).
* Strong foundation in applied statistics and mathematics with ability to apply advanced analytical techniques to solve complex problems.
* 4\+ years of experience applying statistical techniques (e.g., experimentation, statistical modeling).
* 2\+ years of customer\-facing, project\-delivery experience.
* Proficiency with Spark and Python.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\#COICareers \| \#EPCCareers \| \#DCDCareers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
      <c r="A3" t="inlineStr">
        <is>
          <t>li-4345571424</t>
        </is>
      </c>
      <c r="B3" t="inlineStr">
        <is>
          <t>Applied Scientist I, Amazon</t>
        </is>
      </c>
      <c r="C3" t="inlineStr">
        <is>
          <t>Amazon</t>
        </is>
      </c>
      <c r="D3" t="inlineStr">
        <is>
          <t>linkedin</t>
        </is>
      </c>
      <c r="E3" t="inlineStr"/>
      <c r="F3" t="inlineStr"/>
      <c r="G3" t="inlineStr">
        <is>
          <t>Palo Alto, CA</t>
        </is>
      </c>
      <c r="H3" t="inlineStr"/>
      <c r="I3" t="inlineStr">
        <is>
          <t>**Description**
 We’re working to improve shopping on Amazon using large language models, and are searching for pioneers who are passionate about technology, innovation, and customer experience, and are ready to make a lasting impact on the industry. You'll be working with talented scientists, engineers, and technical product managers (PMT) to innovate on behalf of our customers. If you're fired up about being part of a dynamic, driven team, then this is your moment to join us on this exciting journey!
**Basic Qualifications**
* Experience programming in Java, C\+\+, Python or related language
* Experience in designing experiments and statistical analysis of results
**Preferred Qualifications**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A3130180</t>
        </is>
      </c>
    </row>
    <row r="4">
      <c r="A4" t="inlineStr">
        <is>
          <t>li-4345475973</t>
        </is>
      </c>
      <c r="B4" t="inlineStr">
        <is>
          <t>Staff Applied Scientist, Tech Lead, Rider Applied AI</t>
        </is>
      </c>
      <c r="C4" t="inlineStr">
        <is>
          <t>Lyft</t>
        </is>
      </c>
      <c r="D4" t="inlineStr">
        <is>
          <t>linkedin</t>
        </is>
      </c>
      <c r="E4" t="inlineStr"/>
      <c r="F4" t="inlineStr"/>
      <c r="G4" t="inlineStr">
        <is>
          <t>San Francisco County, CA</t>
        </is>
      </c>
      <c r="H4" t="inlineStr"/>
      <c r="I4" t="inlineStr">
        <is>
          <t>At Lyft, our purpose is to serve and connect. We aim to achieve this by cultivating a work environment where all team members belong and have the opportunity to thrive.
 Why Join Rider Applied AI Team?
 The Rider team is the heartbeat of Lyft business. Every feature you build translates to a better experience for millions of riders globally. The Rider Applied AI science team’s mission is to architect the intelligent layer of the Rider experience through applying state\-of\-the\-art AI techniques and deliver hyper\-personalized experiences for every rider, every ride. You will have the autonomy of a startup lead with the data scale of a global tech giant.
 We are seeking a Staff Applied Scientist to help build the next generation of AI/ML solution that powers personalized rider rideshare experience. In this role, you will lead a high\-impact group of scientists and analysts to solve complex, large\-scale problems in content ranking, user journey optimization and Rider intelligence engine. You’ll collaborate closely with Engineering, Product, Data Science, and Design to translate ambiguous business problems into rigorous algorithmic solutions that improve rider experience and drive meaningful revenue growth.
 This is a high\-impact, highly technical role within a core business line. The ideal candidate brings strong applied machine learning intuition, hands\-on modeling experience, and the ability to write clean, efficient production code. You will play a critical role in shaping the future of the Lyft rideshare experience and pushing the boundaries of personalization, measurement, and real\-time optimization in a dynamic marketplace and bridge the gap between cutting\-edge applied science research and production\-scale product impact.
 Responsibilities:
* Own complex, open\-ended problem spaces. Translate vague business problems into concrete mathematical objectives.
* Lead multiple high\-impact Machine Learning and AI initiatives that powers rider core product experience. Drive algorithmic innovation by introducing new techniques.
* Partner deeply with Product, Design and Engineering to define technical vision for how AI will transform Lyft rider experience.
* Design, develop, and deploy advanced machine learning, optimization, and decisioning algorithms for large\-scale real\-time inferences, balancing scientific rigor with practical engineering constraints.
* Establish robust evaluation frameworks, defining offline metrics, calibration checks, counterfactual methods, experiment designs, and long\-term measurement strategies to ensure model correctness and system stability.
* Build reusable modeling infrastructure, libraries, and best practices, enabling faster iteration and higher modeling quality across the broader Rider Science and Engineering teams.
* Mentor and guide junior/mid\-level scientists, serving as a technical advisor on modeling design, experimentation, code quality, and scientific reasoning.
 Experience:
* Master’s or PhD in Machine Learning, Computer Science, Optimization, Statistics, Engineering, Applied Mathematics, or a related quantitative field; or equivalent high\-impact industry experience.
* 5\+ years of applied science or machine learning experience, with a track record of deploying production models that drive measurable business outcomes.
* Experienced in owning multi\-project modeling scope across ambiguous problem spaces and integrating work across engineering, product, and data science partners.
* Strong proficiency in Python, ML frameworks and distributed data systems
* Experienced in defining and executing offline and online evaluation strategies, including experiment design, counterfactual analysis, and diagnostics for system failures.
* Strong technical leadership skills — able to align partners, influence technical architecture, challenge assumptions, and guide cross\-team modeling decisions.
* Experience in mentoring other scientists, elevating technical quality, and improving modeling/analysis standards across the team.
* Excellent communication skills, with the ability to articulate complex modeling concepts, system trade\-offs, and scientific reasoning to both technical and business stakeholders.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$176,000 \- $220,000,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5">
      <c r="A5" t="inlineStr">
        <is>
          <t>li-4359952612</t>
        </is>
      </c>
      <c r="B5" t="inlineStr">
        <is>
          <t>Principal Applied Scientist</t>
        </is>
      </c>
      <c r="C5" t="inlineStr">
        <is>
          <t>Microsoft</t>
        </is>
      </c>
      <c r="D5" t="inlineStr">
        <is>
          <t>linkedin</t>
        </is>
      </c>
      <c r="E5" t="inlineStr"/>
      <c r="F5" t="inlineStr"/>
      <c r="G5" t="inlineStr">
        <is>
          <t>Redmond, WA</t>
        </is>
      </c>
      <c r="H5" t="inlineStr"/>
      <c r="I5" t="inlineStr">
        <is>
          <t>**Overview**
 Microsoft is a company where passionate innovators come to collaborate, envision what can be and take their careers to levels they cannot achieve anywhere else. This is a world of more possibilities, more innovation, more openness in a cloud\-enabled world. The Business and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This is an exciting time to join our group and work on something strategic to Microsoft. Microsoft Dataverse and the Power Platform Managed Platform provide secure, scalable, and cost\-efficient foundations for building AI\-powered, governed, and compliant applications at global scale. This team builds platform capabilities and microservices that deliver global scale, security, governance, and managed runtime for customers across Power Platform. You will be part of a team of engineers who thrive on solving complex problems at scale with impeccable quality.
 We are looking for a
 **Principal Research Engineer** 
 to join the Managed Platform team, which provides the foundation for global scale, security, governance, and compliance across Power Platform and Dataverse. In this role, you will apply data science techniques to improve platform reliability, optimize performance, and enable AI\-driven insights that shape the future of enterprise applications.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Build collaborative relationships with product and business groups to deliver AI\-driven impact
* Research and implement state\-of\-the\-art using foundation models, prompt engineering, RAG, graphs, multi\-agent architectures, as well as classical machine learning techniques.
* Fine\-tune foundation models using domain\-specific datasets. \- Evaluate model behavior on relevance, bias, hallucination, and response quality via offline evaluations, shadow experiments, online experiments, and ROI analysis.
* Build rapid AI solution prototypes, contribute to production deployment of these solutions, debug production code, support MLOps/AIOps. Contribute to papers, patents, and conference presentations. \- Translate research into production\-ready solutions and measure their impact through A/B testing and telemetry that address customer needs.
* Ability to use data to identify gaps in AI quality, uncover insights and implement PoCs to show proof of concepts.
* Demonstrate deep expertise in AI subfields (e.g., deep learning, Generative AI, NLP, muti\-modal models) to translate cutting\-edge research into practical, real\-world solutions that drive product innovation and business impact.
* Share insights on industry trends and applied technologies with engineering and product teams.
* Apply a deep understanding of fairness and bias in AI by proactively identifying and mitigating ethical and security risks—including XPIA (Cross\-Prompt Injection Attack) unfairness, bias, and privacy concerns—to ensure equitable and responsible outcomes.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OR Doctorate in Statistics, Econometrics, Computer Science, Electrical or Computer Engineering, or related field AND 3\+ years related experience (e.g., statistics, predictive analytics, research)
+ OR equivalent experience.
* 5\+ years experience creating publications (e.g., patents, libraries, peer\-reviewed academic papers).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 Microsoft Cloud background check upon hire/transfer and every two years thereafter.
**Preferred Qualifications**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5\+ years experience conducting research as part of a research program (in academic or industry settings).
* 3\+ years experience developing and deploying live production systems, as part of a product team.
* 3\+ years experience developing and deploying products or systems at multiple points in the product cycle from ideation to shipping.
* 2\+ years experience presenting at conferences or other events in the outside research/industry community as an invited speaker.
 \#BICJOBS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
      <c r="A6" t="inlineStr">
        <is>
          <t>li-4281789393</t>
        </is>
      </c>
      <c r="B6" t="inlineStr">
        <is>
          <t>Principal Applied Scientist (GenAI)</t>
        </is>
      </c>
      <c r="C6" t="inlineStr">
        <is>
          <t>Oracle</t>
        </is>
      </c>
      <c r="D6" t="inlineStr">
        <is>
          <t>linkedin</t>
        </is>
      </c>
      <c r="E6" t="inlineStr"/>
      <c r="F6" t="inlineStr"/>
      <c r="G6" t="inlineStr"/>
      <c r="H6" t="inlineStr"/>
      <c r="I6" t="inlineStr">
        <is>
          <t>**Job Description**
 We are seeking a visionary leader to spearhead post training model research and development efforts. As the post training science lead, you will be responsible for driving the development and implementation of cutting\-edge methodologies around improving model performance based on human feedback. You will lead a team of world\-class scientists in exploring new frontiers of code generation for the most popular languages simplifying documentation, unit testing, optimizing existing code, explaining code and simplifying way users interact with the database systems enabling natural language interface.
**Responsibilities**
* Research and Development: Conduct in\-depth research on code generation techniques, including code to code (Java, SQL, Python, etc.), doc to code/code to doc, and other emerging approaches.
* Model Development: Design, develop, and train state\-of\-the\-art code generation models that meet the highest quality standards.
* Team Leadership: Build and mentor a high\-performing team of scientists and engineers.
* Collaboration: Work closely with cross\-functional teams to integrate code generation capabilities into various applications and products.
* Innovation: Identify new opportunities for image generation and explore emerging technologies.
* Stay Updated: Maintain a deep understanding of industry trends and advancements in code generation.
**Qualifications and Experience:**
* PhD Computer Science, Mathematics, Statistics, Physics, Linguistics or a related field with a dissertation, thesis or final project centered in Machine Learning and Deep Learning) with 5\+ years relevant experience is preferred but not a must; OR Masters or Bachelor’s in related field with 8\+ years relevant experience
* Strong publication record, including as a lead author or reviewer, in top\-tier journals or conferences.
* Extensive experience in image generation, computer vision, and deep learning
* Proven track record of leading research and development projects
* Strong understanding of machine learning algorithms and architectures
* Excellent problem\-solving and analytical skills
* Strong leadership and communication abilities
 If you are passionate about pushing the boundaries of image generation and have a proven track record of success, we encourage you to apply.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
      <c r="A7" t="inlineStr">
        <is>
          <t>li-4345341827</t>
        </is>
      </c>
      <c r="B7" t="inlineStr">
        <is>
          <t>Machine Learning Engineer</t>
        </is>
      </c>
      <c r="C7" t="inlineStr">
        <is>
          <t>Ikigai Labs</t>
        </is>
      </c>
      <c r="D7" t="inlineStr">
        <is>
          <t>linkedin</t>
        </is>
      </c>
      <c r="E7" t="inlineStr"/>
      <c r="F7" t="inlineStr"/>
      <c r="G7" t="inlineStr">
        <is>
          <t>Cambridge, MA</t>
        </is>
      </c>
      <c r="H7" t="inlineStr"/>
      <c r="I7" t="inlineStr">
        <is>
          <t>**Company Description**
 The Ikigai platform unlocks the power of generative AI for tabular data. We enable business users to connect disparate data, leverage no\-code AI/ML, and build enterprise\-wide AI apps in just a few clicks. Ikigai is built on top of its three proprietary foundation blocks developed from years of MIT research \- aiMatch, for data reconciliation, aiCast, for prediction, and aiPlan, for scenario planning and optimization. Our platform enables eXpert\-in\-The\-Loop (XiTL) for model reinforcement learning and refinement, at scale.
 With a combination of enterprise expertise and deep research in the field of AI, Ikigai Labs helps scale enterprises with AI by solving data engineering and modeling problems for business users and data scientists alike. Our unique ability to unlock value in tabular and time series data through AI\-powered data harmonization, forecasting, dynamic learning and planning, is our Ikigai, our purpose in the world of AI.
 As an AI/ML Engineer at Ikigai Labs, you will be part of a high\-performing team responsible for optimizing and deploying ML solutions to maximize performance and scalability. We seek a dynamic and passionate engineer with strong software fundamentals and a keen interest in collaborative problem\-solving.
**Key Responsibilities**
* ML Optimization and Deployment: Develop and deploy machine learning models for optimal performance and scalability.
* Productivity Tools Development: Build tools and services to enhance the ML platform, utilizing technologies like Kubernetes, Helm, and EKS.
* Model Architecture: Apply a strong understanding of deep learning architectures (CNNs, RNNs, etc.) to solve complex problems.
* Research Adaptation: Stay abreast of recent ML and deep learning literature and adapt findings to real\-world applications.
* Collaborative Development: Work with cross\-functional teams to integrate AI and ML solutions that drive business value.
* Data Handling: Manage large datasets and build ML pipelines for data processing and training.
* ETL/ELT Processes: Design and develop scalable data integration processes.
* Predictive Modeling Platform: Develop an on\-demand predictive modeling platform using gRPC.
* Cloud and Containerization: Utilize Kubernetes for managing Docker containers and various cloud services (AWS, Azure) to solve cloud\-native challenges.
* Stakeholder Management: Provide occasional support to our customer success team.
**Technologies We Use**
* Languages: Python3, C\+\+, Rust, SQL
* Frameworks: PyTorch, TensorFlow, Docker
* Databases: Postgres, Elasticsearch, DynamoDB, RDS
* Cloud: Kubernetes, Helm, EKS, Terraform, AWS
* Data Engineering: Apache Arrow, Dremio, Ray
* Miscellaneous: Git, Jupyterhub, Apache Superset, Plotly Dash
**Qualifications**
* Bachelor’s degree in Computer Science, Math, Engineering, or related field (Master's preferred) with 0\-5\+ years of experience (depending on the level)
* Strong understanding of data structures, data modeling, algorithms, and software architecture.
* Proficient in probability, statistics, and algorithm development.
* Hands\-on experience with ML and deep learning libraries (Scikit Learn, Keras, TensorFlow, PyTorch, Theano, DyLib).
* (Bonus) Experience with big data and distributed computing (Hadoop, MapReduce, Spark, Storm).
* Proficiency in Python, AWS services, and ETL/ELT pipelines.
* Understanding of key software design principles, design patterns, and testing best practices.
* Experience with Kubernetes and/or EKS is a plus.
* Ability to learn quickly in a fast\-paced, agile environment.
* Excellent organizational, time management, and communication skills.
* Willingness to engage in pair programming, share knowledge, and provide and receive constructive feedback.
* Strong problem\-solving skills and the ability to take initiative.
**Location Requirement:** 
 Candidates must reside
 **in or near Cambridge, MA or San Mateo, CA** 
 . This role is not open to other locations at this time.
**Equal Opportunity Employment**
 Ikigai Labs is committed to equal employment opportunity and non\-discrimination for all employees and qualified applicants. We value diversity and are dedicated to fostering an inclusive environment for all employees, regardless of race, color, sex, gender identity or expression, age, religion, national origin, ancestry, citizenship, disability, military or veteran status, genetic information, sexual orientation, marital status, or any other characteristic protected under applicable law.
 If you are passionate about machine learning and eager to make an impact, we would love to hear from you. Apply today to join the Ikigai Labs team and help us build the future of AI.
 Powered by JazzHR</t>
        </is>
      </c>
    </row>
    <row r="8">
      <c r="A8" t="inlineStr">
        <is>
          <t>li-4352376471</t>
        </is>
      </c>
      <c r="B8" t="inlineStr">
        <is>
          <t>Senior Machine Learning Engineer</t>
        </is>
      </c>
      <c r="C8" t="inlineStr">
        <is>
          <t>TDK</t>
        </is>
      </c>
      <c r="D8" t="inlineStr">
        <is>
          <t>linkedin</t>
        </is>
      </c>
      <c r="E8" t="inlineStr"/>
      <c r="F8" t="inlineStr"/>
      <c r="G8" t="inlineStr">
        <is>
          <t>Pittsburgh, PA</t>
        </is>
      </c>
      <c r="H8" t="inlineStr"/>
      <c r="I8" t="inlineStr">
        <is>
          <t>**COMPANY:** 
 TDK U.S.A. Corporation is the Americas Regional Headquarters of TDK Corporation, a global electronics company based in Japan and publicly listed on the Tokyo Stock Exchange. TDK focuses on the demanding markets of information and communication technology, internet of things, automotive, industrial and consumer electronics. TDK's comprehensive product portfolio features electronic components, sensors, power supplies, energy devices, and more. TDK has a network of design, manufacturing, and sales locations in Asia, Europe and the Americas, with global revenues of more than $12 billion. TDK employs more than 125,000 people worldwide, including more than 4,500 in North and South America.
**JOB DESCRIPTION:** 
 We are seeking a skilled and innovative algorithm design, Machine Learning, and data synthesis engineer to join our dynamic team. In this role you be responsible for developing algorithms, signal processing methods and machine learning models to process, analyze and synthetize data, enhance the quality of data, and enable downstream functionalities and applications based on various sensing modalities (motion IMU, mag, microphone, ToF, and others). You will also apply advanced signal processing and machine learning techniques to build data\-driven solutions that enable automation, predictive analytics, and optimization across various domains. The role requires collaborating closely with other engineers to design, implement, and integrate the algorithms into software systems, applications, and/or products.
* Design, develop, and implement machine learning models, including supervised, unsupervised, and reinforcement learning techniques.
* Create, manage, and utilize synthetic data generation systems to enhance model training and testing.
* Work with large datasets, ensuring efficient data handling, pre\-processing, and feature engineering for model development.
* Apply advanced statistical techniques and data manipulation methods for the purpose of processing sensor data and algorithm development.
* Perform algorithm design (classical or Machine Learning), prototype implementation, performance evaluation and analysis.
* Automate workflows for data processing, algorithm development and model deployment to scale in real\-world environments.
* Evaluate and improve algorithms/model performance through experimentation, tuning, and validation strategies.
* Conduct fast\-track data analysis, feasibility studies and proof of concepts of new features
* Perform all tasks in all phases of software life cycle including requirements definition, algorithmic design, software design, coding, integration, and verification.
* Stay up to date with the latest industry trends and advancements in machine learning, signal processing, data synthesis, and artificial intelligence.
* Collaborate with engineers to refine development processes, data analysis and synthesis processes and improve the quality of algorithms and generated data.
* Perform other duties, including data collection, report generation, summarizing and presenting results/findings, researching certain topics or technical areas, and contributing to sharing knowledge across the teams.
**QUALIFICATIONS:** 
 The successful candidate for this position must be able to perform each essential function satisfactorily with or without reasonable accommodation. The qualifications and working conditions listed below are representative of those required for the position.
* Degree in one of the following fields: Computer Science, Machine Learning, Signal Processing, Mathematics, Telecommunications, or a related domain
* Minimum of 3 years of experience as a Machine Learning Engineer, Statistical Signal Processing Engineer, Algorithm Engineer, or in a closely related role
* Knowledge of sensors (the position involves extensive work with sensor data)
* Hands\-on experience in software development, algorithm design, and machine learning modeling using Python and/or C/C\+\+
* Proficiency with TensorFlow and/or PyTorch
* Experience with version control tools such as Git, and familiarity with software development best practices
* Ability to work both independently and collaboratively in a fast\-paced environment that values innovative thinking
* Excellent communication and interpersonal skills, with a proactive and self\-motivated attitude
**Desired (but not required):** 
* Ph.D. in a related field (preferred); a bachelor’s or master’s degree is sufficient
* Experience with cloud platforms (AWS, GCP, or Azure)
* Knowledge of reinforcement learning
* Experience with automation workflows
**COMPENSATION \&amp; BENEFITS:** 
 TDK U.S.A. offers a competitive compensation package and comprehensive benefits including medical, dental, 401(k), pension, life insurance, vacation, and 13 paid holidays.
 This is a US based remote position. The starting annual base pay for this role is between 97,000 and 160,000 USD. The actual compensation package offered is dependent upon many factors, such as: geographic location, training, transferable skills, work experience, business needs, market demands. The base pay range is subject to change and may be modified in the future.
 TDK is an Equal Opportunity Employer</t>
        </is>
      </c>
    </row>
    <row r="9">
      <c r="A9" t="inlineStr">
        <is>
          <t>li-4315388974</t>
        </is>
      </c>
      <c r="B9" t="inlineStr">
        <is>
          <t>Machine Learning Engineer</t>
        </is>
      </c>
      <c r="C9" t="inlineStr">
        <is>
          <t>Pave</t>
        </is>
      </c>
      <c r="D9" t="inlineStr">
        <is>
          <t>linkedin</t>
        </is>
      </c>
      <c r="E9" t="inlineStr"/>
      <c r="F9" t="inlineStr"/>
      <c r="G9" t="inlineStr">
        <is>
          <t>New York, NY</t>
        </is>
      </c>
      <c r="H9" t="inlineStr"/>
      <c r="I9" t="inlineStr">
        <is>
          <t>**Who We Are**
 At Pave, we're building the industry’s leading compensation platform, combining the world's largest real\-time compensation dataset with deep expertise in AI and machine learning. Our platform is perfecting the art and science of pay to give 8,500\+ companies unparalleled confidence in every compensation decision.
 Top tier companies like OpenAI, McDonald’s, Instacart, Atlassian, Synopsys, Stripe, Databricks, and Waymo use Pave, transforming every pay decision into a competitive advantage. $190\+ billion in total compensation spend is managed in our workflows, and 70% of Forbes AI 50 use Pave to benchmark compensation.
 The future of pay is real\-time \&amp; predictive, and we’re making it happen right now. We’ve raised $160M in funding from leading investors like Andreessen Horowitz, Index Ventures, Y Combinator, Bessemer Venture Partners, and Craft Ventures.
**The Research \&amp; Development Org**
 Pave's R\&amp;D pillar includes our data science, engineering, information technology, product design, product management, and security teams. This organization builds, maintains, and secures a platform used by more than 8,500\+ client organizations.
 Compensation strategy is broken down into 3 pillars \-
 **compensation bands** 
 ,
 **planning workflows** 
 , and
 **total rewards communication** 
 . We build products that make these processes seamless for customers.
 Over the next year, our roadmap is focused on enhancing the entire compensation lifecycle: from philosophy definition to market trend analysis, band adjustments, merit cycles, and employee communication. We're seeking passionate engineers who are excited about building robust, data\-rich systems that simplify complex compensation processes at scale.
 Learn more about our engineering principles here!
 The Data Team @ Pave
 As part of the Data team at Pave, you will help us redefine how companies understand the labor market and determine compensation. Even the most innovative tech companies in the world often use spreadsheets full of flawed statistics to determine how to pay. At Pave, we’ve built a system of real\-time integrations that allow us to bring best practices from machine learning, data science, software tooling, and AI to an industry that is built on data, but doesn’t have the tools it needs to fully leverage it.
**What You'll Do:**
* Architect and implement scalable ML systems for modeling compensation within a single company and across the market as a whole
* Collaborate with product and engineering teams to identify additional opportunities to leverage ML\-driven solutions
* Help evolve the technical direction of ML initiatives across the company
* Drive millions of dollars of revenue growth
**What You'll Bring:**
* 5\+ years of experience building and deploying ML models in production environments
* Strong foundation in machine learning, statistics, and deep learning fundamentals
* Expertise in Python and modern ML frameworks (PyTorch, TensorFlow, or similar)
* Experience with large\-scale data processing and ML model optimization
* Experience with MLOps practices and tools (model versioning, monitoring, and deployment)
* Strong software engineering practices and experience with production systems
* Expert\-level SQL skills with experience writing complex queries and optimizing query performance
* Ability to navigate (and bring structure to) ambiguity; ability to bring a project from 0 to 1, or scale a project from 1 to 100
**Compensation, It's What We Do.**
 Salary is just one component of Pave's total compensation package for employees. Your total rewards package at Pave will include equity, top\-notch medical, dental, and vision coverage, a flexible PTO policy, and many other region\-specific benefits. Your level is based on our assessment of your interview performance and experience, which you can always ask the hiring manager about to understand in more detail. This salary range may include multiple levels.
**The targeted cash compensation for this position is (level depends on experience and performance in the interview process):**
 P3: $195,000 \- $215,000
 P4: $230,000 \- $250,000
**Life @ Pave**
 Since being founded in 2019, Pave has established a robust global footprint. Headquartered in San Francisco's Financial District, we operate strategic regional hubs across New York City's Flatiron District, Salt Lake City, and the United Kingdom. We cultivate a vibrant, collaborative workplace culture through our hybrid model, bringing teams together in\-person on Mondays, Tuesdays, Thursdays, and Fridays to foster innovation and strengthen professional relationships
**Benefits** 
**@ Pave**
 At Pave, career advancement drives everything—roles expand, responsibilities deepen, and compensation rises alongside your professional growth.
**What We Provide**
* Complete Health Coverage: Comprehensive Medical, Dental and Vision coverage for you and your family, with plenty of options to suit your needs
* Time off \&amp; Flexibility: Flexible PTO and the ability to work from anywhere in the world for a month
* Meals \&amp; Snacks: Lunch \&amp; dinner stipends as well as fully stocked kitchens to fuel you
* Professional Development: Quarterly education stipend to continuously grow
* Family Support: Robust parental leave to bond with your new family
* Commuter Assistance: A commuter stipend to help you collaborate in person
**Vision** 
 \- Our vision is to unlock a labor market built on trust
**Mission** 
 \- Our team's mission is to build confidence in every compensation decision
**Are you ready to help our customers make smarter, more effective compensation decisions?**</t>
        </is>
      </c>
    </row>
    <row r="10">
      <c r="A10" t="inlineStr">
        <is>
          <t>li-4360670389</t>
        </is>
      </c>
      <c r="B10" t="inlineStr">
        <is>
          <t>Machine Learning Engineer</t>
        </is>
      </c>
      <c r="C10" t="inlineStr">
        <is>
          <t>Experian</t>
        </is>
      </c>
      <c r="D10" t="inlineStr">
        <is>
          <t>linkedin</t>
        </is>
      </c>
      <c r="E10" t="inlineStr"/>
      <c r="F10" t="inlineStr"/>
      <c r="G10" t="inlineStr"/>
      <c r="H10" t="inlineStr"/>
      <c r="I10" t="inlineStr">
        <is>
          <t>**About The Company** 
 Experian is a leading global data and technology company dedicated to powering opportunities for individuals and businesses worldwide. We leverage our extensive data assets, advanced analytics, and innovative software solutions to transform industries, enhance decision\-making, and create new opportunities. Our expertise spans various markets including financial services, healthcare, automotive, insurance, and agribusiness, enabling us to deliver tailored solutions that address complex challenges. As a FTSE 100 Index company listed on the London Stock Exchange (EXPN), we employ a diverse team of approximately 22,500 professionals across 32 countries. Headquartered in Dublin, Ireland, Experian invests heavily in cutting\-edge technologies and talent development to unlock the full potential of data, fostering a culture of innovation and excellence. Our mission is to help people and organizations make smarter decisions, achieve their goals, and improve their financial well\-being.
**About The Role** 
 We are seeking a talented Machine Learning Software Engineer to join our Experian Assistant team—a pioneering platform powered by Generative AI (GenAI) that delivers intelligent automation, enhances client engagement, and fortifies fraud detection capabilities. In this role, you will be instrumental in designing and developing agentic workflows that facilitate multi\-agent orchestration across various features of the platform. Your expertise will contribute to the enhancement of prompt engineering strategies, enabling more effective interactions with large language models (LLMs) such as GPT\-4, GPT\-5, and others. You will work closely with cross\-functional teams to integrate state\-of\-the\-art LLMs via SDKs like OpenAI’s Responses API and Experian’s proprietary Arabica SDK, ensuring seamless deployment and robust performance. Reporting to the Engineering Director, you will play a critical role in advancing our AI capabilities, supporting latency\-optimized solutions, and ensuring best practices in deployment, testing, and continuous integration. This is an exciting opportunity to be at the forefront of AI innovation within a global leader committed to data\-driven excellence.
**Qualifications** 
* Bachelor’s degree in Computer Science, Machine Learning, Data Science, or a related technical field
* Minimum of 3 years of professional experience in machine learning engineering or backend development
* Proficiency in Python (version 3\.8–3\.12\) with hands\-on experience in ML projects
* Experience with large language model (LLM) integration, prompt engineering, and agentic frameworks such as OpenAI Responses API and LangChain
* Strong understanding of RESTful APIs, microservices architecture, and software development best practices
* Familiarity with DevOps principles including infrastructure as code, observability, security, and CI/CD pipelines
* Knowledge of role\-based access control (RBAC), audit logging, and version control systems for ML functions and libraries
* Experience working with cloud platforms such as AWS, and containerization tools like Docker and Kubernetes
**Responsibilities** 
* Architect and develop agentic workflows to enable multi\-agent orchestration across the Experian Assistant platform
* Design, refine, and optimize prompts for large language models to improve system performance and user experience
* Integrate and evaluate various LLMs (e.g., GPT\-4, GPT\-5, Claude, Llama) for specific use cases such as Code Advisor, Analytics Expert, and Data Tutor
* Collaborate with cross\-functional teams to implement latency\-optimized solutions and support rapid onboarding of new models
* Contribute to deployment documentation, release planning, and version control using tools like Confluence and internal PR systems
* Ensure code quality through automated testing, code reviews, and continuous integration pipelines
* Maintain and improve deployment pipelines, including sandbox environments and glossary expansion for beta clients
* Support ongoing model evaluation, performance monitoring, and troubleshooting to ensure high reliability and accuracy
**Benefits** 
* Competitive salary package and performance\-based bonus plan
* Comprehensive health benefits including medical, dental, and vision coverage
* Matching 401(k) retirement plan to support your financial future
* Flexible work environment with options for remote, hybrid, or in\-office work arrangements
* Generous paid time off including vacation, sick leave, volunteer days, and 12 paid holidays annually
* Opportunities for professional growth, continuous learning, and career advancement
* Access to a wide range of employee wellness programs and initiatives
* Participation in Experian’s award\-winning culture emphasizing diversity, equity, inclusion, and work\-life balance
 Equal Opportunity
 Experian is an equal opportunity employer committed to fostering a diverse and inclusive workplace. We celebrate the unique backgrounds, perspectives, and experiences of our employees and believe that diversity drives innovation and success. We provide equal employment opportunities regardless of gender, ethnicity, religion, sexual orientation, physical ability, age, or any other protected characteristic.</t>
        </is>
      </c>
    </row>
    <row r="11">
      <c r="A11" t="inlineStr">
        <is>
          <t>li-4345163083</t>
        </is>
      </c>
      <c r="B11" t="inlineStr">
        <is>
          <t>Machine Learning Engineer - Perception Offline Driving Intelligence</t>
        </is>
      </c>
      <c r="C11" t="inlineStr">
        <is>
          <t>Zoox</t>
        </is>
      </c>
      <c r="D11" t="inlineStr">
        <is>
          <t>linkedin</t>
        </is>
      </c>
      <c r="E11" t="inlineStr"/>
      <c r="F11" t="inlineStr"/>
      <c r="G11" t="inlineStr">
        <is>
          <t>Boston, MA</t>
        </is>
      </c>
      <c r="H11" t="inlineStr"/>
      <c r="I11" t="inlineStr">
        <is>
          <t>The Offline Driving Intelligence (ODIN) team at Zoox is leveraging the latest in AI to craft algorithms that understand the world. We leverage large models first offline and we devise a path of impact into our self\-driving robot, enabling safe and efficient navigation in complex environments.
 As an engineer in the ODIN team, you will develop advanced multimodal large language models that enhance environmental understanding. You'll develop and fine\-tune these models for off\-vehicle analysis while working with the onboard team to deliver impact in our robotaxi platform, ensuring they can efficiently identify hazards and interpret driving restrictions with minimal latency. Working alongside world\-class engineers and researchers, you'll leverage premium sensor data and cutting\-edge infrastructure to validate your algorithms in real\-world conditions, directly impacting productivity, safety and the capability of Zoox's autonomous system.
**In this role, You will...**
* Develop multimodal large language models that enhance our robotaxis' understanding of complex urban environments
* Implement model architectures and sophisticated training techniques
* Build large high quality datasets leveraging all the inputs from our sensor stack and the overall large scale data we have at Zoox.
* Drive end\-to\-end ML solutions from research to production, utilizing Zoox's extensive data pipelines and infrastructure to improve autonomous driving capabilities.
* Collaborate with perception, planning, safety, and systems teams to integrate your models into the vehicle's decision\-making pipeline.
* Validate and optimize your solutions using real\-world driving scenarios, directly contributing to the safety and reliability of Zoox's autonomous system
**Qualifications**
* MS or PhD in Computer Science, Machine Learning, or related technical field
* Demonstrated experience training and deploying large language models (LLMs)
* Experience building and maintaining ML training pipelines, including data preprocessing, model training, and evaluation
* Proficiency in Python and ML libraries (PyTorch, NumPy) demonstrated through professional or research projects
* Experience training models with large scale data
**Bonus Qualifications**
* Publications in top\-tier conferences (CVPR, ICCV, RSS, ICRA)
* Experience with autonomous robotics systems
 $179,000 \- $245,000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
      <c r="A12" t="inlineStr">
        <is>
          <t>li-4360650971</t>
        </is>
      </c>
      <c r="B12" t="inlineStr">
        <is>
          <t>AI/ML Engineer</t>
        </is>
      </c>
      <c r="C12" t="inlineStr">
        <is>
          <t>micro1</t>
        </is>
      </c>
      <c r="D12" t="inlineStr">
        <is>
          <t>linkedin</t>
        </is>
      </c>
      <c r="E12" t="inlineStr"/>
      <c r="F12" t="inlineStr"/>
      <c r="G12" t="inlineStr"/>
      <c r="H12" t="inlineStr"/>
      <c r="I12" t="inlineStr">
        <is>
          <t>**Job Title:** 
 AI/ML Engineer
**Job Type:** 
 Full\-time \- Contractor
**Job Summary:** 
 Join our customer's team as an AI/ML Engineer and play a pivotal role in architecting and deploying cutting\-edge AI solutions. Be part of an innovative environment where your expertise with Python, LLMs, Retrieval\-Augmented Generation (RAG), and AWS will be fully leveraged to deliver impactful, production\-grade machine learning systems.
**Key Responsibilities:** 
* Design, develop, and deploy AI/ML models, with a focus on Large Language Models and RAG architectures.
* Implement scalable, secure, and high\-performance machine learning pipelines on AWS infrastructure.
* Collaborate cross\-functionally to understand business needs and translate them into technical solutions.
* Continuously optimize models and workflows for robustness, accuracy, and efficiency.
* Conduct research to evaluate new algorithms and integrate state\-of\-the\-art techniques into existing frameworks.
* Document code, workflows, and processes, emphasizing clarity and concise communication.
* Foster a collaborative environment through effective written and verbal communication.
**Required Skills and Qualifications:** 
* Proficiency in Python with experience in developing and deploying AI/ML solutions.
* Deep understanding of Large Language Models and Retrieval\-Augmented Generation techniques.
* Hands\-on experience with AWS services related to machine learning and data engineering.
* Strong analytical and problem\-solving skills, with a drive for innovation.
* Excellent written and verbal communication abilities.
* Demonstrated ability to work effectively in fast\-paced, collaborative, on\-site environments.
* Proven track record of delivering production\-level AI/ML systems.
**Preferred Qualifications:** 
* Advanced degree in Computer Science, Data Science, or a related field.
* Experience with additional cloud platforms and MLOps tools.
* Contributions to open\-source AI/ML communities.</t>
        </is>
      </c>
    </row>
    <row r="13">
      <c r="A13" t="inlineStr">
        <is>
          <t>li-4345465121</t>
        </is>
      </c>
      <c r="B13" t="inlineStr">
        <is>
          <t>Machine Learning Engineer</t>
        </is>
      </c>
      <c r="C13" t="inlineStr">
        <is>
          <t>RTX</t>
        </is>
      </c>
      <c r="D13" t="inlineStr">
        <is>
          <t>linkedin</t>
        </is>
      </c>
      <c r="E13" t="inlineStr"/>
      <c r="F13" t="inlineStr"/>
      <c r="G13" t="inlineStr">
        <is>
          <t>Farmington, CT</t>
        </is>
      </c>
      <c r="H13" t="inlineStr"/>
      <c r="I13" t="inlineStr">
        <is>
          <t>**Date Posted:**
 2025\-12\-22
**Country:**
 United States of America
**Location:**
 UT68: Corporate 1 Farm Springs Road, Farmington, CT, 06034 USA
**Position Role Type:**
 Hybrid
**U.S. Citizen, U.S. Person, or Immigration Status Requirements:**
 U.S. citizenship is required, as only U.S. citizens are authorized to access information under this program/contract.
**Security Clearance:**
 None/Not Required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**Position Overview:**
 This position is part of the Enterprise Services – Data \&amp; AI organization within RTX Corporate, supporting the company’s mission to develop and scale AI capabilities responsibly and securely across the enterprise.
 The Machine Learning Engineer designs and implements automation, observability, and lifecycle management pipelines for AI and machine learning applications. This role ensures that models and AI services operate reliably, securely, and cost\-effectively across RTX environments.
**What You Will Do:**
* Build and maintain CI/CD pipelines for AI model deployment and lifecycle management.
* Automate monitoring and telemetry for AI services using OpenTelemetry, MLflow, and Databricks.
* Productionize proof\-of\-concept (POC) code and integrate it into production systems.
* Implement access controls, cost tracking, and policy\-as\-code checks for production AI workloads.
* Develop dashboards and automated alerts to monitor system health, latency, and model performance.
* Collaborate with Platform and Applied AI Engineers to build reliable, high\-performance production services and embed observability and governance into production pipelines.
* Ensure reproducibility, observability, and compliance of AI workflows across environments.
* Design and build scalable production pipelines that are highly performant, cost\-efficient, and production\-ready, ensuring seamless integration with existing systems and workflows.
* Continuously optimize infrastructure and workflows to support scaling of AI applications in dynamic enterprise settings.
**Qualifications You Must Have:**
* Typically requires a University Degree or equivalent experience and minimum 10 years prior relevant experience, or an Advanced Degree in a related field and minimum 7 years experience
* Python \&amp; SQL for data and automation; ML lifecycle tools
* DevOps, observability, and AI monitoring
* Containers, cloud infrastructure, and production pipelines
**Qualifications We Prefer:**
* Experience with policy\-as\-code or governance automation frameworks (Open Policy Agent or equivalent).
* Background in regulated environments (aerospace, defense, finance, or healthcare).
* Understanding of Responsible AI practices, model versioning, and auditability.
**Work Location**
 This is a hybrid role, eligible candidates must reside within commuting distance from Farmington, CT, additional locations will be considered MA, TX, IA, CA
**What We Offer: Whether you’re just starting out on your career journey or are an experienced professional, we offer a robust total rewards package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124,000 USD \- 250,000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4">
      <c r="A14" t="inlineStr">
        <is>
          <t>li-4320827106</t>
        </is>
      </c>
      <c r="B14" t="inlineStr">
        <is>
          <t>Machine Learning Engineer</t>
        </is>
      </c>
      <c r="C14" t="inlineStr">
        <is>
          <t>Citizen</t>
        </is>
      </c>
      <c r="D14" t="inlineStr">
        <is>
          <t>linkedin</t>
        </is>
      </c>
      <c r="E14" t="inlineStr"/>
      <c r="F14" t="inlineStr"/>
      <c r="G14" t="inlineStr"/>
      <c r="H14" t="inlineStr"/>
      <c r="I14" t="inlineStr">
        <is>
          <t>**About Citizen**
 Citizen is the \#1 personal safety app in the U.S. with a mission to Protect the World and make communities safer. We believe safety is a shared responsibility and we’re building a global network where people help protect one another, creating a safety net that benefits everyone.
 Citizen provides free real\-time public safety alerts to millions of users in 76\+ North American markets and earns revenue through consumer subscriptions and enterprise solutions. Citizen’s investors include 8VC, Greycroft, Goodwater, Lux, Founders Fund, and Axon.
**About The Role**
 We are seeking an experienced
 **Machine Learning Engineer** 
 to drive the development of core recommendation capabilities that deliver real\-world relevance and value to our users. You will work closely with our video team to build systems that process large volumes of real\-time video content — transforming noisy, user\-generated media into a compelling and trustworthy feed experience.
**You Will Lead Major Initiatives Such As**
* Real\-time ranking and recommendation of newly uploaded videos
* Modeling video relevance, quality, and local importance
* Noise and duplicate detection to reduce feed clutter
* Leveraging multimodal signals (visual \+ audio \+ metadata) for relevance scoring
* Building human\-in\-the\-loop feedback loops that continuously improve model quality
 You’ll drive prioritization and technical execution across ML efforts, identify opportunities for emerging AI/ML methods, and ensure that our recommendation models scale to support rapid product and user growth. If you are passionate about building ML systems that meaningfully improve user safety, this role is for you.Our Challenges
**Scaling \&amp; Distribution**
 We serve one of the fastest\-growing user bases in public safety, expanding rapidly across major cities and preparing for nationwide scale.
**Bursting**
 During major events, hundreds of thousands of simultaneous clients rely on us for timely content, including live video streams — requiring dynamic scaling and robust ranking under load.
**Machine Learning**
**We Process Thousands Of User\-submitted Videos Daily And Must**
* Detect highly relevant and urgent content quickly
* Rank and personalize feeds under tight latency constraints
* Actively combat noise, redundancy, and cold\-start challenges
 Our Stack — languages and technologies we use and teach
* Services: Go for real\-time systems; Python for ML
* Data: Cassandra, MySQL, Redis, Google PubSub
* Infra: Kubernetes on Google Cloud; deep utilization of OpenAI platforms plus growing internal ML capabilities
**Preferred Qualifications**
* Degree in CS, Machine Learning, or equivalent industry experience
* Deep understanding of applied ML pipelines in production environments
* Experience across ML modeling techniques and frameworks (e.g., ranking, embeddings, neural networks, tree\-based models)
* 5\+ years building and shipping ML systems with measurable product impact
* Bonus: Experience in recommender systems, video understanding, or human\-in\-the\-loop learning
**Salary Range**
 This role offers a base salary of
 **$200,000 \- $225,000** 
 per year, plus equity.
**Compensation \&amp; Benefits**
 We offer competitive salary, equity, and a full benefits package, including:
* At least one fully employer\-sponsored medical plan option
* Dental and vision coverage, with a small employee contribution
* Unlimited PTO
* Up to 14 weeks paid parental leave (for all parents)
* Monthly tech stipend
* Free mental health support
* Hybrid work environment \+ catered lunches (NYC HQ)
**Diversity, Equity \&amp; Inclusion at Citizen**
 Citizen is an equal opportunity employer. We’re building a team that reflects the diversity of the communities we serve — across race, gender identity, sexual orientation, age, ability, and background.
 We know that diverse teams make better decisions and build more effective products. If you don’t meet every listed qualification, we still encourage you to apply. Skills, potential, and lived experience matter.</t>
        </is>
      </c>
    </row>
    <row r="15">
      <c r="A15" t="inlineStr">
        <is>
          <t>li-4359912781</t>
        </is>
      </c>
      <c r="B15" t="inlineStr">
        <is>
          <t>AI Engineer</t>
        </is>
      </c>
      <c r="C15" t="inlineStr">
        <is>
          <t>Hirenza</t>
        </is>
      </c>
      <c r="D15" t="inlineStr">
        <is>
          <t>linkedin</t>
        </is>
      </c>
      <c r="E15" t="inlineStr"/>
      <c r="F15" t="inlineStr"/>
      <c r="G15" t="inlineStr"/>
      <c r="H15" t="inlineStr"/>
      <c r="I15" t="inlineStr">
        <is>
          <t>**About The Company**
 Micro1 is a leading technology innovator dedicated to transforming industries through cutting\-edge artificial intelligence solutions. With a focus on delivering scalable and impactful AI applications, Micro1 leverages the latest advancements in machine learning, natural language processing, and cloud computing to empower organizations worldwide. Our commitment to innovation, quality, and customer satisfaction has established us as a trusted partner in the AI landscape. We foster a collaborative and inclusive work environment that encourages continuous learning and growth, enabling our team members to thrive and contribute to groundbreaking projects that shape the future of technology.
**About The Role**
 We are seeking a highly skilled and experienced Senior AI Engineer to join our dynamic team at Micro1\. In this role, you will be at the forefront of developing next\-generation Generative AI applications, focusing on large language models and innovative AI platforms. Your expertise will be instrumental in designing, building, and optimizing scalable AI solutions that meet real\-world business needs. You will collaborate closely with cross\-functional teams, including data scientists, software engineers, and product managers, to deliver high\-quality, production\-ready AI systems. The ideal candidate will possess a strong technical background, excellent communication skills, and a passion for pushing the boundaries of artificial intelligence technology.
**Qualifications**
* Bachelor’s or Master’s degree in Computer Science, Artificial Intelligence, Machine Learning, or a related field. A Ph.D. is a plus.
* 4\-6\+ years of hands\-on experience in AI and machine learning, with a focus on natural language processing and generative models.
* Deep understanding of large language models such as GPT, BERT, or similar architectures.
* Proficiency in programming languages such as Python, Java, or C\+\+.
* Experience with AI frameworks and libraries like TensorFlow, PyTorch, or Hugging Face Transformers.
* Strong knowledge of cloud platforms such as AWS, Azure, or Google Cloud, including deployment and scalability considerations.
* Excellent problem\-solving skills and the ability to translate complex technical concepts into clear, actionable solutions.
* Effective communication skills, with the ability to work collaboratively in a fast\-paced environment.
**Responsibilities**
* Design, develop, and optimize large\-scale Generative AI models tailored to specific business applications.
* Implement and fine\-tune state\-of\-the\-art natural language processing models to enhance AI capabilities.
* Collaborate with cross\-functional teams to understand project requirements and translate them into technical solutions.
* Develop scalable AI pipelines and infrastructure to support production deployment.
* Conduct research to stay abreast of the latest advancements in AI and machine learning, integrating new techniques as appropriate.
* Perform rigorous testing, validation, and performance tuning of AI models to ensure robustness and reliability.
* Document technical processes, model architectures, and best practices for team knowledge sharing.
* Mentor junior team members and contribute to a culture of continuous learning and innovation.
**Benefits**
 At Micro1, we are committed to providing a comprehensive benefits package to support our employees’ well\-being and professional growth. Our offerings include competitive salary packages, health insurance plans, and retirement savings options. Employees have access to flexible work arrangements, including remote work opportunities, to promote work\-life balance. We also provide ongoing learning and development programs, including certifications, workshops, and conferences, to help you stay at the forefront of AI technology. Additionally, our team members enjoy a collaborative and inclusive work environment that encourages innovation, creativity, and career advancement.
 Equal Opportunity
 Micro1 is an equal opportunity employer. We celebrate diversity and are committed to creating an inclusive environment for all employees. We do not discriminate based on race, ethnicity, gender, age, religion, sexual orientation, disability, or any other protected status. We believe that diverse perspectives and experiences drive innovation and excellence, and we are dedicated to fostering a workplace where everyone can thrive and contribute their best.</t>
        </is>
      </c>
    </row>
    <row r="16">
      <c r="A16" t="inlineStr">
        <is>
          <t>li-4360660865</t>
        </is>
      </c>
      <c r="B16" t="inlineStr">
        <is>
          <t>Software AI Engineer</t>
        </is>
      </c>
      <c r="C16" t="inlineStr">
        <is>
          <t>micro1</t>
        </is>
      </c>
      <c r="D16" t="inlineStr">
        <is>
          <t>linkedin</t>
        </is>
      </c>
      <c r="E16" t="inlineStr"/>
      <c r="F16" t="inlineStr"/>
      <c r="G16" t="inlineStr"/>
      <c r="H16" t="inlineStr"/>
      <c r="I16" t="inlineStr">
        <is>
          <t>**Job Title:** 
 Software AI Engineer
**Job Type:** 
 Full\-time, Contractual
**Job Summary:** 
 We are seeking a talented Software AI Engineer to join our customer's team in Washington, DC. This is a unique opportunity to work on cutting\-edge AI/ML projects, leveraging the latest advancements in Large Language Models (LLMs), Retrieval\-Augmented Generation (RAG), and full\-stack development. If you are passionate about building innovative solutions and thrive in a collaborative on\-site environment, we want to hear from you.
**Key Responsibilities:** 
* Design, develop, and maintain applications utilizing LLMs and RAG methodologies.
* Implement and scale AI/ML models using frameworks like TensorFlow and PyTorch.
* Build and maintain robust front\-end interfaces with React and scalable back\-end systems with Node.js.
* Collaborate closely with cross\-functional teams to translate business requirements into technical solutions.
* Deploy and manage applications on AWS, ensuring reliability, security, and scalability.
* Continuously research and integrate the latest technologies in AI/ML and cloud computing.
* Communicate complex technical concepts clearly, both in writing and verbally, to diverse stakeholders.
**Required Skills and Qualifications:** 
* Proven experience with LLMs using APIs, fine\-tuning, RAG, or pre/post training development workflows.
* Strong development skills in JavaScript/TypeScript with hands\-on experience in React and Node.js.
* Solid understanding of AI/ML concepts and practical experience with frameworks such as TensorFlow or PyTorch.
* Expertise in deploying and managing applications on AWS or similar cloud platforms.
* Proficiency in common full stack frameworks and best practices.
* Exceptional written and verbal communication skills, with a focus on clarity and collaboration.
* Demonstrated ability to work effectively on\-site in a collaborative, fast\-paced team environment.
**Preferred Qualifications:** 
* Experience with additional AI/ML frameworks and cloud\-native technologies.
* Background in Retrieval\-Augmented Generation (RAG) architectures and prompt engineering.
* Track record of delivering production\-grade AI/ML solutions in a full\-stack environment.</t>
        </is>
      </c>
    </row>
    <row r="17">
      <c r="A17" t="inlineStr">
        <is>
          <t>li-4313300900</t>
        </is>
      </c>
      <c r="B17" t="inlineStr">
        <is>
          <t>AI/ML Engineer, Conversational AI</t>
        </is>
      </c>
      <c r="C17" t="inlineStr">
        <is>
          <t>Fanatics</t>
        </is>
      </c>
      <c r="D17" t="inlineStr">
        <is>
          <t>linkedin</t>
        </is>
      </c>
      <c r="E17" t="inlineStr"/>
      <c r="F17" t="inlineStr"/>
      <c r="G17" t="inlineStr"/>
      <c r="H17" t="inlineStr"/>
      <c r="I17" t="inlineStr">
        <is>
          <t>**Job Description**
 Fanatics Markets is the real\-money prediction and trading app where you can invest in moments you care about. Built on a secure platform, we let users predict real\-world outcomes and trade on events they actually follow \- from sports and entertainment to political elections and beyond. Our mission is to redefine how fans engage with the moments and markets that matter most. We're looking for the right people to help us build the future of prediction markets.
**AI/ML Engineer, Conversational AI**
 Fanatics Betting and Gaming is seeking an
 **AI/ML Engineer** 
 on our cross\-functional Applied AI team that is on a mission to 10x FBG with AI. You’ll build and productionize the software foundations that power next\-gen recommenders, autonomous AI agents, and scalable AI\-driven experiences—working in a fast\-paced, startup\-style environment where you’ll move from prototype to ship\-ready features in days, not months. As an AI Engineer at Fanatics, you will partner with Applied Scientists, Data Engineers, and Product teams to design, implement, and maintain end\-to\-end systems that deliver autonomous agent capabilities to internal stakeholders and millions of fans. You’ll translate cutting\-edge research into rock\-solid code, architect microservices for low\-latency inference, and champion best practices in reliability, scalability, and observability.
**Responsibilities**
* Engineer Conversational ML for Support Tools Design, fine\-tune, and productionize dialogue models—integrating RAG pipelines, context\-aware routing, and continuous feedback loops—to power internal workflows that supercharge customer\-support agents while hitting sub\-100 ms latency and enterprise\-grade reliability.
* Develop AI Agent Frameworks Create, integrate, and extend agent orchestration pipelines—building tools to deploy, monitor, and iterate on multi\-agent workflows.
* Collaborate in a Startup\-Like Pod Work hands\-on across the stack: from data ingestion and feature engineering to model deployment and UX integration—rapidly prototyping and shipping proof\-of\-concepts alongside engineers and product managers.
* Optimize for Scale \&amp; Reliability Implement CI/CD for model updates, containerize inference workloads (Docker/Kubernetes), and instrument services with logging, tracing, and alerts to meet 99\.9% uptime SLAs.
* Champion Engineering Best Practices Write clear, maintainable code; conduct code reviews; mentor junior teammates; and evangelize automated testing, code linting, and performance monitoring.
**Skills \&amp; Qualifications**
* 7 years of professional software engineering experience, with at least 2 years focused on AI/ML systems such as conversational AI, customer support, copilot and/or chatbot experiences
* Hands\-on experience building and deploying models in production
* Proficiency in Python (FastAPI, Flask) and familiarity with strong\-typed languages (Java, Go, or C\#) for microservice development
* Experience with container orchestration (Docker, Kubernetes) and cloud platforms (AWS, GCP, or Azure)
* Knowledge of AI agents and frameworks (e.g. LangChain, Ray RLlib, custom orchestrators)
* Solid understanding of distributed systems, API design, and data pipelines
* Comfortable navigating ambiguity in a startup\-like environment: you’re resourceful, rapid in iteration, and thrive on end\-to\-end ownership
*Ready to build the future of sports betting? If you possess some of these skills but not all of them, we still encourage you to apply!*
***Salary Range:** 
 $152,000 – $250,000 USD per year*
*The base salary for this role is based on job\-related knowledge, skills, and experience and may vary depending on the successful candidate’s geographic location. For information about our benefits, please visit* 
*https://benefitsatfanatics.com/*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t>
        </is>
      </c>
    </row>
    <row r="18">
      <c r="A18" t="inlineStr">
        <is>
          <t>li-4292301858</t>
        </is>
      </c>
      <c r="B18" t="inlineStr">
        <is>
          <t>AI Engineer</t>
        </is>
      </c>
      <c r="C18" t="inlineStr">
        <is>
          <t>Ketryx</t>
        </is>
      </c>
      <c r="D18" t="inlineStr">
        <is>
          <t>linkedin</t>
        </is>
      </c>
      <c r="E18" t="inlineStr"/>
      <c r="F18" t="inlineStr"/>
      <c r="G18" t="inlineStr">
        <is>
          <t>Boston, MA</t>
        </is>
      </c>
      <c r="H18" t="inlineStr"/>
      <c r="I18" t="inlineStr">
        <is>
          <t>**Job Title:** 
 AI Engineer
**Employment Status:** 
 Full\-time
**Preferred Location:** 
 Boston, Massachusetts
**Compensation:** 
 very attractive base salary \+ performance\-based bonus and equity options
*Final compensation is negotiable based on experience and qualifications* 
 Job Summary
 Join us in an exciting opportunity as an AI Engineer at Ketryx, where you'll help enhance and expand our AI\-powered solution that helps medical device manufacturers build safer software faster. In this role, you'll be part of a small, highly motivated team working at the intersection of artificial intelligence and medical software development. You'll help shape the future of how medical device teams interact with AI systems while ensuring compliance with regulatory requirements.
 Our mission is to reinvent how medical device manufacturers bring life\-saving innovations to market. As part of our growing AI team, you'll have the opportunity to make significant contributions to our AI infrastructure and help medical device teams work more efficiently and safely.
 About You
 You're passionate about applying AI to solve real\-world problems, particularly in regulated industries where safety and reliability are paramount. Your strong technical foundation in AI/ML is complemented by excellent software engineering skills and a desire to build production\-ready systems that users can trust. You're excited about the challenge of making AI systems that are both powerful and responsible, especially in the context of medical software development. Applicants must be authorized to work for any employer in the U.S. or Canada. We are unable to sponsor or take over sponsorship of employment Visas (including H\-1B), F\-1 visas, or Optional Practical Training (OPT) status at this time.
 You thrive in a fast\-paced startup environment where you can take ownership of technical decisions and see their direct impact on users. You're naturally curious, love diving deep into complex problems, and are comfortable working across the full AI system stack \- from model integration to user experience design.
 Responsibilities:
 * Enhance and expand the capabilities of our AI\-powered solution across our platform
* Develop and optimize advanced natural language processing techniques for requirement analysis and traceability, with emphasis on identifying dependencies and potential gaps
* Implement methodologies for AI\-assisted software verification and validation processes, focusing on regulated environment requirements
* Design and develop AI\-powered document processing and generation systems with continuous validation capabilities
* Build and maintain testing frameworks to evaluate KI's AI components through empirical studies, measuring efficiency gains, accuracy improvements, and user satisfaction metrics
* Establish and implement monitoring systems for continuous validation of AI features in regulated environments
* Lead cross\-functional collaboration with the product team to design measurable, impactful AI solutions that address specific user challenges
* Ensure AI systems maintain compliance with medical software requirements through systematic testing and validation protocol
 Required Skills:
 * Bachelor’s degree in Computer Science, Applied Computing, and at least 2\-3 years of
 practical experience in related field with focus on AI/ML
* Minimum of 4 years of professional experience in a product\-focused company
* At least 1 year of experience working on a
 **TypeScript** 
 backend (for product integration work)
* Knowledge in common Software Engineering practice
* Experience with large language models (LLMs) and natural language processing
* Excellent  written and verbal communication skills
* Experience building production systems
 Additional Skills:
 * Familiarity with React and GraphQL
* Experience with AI systems in regulated industries
* Understanding of medical device software development process
 Our Tech Stack:
 * Software platform built on NextJS / React. The backend and frontend, including the AI parts are maintained in TypeScript
* Postgres database
* AWS (EC2, ELB, S3, CloudWatch etc.) for deployment
* GitHub, Jira, Confluence for collaboration
 Am I a Good Fit?
 * How would you manage state when using an LLM to power a conversation?
* How would you design an AI\-powered document analysis system from scratch?
* What does the await keyword do in TypeScript, and how does it relate to Promises?
* How did you integrate AI powered features into a user\-facing SaaS / software system?
 If you feel confident talking about these kinds of questions, let’s talk!
 Keywords: Artificial Intelligence, AI, Machine Learning, ML, Product Engineering, TypeScript, Software Engineering, Medical Device Software, Large Language Models, LLMs, React, PostgreSQL
 What We Offer
 * Competitive compensation
* Generous stock options possible
* Work in an exciting field with a positive impact on the world
* Opportunity to learn and grow as part of a global team
* Hybrid work model (mix of work from home and office is possible)
* Generous PTO for full\-time
 Ketryx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**Ketryx** 
 is saving and improving lives by making medical software safe and reliable. We empower software teams building medical applications to create safe, secure, and compliant products used by patients and providers worldwide. We believe that, by automating much of the documentation and quality processes, teams will be able to produce safer and more innovative medical software faster.
 Ketryx is at the forefront of helping teams incorporate AI/ML into medical software and that’s why we need you!</t>
        </is>
      </c>
    </row>
    <row r="19">
      <c r="A19" t="inlineStr">
        <is>
          <t>li-4315291197</t>
        </is>
      </c>
      <c r="B19" t="inlineStr">
        <is>
          <t>1.77 Robotics Research AI Engineer: Robot Learning</t>
        </is>
      </c>
      <c r="C19" t="inlineStr">
        <is>
          <t>FieldAI</t>
        </is>
      </c>
      <c r="D19" t="inlineStr">
        <is>
          <t>linkedin</t>
        </is>
      </c>
      <c r="E19" t="inlineStr"/>
      <c r="F19" t="inlineStr"/>
      <c r="G19" t="inlineStr">
        <is>
          <t>Pittsburgh, PA</t>
        </is>
      </c>
      <c r="H19" t="inlineStr"/>
      <c r="I19" t="inlineStr">
        <is>
          <t>Field AI is transforming how robots interact with the real world. We are building risk\-aware, reliable, and field\-ready AI systems that address the most complex challenges in robotics, unlocking the full potential of embodied intelligence. We go beyond typical data\-driven approaches or pure transformer\-based architectures, and are charting a new course, with already\-globally\-deployed solutions delivering real\-world results and rapidly improving models through real\-field applications.
**About the Job
 We are looking for a Robotics Research AI Engineer (Robot Learning) to push the frontier of embodied intelligence. In this role, you will design and deploy cutting\-edge learning algorithms that enable robots to acquire new skills across a wide range of embodiments. You will contribute to research and large\-scale training of foundation models for robotics, spanning visual\-language models (VLMs), large language models (LLMs), and control policies. Your work will directly impact robot capabilities in the field, from traversability to dexterous manipulation, shaping how intelligent robots operate in unstructured real\-world environments.
 This is a role for someone who thrives at the intersection of research and engineering—building scalable learning systems while advancing state of the art in robot learning.
**What You’ll Get To Do** 
* **Develop Robot Skill Learning Methods**
* Design and train algorithms that enable robots to acquire generalizable skills across diverse embodiments
* Integrate reinforcement learning, imitation learning, and foundation models into real robot pipelines
* **Advance Robotics Foundation Models**
* Leverage and adapt VLMs and LLMs to robotics tasks, including perception, reasoning, and action planning
* Explore large\-scale pretraining and fine\-tuning approaches tailored to embodied intelligence
* **Large\-Scale Training and Deployment**
* Build and optimize large\-scale distributed training pipelines using PyTorch and modern ML infrastructure
* Deploy models onto real robots, bridging the gap between simulation and field\-ready execution
* **Real\-World Robotic Applications**
* Work on core challenges in traversability, mobile robotics, and manipulation
* Collaborate with hardware engineers to validate algorithms in unstructured, high\-variance environments
* **Research and Publication**
* Conduct cutting\-edge research and publish in top robotics, AI, and machine learning venues
* Contribute to the broader robotics research community while advancing Field AI’s mission
**What You Have** 
* Strong research background (PhD, MS, or equivalent industry research experience) in Robotics, AI/ML, or related fields
* Proficiency in robot learning methods (reinforcement learning, imitation learning, representation learning)
* Experience with PyTorch and modern ML training frameworks
* Hands\-on experience with real robots (mobile platforms, manipulators, or other embodiments)
* Strong foundation in large\-scale distributed training and optimization
* Ability to translate research into practical, field\-deployable systems
* Excellent problem\-solving skills and ability to thrive in fast\-paced, interdisciplinary teams
**The Extras That Set You Apart** 
* Publications in top\-tier conferences/journals (CoRL, ICRA, IROS, NeurIPS, ICML, CVPR, etc.)
* Experience deploying VLMs/LLMs in robotics pipelines
* Background in 3D vision, mapping, or traversability analysis
* Experience in sim\-to\-real transfer for manipulation and locomotion
* Familiarity with modern robot middleware (ROS2, Isaac, etc.)
* Strong software engineering practices (CI/CD, testing, scalable infrastructure)
* Contributions to open\-source robotics or ML frameworks
**Compensation and Benefits**
 Our salary range is between ($70,000 \- $300,000 annual), but we take into consideration an individual's background and experience in determining final salary; base pay offered may vary considerably depending on geographic location, job\-related knowledge, skills, and experience.  Also, while we enjoy being together on\-site, we are open to exploring a hybrid or remote option.
**Why Join Field AI?**
 We are solving one of the world’s most complex challenges: deploying robots in unstructured, previously unknown environments. Our Field Foundational Models™ set a new standard in perception, planning, localization, and manipulation, ensuring our approach is explainable and safe for deployment.
 You will have the opportunity to work with a world\-class team that thrives on creativity, resilience, and bold thinking. With
 a decade\-long track record of deploying solutions in the field
 , winning DARPA challenge segments, and bringing expertise from organizations like DeepMind, NASA JPL, Boston Dynamics, NVIDIA, Amazon, Tesla Autopilot, Cruise Self\-Driving, Zoox, Toyota Research Institute, and SpaceX, we are set to achieve our ambitious goals.
**Be Part of the Next Robotics Revolution** 
 To tackle such ambitious challenges, we need a team as unique as our vision — innovators who go beyond conventional methods and are eager to tackle tough, uncharted questions. We’re seeking individuals who challenge the status quo, dive into uncharted territory, and bring interdisciplinary expertise. Our team requires not only top AI talent but also exceptional software developers, engineers, product designers, field deployment experts, and communicators.
 We are headquartered in always\-sunny Irvine, Southern California and have US based and global teammates. 
 Join us, shape the future, and be part of a fun, close\-knit team on an exciting journey!
 We celebrate diversity and are committed to creating an inclusive environment for all employees. Candidates and employees are always evaluated based on merit, qualifications, and performance. We will never discriminate on the basis of race, color, gender, national origin, ethnicity, veteran status, disability status, age, sexual orientation, gender identity, marital status, mental or physical disability, or any other legally protected status.**</t>
        </is>
      </c>
    </row>
    <row r="20">
      <c r="A20" t="inlineStr">
        <is>
          <t>li-4350335080</t>
        </is>
      </c>
      <c r="B20" t="inlineStr">
        <is>
          <t>AI Engineer (Natural Language Processing)</t>
        </is>
      </c>
      <c r="C20" t="inlineStr">
        <is>
          <t>Skyryse</t>
        </is>
      </c>
      <c r="D20" t="inlineStr">
        <is>
          <t>linkedin</t>
        </is>
      </c>
      <c r="E20" t="inlineStr"/>
      <c r="F20" t="inlineStr"/>
      <c r="G20" t="inlineStr">
        <is>
          <t>El Segundo, CA</t>
        </is>
      </c>
      <c r="H20" t="inlineStr"/>
      <c r="I20" t="inlineStr">
        <is>
          <t>Our mission at Skyryse is nothing less than a new era in flight, where fatalities are nearly zero, piloting any aircraft is simple and safe, and the sky is accessible to all. SkyOS, our industry\-first universal operating system for flight, provides any airplane or helicopter with a fly\-by\-wire flight management solution that significantly reduces the complexity of flying. Skyryse One, our first production aircraft powered by SkyOS, was unveiled in 2024 and features the simplest, safest, and most intuitive flight controls in general aviation.
**AI ENGINEER \- EL SEGUNDO, CA**
 As an AI Engineer on our Advanced Technology Team, you will take part in designing, developing and integrating our SkyOS AI assistant. You will be given projects and tasks to develop new features, enhance throughput, and optimize architecture for this flight enhancing software.
 This is a full\-time onsite opportunity based out of El Segundo, CA. 
**RESPONSIBILITIES:** 
* Conduct cutting\-edge generative AI and NLP research in a fast\-paced, collaborative environment
* Contribute to the design of AI\-driven features that enhance user experience and product functionality for aerospace applications
* Design new agent architectures to improve end\-to\-end performance of AI workflows
* Develop high fidelity, application specific AI applications that can be locally hosted
* Design, run, and evaluate experiments to improve LLMs on various NLP benchmarks
* Execute data engineering tasks to curate data for LLM pre\-training, fine\-tuning, RAG
* Help develop roadmaps that utilize generative AI and knowledge retrieval to understand and integrate new research in the product roadmap
* Understand and apply responsible AI practices, including considerations of bias, fairness, and data privacy
**MINIMUM QUALIFICATIONS:** 
* Bachelor’s or Master’s degree in an engineering discipline (Computer Science, Software Engineering, or similar)
* 3\+ years of professional experience in AI and voice\-to\-text algorithms.
* Proficiency in Natural Language Processing
* Proficiency in Digital Signal Processing
* Proficiency in ML/Deep Learning Frameworks and frameworks like PyTorch or TensorFlow
**PREFERRED QUALIFICATIONS:** 
* PhD in Computer Science (focus in AI, ML, or similar)
* Expertise in speech recognition models
* Real\-time and edge deployment experience
* Piloting experience a bonus
**WHY SKYRYSE?** 
* The opportunity to change the world through improving aviation safety and accessibility
* Salary: $140,000 \- $180,000
* Valuable stock option plan
* Heavily subsidized medical, dental and vision plans
* Full\-time employees are eligible for 20 days of paid time off (PTO) and 5 sick days annually.  PTO and sick days must be used in accordance with Company policy.
* A company with an ambitious vision, a dynamic work environment, and a team of smart, motivated, and fun to work\-with colleagues!
*The posted salary range reflects the potential base pay for this role, adjusted to account for varying geographic markets. Final compensation will be based on factors such as your location, job\-related skills, experience, and internal alignment, including equity and benefits.* 
**WE WELCOME ALL**
 Skyryse is an equal opportunity employer. We value diversity. We do not discriminate on the basis of race, religion, color, national origin, gender, sexual orientation, age, marital status, veteran status, or disability status.
 NO AGENCY CANDIDATES WILL BE CONSIDERED.</t>
        </is>
      </c>
    </row>
    <row r="21">
      <c r="A21" t="inlineStr">
        <is>
          <t>li-4359912469</t>
        </is>
      </c>
      <c r="B21" t="inlineStr">
        <is>
          <t>Machine Learning Engineer</t>
        </is>
      </c>
      <c r="C21" t="inlineStr">
        <is>
          <t>Kemper</t>
        </is>
      </c>
      <c r="D21" t="inlineStr">
        <is>
          <t>linkedin</t>
        </is>
      </c>
      <c r="E21" t="inlineStr"/>
      <c r="F21" t="inlineStr"/>
      <c r="G21" t="inlineStr"/>
      <c r="H21" t="inlineStr"/>
      <c r="I21" t="inlineStr">
        <is>
          <t>**About The Company** 
 Kemper is one of the nation's leading specialized insurers, renowned for its innovative approach and commitment to providing tailored insurance solutions. With approximately $12 billion in assets, Kemper serves over 4\.6 million policies through its Kemper Auto and Kemper Life brands. The company boasts a workforce of around 7,500 dedicated professionals and a vast network of approximately 24,200 agents and brokers. Kemper is committed to making a positive impact on its customers' lives by offering affordable, easy\-to\-understand insurance products that meet their evolving needs. As an organization that values diversity, inclusion, and professional growth, Kemper strives to create a dynamic and supportive work environment where employees can thrive and contribute meaningfully to the company's success.
**About The Role** 
 The Data Science and Analytics ecosystem at Kemper plays a pivotal role in maintaining the company's competitive edge. The Analytics Foundation Services team is seeking a skilled ML Ops Engineer to join our dynamic team. In this role, you will be responsible for building, deploying, and supporting machine learning and artificial intelligence tools as well as internal data science work products. You will work independently or lead smaller project teams to deliver real\-time and batch analytics solutions that drive strategic decision\-making and operational efficiency. The ideal candidate will collaborate closely with cross\-functional teams, including business units, IT, Model Risk Management, and the Enterprise Data Office, to ensure responsible and efficient analytics support. This position offers an exciting opportunity to make a lasting impact by advancing Kemper’s analytics capabilities and infrastructure, contributing to innovative projects that influence the organization’s success.
**Qualifications** 
* Proficiency in Python programming language
* Strong SQL skills
* Experience with Linux/Unix environments and bash scripting
* API development expertise
* Hands\-on experience with AWS services such as S3, Kubernetes, EC2, and containerization
* Knowledge of data formats including JSON and XML
* Proficiency with GitLab version control system
* Understanding of Software Development Life Cycle (SDLC)
* Experience with Jenkins and Control\-M is a plus
* Experience in financial services industry is a plus
* Proficiency in at least one compiled language preferred
* Graduate degree in Mathematics, Statistics, Computer Science, Physics, or related field, or 5\+ years of experience in DevOps, MLOps, or Software Engineering
* Self\-motivated and able to work independently
* Ability to work remotely within US time zones (Central or Eastern hours)
* Sponsorship is not available for this position
**Responsibilities** 
* Develop, deploy, and maintain real\-time and batch data analytics and data science applications independently or within a team
* Create and support machine learning and AI tools tailored for internal stakeholders
* Enhance internal analytics infrastructure, processes, and capabilities through continuous improvement initiatives
* Collaborate effectively with business units, IT teams, Model Risk Management, and the Enterprise Data Office to ensure responsible analytics deployment
* Support data science projects by integrating best practices in software engineering and data management
* Contribute to automation and optimization of ML/AI workflows and pipelines
* Maintain documentation and ensure compliance with organizational standards and policies
* Participate in code reviews, testing, and validation activities to ensure high\-quality deliverables
**Benefits** 
* Comprehensive health and dental insurance plans available within the first month of employment
* Robust 401(k) plan with company match to support your financial future
* Health Spending Accounts and various retirement savings options
* Tuition Assistance Program, paid certifications, and ongoing education opportunities
* Paid time off and flexible work arrangements to support work\-life balance
* Employee discounts on shopping, dining, and travel through Kemper Perks
* Participation in community service through United Way and volunteer programs
* Business casual dress code and a supportive work environment
 Equal Opportunity
 Kemper is proud to be an equal opportunity employer. We consider all qualified applicants regardless of race, color, religion, sex, sexual orientation, gender identity, national origin, veteran status, disability, or any other protected characteristic. We are committed to fostering diversity, equity, and inclusion within our organization and ensuring a workplace free from discrimination.</t>
        </is>
      </c>
    </row>
    <row r="22">
      <c r="A22" t="inlineStr">
        <is>
          <t>li-4345532077</t>
        </is>
      </c>
      <c r="B22" t="inlineStr">
        <is>
          <t>Senior Machine Learning Engineer</t>
        </is>
      </c>
      <c r="C22" t="inlineStr">
        <is>
          <t>Paylocity</t>
        </is>
      </c>
      <c r="D22" t="inlineStr">
        <is>
          <t>linkedin</t>
        </is>
      </c>
      <c r="E22" t="inlineStr"/>
      <c r="F22" t="inlineStr"/>
      <c r="G22" t="inlineStr"/>
      <c r="H22" t="inlineStr"/>
      <c r="I22" t="inlineStr">
        <is>
          <t>Job Type
 Full\-time
**Description**
 Paylocity is an award\-winning provider of cloud\-based HR and payroll software solutions, offering the most complete platform for the modern workforce. The company has become one of the fastest\-growing HCM software providers worldwide by offering an intuitive, easy\-to\-use product suite that helps businesses automate and streamline HR and payroll processes, attract and retain talent, and build a strong workplace culture.
 While traditional HR and payroll providers automate basic HR processes such as payroll and benefits administration, Paylocity goes further by developing tools that HR and businesses need to compete for talent and deliver against the expectations of the modern workforce.
 We give our employees what they need to succeed, including great benefits and perks! We offer medical, dental, vision, life, disability, and a 401(k) match, as well as perks that support you, your family, and your finances. And if it’s career development you desire, we provide that, too! At Paylocity, people matter most and have always been at the heart of our business.
 Help Paylocity enhance communication and enable employees to connect, collaborate, and create from anywhere with a position in Product \&amp; Technology!
 Want to develop the strategies and principles needed to deliver compelling software? Join our team and help us enhance our all\-in\-one software platform, elevate our one\-of\-a\-kind technology, and improve the employee experience.
 Take your career to the next level at one of G2's Top 100 Software Companies. Explore our Product \&amp; Technology positions to see where you fit!
**Senior Engineer Machine Learning**
**Position Overview**
 Paylocity is growing its Machine Learning Engineering organization! Our machine learning engineering team is responsible for developing infrastructure and tooling to help enable data driven decisions and insights at a scale for millions of Paylocity users.
 As a Senior Machine Learning Engineer in Product \&amp; Technology, you will help Paylocity build and deploy Machine Learning solutions, to help our teams build better products faster, more reliably, and at the scale we see in production for our customers. We develop machine learning models and infrastructure to support internal team strategies and collaborate closely with our data science organization to drive efficiency and best practices. Your primary focus will be to leverage your expertise in software development, machine learning algorithms, and data infrastructure to architect, develop, and optimize machine learning solutions. You will play a key role in driving the development of scalable and efficient machine learning models, contributing to the enhancement of product features, and the overall improvement of our infrastructure.
**Our Team Is**
* Building infrastructure that can power ML and AI features for millions of users
* Building and deploying platform\-wide recommendations to help companies follow HR best practices and allow employees to get the most out of our platform (Paylocity AI page)
* Baking AI Ethics into all our processes as a first\-class citizen (Blog Post)
* Working in a collaborative fully remote environment with a desire to share ideas and continuously improve
* Invested in staying current in machine learning engineering by applying the newest tools, technologies, and practices
* Excited to work on cutting\-edge technology!
**Primary Responsibilities**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Collaborate closely with internal teams such as Data Science, Data Engineering, Paylocity’s Cloud Center of Excellence (CCOE), DevOps, and Delivery Platforms to understand requirements and ensure alignment of machine learning engineering solutions with overall business objectives and priorities.
* Leverage cutting\-edge big data technologies on AWS utilizing Databricks and Spark to develop scalable and efficient machine learning solutions for millions of users.
* Create automated data and modeling pipelines, collaborating with internal teams to ensure smooth integration and deployment of machine learning software features.
* Lead the optimization of CI/CD workflows, ensuring scalability and resilience while addressing complex challenges in automation in partnership with DevOps and Delivery Platforms.
* Proactively identify and resolve issues/bugs, ensuring AppSec vulnerabilities are identified and corrected, working closely with Application Security and CCOE teams.
* Drive the adoption of best practices in machine learning engineering across teams, contributing to the development of formal training programs and materials for MLE tool adoption.
* Actively participate in cross\-functional meetings and discussions, providing feedback, commentary, requirements, and questions to ensure alignment and drive project success.
**Education And Experience**
* 5 years of machine learning engineering success or similar experience with a Bachelor's degree, or an Advanced degree (Masters or PhD) preferred in machine learning engineering, data engineering, computer science, engineering, statistics, mathematics, data science, or another quantitative field.
* Experience in building production\-grade machine learning models and infrastructure in Python.
* Strong background in advanced Python and big data technologies
* Experience with cloud infrastructure (i.e., AWS, GCP, or Azure).
* Demonstrated experience with Infrastructure as Code (IAC) tools (i.e. CDK, Pulumi, etc.).
* Demonstrated ability to leverage machine learning engineering to drive business results.
* Skilled at translating business problems into machine learning engineering problems and communicating the results to non\-technical audiences.
* Able to work in a collaborative environment with a desire to share your ideas.
* Able to work independently and complete tasks with high quality, but unafraid to seek out suggestions from other team members.
* Strong understanding of data engineering and software engineering fundamentals.
* Self\-motivated, adaptable, and highly detail oriented.
**Preferred Skills**
* Professional or academic experience in HR, social science or psychology
* Contributions to open\-source software in Python
* Enthusiastic about how machine learning and infrastructure can lead to a superior customer experience.
* Be invested in staying current in machine learning and infrastructure by applying new technologies and practices.
**Physical Requirements**
* Ability to sit for extended periods: The role requires sitting at a desk or workstation for long periods, typically 7\-8 hours a day.
* Use of computer and phone systems: The employee must be able to operate a computer, use phone systems, and type. This includes using multiple software programs and inquiries simultaneously.
**Paylocity is an equal\-opportunity employer.** 
 Paylocity is committed to the full inclusion of all
 individuals. We recruit, train, compensate, and promote regardless of race, religion, color, national origin, sex, disability, age, veteran status, and other protected status as required by applicable law. At Paylocity, we believe diversity makes us better.
 We embrace and encourage our employees’ differences in age, culture, ethnicity, family or marital status, gender identity or expression, language, national origin, physical and mental ability, political affiliation, race, religion or spiritual belief, sexual orientation, socio\-economic status, veteran status, and other characteristics that make our employees unique. We actively cultivate these differences through our employee resource groups (ERGs), employee experiences, perspectives, talents, and approaches to drive innovation in the software and services we provide our customers.
 We comply with federal and state disability laws and make reasonable accommodations for applicants
 and employees with disabilities. To request reasonable accommodation in the job application or
 interview process, please contact LeaveBenefits@paylocity.com . This email address is exclusively
 designated for such requests, aligning with federal and state disability laws. Please do not send resumes
 to this email address, as they will be removed.
 The pay range for this position is $125,900 \- 233,900/yr; however, base pay offered may vary depending on job\-related knowledge, skills, and experience. This position is eligible for a restricted stock unit grant based on individual performance in addition to a full range of benefits outlined here Benefits Link. This information is provided per the relevant state and local pay transparency laws for the location in which this position will be performed. Base pay information is based on market location. Applicants should apply via www.paylocity.com/careers.</t>
        </is>
      </c>
    </row>
    <row r="23">
      <c r="A23" t="inlineStr">
        <is>
          <t>li-4328301410</t>
        </is>
      </c>
      <c r="B23" t="inlineStr">
        <is>
          <t>Senior Machine Learning Engineer</t>
        </is>
      </c>
      <c r="C23" t="inlineStr">
        <is>
          <t>Valo Health</t>
        </is>
      </c>
      <c r="D23" t="inlineStr">
        <is>
          <t>linkedin</t>
        </is>
      </c>
      <c r="E23" t="inlineStr"/>
      <c r="F23" t="inlineStr"/>
      <c r="G23" t="inlineStr">
        <is>
          <t>Lexington, MA</t>
        </is>
      </c>
      <c r="H23" t="inlineStr"/>
      <c r="I23" t="inlineStr">
        <is>
          <t>**About Us**
 Valo Health is a human\-centric, AI\-enabled biotechnology company working to make new drugs for patients faster. The company’s Opal Computational Platform transforms drug discovery and development through a unique combination of real\-world data, AI, human translational models and predictive chemistry.
 Our talented team of biologists, chemists and engineers, armed with advanced AI/ML tools, work together to break down traditional R\&amp;D silos and accelerate the speed and scale of drug discovery and development.
 Valo is committed to hiring diverse talent, prioritizing growth and development, fostering an inclusive environment, and creating opportunities to bring together a group of different experiences, backgrounds, and voices to work together. We embrace new ways of learning, solve complex problems and welcome diverse perspectives that can help us advance patient\-centric innovation.
 Valo is headquartered in Lexington, MA, with additional offices in New York, NY and Tel Aviv, Israel. To learn more, visit www.valohealth.com.
**About The Role**
 Valo is looking for an experienced Senior Machine Learning Engineer to design and implement novel AI solutions to advance computationally accelerated drug development programs. You will develop, apply and enhance the capabilities of Valo’s Opal platform to advance real\-world, active drug development programs. Successful candidates must be committed to working with a diverse set of scientists, software engineers, data scientists, and domain experts in ways that cut across traditional industry boundaries in a fast\-paced startup environment.
**What You’ll Do…**
* Design, develop, test, maintain, and improve an integrated codebase of AI and machine learning tools
* Work with data scientists, researchers, product teams, and other domain experts to build solutions for complex data\-oriented problems
* Develop solutions for advancing real\-world preclinical discovery programs, tackling problems such as ADME modeling, toxicity prediction, and generative chemistry.
**What You Bring...**
* A PhD (or Master’s with experience) in Computer Science, Data Science or related technical field
* Two years of experience applying modern ML/AI techniques to real\-world problems with demonstrated business impact
* Strong proficiency in python and modern ML frameworks (PyTorch, Hugging Face)
* An aptitude for learning about new domains and adapting machine learning techniques to impact drug discovery
* Experience with software engineering best practices and an ability to write clean, re\-usable code in a collaborative environment
* Experience and interest contributing to all stages of ML development and deployment
* Strong analytical, problem\-solving, and communication skills, including the ability to also condense, summarize, and synthesize those results into informative and actionable presentations to less technical audiences.
* Strong personal project management skills with demonstrated ability to deliver iterative results and balance tradeoffs between exploratory research and delivering short\-term value
 Remote Salary Range
 $153,000—$180,000 USD
 CA Salary Range
 $180,540—$212,400 USD
**Compensation for the role will depend on a number of factors, including a candidate’s qualifications, skills, competencies, and experience. Valo Health currently offers healthcare coverage, annual incentive program, retirement benefits and a broad range of other benefits. Compensation and benefits information is based on Valo Health's good faith estimate as of the date of publication and may be modified in the future.**
***Please note: At this time, we are only able to consider candidates who* 
**currently** 
*have permanent US work authorization without the need for immediate or future sponsorship.***</t>
        </is>
      </c>
    </row>
    <row r="24">
      <c r="A24" t="inlineStr">
        <is>
          <t>li-4290408937</t>
        </is>
      </c>
      <c r="B24" t="inlineStr">
        <is>
          <t>Applied AI Engineer</t>
        </is>
      </c>
      <c r="C24" t="inlineStr">
        <is>
          <t>Gradial</t>
        </is>
      </c>
      <c r="D24" t="inlineStr">
        <is>
          <t>linkedin</t>
        </is>
      </c>
      <c r="E24" t="inlineStr"/>
      <c r="F24" t="inlineStr"/>
      <c r="G24" t="inlineStr">
        <is>
          <t>Seattle, WA</t>
        </is>
      </c>
      <c r="H24" t="inlineStr"/>
      <c r="I24" t="inlineStr">
        <is>
          <t>Gradial is a Seattle\-based startup enabling digital experiences at the speed of thought. We empower marketers and creatives to implement their ideas directly, with software that adapts over time. Our platform automates website and design system updates, large\-scale migrations to new design systems, and continuous content optimization while adhering to company and product brands.
 Backed by world class investors and a recent Series A raise of $13 million, we’re looking to scale our platform and expand our team. At Gradial, we operate with extreme ownership, bias towards action, and critical path planning. We tackle problems from first principles, question assumptions, and find creative solutions. If you want to take risks, work on groundbreaking technology, and see the direct impact of your work, Gradial is where you belong.
**Role Overview** 
 We’re looking for an
 **Applied AI Engineer** 
 to help build the next generation of agentic systems. This role combines deep software engineering skills with an experimental mindset around how AI can be practically applied to solve real user problems.
 You’ll collaborate across product, research, and engineering to design agents that reason, interact with environments and evolve through feedback. Ideal candidates bring curiosity, a love of ambiguous problems, and hands\-on experience applying LLMs in production.
**Responsibilities** 
* Build autonomous and semi\-autonomous agent workflows that interact with browsers, codebases, and APIs to complete complex content operations.
* Evaluate model behavior in live environments and pioneer approaches for applying reinforcement learning to end\-to\-end agent systems.
* Design modular frameworks for tools, memory, and evaluators to enable continuous learning and improvement of agents.
* Develop data pipelines to collect, transform, and annotate real\-world usage data for SFT and RL training.
* Design and build proprietary agent libraries, prompting strategies and benchmarking frameworks.
* Partner with customers and internal stakeholders to understand edge cases and align AI behaviors with user expectations.
**Requirements** 
* 4\+ years of software engineering experience, with at least a year working directly on AI/ML\-powered applications.
* Strong fluency in AI tooling (e.g. OpenAI APIs, Anthropic APIs).
* Practical understanding of LLMs, prompt engineering and agentic architectures.
* Experience building production systems that integrate external environments \- code execution, browser automation or API orchestration.
* High degree of ownership and comfort in experimental, fast\-moving environments.
**Desirable Attributes** 
* Familiarity with benchmarks like SWE\-bench or evaluation strategies for tool\-using agents.
* Exposure to customer\-facing roles or user research for AI product development.
* Background in reinforcement learning or data\-centric AI approaches.
**Compensation** 
 The base salary range for this position is
 **$130,000 – $220,000 annually** 
 . Final compensation will be determined based on factors such as experience, skills, and qualifications. In addition to base salary, this role may be eligible for performance\-based bonuses and equity awards. Gradial offers a comprehensive benefits package, including medical, dental \&amp; vision insurance, 401K retirement plan, paid time off, paid sick leave and other employee wellness programs.
**You'll thrive here if you...** 
* Learn quickly and actively seek out new challenges.
* Embrace AI as a core tool for problem\-solving, creativity and scale.
* Show a strong work ethic, high ownership and bias toward action.
* Communicate clearly, directly and with curiosity.
* Thrive in fast\-paced, hyper\-growth environments where building better \&gt; maintaining status quo.
**AI Literacy \&amp; Interviewing Tools** 
 As an AI\-first company, we prioritize AI literacy as a core competency in our hiring decisions. We’re excited by candidates who thoughtfully apply AI tools in their work, but during interviews we’re focused on you. This is your opportunity to show how you think, communicate, and solve problems. Over\-reliance on AI\-generated responses during the interview process (especially when it obscures your own voice) will result in disqualification. We want to understand your unique perspective and how you approach challenges, both with and without AI.
**What We Offer** 
* Competitive salary and meaningful equity
* Comprehensive health, dental and vision coverage
* Fast\-paced environment with flexibility and ownership
* Real impact, zero bureaucracy
* A front\-row seat to building category\-defining AI infrastructure
 Gradial is dedicated to creating an environment where diverse perspectives are valued and all team members can grow. We offer competitive compensation, equity, flexible work hours, comprehensive benefits, and a collaborative culture focused on learning and impact.
**Privacy Policy** 
 By submitting your application to Gradial, you acknowledge that any personal data you provide will be processed in accordance with our Privacy Policy. This includes the collection, use, and storage of your information for the purposes of evaluating your qualifications and communicating with you about your candidacy. We handle applicant data with care and in compliance with applicable data protection laws.
 If you have any questions about how your information is used, please refer to our Privacy Policy or contact us directly.</t>
        </is>
      </c>
    </row>
    <row r="25">
      <c r="A25" t="inlineStr">
        <is>
          <t>li-4321073665</t>
        </is>
      </c>
      <c r="B25" t="inlineStr">
        <is>
          <t>Embedded Machine Learning Engineer (AI/ML)</t>
        </is>
      </c>
      <c r="C25" t="inlineStr">
        <is>
          <t>Cirrus Logic</t>
        </is>
      </c>
      <c r="D25" t="inlineStr">
        <is>
          <t>linkedin</t>
        </is>
      </c>
      <c r="E25" t="inlineStr"/>
      <c r="F25" t="inlineStr"/>
      <c r="G25" t="inlineStr">
        <is>
          <t>Austin, TX</t>
        </is>
      </c>
      <c r="H25" t="inlineStr"/>
      <c r="I25" t="inlineStr">
        <is>
          <t>Are you a builder at the frontier of Edge AI/ML, eager to apply your craft to high\-impact, real\-world problems? Do you thrive in ambiguous spaces where data, silicon, and algorithms intersect? Cirrus Venture Labs (CVL) may be the place for you.
 CVL is Cirrus Logic’s newly formed technology accelerator, chartered to develop disruptive, scalable, and monetizable innovations that solve endemic industry problems. Our vision is to be a globally recognized innovation engine that repeatedly shapes and transforms semiconductor markets. We do so by embedding intelligence directly where signals originate in the physical world, across Voice, Sense, and Control domains, and pioneering ML\-augmented signal processing.
 As a Principal ML Engineer, you will be a hands\-on technical leader shaping CVL’s machine learning programs. You will drive the development of ML models, frameworks, and prototyping pipelines, spanning data generation, curation, model engineering, and optimization for deployment on Edge and mixed\-signal systems. Partnering closely with Innovation Managers, Architects, external ventures, and away\-team contributors, you will turn ambitious hypotheses into validated prototypes that can be scaled into new product categories for Cirrus Logic.
 Responsibilites
* Prototype Development: Lead rapid prototyping of ML models for edge intelligence across Voice, Sense, and Control domains, tightly integrated with Cirrus Logic’s mixed\-signal processing strengths.
* Data \&amp; Model Engineering: Build datasets, design model architectures, and optimize performance, efficiency, and interpretability. Explore advanced approaches in ML\-augmented signal processing, anomaly detection, and adaptive control.
* System Integration: Collaborate with silicon, firmware, and systems teams to co\-design ML architectures that operate efficiently on constrained hardware and embedded systems, balancing algorithmic accuracy with compute and power budgets.
* Exploration \&amp; Research: Stay at the forefront of ML frameworks, foundation/SLM trends, and physical\-world AI applications. Scout external IP, academic work, and startups to inform CVL’s ML strategy.
* Mentorship \&amp; Technical Leadership: Provide guidance and technical direction to away\-team engineers and contributors across Cirrus Logic. Share best practices in ML model lifecycle, from experimentation to deployment.
* Cross\-Functional Collaboration: Work hand\-in\-hand with Innovation Managers, advisory teams, customers, and external partners to identify opportunities, define success criteria, and validate ML\-enabled innovations in real\-world scenarios.
* Impact Assessment: Help define benchmarks, evaluation metrics, and pass/fail criteria that ensure ML prototypes address significant industry problems with clear paths to monetization.
**Required Skills And Qualifications**
* Educational Background: Master’s or Ph.D. in Computer Science, Electrical Engineering, or related field with a focus on ML/AI.
* Experience: 8\+ years of hands\-on experience developing and deploying ML systems on the Edge and within embedded platforms, including ownership of datasets, model development, and deployment pipelines. Proven experience implementing ML inference on resource\-constrained systems such as microcontrollers, embedded SoCs, or custom silicon.
* Architectural Expertise: Demonstrated experience with CNNs, RNNs (LSTM/GRU), and Transformer\-based models, including custom architecture design and optimization for production. Experience tailoring these architectures for low\-latency and low\-power embedded inference.
* Technical Depth: Strong understanding of representation learning, attention mechanisms, sequence\-to\-sequence modeling, and generative architectures. Ability to translate these methods into efficient implementations suited for real\-time sensor, audio, or control workloads.
* Optimization for Edge: Experience with quantization, pruning, knowledge distillation, mixed\-precision training, and compiler\-level optimizations to deploy models on CPUs, DSPs, NPUs, or hybrid SoC architectures. Familiarity with memory hierarchy tradeoffs, compute\-offload, and bandwidth constraints in embedded ML.
* Embedded \&amp; Firmware Integration: Proficiency in embedded software and firmware development (C/C\+\+/Python) with experience integrating ML inference engines into real\-time embedded stacks, RTOS environments, or bare\-metal systems. Understanding of firmware pipelines, peripheral I/O, and signal\-path integration for ML\-augmented mixed\-signal systems.
* Data Engineering: Ability to design labeling strategies, synthetic data generation, and augmentation pipelines to support robust model development. Understanding of data acquisition and preprocessing directly from embedded sensors.
* Systems Thinking: Proven track record of co\-designing ML and firmware solutions alongside hardware teams, balancing algorithmic, architectural, and physical constraints. Familiarity with embedded ML frameworks and toolchains (e.g., TensorRT, ONNX Runtime, TVM, CoreML, TFLite, Glow, Edge Impulse).
* Collaboration \&amp; Communication: Ability to translate complex ML concepts into actionable insights for cross\-disciplinary teams of algorithm, firmware, and hardware engineers.
**Preferred Skills And Qualifications**
* Startup \&amp; Incubator Experience: Background in early\-stage, high\-ambiguity environments; experience contributing to incubation of new products or platforms.
* Specialized ML Expertise: Experience in one or more of: generative models for voice, time\-series/sequence modeling, anomaly detection for sensors, reinforcement learning for control systems.
* Tooling: Familiarity with MLOps frameworks, data labeling pipelines, and distributed training.
* External Engagement: Experience collaborating with startups, academic labs, or open\-source communities.
* Business Acumen: Ability to assess the business and monetization value of ML solutions in emerging markets.
 Join our team and help drive the next wave of foundational technologies that extend the capabilities of Cirrus Logic. If you're passionate about exploring uncharted technological frontiers and delivering disruptive innovations, we’d love to hear from you!
 Cirrus Logic is a leading supplier of low\-power, high\-precision mixed\-signal processing solutions for mobile and consumer applications. The company has a robust portfolio of sophisticated low\-power products including boosted amplifiers, smart codecs, camera controllers, haptic driver and sensing solutions, power conversion and control ICs, and fast\-charging ICs. These solutions have innovative technology, software and associated algorithms incorporated. With a strong intellectual property portfolio and extensive mixed\-signal expertise, Cirrus Logic is well\-positioned to drive innovation and growth in the evolving markets for audio and high\-performance mixed\-signal processing technologies.
 Cirrus Logic strives to select the best qualified applicant for any opening. Different approaches, ideas and points of view are both valued and respected. Employment decisions are made on the basis of job\-related criteria without regard to race, color, religion, sex, national origin, age, protected veteran or disabled status, genetic information, or any other classification protected by applicable law.</t>
        </is>
      </c>
    </row>
    <row r="26">
      <c r="A26" t="inlineStr">
        <is>
          <t>li-4345542985</t>
        </is>
      </c>
      <c r="B26" t="inlineStr">
        <is>
          <t>AI Engineer III</t>
        </is>
      </c>
      <c r="C26" t="inlineStr">
        <is>
          <t>Premera Blue Cross</t>
        </is>
      </c>
      <c r="D26" t="inlineStr">
        <is>
          <t>linkedin</t>
        </is>
      </c>
      <c r="E26" t="inlineStr"/>
      <c r="F26" t="inlineStr"/>
      <c r="G26" t="inlineStr"/>
      <c r="H26" t="inlineStr"/>
      <c r="I26" t="inlineStr">
        <is>
          <t>**Workforce Classification:**
 Telecommuter
**Join Our Team: Do Meaningful Work and Improve People’s Lives**
 Our purpose, to improve customers’ lives by making healthcare work better, is far from ordinary. And so are our employees. Working at Premera means you have the opportunity to drive real change by transforming healthcare.
 Premera is committed to being a workplace where people feel empowered to grow, innovate, and lead with purpose. By investing in our employees and fostering a culture of collaboration and continuous development, we’re able to better serve our customers. It’s this commitment that has earned us recognition as one of the best companies to work for. Learn more about our recent awards and recognitions as a greatest workplace.
 Learn how Premera supports our members, customers and the communities that we serve through our Healthsource blog: https://healthsource.premera.com/.
 As an
 **AI Engineer III** 
 , you will work within a team responsible for taking AI/ML solutions from initial concept to full production implementation. This role requires creativity and analytical skills to understand business challenges, propose AI\-enabled solutions, and bring them to life through robust system design, modeling, and coding. You will collaborate cross\-functionally to ideate and prototype new AI products. Your models, architectures, and software contributions will power innovative AI systems that solve complex problems at scale. To excel in this role, you will need hands\-on experience rapidly developing and deploying ML algorithms alongside strong software engineering abilities to build reliable and maintainable AI infrastructure.
**This is a remote/telecommuter position, working from home.**
**What you’ll do:**
* Develop comprehensive systems and frameworks for AI applications and products.
* Construct prototypes and minimum viable products to validate AI/ML solutions before committing substantial resources.
* Develop, refine, and productionize AI systems using cloud resources such as Azure OpenAI, Azure ML, and Cognitive Services.
* Contribute to the creation of robust data pipelines for model evolution and production systems.
* Develop specifications for low latency APIs and services necessary to deploy AI models and incorporate them into applications.
* Supervise and sustain AI systems in production to guarantee consistent model accuracy and reliability.
* Actively participate in a team that exercises principled, agile\-like development practices.
* Create and maintain thorough documentation that is consistent with team procedures, corporate policies, and expectations.
* Ensure peer review on all assigned work, as well as conduct peer reviews over the work of others as requested.
* Guide junior AI engineers on AI/ML and industry best practices and methodologies.
* Keep abreast of new tools and concepts through reading documentation or literature and actively practicing skills development.
* Support and participate in meetings with external stakeholders.
**What you’ll bring:**
**Minimum Qualifications**
* Bachelor's Degree in Computer Science, Statistics, Mathematics, or a related field, or 2\+ years of experience in a related, professional IT/analytics position.
* Minimum of 3 years of industry experience in developing, deploying, and maintaining AI or ML systems. Up to two years of industry experience may be substituted with an AI centered Master’s/PhD or AI Engineering certifications.
**Preferred Qualifications**
* At least 4 years of experience in developing deep learning models using TensorFlow, PyTorch, MLX, JAX, or other modern deep learning frameworks. Previous experience with older libraries like Theano or Caffe is also accepted. (May supplement with graduate level education or research experience).
* Knowledge of and experience in implementing ethical AI practices, with at least 2 years spent working on projects that require explainable AI, fairness, and bias mitigation.
* Minimum of 3 years of proficiency in utilizing advanced prompt engineering techniques like General Knowledge Prompting and ReAct. Adept at using libraries like LangChain or OpenPrompt for complex projects. Possess the capability to mitigate prompt injection attacks and use tools like Guardrails or PromptInject for securing prompt engineering pipelines.
* Minimum of 3 years of experience in successfully productionizing AI models, including constructing scalable data pipelines and establishing robust monitoring systems.
* 3 or more years working within Agile\-like teams and environments.
**Knowledge, Skills, And Abilities**
* Experience developing deep learning architectures such as CNNs, transformers, GANs, LSTMs, GNNs, Autoencoders, Diffusion Models, and Neural Ordinary Differential Equations (NODEs).
* Proficiency in debugging AI systems and enhancing performance through hyperparameter tuning and similar techniques.
* Proven experience in productionizing models by constructing scalable data pipelines, low\-latency services, and robust monitoring.
* Familiarity with software design patterns, microservices, distributed computing, container orchestration, and other relevant architectures.
* Proficient software engineering skills as well as skills building secure, stable software systems at scale.
* Proficiency in developing and optimizing ML solutions using languages like Python, and libraries such as NumPy, Pandas, Matplotlib and scikit\-learn.
* Familiarity working with traditional ML lifecycles.
* Familiarity with building minimal interfaces to interact with AI products, e.g., Streamlit or Shiny.
* Familiarity with ethical AI practices including explainable AI, fairness, and mitigation of bias/hallucinations.
* Strong communication, collaboration, and mentorship skills.
* Growing ability to articulate the technical details and tradeoffs of AI solutions to non\-technical stakeholders in a clear and concise manner.
**Physical Requirements**
 The following have been identified as essential physical requirements of this job and must be performed with or without an accommodation:
* This is primarily a sedentary role which requires the ability to exert up to 10 lbs. of force occasionally and/or a negligible amount of force frequently or constantly to lift, carry, push, pull, or otherwise move objects, including the human body.
* This role requires the ability to keyboard and to communicate clearly and understandably in person and over the telephone.
**Premera total rewards**
 Our comprehensive total rewards package provides support, resources, and opportunities to help employees thrive and grow. Our total rewards are more than a collection of perks, they're a reflection of our commitment to your health and well\-being. We offer a broad array of rewards including physical, financial, emotional, and community benefits, including:
* Medical, vision, and dental coverage with low employee premiums.
* Voluntary benefit offerings, including pet insurance for paw parents.
* Life and disability insurance.
* Retirement programs, including a 401K employer match and, believe it or not, a pension plan that is vested after 3 years of service.
* Wellness incentives with a wide range of mental well\-being resources for you and your dependents, including counseling services, stress management programs, and mindfulness programs, just to name a few.
* Generous paid time off to reenergize.
* Looking for continuing education? We have tuition assistance for both undergraduate and graduate degrees.
* Employee recognition program to celebrate anniversaries, team accomplishments, and more.
 For our hybrid employees, our on\-campus model provides flexibility to create your own routine with access to on\-site resources, networking opportunities, and team engagement.
* Commuter perks make your trip to work less impactful on the environment and your wallet.
* Free convenient on\-site parking.
* Subsidized on\-campus cafes make lunchtime connections with colleagues fun and affordable.
* Participate in engaging on\-site activities such as health and wellness events, coffee connects, disaster preparedness fairs and more.
* Our complementary fitness \&amp; well\-being center offers both in\-person and virtual workouts and nutritional counseling.
* Need a brain break? Challenge someone to a game of shuffleboard or ping pong while on campus.
**Equal employment opportunity/affirmative action:**
 Premera is an equal opportunity/affirmative action employer. Premera seeks to attract and retain the most qualified individuals without regard to race, color, religion, sex, national origin, age, disability, marital status, veteran status, gender or gender identity, sexual orientation, genetic information or any other protected characteristic under applicable law.
 If you need an accommodation to apply online for positions at Premera, please contact Premera Human Resources via email at careers@premera.com or via phone at 425\-918\-4785\.
**Premera is hiring in the following states, with some limitations based on role or city:** 
 Alaska, Arizona, Arkansas, California, Colorado, Florida, Georgia, Idaho, Iowa, Kansas, Kentucky, Maine, Michigan, Minnesota, Missouri, Montana, Nevada, New Hampshire, New Mexico, North Carolina, Oklahoma, Oregon, South Carolina, South Dakota, Tennessee, Texas, Utah, Washington, Wisconsin
 *.*
 The pay for this role will vary based on a range of factors including, but not limited to, a candidate’s geographic location, market conditions, and specific skills and experience.
 The salary range for this role is posted below; we generally target up to and around the midpoint of the range.
**National Salary Range:**
 $118,900\.00 \- $202,100\.00
**National Plus Salary Range:**
 $135,600\.00 \- $230,500\.00
* National Plus salary range is used in higher cost of labor markets including Western Washington and Alaska.
 We’re happy to discuss compensation further during the interview because we believe that open communication leads to better outcomes for all. We’re committed to creating an environment where all employees are celebrated for their unique skills and contributions.</t>
        </is>
      </c>
    </row>
    <row r="27">
      <c r="A27" t="inlineStr">
        <is>
          <t>li-4302624478</t>
        </is>
      </c>
      <c r="B27" t="inlineStr">
        <is>
          <t>Principal AI Engineer</t>
        </is>
      </c>
      <c r="C27" t="inlineStr">
        <is>
          <t>Curative AI, Inc.</t>
        </is>
      </c>
      <c r="D27" t="inlineStr">
        <is>
          <t>linkedin</t>
        </is>
      </c>
      <c r="E27" t="inlineStr"/>
      <c r="F27" t="inlineStr"/>
      <c r="G27" t="inlineStr">
        <is>
          <t>Bellevue, WA</t>
        </is>
      </c>
      <c r="H27" t="inlineStr"/>
      <c r="I27" t="inlineStr">
        <is>
          <t>**About Curative AI, Inc.**
 Curative AI, Inc. is an ambitious innovative early\-stage startup revolutionizing the healthcare industry through cutting\-edge AI\-powered SaaS solutions. We are currently delivering exceptional value to our customers in Revenue Cycle Management (RCM) and Clinical Operations, empowering them with industry\-transforming AI technology, intelligent automation, and deep data insights. Unlike most tech startups, we have achieved financial break\-even within our first year, with signed customer contracts for $30\+M in 2025 projected revenues through our AI healthcare solutions deliveries. Headquartered in Bellevue/Seattle, we have built a sizable top\-notch tech team in the US, and a large talented offshore team. We now enter a rapid growth phase, hiring aggressively to scale the US\-based team to 100\+ employees in 2025\. Our vision is bold: to achieve a valuation of over $1 billion within the next 18 months by continuing to deliver exceptional solutions and expanding our market presence. This is an exceptional opportunity to join an early\-stage AI Healthcare tech company with a proven product, established customer base, solid revenue streams, and explosive growth potential.
**The Opportunity**
 Curative AI, Inc. is seeking a highly skilled and experienced Principal AI Engineer for our rapidly growing company. Our cutting\-edge SaaS AI\-driven solutions will transform healthcare management, leading with RCM solutions for streamlined documentation, faster claims processing, enhanced clinical decision support, and much more. As a Senior AI Engineer, you'll play a crucial role in developing and implementing innovative AI solutions that address critical challenges in healthcare. You'll work closely with other AI engineers, software engineers, and domain experts to design, build, and deploy machine learning models that improve patient outcomes, streamline healthcare processes, and ultimately, transform the way healthcare is delivered. You are humble, a dedicated team player, and excited for the road ahead. Come work with a CEO renowned in the AI field with a proven record of building high performing teams, fostering career growth, and creating a positive work culture. Let's make healthcare smarter together.
**Responsibilities**
* Lead a team of AI engineers and analysts
* Define and execute data science and AI strategies aligned with business objectives
* Design, develop, and implement AI and machine learning models using statistical analysis and deep learning algorithms
* Collect, clean, pre\-process, and analyze large and complex datasets from various sources
* Design and conduct experiments to validate and improve data\-driven solutions
* Deploy and maintain AI models in production environments, ensuring scalability and reliability
* Integrate AI solutions with existing systems and applications
* Monitor model performance metrics and implement improvements as needed
* Collaborate with cross\-functional teams to translate business needs into actionable insights
* Communicate insights and recommendations to stakeholders in a clear and concise manner
* Stay current with the latest advancements in AI and data science research and best practices
* Mentor and guide junior data scientists, AI engineers, and analysts
* Identify and evangelize new AI and data science opportunities within the organization
**Qualifications**
* You must currently be located in the Seattle Metro Region and able to work hybrid on\-site a minimum of three days at our Bellevue location
* PhD or Master's degree in Data Science, Artificial Intelligence, Computer Science, Statistics, Mathematics, or a related field highly desired
* 8\+ years of experience in designing, developing, and deploying machine learning models and data science solutions
* Deep expertise in artificial intelligence (AI) technologies and applications; Natural Language Processing (NLP) and/or Large Language Models (LLM) highly desired
* Excellent understanding of statistical methods, machine learning algorithms, and AI principles (e.g., supervised learning, unsupervised learning, reinforcement learning)
* Strong programming skills in Python or other relevant programming languages
* Experience with machine learning libraries and frameworks such as TensorFlow, PyTorch, or scikit\-learn
* Experience with data analysis tools and techniques (e.g., Pandas, NumPy)
* Strong problem\-solving and analytical skills
* Experience with distributed computing platforms such as Spark and Hadoop (a plus)
* Health care experience, notably experience with RCM solutions, highly desired
* Public cloud experience (AWS, GCP, and/or Azure) desired
* Experience with machine learning fairness and bias mitigation techniques desired
* Strong communication and collaboration skills
**Compensation And Benefits**
* Base Salary Range: $175,000 \- $220,000 per year (commensurate with experience and qualifications)
* Target Annual Performance Bonus
* Equity Package: Generous equity participation in the company's future success
* Comprehensive benefits package including medical, dental, vision, Life and AD\&amp;D insurance. Paid time off and holidays
* Opportunity to work on cutting\-edge AI projects and make an impact on the company's success
* Chance to make a real impact on the company’s AI strategy and innovation
*Curative AI, Inc. is an Equal Opportunity Employer (EEO) and does not discriminate on the basis of race, color, religion, sex (including pregnancy, gender identity, and sexual orientation), national origin, political affiliation, disability, genetic information (including family medical history), age, marital status, veteran status, or other non\-merit\-based factors. Curative AI, Inc. does not currently sponsor H1B visas and therefore candidates must be legally authorized to work for any employer in the United States on a full\-time basis and not require current or future visa sponsorship for employment. Curative AI, Inc. is committed to creating a diverse and inclusive workforce. We value the unique perspectives and talents that each individual brings to our company, and we are committed to providing an environment where all employees feel respected, valued, and empowered to reach their full potential. We encourage qualified individuals from all backgrounds to apply for our open positions.*</t>
        </is>
      </c>
    </row>
    <row r="28">
      <c r="A28" t="inlineStr">
        <is>
          <t>li-4345261818</t>
        </is>
      </c>
      <c r="B28" t="inlineStr">
        <is>
          <t>Principal Machine Learning Engineer</t>
        </is>
      </c>
      <c r="C28" t="inlineStr">
        <is>
          <t>Intuit</t>
        </is>
      </c>
      <c r="D28" t="inlineStr">
        <is>
          <t>linkedin</t>
        </is>
      </c>
      <c r="E28" t="inlineStr"/>
      <c r="F28" t="inlineStr"/>
      <c r="G28" t="inlineStr">
        <is>
          <t>Mountain View, CA</t>
        </is>
      </c>
      <c r="H28" t="inlineStr"/>
      <c r="I28" t="inlineStr">
        <is>
          <t>**Overview**
 Intuit is seeking a highly motivated and experienced Principal Machine Learning Engineer to join our Mid Market AI team. In this influential role, you will lead the design, development, and deployment of end\-to\-end AI/ML solutions that power the next generation of intelligent features across Intuit’s financial products. You will shape strategy, drive innovation, and scale impactful solutions that deliver measurable value to our customers.
**Responsibilities**
* Technical Leadership: Define and own AI strategy and ML platform architecture, setting a multi\-year technical roadmap.
* End\-to\-End ML Systems: Lead the full lifecycle of ML solutions—from data curation and model training to robust deployment and monitoring in production.
* Cutting\-Edge AI Applications: Apply state\-of\-the\-art technologies such as Large Language Models (LLMs) and Multimodal Language Models to solve complex business
* Innovation \&amp; Prototyping: Accelerate experimentation by building rapid prototypes and scaling successful solutions to production.
* Mentorship: Provide technical guidance to junior engineers, foster a culture of technical excellence, and champion operational rigor.
* Cross\-Functional Collaboration: Partner with product managers, data scientists, and engineering teams to deliver solutions that drive customer success.
**Qualifications**
* Master's or Ph.D. in Computer Science or a related field with a focus on AI/ML or equivalent experience.
* 10\+ years of experience developing and deploying production\-level ML.
* Expertise in programming languages such as Python, Java, or Scala.
* Proficiency with modern ML frameworks (TensorFlow, PyTorch).
* Strong foundation in computer science fundamentals (data structures, algorithms, distributed systems).
* Proven communication and leadership skills to influence technical direction and engage both technical and non\-technical stakeholders.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\[1]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$254,500 \- 344,000
 References
 Visible links
* https://www.intuit.com/careers/benefits/full\-time\-employees/</t>
        </is>
      </c>
    </row>
    <row r="29">
      <c r="A29" t="inlineStr">
        <is>
          <t>li-4345422238</t>
        </is>
      </c>
      <c r="B29" t="inlineStr">
        <is>
          <t>AI/ML Engineer</t>
        </is>
      </c>
      <c r="C29" t="inlineStr">
        <is>
          <t>FTI Defense - Frontier Technology Inc.</t>
        </is>
      </c>
      <c r="D29" t="inlineStr">
        <is>
          <t>linkedin</t>
        </is>
      </c>
      <c r="E29" t="inlineStr"/>
      <c r="F29" t="inlineStr"/>
      <c r="G29" t="inlineStr">
        <is>
          <t>Dayton, OH</t>
        </is>
      </c>
      <c r="H29" t="inlineStr"/>
      <c r="I29" t="inlineStr">
        <is>
          <t>**Overview**
 Frontier Technology Inc. (FTI) delivers mission\-focused solutions to the Department of Defense and Intelligence Community through advanced engineering, digital transformation, and program execution expertise. We help our customers solve complex challenges and achieve mission success by integrating people, process, and technology.
 FTI is seeking a hands\-on AI/ML Engineer (Builder/Doer) to design, build, and deploy advanced machine learning solutions supporting defense and national security missions. This role focuses on execution over oversight, ideal for an engineer who thrives in the code, enjoys building end\-to\-end pipelines, and takes pride in seeing their work directly impact operational systems.
**Responsibilities**
* Design, develop, and deploy AI/ML models and pipelines that meet mission and performance objectives.
* Build, train, and fine\-tune models using frameworks such as PyTorch, TensorFlow, scikit\-learn, Hugging Face, and LangChain.
* Develop and operationalize MLOps pipelines (MLflow, Kubeflow, DVC, or custom training/inference orchestration).
* Implement and optimize vector databases (Milvus, Pinecone, Chroma, FAISS) and retrieval architectures (RAG, graph, hybrid).
* Write clean, efficient Python code for data ingestion, feature engineering, embeddings, and inference services.
* Experiment with fine\-tuning and optimization of LLMs and task\-specific models (LoRA, QLoRA, PEFT).
* Contribute to agent\-based applications using frameworks like LangGraph, AutoGen, CrewAI, or DSPy.
* Integrate AI services into real\-world systems via APIs, event\-driven workflows, or UI copilots.
* Collaborate with data engineers, software developers, and mission analysts to ensure AI models are production\-ready and aligned with customer needs.
* Participate in peer reviews, contribute to shared repositories, and document models and experiments for reproducibility.
**Education/Qualifications**
**Minimum Requirements:**
* Must be a U.S. citizen and be willing to obtain and maintain a secruity clearance, as needed.
* 4–6 years of professional experience developing and deploying AI/ML solutions in production environments.
* Strong Python development skills with hands\-on experience building AI/ML solutions.
* Direct experience with ML frameworks such as PyTorch, TensorFlow, scikit\-learn, Hugging Face, or LangChain.
* Proven ability to build and deploy MLOps pipelines using MLflow, Kubeflow, DVC, or equivalent.
* Working knowledge of vector databases (Milvus, Pinecone, Chroma, FAISS) and retrieval\-based architectures (RAG, hybrid, graph).
* Familiarity with DoD/IC AI assurance, security, and deployment environments.
**Preferred Qualifications**
* Experience fine\-tuning and evaluating LLMs or smaller task\-specific models using LoRA, QLoRA, or PEFT.
* Familiarity with agentic frameworks (LangGraph, AutoGen, CrewAI, DSPy) and multi\-agent reasoning.
* Understanding of prompt engineering, retrieval quality, and grounding methods.
* Exposure to GPU\-based or edge inference environments.
* Experience integrating AI capabilities into production systems or mission applications.
* Bachelor’s or Master’s degree in Computer Science, Engineering, Data Science, or a related technical field.
* Active Secret clearance preferred; ability to obtain one required.</t>
        </is>
      </c>
    </row>
    <row r="30">
      <c r="A30" t="inlineStr">
        <is>
          <t>li-4345444559</t>
        </is>
      </c>
      <c r="B30" t="inlineStr">
        <is>
          <t>AI/ML Engineer</t>
        </is>
      </c>
      <c r="C30" t="inlineStr">
        <is>
          <t>FTI Defense - Frontier Technology Inc.</t>
        </is>
      </c>
      <c r="D30" t="inlineStr">
        <is>
          <t>linkedin</t>
        </is>
      </c>
      <c r="E30" t="inlineStr"/>
      <c r="F30" t="inlineStr"/>
      <c r="G30" t="inlineStr">
        <is>
          <t>Chesapeake, VA</t>
        </is>
      </c>
      <c r="H30" t="inlineStr"/>
      <c r="I30" t="inlineStr">
        <is>
          <t>**Overview**
 Frontier Technology Inc. (FTI) delivers mission\-focused solutions to the Department of Defense and Intelligence Community through advanced engineering, digital transformation, and program execution expertise. We help our customers solve complex challenges and achieve mission success by integrating people, process, and technology.
 FTI is seeking a hands\-on AI/ML Engineer (Builder/Doer) to design, build, and deploy advanced machine learning solutions supporting defense and national security missions. This role focuses on execution over oversight, ideal for an engineer who thrives in the code, enjoys building end\-to\-end pipelines, and takes pride in seeing their work directly impact operational systems.
**Responsibilities**
* Design, develop, and deploy AI/ML models and pipelines that meet mission and performance objectives.
* Build, train, and fine\-tune models using frameworks such as PyTorch, TensorFlow, scikit\-learn, Hugging Face, and LangChain.
* Develop and operationalize MLOps pipelines (MLflow, Kubeflow, DVC, or custom training/inference orchestration).
* Implement and optimize vector databases (Milvus, Pinecone, Chroma, FAISS) and retrieval architectures (RAG, graph, hybrid).
* Write clean, efficient Python code for data ingestion, feature engineering, embeddings, and inference services.
* Experiment with fine\-tuning and optimization of LLMs and task\-specific models (LoRA, QLoRA, PEFT).
* Contribute to agent\-based applications using frameworks like LangGraph, AutoGen, CrewAI, or DSPy.
* Integrate AI services into real\-world systems via APIs, event\-driven workflows, or UI copilots.
* Collaborate with data engineers, software developers, and mission analysts to ensure AI models are production\-ready and aligned with customer needs.
* Participate in peer reviews, contribute to shared repositories, and document models and experiments for reproducibility.
**Education/Qualifications**
**Minimum Requirements:**
* Must be a U.S. citizen and be willing to obtain and maintain a secruity clearance, as needed.
* 4–6 years of professional experience developing and deploying AI/ML solutions in production environments.
* Strong Python development skills with hands\-on experience building AI/ML solutions.
* Direct experience with ML frameworks such as PyTorch, TensorFlow, scikit\-learn, Hugging Face, or LangChain.
* Proven ability to build and deploy MLOps pipelines using MLflow, Kubeflow, DVC, or equivalent.
* Working knowledge of vector databases (Milvus, Pinecone, Chroma, FAISS) and retrieval\-based architectures (RAG, hybrid, graph).
* Familiarity with DoD/IC AI assurance, security, and deployment environments.
**Preferred Qualifications**
* Experience fine\-tuning and evaluating LLMs or smaller task\-specific models using LoRA, QLoRA, or PEFT.
* Familiarity with agentic frameworks (LangGraph, AutoGen, CrewAI, DSPy) and multi\-agent reasoning.
* Understanding of prompt engineering, retrieval quality, and grounding methods.
* Exposure to GPU\-based or edge inference environments.
* Experience integrating AI capabilities into production systems or mission applications.
* Bachelor’s or Master’s degree in Computer Science, Engineering, Data Science, or a related technical field.
* Active Secret clearance preferred; ability to obtain one required.</t>
        </is>
      </c>
    </row>
    <row r="31">
      <c r="A31" t="inlineStr">
        <is>
          <t>li-4343608815</t>
        </is>
      </c>
      <c r="B31" t="inlineStr">
        <is>
          <t>Senior Machine Learning Engineer Multimodal AI, Trust &amp; Safety</t>
        </is>
      </c>
      <c r="C31" t="inlineStr">
        <is>
          <t>TekVizor</t>
        </is>
      </c>
      <c r="D31" t="inlineStr">
        <is>
          <t>linkedin</t>
        </is>
      </c>
      <c r="E31" t="inlineStr"/>
      <c r="F31" t="inlineStr"/>
      <c r="G31" t="inlineStr"/>
      <c r="H31" t="inlineStr"/>
      <c r="I31" t="inlineStr">
        <is>
          <t>**Senior Machine Learning Engineer \- Multimodal AI, Trust \&amp; Safety** 
**Location:** 
 San Francisco, CA Bay Area or NY
*📌We are unable to sponsor at this time* 
*(US Citizen, Green Card, Perm Resident)* 
 📢New opening for a Senior ML Engineer to join a small but growing team within digital, gaming and streaming media. Opportunity to develop LLM across the organization and retrieval\-augmented generation (RAG) frameworks for the greater good.
**Summary:**
* You will be part of a world\-class ML/AI team, developing machine learning models for content moderation and classification. Working cross\-functionally to turn business challenges into AI\-driven solutions.
* Develop large\-scale production ML models to solve online safety problems. Trust \&amp; Safety, content Intelligence, content moderation, fraud detection, anomaly detection.
* Build and scale our retrieval\-augmented generation (RAG) system that delivers analytic insights and automation to our product teams.
* Create and apply NLP, LLM AI models for customer safety in text, voice, audio and image classification.
* Analyze business use cases and identify areas where AI models may have predictive limitations or biases.
* Design, train and optimize neural networks, within frameworks; TensorFlow and PyTorch.
**Experience:**
* Minimum of 5\-7 years of professional experience in machine learning, deep learning and NLP.
* Hands\-on experience with generative AI models multi\-modal AI
* Expertise in applying machine learning models in a professional environment with large, complex datasets.
* Expertise with Python, libraries pandas, scikit\-learn, Jax, PyTorch and PySpark.
* Familiarity with multimodal AI models combining text, image, and video data.
* Passion for research publication, conferences (NeurlIPS, ICLR, ACL, ICML), AI research.
**Education:**
 Master’s in Mathematics, Computer Science, Statistics, Engineering or similar degree (PhD preferred but not required)
 Base pay range $280 \- $320k \+ bonus and full employee benefits.</t>
        </is>
      </c>
    </row>
    <row r="32">
      <c r="A32" t="inlineStr">
        <is>
          <t>li-4345412889</t>
        </is>
      </c>
      <c r="B32" t="inlineStr">
        <is>
          <t>Machine Learning Engineer PhD (Full Time) - United States</t>
        </is>
      </c>
      <c r="C32" t="inlineStr">
        <is>
          <t>Cisco</t>
        </is>
      </c>
      <c r="D32" t="inlineStr">
        <is>
          <t>linkedin</t>
        </is>
      </c>
      <c r="E32" t="inlineStr"/>
      <c r="F32" t="inlineStr"/>
      <c r="G32" t="inlineStr">
        <is>
          <t>Milpitas, CA</t>
        </is>
      </c>
      <c r="H32" t="inlineStr"/>
      <c r="I32"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Join our innovative engineering team focused on building next\-generation AI/ML solutions. You’ll collaborate with skilled colleagues across platform, security, release engineering, and support teams to deliver high\-impact products and ensure their perfect operation.
**Your Impact**
 Dive into the development and implementation of cutting\-edge generative AI applications using the latest large language models—think GPT\-4, Claude, Llama, and beyond! Take on the challenge of optimizing neural networks for natural language processing and machine perception, drawing on a toolkit that includes convolutional and transformer\-based models, student\-teacher frameworks, distillation, and generative adversarial networks (GANs). Performance, scalability, and reliability are front and center as models are trained, fine\-tuned, and put through their paces for real\-world deployment.
 Collaboration is at the heart of this role—work alongside talented engineers and cross\-functional teams to gather and prep data, design custom layers, and automate model deployment. Experimentation with new technologies and ongoing learning are always encouraged. Production\-ready code, robust testing, and creative problem\-solving all play a part in bringing innovative AI solutions to life. What an exciting place to grow and make an impact!
**Minimum Qualifications**
* Recent graduate or in your final year of studies toward a PhD in Computer Science, Electrical Engineering, Artificial Intelligence, Machine Learning, or a related field.
* 3\+ years of experience in backend development using Go or Python.
* Understanding of LLM infrastructure and optimization, validated by technical interview responses, project documentation, or relevant publications.
* Hands\-on experience with model building and AI/LLM research, demonstrated through portfolio work, code samples, technical assessments, or documented academic or professional projects.
**Preferred Qualifications**
* Experience working with inference engines (e.g., vLLM, Triton, TorchServe).
* Knowledge of GPU architecture and optimization.
* Familiarity with agent frameworks.
* Exposure to cloud native solutions and platforms.
* Experience with cybersecurity principles and Python programming, including common AI libraries.
* Familiarity with distributed systems and asynchronous programming models.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$181,000\.00 \- $270,300\.00
**Non\-Metro New York State \&amp; Washington State**
 $165,300\.00 \- $240,600\.00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33">
      <c r="A33" t="inlineStr">
        <is>
          <t>li-4294953595</t>
        </is>
      </c>
      <c r="B33" t="inlineStr">
        <is>
          <t>PhD Machine Learning Engineer, New Grad</t>
        </is>
      </c>
      <c r="C33" t="inlineStr">
        <is>
          <t>Stripe</t>
        </is>
      </c>
      <c r="D33" t="inlineStr">
        <is>
          <t>linkedin</t>
        </is>
      </c>
      <c r="E33" t="inlineStr"/>
      <c r="F33" t="inlineStr"/>
      <c r="G33" t="inlineStr">
        <is>
          <t>New York, United States</t>
        </is>
      </c>
      <c r="H33" t="inlineStr"/>
      <c r="I33"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Stripe's Applied ML organization is excited to offer new grad PhD machine learning engineering positions for 2026\. This is an exceptional opportunity to contribute to critical projects that directly enhance Stripe's suite of products, focusing on areas such as foundation models used for dozens of tasks e.g. fraud detection, enhanced support, and predicting user behavior.
 You will tackle challenging problems at the intersection of finance, technology, and data. You'll have the chance to work on creative projects like the Stripe Assistant and the Stripe Foundation Model, which leverage machine learning to revolutionize how businesses interact with financial services and data.
 What you’ll do
**Responsibilities**
* Develop and deploy large\-scale machine learning systems that drive significant business value across various domains.
* Engage in the end\-to\-end process of designing, training, improving, and launching machine learning models.
* Write production\-scale ML models that will be deployed to help Stripe enable economic infrastructure access for a diverse range of businesses globally.
* Collaborate across teams to incorporate feedback and proactively seek solutions to challenges.
* Rapidly learn new technologies and approaches, demonstrating a strong ability to ask insightful questions and communicate the status of your work effectively.
 Who you are
**Minimum Requirements**
* A deep understanding of computer science, obtained through the pursuit of a PhD in Computer Science, Machine Learning, or a closely related field, with the expectation of graduating in winter 2025 or spring/summer 2026\.
* Practical experience with programming and machine learning, evidenced by projects, classwork, or research. Familiarity with languages such as Python, Scala, Spark and libraries such as Pandas, NumPy, and Scikit\-learn.
* Expertise in areas of machine learning such as supervised and unsupervised learning techniques, ML operations, and possibly experience in Large Language Models or Reinforcement Learning.
* Demonstrated ability to work on collaborative projects, with experience in receiving and applying feedback from various stakeholders.
* A proactive approach to learning unfamiliar systems and a demonstrated ability to understand complex systems independently.
**Preferred Qualifications**
* Two years of university education or equivalent experience, with in\-depth knowledge in specific domains of machine learning.
* Published and presented peer\-reviewed articles in top\-tier venues.
* Experience in writing high\-quality pull requests, maintaining good test coverage, and completing projects with minimal defects.
* Familiarity with navigating new codebases and managing work across different programming languages.
* Excellent written communication skills to clearly articulate your work to both team members and wider Stripe audiences.
 Application requirements
**Please Submit The Following With Your Application**
* A description of your work history (either a resume, LinkedIn Profile, website, or other portfolio of work)
* Examples of relevant work and your approach to learning, such as GitHub repositories, StackOverflow contributions, or other project portfolios.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$180,000 \- $270,000\.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34">
      <c r="A34" t="inlineStr">
        <is>
          <t>li-4328370797</t>
        </is>
      </c>
      <c r="B34" t="inlineStr">
        <is>
          <t>AI Engineer</t>
        </is>
      </c>
      <c r="C34" t="inlineStr">
        <is>
          <t>Infosys</t>
        </is>
      </c>
      <c r="D34" t="inlineStr">
        <is>
          <t>linkedin</t>
        </is>
      </c>
      <c r="E34" t="inlineStr"/>
      <c r="F34" t="inlineStr"/>
      <c r="G34" t="inlineStr">
        <is>
          <t>Hartford, CT</t>
        </is>
      </c>
      <c r="H34" t="inlineStr"/>
      <c r="I34" t="inlineStr">
        <is>
          <t>**Infosys Limited is seeking an AI Engineer.** 
 In this role, you will enable digital transformation for our clients in a global delivery model, research on technologies independently, recommend appropriate solutions and contribute to technology\-specific best practices and standards. You will provide inputs for identifying best\-fit architectural solutions for one or more projects; develop design of applications, provide regular support and guidance to project teams on complex coding and issue resolution with the objective of ensuring best\-fit and high\-quality technical solutions within the area of technology specialization and in compliance with guidelines, policies and norms of Infosys. You will be part of a learning culture, where teamwork and collaboration are encouraged, excellence is rewarded, and diversity is respected and valued.
**Required Qualifications**
* Bachelor’s degree or foreign equivalent required from an accredited institution. Will also consider three years of progressive experience in the specialty in lieu of every year of education.
* Candidate must be located within commuting distance of Richardson, TX or Raleigh, NC or Hartford, CT or be willing to relocate to the area.
* At least 4 years of experience in Information Technology
* Experience in AI, data engineering, creating data pipelines and processing huge volume of data.
* Experience in Machine learning engineering /MLE, data science and data engineering with a proven track record of delivering impactful solutions
* Candidates authorized to work for any employer in the United States without employer\-based visa sponsorship are welcome to apply. Infosys is unable to provide immigration sponsorship for this role at this time
**Preferred Qualifications** 
 :
* Good understanding of Agile software development frameworks
* Strong communication and Analytical skills
* Ability to work in teams in a diverse, multi\-stakeholder environment comprising of Business and Technology teams
* Experience and desire to work in a global delivery environment
 The job entails sitting as well as working at a computer for extended periods of time. Should be able to communicate by telephone, email or face to face. Travel may be required as per the job requirements.
 Along with competitive pay, as a full\-time Infosys employee you are also eligible for the following benefits :\-
* Medical/Dental/Vision/Life Insurance
* Long\-term/Short\-term Disability
* Health and Dependent Care Reimbursement Accounts
* Insurance (Accident, Critical Illness, Hospital Indemnity, Legal)
* 401(k) plan and contributions dependent on salary level
* Paid holidays plus Paid Time Off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**EEO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row>
    <row r="35">
      <c r="A35" t="inlineStr">
        <is>
          <t>li-4334680364</t>
        </is>
      </c>
      <c r="B35" t="inlineStr">
        <is>
          <t>AI Engineer IV</t>
        </is>
      </c>
      <c r="C35" t="inlineStr">
        <is>
          <t>Premera Blue Cross</t>
        </is>
      </c>
      <c r="D35" t="inlineStr">
        <is>
          <t>linkedin</t>
        </is>
      </c>
      <c r="E35" t="inlineStr"/>
      <c r="F35" t="inlineStr"/>
      <c r="G35" t="inlineStr"/>
      <c r="H35" t="inlineStr"/>
      <c r="I35" t="inlineStr">
        <is>
          <t>**Workforce Classification:**
 Telecommuter
**Join Our Team: Do Meaningful Work and Improve People’s Lives**
 Our purpose, to improve customers’ lives by making healthcare work better, is far from ordinary. And so are our employees. Working at Premera means you have the opportunity to drive real change by transforming healthcare.
 Premera is committed to being a workplace where people feel empowered to grow, innovate, and lead with purpose. By investing in our employees and fostering a culture of collaboration and continuous development, we’re able to better serve our customers. It’s this commitment that has earned us recognition as one of the best companies to work for. Learn more about our recent awards and recognitions as a greatest workplace.
 Learn how Premera supports our members, customers and the communities that we serve through our Healthsource blog: https://healthsource.premera.com/.
 As an
 **AI Engineer IV,** 
 you'll contribute leadership in a team developing AI/ML solutions for complex business problems from conception to production. Your role involves guiding the solutioning of sophisticated multi\-agent systems, implementing cutting\-edge retrieval techniques, and prototyping new AI products using advanced orchestration patterns. With substantial experience in deploying AI systems and strong software engineering skills, you'll ensure the creation of reliable and maintainable AI infrastructure leveraging protocols like A2A and MCP. Your expertise will drive innovative AI systems, mentor junior engineers, and push for adoption of cutting\-edge AI research and technologies for enterprise\-scale agent platforms.
**This is a telecommuter position, working from home.**
**What you’ll do:**
* Recommend and develop comprehensive multi\-agent systems and enterprise AI systems for complex applications and products.
* Pitch concepts to team leadership and lead construction of prototypes and minimum viable products to validate AI/ML solutions before committing substantial resources.
* Assist in designing and implementing the cloud architecture of large multi\-faceted AI systems on Kubernetes using platforms like Azure AI Foundry with comprehensive agent governance.
* Assist in the design and scaffolding of robust data pipelines that drive large complex AI systems including graph databases, tensor\-based fusion, and multi\-model retrieval.
* Develop specifications for enterprise\-wide agent communication standards, tool governance, and evaluation harnesses to deploy AI models at scale.
* Develop the code for monitoring models and AI systems including customer evaluation metrics, agent behavior analytics, and comprehensive drift detection that ensures consistent and reliable performance.
* Actively participate in a team that exercises principled, agile\-like development practices.
* Create and maintain thorough documentation that is consistent with team procedures, corporate policies, and expectations including architectural decision records.
* Ensure peer review on all assigned work, as well as conduct peer reviews over the work of others as requested.
* Guide and mentor junior AI engineers on AI/ML and industry best practices and methodologies and emerging standards like A2A, MCP, and novel reasoning/retrieval techniques.
* Keep abreast of new tools and concepts through reading documentation or literature and actively practicing skills development.
* Advise team and division leadership on matters such as enterprise AI strategies, AI related technology strategies and roadmaps, AI related infrastructure strategies, and roadmaps.
* Meet and collaborate with external stakeholders to conceptualize AI solutions that realize business value while ensuring AI governance adherence, AI best practices, and data quality.
* Provide thought leadership to the Premera AI community.
**What you’ll bring:**
**Required Qualifications**
* Bachelor's Degree in Computer Science, Statistics, Mathematics, or a related field, or 2\+ years of experience in a related, professional IT/analytics position.
* Minimum of 5 years of industry experience in developing, deploying, and maintaining AI or ML systems. Up to two years of industry experience may be substituted with an AI centered Master’s/PhD degree or AI Engineering certifications.
**Preferred Qualifications**
* At least 4 years of experience in developing enterprise scale multi\-agent systems using advanced orchestration and evaluation frameworks.
* Previous experience with novel fusion techniques (TRF, learned rankers) and production GraphRAG at scale.
* Experience implementing enterprise AI systems with comprehensive governance, security, and compliance features.
* Publications, patents, or significant open\-source contributions in agent architectures or advanced retrieval systems.
* Minimum of 4 years of experience in successfully productionizing AI models, including constructing scalable data pipelines and establishing robust monitoring systems.
* At least 5 years working within agile\-like teams and environments.
**Knowledge, Skills, And Abilities**
* Mastery of complex multi\-agent architectures including distributed orchestration.
* Expert knowledge of advanced fusion methods (TRF, tensor\-based ranking).
* Ability to design enterprise\-scale RAG systems with comprehensive governance.
* Deep expertise in agent evaluation and benchmarking methodologies.
* Proficiency in implementing agent safety systems and attack mitigation.
* Advanced knowledge of graph\-augmented retrieval and ontology alignment.
* Experience with multi\-modal agent systems and embeddings.
* Ability to design agent communication standards and protocols.
* Expertise in token optimization and cost management at scale.
* Knowledge of agent pool management and scale\-to\-zero architectures.
* Experience with agent simulation and testing frameworks.
* Ability to mentor teams on cutting\-edge AI engineering practices.
* Understanding of regulatory compliance for agentic AI systems.
* Ability to articulate the technical details and tradeoffs of AI solutions to non\-technical stakeholders in a clear and concise manner.
**Physical Requirements**
 The following have been identified as essential physical requirements of this job and must be performed with or without an accommodation:
* This is primarily a sedentary role which requires the ability to exert up to 10 lbs. of force occasionally and/or a negligible amount of force frequently or constantly to lift, carry, push, pull, or otherwise move objects, including the human body.
* This role requires the ability to keyboard and to communicate clearly and understandably in person and over the telephone.
**Premera total rewards**
 Our comprehensive total rewards package provides support, resources, and opportunities to help employees thrive and grow. Our total rewards are more than a collection of perks, they're a reflection of our commitment to your health and well\-being. We offer a broad array of rewards including physical, financial, emotional, and community benefits, including:
* Medical, vision, and dental coverage with low employee premiums.
* Voluntary benefit offerings, including pet insurance for paw parents.
* Life and disability insurance.
* Retirement programs, including a 401K employer match and, believe it or not, a pension plan that is vested after 3 years of service.
* Wellness incentives with a wide range of mental well\-being resources for you and your dependents, including counseling services, stress management programs, and mindfulness programs, just to name a few.
* Generous paid time off to reenergize.
* Looking for continuing education? We have tuition assistance for both undergraduate and graduate degrees.
* Employee recognition program to celebrate anniversaries, team accomplishments, and more.
 For our hybrid employees, our on\-campus model provides flexibility to create your own routine with access to on\-site resources, networking opportunities, and team engagement.
* Commuter perks make your trip to work less impactful on the environment and your wallet.
* Free convenient on\-site parking.
* Subsidized on\-campus cafes make lunchtime connections with colleagues fun and affordable.
* Participate in engaging on\-site activities such as health and wellness events, coffee connects, disaster preparedness fairs and more.
* Our complementary fitness \&amp; well\-being center offers both in\-person and virtual workouts and nutritional counseling.
* Need a brain break? Challenge someone to a game of shuffleboard or ping pong while on campus.
**Equal employment opportunity/affirmative action:**
 Premera is an equal opportunity/affirmative action employer. Premera seeks to attract and retain the most qualified individuals without regard to race, color, religion, sex, national origin, age, disability, marital status, veteran status, gender or gender identity, sexual orientation, genetic information or any other protected characteristic under applicable law.
 If you need an accommodation to apply online for positions at Premera, please contact Premera Human Resources via email at careers@premera.com or via phone at 425\-918\-4785\.
**Premera is hiring in the following states, with some limitations based on role or city:** 
 Alaska, Arizona, Arkansas, California, Colorado, Florida, Georgia, Idaho, Iowa, Kansas, Kentucky, Maine, Michigan, Minnesota, Missouri, Montana, Nevada, New Hampshire, New Mexico, North Carolina, Oklahoma, Oregon, South Carolina, South Dakota, Tennessee, Texas, Utah, Washington, Wisconsin
 *.*
 The pay for this role will vary based on a range of factors including, but not limited to, a candidate’s geographic location, market conditions, and specific skills and experience.
 The salary range for this role is posted below; we generally target up to and around the midpoint of the range.
**National Salary Range:**
 $131,900\.00 \- $237,400\.00
**National Plus Salary Range:**
 $150,300\.00 \- $270,500\.00
* National Plus salary range is used in higher cost of labor markets including Western Washington and Alaska.
 We’re happy to discuss compensation further during the interview because we believe that open communication leads to better outcomes for all. We’re committed to creating an environment where all employees are celebrated for their unique skills and contributions.</t>
        </is>
      </c>
    </row>
    <row r="36">
      <c r="A36" t="inlineStr">
        <is>
          <t>li-4304190173</t>
        </is>
      </c>
      <c r="B36" t="inlineStr">
        <is>
          <t>Senior Machine Learning Engineer, Ads Foundation Modeling</t>
        </is>
      </c>
      <c r="C36" t="inlineStr">
        <is>
          <t>Unity</t>
        </is>
      </c>
      <c r="D36" t="inlineStr">
        <is>
          <t>linkedin</t>
        </is>
      </c>
      <c r="E36" t="inlineStr"/>
      <c r="F36" t="inlineStr"/>
      <c r="G36" t="inlineStr">
        <is>
          <t>San Francisco, CA</t>
        </is>
      </c>
      <c r="H36" t="inlineStr"/>
      <c r="I36" t="inlineStr">
        <is>
          <t>**The opportunity**
 At Unity, we’re committed to building a culture that fosters collaboration and innovation. Within our fast\-paced environment, we’re tackling complex challenges that drive meaningful impact for creators and users across our ecosystem.
 Our Foundation Modeling team plays a central role in this effort by developing state\-of\-the\-art conversion rate (CVR) prediction and market price models that power our ad ranking and recommendation systems. These models help advertisers reach the right users at the right time by accurately estimating engagement and conversion likelihood. By leveraging large\-scale behavioral data, creative features, and contextual signals, we continuously improve the relevance and accuracy of our predictions. This drives key outcomes such as higher user engagement, stronger conversion performance, and better return on ad spend — enabling advertisers to achieve their goals while delivering a better experience for users.
 We are seeking a highly skilled Senior ML Engineer to drive state\-of\-the\-art bidding optimization systems that enable efficient budget pacing, goal\-aligned automated strategies, continual improvement through experimentation, and sustainable growth for Unity Ads.
**What You'll Be Doing**
* Design, implement, and maintain high\-performance CTR and CVR prediction models that power ad ranking and recommendation systems.
* Build and refine systems for creative understanding and user behavior modeling, enabling more accurate and context\-aware engagement predictions.
* Ensure model quality and reliability by continuously monitoring performance, calibrating predictions, and addressing data drift or delayed feedback.
* Actively participate and work with other leads to set the long term direction for the team, plan and oversee engineering designs and project execution.
* Effectively communicate complex technical concepts to non\-engineering stakeholders.
**What We're Looking For**
* Advanced degree (MS or Ph.D.) in Computer Science, Machine Learning, Statistics, related field, or equivalent practical experience.
* 5\+ years of hands\-on experience building and operating large\-scale Ads delivery and optimization systems.
* 3\+ years of experience building CTR/CVR systems, content understanding, or behavior modeling systems.
* Significant experience in one or more general\-purpose programming languages like Python, Go, Scala, C\+\+ or similar.
* Knowledge of metric design, experimentation methodologies, and large\-scale data analysis.
**You might also have**
* Experience designing and productionizing optimization algorithms in an ad serving platform and/or other marketplaces.
* Experience with state\-of\-the\-art control systems, reinforcement learning algorithms.
**Additional Information**
* International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\#SEN
* Note: Certain locations require a good faith disclosure of the base salary range for the role. The actual salary for the successful candidate may differ based on location, experience, and other job\-related factors.
 Gross pay salary
 $179,000—$269,000 USD</t>
        </is>
      </c>
    </row>
    <row r="37">
      <c r="A37" t="inlineStr">
        <is>
          <t>li-4303767327</t>
        </is>
      </c>
      <c r="B37" t="inlineStr">
        <is>
          <t>Senior Machine Learning Engineer (Health)</t>
        </is>
      </c>
      <c r="C37" t="inlineStr">
        <is>
          <t>WHOOP</t>
        </is>
      </c>
      <c r="D37" t="inlineStr">
        <is>
          <t>linkedin</t>
        </is>
      </c>
      <c r="E37" t="inlineStr"/>
      <c r="F37" t="inlineStr"/>
      <c r="G37" t="inlineStr">
        <is>
          <t>Boston, MA</t>
        </is>
      </c>
      <c r="H37" t="inlineStr"/>
      <c r="I37" t="inlineStr">
        <is>
          <t>WHOOP is an advanced health and fitness wearable, on a mission to unlock human performance and healthspan. WHOOP empowers its members to improve their health and perform at a higher level by providing a deep understanding of their bodies and daily lives.
 The
 **Health team** 
 is responsible for developing novel algorithms and features that expand our health capabilities. Our work spans several key areas, including women’s health, medical device–grade metrics, wellness monitoring, longevity research, and emerging health insights. We combine continuous physiological data with clinical research and expert knowledge to generate features that are both scientifically grounded and deeply impactful for members.
 As a
 **Senior Machine Learning Engineer** 
 on our Health team, you will design, build, and productionize ML systems that deliver meaningful, personalized health metrics to millions of members. You will work at the intersection of data science, backend engineering, and cloud infrastructure—deploying robust, scalable, and reliable ML solutions built on physiological and behavioral data streams. This role emphasizes strong coding skills, system design, and the ability to deliver production\-ready ML services.
**Responsibilities**
* Create, improve, and maintain production services that provide analysis for health features in collaboration with Data Scientists and MLOps Engineers.
* Collaborate with Data Engineers to improve ML data pipelines, tooling, and validation systems that support robust model performance.
* Work alongside data scientists to translate research prototypes into production ML systems optimized for scale, latency, and cost efficiency.
* Collaborate with researchers and product teams to align model development with health insights and member impact.
* Participate in on\-call rotations for data science services, ensuring uptime and performance in production environments.
**Qualifications**
* Bachelor’s Degree in Computer Science, Data Science, Applied Mathematics, or a related field. Master’s preferred.
* 5\+ years of professional experience as a Machine Learning Engineer or Software Engineer with focus on ML systems.
* Proven expertise working with time series data (wearable, physiological, or high\-frequency sensor data strongly preferred).
* Experience designing and deploying ML inference systems at scale: both real\-time streaming and large\-scale batch pipelines.
* Strong coding skills in Python (scientific stack) and SQL, with a track record of writing clean, production\-quality code.
* Strong communication skills to collaborate across engineering, research, and product teams.
* Proven experience deploying and maintaining ML systems on cloud platforms (AWS or GCP)
* Working familiarity with MLOps best practices: model versioning, CI/CD for ML, observability, and monitoring for inference systems.
* Ability to reason about and design for performance trade\-offs (latency vs. throughput vs. cost) when building ML inference systems.
* Strong understanding of backend service development (APIs and service reliability) as it applies to serving ML models at scale.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$150,000\-$210,000\.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is>
      </c>
    </row>
    <row r="38">
      <c r="A38" t="inlineStr">
        <is>
          <t>li-4304801773</t>
        </is>
      </c>
      <c r="B38" t="inlineStr">
        <is>
          <t>Staff Machine Learning Engineer</t>
        </is>
      </c>
      <c r="C38" t="inlineStr">
        <is>
          <t>Headway</t>
        </is>
      </c>
      <c r="D38" t="inlineStr">
        <is>
          <t>linkedin</t>
        </is>
      </c>
      <c r="E38" t="inlineStr"/>
      <c r="F38" t="inlineStr"/>
      <c r="G38" t="inlineStr">
        <is>
          <t>New York, NY</t>
        </is>
      </c>
      <c r="H38" t="inlineStr"/>
      <c r="I38" t="inlineStr">
        <is>
          <t>Headway’s mission is a big one – to build a new mental health care system everyone can access. We’ve built technology that helps people find great therapists with the first software\-enabled national network of providers accepting insurance.
 1 in 4 people in the US have a treatable mental health condition, but the majority of providers don’t accept insurance, making therapy too expensive for most people. Headway is building a new mental healthcare system that everyone can access by making it easy for therapists to accept insurance and scale their practice.
 Headway was founded in 2019\. Since then, we’ve grown into a diverse, national network of over 60,000 mental healthcare providers across all 50 states who run their practice on our software and have served over 1 million patients. We’re a Series D company with over $325m in funding from a16z (Andreessen Horowitz), Accel, GV (formerly Google Ventures), Spark Capital, Thrive Capital, Forerunner Ventures and Health Care Service Corporation.
 We want your time here to be the most meaningful experience of your career.
 **Join us, and help change mental healthcare for the better.**
**About The Team**
 The Ranking \&amp; Relevance team’s mission is to help every patient find the right provider for their needs. We are building the matching system that powers this connection, from search and discovery to ranking and personalization. Our goal is to combine cutting\-edge machine learning with a deep understanding of patient and provider experience.
**About The Role**
 We are looking for a
 **Staff Machine Learning Engineer** 
 to lead the development of Headway’s ranking and relevance models. You will design and build the systems that decide how patients and providers are matched, using search, recommendation, and personalization to help patients through their care journey. You will set technical direction, build the initial stack, and mentor future ML teammates.
**What You’ll Do**
 At Headway, we have built the largest network of therapists who accept insurance in the country. One of our most important challenges is ensuring that patients find the right therapist for them quickly and effectively. To do this, we are investing deeply in search, ranking, and relevance systems powered by machine learning. As a Staff Machine Learning Engineer on the Patient team, you will focus on:
* Matching and ranking: Design and scale ML models that power how patients discover and connect with providers.
* Personalization: Use patient signals, provider attributes, and outcomes data to improve matching accuracy.
* ML infrastructure: Establish the foundation for experimentation, model training, deployment, and monitoring across Headway.
* Mentorship and technical leadership: Guide junior ML engineers and data scientists as the team grows, setting the bar for ML practices at Headway.
* Cross\-functional impact: Partner with product, engineering, and data science to define success metrics, design A/B experiments, and influence product strategy.
**Who You Are**
* You have 6\+ years of experience in applied ML roles, with at least 1 year working on ranking, relevance, search, or recommender systems.
* You are fluent in Python and have experience with ML frameworks (TensorFlow, PyTorch, Scikit\-learn, CatBoost, etc.).
* You have taken ML models from research/prototype to production at scale.
* You are comfortable designing and running A/B experiments, and you know how to choose the right offline and online metrics.
* You combine product intuition with technical depth. You care about making the patient experience meaningfully better, not just optimizing a model score.
**Nice to have**
* Experience with matching systems or personalization.
* Familiarity with modern retrieval techniques (vector search, embeddings, semantic search).
* Exposure to ML infrastructure such as feature stores, model monitoring, and retraining pipelines.
* Experience with Metaflow, SageMaker, and Outerbounds.
**Our interview process**
 After you apply to Headway, here are some details of what to expect during the interview process.
* Initial screen: You’ll connect with someone in recruiting so you can learn more about the team, Headway’s mission and exciting growth, and we can get a better idea of your background.
* First round: You’ll meet with an engineer on the team to do some live coding and learn more about the engineering team.
* Final rounds: You’ll meet several more team members for technical and non\-technical interviews and leave with a fuller picture of what it’s like to work at Headway.
* References and the offer: Our favorite part of the process. We’ll send over all of the details, including specifics on employee equity, and congratulatory messages from excited future team members.
**Compensation \&amp; Benefits**
 The expected base pay range for this position is $269,790 – $317,400, based on a variety of factors including qualifications, experience, and geographic location. In addition to base salary, this role may be eligible for performance\-based variable compensation and an equity grant, depending on the position and level.
*We are committed to offering a comprehensive and competitive total rewards package, including robust health and wellness benefits, retirement savings, and meaningful ownership opportunities through equity. Compensation decisions are made holistically, ensuring fairness and alignment with market benchmarks while recognizing individual contributions and potential.*
* Benefits offered include:
+ Equity compensation
+ Medical, Dental, and Vision coverage
+ HSA / FSA
+ 401K
+ Work\-from\-Home Stipend
+ Therapy Reimbursement
+ 16\-week parental leave for eligible employees
+ Carrot Fertility annual reimbursement and membership
+ 13 paid holidays each year as well as a Holiday Break during the week between December 25th and December 31st
+ Flexible PTO
+ Employee Assistance Program (EAP)
+ Training and professional development
 We believe a team's strength is in its people, and we cannot achieve this mission without a team that reflects the diversity of this problem – across race, ethnicity, gender, sexuality, age, national origin, religion, family status, disability, military status, and experience.
 Headway is committed to the full inclusion of all qualified individuals. As part of this commitment, Headway will ensure that persons with disabilities are provided with reasonable accommodations. If reasonable accommodation is needed to participate in the job application or interview process, to perform essential job functions, and/or receive other benefits and privileges of employment, please inform the recruiter when they contact you to schedule your interview.
 Headway participates in E\-Verify. To learn more, click here.</t>
        </is>
      </c>
    </row>
    <row r="39">
      <c r="A39" t="inlineStr">
        <is>
          <t>li-4334672675</t>
        </is>
      </c>
      <c r="B39" t="inlineStr">
        <is>
          <t>Distinguished Machine Learning Engineer, Monetization</t>
        </is>
      </c>
      <c r="C39" t="inlineStr">
        <is>
          <t>Pinterest</t>
        </is>
      </c>
      <c r="D39" t="inlineStr">
        <is>
          <t>linkedin</t>
        </is>
      </c>
      <c r="E39" t="inlineStr"/>
      <c r="F39" t="inlineStr"/>
      <c r="G39" t="inlineStr">
        <is>
          <t>San Francisco, CA</t>
        </is>
      </c>
      <c r="H39" t="inlineStr"/>
      <c r="I39"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Within the Monetization ML Engineering organization, we try to connect the dots between the aspirations of Pinners and the products offered by our partners. As a Distinguished Machine Learning Engineer, you will be responsible for developing and executing a vision for the evolution of the machine learning technology stack for Monetization. You will work on tackling new challenges in machine learning and deep learning to advance the statistical models that power ads performance and ads delivery that bring together Pinners and partners in this unique marketplace.
**What You'll Do**
* Lead user\-facing projects that involve end\-to\-end engineering development in both frontend and backend and ML
* Improve relevance and increase long term value for Pinners, Partners, Creators, and Pinterest through efficient Ads Delivery.
* Improve our engineering systems to improve the latency, capacity, stability and reduce infra cost
* Collaborate with product managers and designers to develop engineering solutions for user\-facing product improvements
* Collaborate with other engineering teams (infra, user modeling, content understanding) to leverage their platforms and signals
* Champion engineering excellence and a data driven culture, mentor senior tech talent and represent Pinterest externally in the tech and AI communities.
**What We’re Looking For**
* Degree in computer science, machine learning, statistics, or a related field
* 15\+ years of working experience in engineering teams that build large\-scale, ML‑driven, user‑facing products
* Experience leading cross‑team engineering efforts that improve user experience in products
* Understanding of an object‑oriented programming language such as Go, Java, C\+\+, or Python
* Experience with large‑scale data processing (e.g., Hive, Scalding, Spark, Hadoop, MapReduce)
* Strong software engineering and mathematical skills, with knowledge of statistical methods
* Experience working across frontend, backend, and ML systems for large‑scale user‑facing products, with a good understanding of how they all work together
* Hands‑on experience with large‑scale online e‑commerce systems
* Background in computational advertising is preferred
* Excellent cross‑functional collaboration and stakeholder communication skills, with strong execution in project management
**Relocation Statement:**
* This position is not eligible for relocation assistance. Visit our PinFlex page to learn more about our working model.
**In\-Office Statement**
* We let the type of work you do guide the collaboration style. That means we're not always working in an office, but we continue to gather for key moments of collaboration and connection.
* This role will need to be in the office for in\-person collaboration 1\-2 times/month and therefore can be situated anywhere in the country.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$347,264—$607,712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40">
      <c r="A40" t="inlineStr">
        <is>
          <t>li-4345161919</t>
        </is>
      </c>
      <c r="B40" t="inlineStr">
        <is>
          <t>Senior Staff Machine Learning Engineer</t>
        </is>
      </c>
      <c r="C40" t="inlineStr">
        <is>
          <t>Intuit</t>
        </is>
      </c>
      <c r="D40" t="inlineStr">
        <is>
          <t>linkedin</t>
        </is>
      </c>
      <c r="E40" t="inlineStr"/>
      <c r="F40" t="inlineStr"/>
      <c r="G40" t="inlineStr">
        <is>
          <t>Mountain View, CA</t>
        </is>
      </c>
      <c r="H40" t="inlineStr"/>
      <c r="I40" t="inlineStr">
        <is>
          <t>**Overview**
 Come join Intuit as a Senior Staff Machine Learning Engineer (MLE).
 Senior Staff MLEs deliver end\-to\-end AI solutions that span multiple domains and products, influencing the strategic direction of machine learning and AI across the company. You will identify cross\-cutting opportunities, set technical direction for complex systems, and deliver scalable, responsible AI\-driven experiences that unlock customer and business value at Intuit scale.
 In this role, you’ll be expected to define and evolve ML architecture, guide multiple teams, and drive execution excellence across the full ML lifecycle—from experimentation to production. You’ll partner closely with AI scientists, product engineers, and business leaders to solve high\-impact problems and pioneer new capabilities that advance Intuit’s AI\-native platform.
**Responsibilities**
 Technical Craft
* Lead the architectural design of complex, cross\-cutting ML systems and data platforms that serve multiple Intuit products.
* Drive the adoption of AI\-native design principles, ensuring that systems are built for adaptability, observability, and secure customer data usage.
* Build and scale end\-to\-end ML solutions using cloud\-native and open\-source technologies (e.g., AWS, GCP, TensorFlow, PyTorch, Ray, Spark).
* Define engineering standards, model governance, and MLOps best practices
* across teams for training, deployment, monitoring, and continuous improvement.
* Evaluate and integrate transformative technologies such as foundation models, retrieval\-augmented generation (RAG), and LLM fine\-tuning pipelines to accelerate product innovation.
* Resolve deeply complex issues across domains, often requiring novel solutions or architectural evolution for long\-term scalability.
 Execution Excellence
* Deliver within large\-scale strategic initiatives, identifying systemic architectural gaps and leading their resolution across multiple teams.
* Challenge roadmaps to achieve measurable outcomes in weeks—not months, while balancing technical risk, business priorities, and product velocity.
* Establish clear execution boundaries and integration contracts across teams to accelerate delivery while maintaining quality.
* Proactively monitor model and system performance, ensuring continuous improvement of reliability, fairness, and customer impact.
* Champion experimentation at scale—defining hypotheses, success metrics, and iterative validation frameworks that balance speed with rigor.
 Customer\-Centric Outcomes
* Translate emerging customer behaviors and business trends into bold ML\-driven solutions that redefine customer experiences across Intuit’s ecosystem.
* Collaborate with Product and Design to frame and validate high\-risk, high\-impact hypotheses through MVPs and data\-driven experimentation.
* Lead initiatives that use customer signals, behavioral data, and competitive insights
* to identify unmet needs and shape Intuit’s AI roadmap.
* Drive the development and deployment of models that directly improve measurable customer outcomes—conversion, engagement, trust, and satisfaction.
* Balance rapid delivery with long\-term technical sustainability, ensuring quality and performance at scale.
 Accelerating Teams \&amp; the Organization
* Act as a force multiplier, raising the technical bar across multiple ML and engineering teams (typically influencing 10–35 engineers).
* Mentor and develop Staff and Senior MLEs, building a strong culture of learning, quality, and execution excellence.
* Identify and drive resolution for cross\-team bottlenecks—architectural, tooling, or communication\-related—that limit productivity or scalability.
* Build alignment across AI, product, and infrastructure teams to accelerate delivery of strategic initiatives.
* Provide architectural guidance, influence design reviews, and serve as a key connector between product, data, and platform teams.
* Champion diversity of thought and inclusive innovation within the ML and engineering community at Intuit.
 Intuit Provides a Competitive Compensation Package With a Strong Pay For Performance Rewards Approach. The Expected Base Pay Range For This Position Is
 Bay Area California: $214,000 \- $289,500
*This position will be* 
*eligible for a cash bonus, equity rewards and benefits, in accordance with our applicable plans and programs (see more about our compensation and benefits at
 *Intuit®: Careers \| Benefits**
**).**
*Pay offered is based on factors such as job\-related knowledge, skills, experience, and work location. To drive ongoing pay equity for employees, Intuit conducts regular comparisons across categories of ethnicity and gender.*
**Qualifications**
* BS, MS, or PhD in Computer Science, Machine Learning, or a related technical field, or equivalent practical experience.
* 8\+ years of experience in software or ML engineering, with at least 3\+ years at Staff level or equivalent leadership scope.
* Proven track record of architecting and delivering production\-scale ML systems that impact millions of users.
* Expert in ML lifecycle management, feature engineering, and large\-scale model deployment.
* Deep hands\-on experience with modern ML frameworks and distributed systems (TensorFlow, PyTorch, Spark, Ray, Kubernetes, MLflow, etc.).
* Experience leading cross\-functional initiatives spanning multiple product or platform.
* Strong background in software engineering fundamentals: algorithms, distributed systems, data pipelines, and performance optimization.
* Excellent communication and influence skills, capable of aligning technical direction with organizational strategy.
* Familiarity with LLMs, GenAI, and applied responsible AI practices is a strong plus.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$ 214\.000\- 289,500</t>
        </is>
      </c>
    </row>
    <row r="41">
      <c r="A41" t="inlineStr">
        <is>
          <t>li-4334472816</t>
        </is>
      </c>
      <c r="B41" t="inlineStr">
        <is>
          <t>Staff Applied AI and Machine Learning Engineer, Payments &amp; Risk</t>
        </is>
      </c>
      <c r="C41" t="inlineStr">
        <is>
          <t>Gusto</t>
        </is>
      </c>
      <c r="D41" t="inlineStr">
        <is>
          <t>linkedin</t>
        </is>
      </c>
      <c r="E41" t="inlineStr"/>
      <c r="F41" t="inlineStr"/>
      <c r="G41" t="inlineStr"/>
      <c r="H41" t="inlineStr"/>
      <c r="I41"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Gusto’s Data Science team leverages Gusto’s rich dataset to guide product direction and decision\-making. We operate full\-stack, conducting analyses, prototyping and deploying predictive models and statistical tools both for internal use and for our customers.
 For this role, we are looking for a technical leader (an individual contributor) to drive machine learning and AI in the payment and risk domains. You will build a model\-driven risk platform to provide a trusted environment for Gusto Ecosystem.
 You’ll be working with an established team and seasoned payments and risk leaders in Engineering, Product, Design, Operation, Identity and Compliance. In this role, you’ll work cross functionally to build Platforms that span the entire breadth of the Payments and Risk Stacks, and use ML and AI to build a world\- class, high secure platform that safeguards our users’ activities and money, and ensures unparalleled reliability.
**Here’s What You’ll Do Day\-to\-day**
* Build and deploy machine learning models to identify, assess and mitigate risks
* Responsible for driving research in the problem space, working with stakeholders to understand model requirements, developing the model from scratch, deploying the model alongside your engineering counterparts, and monitoring and maintaining the model’s performance over time
* Partner with Engineering, Design, and Product counterparts in Payment and Risk to solve complex cross functional problems
* Develop scalable frameworks and libraries that enhance and contribute to the team’s core analysis and modeling capabilities, including through the integration of LLMs to improve data processing, analysis, and insights.
* Identify new opportunities to leverage data to improve Gusto’s products and help risk management team to understand business requirements and develop tailored solutions
* Present and communicate results to stakeholders across the company
**Here’s What We're Looking For**
* 8\+ years of experience conducting statistical analyses on large datasets and deep domain knowledge in machine learning and artificial intelligence, including familiarity with Large Language Models (LLMs) and their applications. This could mean either a MS or PhD in a quantitative field with at least 5 years experience in a business environment, or BS or Data Science Bootcamp graduate with at least 8 years of experience working as a data scientist or a machine learning engineer in a business setting.
* Proven experience in credit risk modeling or fraud risk modeling using logistic regression, random forest, Xgboost or neural networks, along with a strong understanding of AI\-based approaches and the potential of LLMs to enhance traditional models.
* Experience applying a variety of statistical and modeling techniques using Python, R or another statistical modeling language, as indicated by familiarity with many of the following techniques \- predictive modeling, anomaly detection, ensemble methods, natural language processing (NLP, optional). Basic understanding of LLMs and their applications.
* Strong programming skills \- comfortable with all phases of the data science development process, from initial analysis and model development to deployment
* Excellent communication skills \- able to effectively deliver findings and recommendations to non\-technical stakeholders in a clear and compelling fashion
* PhD or Masters plus equivalent experience in a quantitative field is a plus
* Experience in the Fintech industry is a plus
 Our cash compensation amount for this role is targeted at $225,000 \- $285,000 for San Francisco, New York, and Seattle, $205,000\- $255,000 in Los Angeles, $187,000 \- $235,000 in Denver, and $200,000 \- $250,000 CAD for Toronto, Canada.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42">
      <c r="A42" t="inlineStr">
        <is>
          <t>li-4339455610</t>
        </is>
      </c>
      <c r="B42" t="inlineStr">
        <is>
          <t>Staff Machine Learning Engineer</t>
        </is>
      </c>
      <c r="C42" t="inlineStr">
        <is>
          <t>Cisco</t>
        </is>
      </c>
      <c r="D42" t="inlineStr">
        <is>
          <t>linkedin</t>
        </is>
      </c>
      <c r="E42" t="inlineStr"/>
      <c r="F42" t="inlineStr"/>
      <c r="G42" t="inlineStr">
        <is>
          <t>San Jose, CA</t>
        </is>
      </c>
      <c r="H42" t="inlineStr"/>
      <c r="I42" t="inlineStr">
        <is>
          <t>Meet the Team
 Join the engineering team building the intelligent backbone of Splunk Observability Cloud. We are committed to leveraging the latest advancements in data science and machine learning to unlock unprecedented value from massive volumes of telemetry—metrics, traces, and logs—at petabyte scale. This role involves researching, developing, and deploying core analytical components focused on streaming anomaly detection, predictive intelligence, and automated root\-cause analysis. If you thrive on the challenge of building enterprise\-grade, scalable ML systems and applying sophisticated techniques to complex, high\-impact problems, you will be instrumental in delivering the full\-stack, real\-time answers and automation required for our customers to achieve true digital resilience across any cloud\-native or hybrid environment.
 Your Impact
* Apply the latest Generative AI and Agentic AI to enable AI features in Splunk Observability
* Collaborate across engineering and product teams to establish robust frameworks for evaluating AI systems’ trustworthiness and resilience.
* Provide technical leadership and mentorship within the team, establishing leading practices for development, testing, and artifact management.
**Minimum Qualifications**
* Master's degree in computer science or related field and 7\+ years of software engineering experience, or bachelor's degree with 10\+ years of experience.
* Experience designing and building scalable cloud\-based systems (AWS, Azure, or GCP), including container orchestration (e.g., Kubernetes, Docker).
* Proven experience in technical leadership, architecture design, and end\-to\-end feature ownership in AI/ML or platform domains.
* Experience with API design and frameworks (e.g. OpenAPI, GraphQL, gRPC, REST, etc.)
* Prior working experience in delivering RAG and Agentic products into production
* Expert at using vibe coding tools (Claude Code, Codex, Copilot, Windsurf, Cursor) is a must
* Up To Date knowledge on the latest Agentic and Generative AI industry trend and framework
**Preferred Qualifications**
* Exceptional problem\-solving skills, with the ability to analyze complex requirements and propose effective solutions.
* Experience developing, deploying, and maintaining applications in AWS environment with cloud native solutions.
* Experience monitoring and analyzing metrics, trace, span, and log content
* Background in observability, generative AI, or model robustness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$183,800\.00 to $263,600\.00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$183,800\.00 \- $303,100\.00
**Non\-Metro New York State \&amp; Washington State**
 $163,600\.00 \- $269,800\.00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43">
      <c r="A43" t="inlineStr">
        <is>
          <t>li-4315520321</t>
        </is>
      </c>
      <c r="B43" t="inlineStr">
        <is>
          <t>Senior/Staff AI Engineer</t>
        </is>
      </c>
      <c r="C43" t="inlineStr">
        <is>
          <t>Forterra</t>
        </is>
      </c>
      <c r="D43" t="inlineStr">
        <is>
          <t>linkedin</t>
        </is>
      </c>
      <c r="E43" t="inlineStr"/>
      <c r="F43" t="inlineStr"/>
      <c r="G43" t="inlineStr">
        <is>
          <t>East Palo Alto, CA</t>
        </is>
      </c>
      <c r="H43" t="inlineStr"/>
      <c r="I43" t="inlineStr">
        <is>
          <t>**About Forterra**
 Forterra is a leading provider of autonomous systems for ground\-based movement in the working world. Amongst some of the earliest innovators in the field of driverless technology, Forterra is focused on building systems that protect front\-line soldiers and enable civilian workers in our industrial base. Forterra is the go\-to provider of ground autonomy solutions for the U.S. Department of Defense, which harnesses the technology for asymmetric warfare in critical conditions.
**About The Role**
 The Forterra AI team seeks a Senior AI Engineer with expertise in computer vision and machine learning, particularly in multi\-view understanding and spatial reasoning. You will be responsible for designing and deploying advanced AI systems that integrate information from multiple viewpoints to build unified scene representations. This is a highly collaborative role, working with research and product teams to bring cutting\-edge ideas into scalable, real\-world solutions.
**What You'll Do**
* Research, design, and implement algorithms for multi\-view scene understanding and 3D spatial perception.
* Build scalable pipelines for training and deploying large\-scale vision models.
* Optimize vision systems for robustness, efficiency, and accuracy.
* Collaborate across teams to translate research into production\-ready solutions.
* Stay at the forefront of advancements in visual grounding, representation learning, and geometric reasoning
**Minimum Qualifications**
* Master’s or Ph.D. in Computer Science, Electrical Engineering, Robotics, or related field, or equivalent experience.
* Passion for solving complex problems in computer vision and machine learning.
* Strong technical foundation in multi\-view vision, scene alignment, and 3D reasoning.
* Ability to collaborate effectively with cross\-functional teams and communicate complex concepts clearly.
* Curiosity to explore emerging methods in AI and apply them to practical challenges.
* Proficiency with modern ML frameworks (e.g., PyTorch, TensorFlow).
* Strong programming skills in Python and or C\+\+ .
* Experience with large\-scale training, distributed systems, and high\-performance computing.
* Proven track record of publishing, deploying, or delivering advanced AI systems.
**Preferred Qualifications**
* Experience with large\-scale vision transformers and representation learning frameworks.
* Familiarity with high\-dimensional visual representations and cross\-modal alignment.
* Exposure to real\-time perception systems, robotics, or simulation environments.
* Contributions to open\-source projects or published research in top\-tier venues.
* A mindset that blends research creativity with engineering pragmatism. Experience working with Vision\-Language Models (VLMs) and Vision\-Language\-Action (VLAs), particularly in applying them to real\-world perception, reasoning, or decision\-making tasks.
 US Salary Range
 $160,000—$210,000
**Benefits**
 The salary range for this role is an estimate and is based on a wide variety of compensation factors. The salary offered to candidates will vary based on a variety of factors including (but not limited to) relevant work experience, education, specialized training, critical expertise, training, and more. Equity in Forterra is included in most of our full\-time, high\-demand roles and is therefore considered part of Forterra’s overall compensation package. In addition to base salary and equity, Forterra offers competitive benefits for full\-time employees including:
* Premium Healthcare Benefits: Three plan options, including an HSA\-eligible plan, with Forterra covering 80% of the plan premium for you and your dependents.
* Basic Life/AD\&amp;D, short and long\-term disability insurance plans 100% covered by Forterra, plus the option to purchase additional life insurance for you and your dependents.
* Extremely generous company holiday calendar including a winter break in December.
* Competitive paid time off (PTO) offering 20 days accrued per year.
* A minimum of 7 weeks fully paid parental leave for birth/adoption.
* A $9k annual tuition reimbursement or professional development stipend.
* Fully stocked beverage refrigerators with all the Celsius your little heart desires.
* 401(k) retirement savings plan, including traditional, Roth 401(k), and after\-tax deferral with company match up to 4%.
 Your recruiter will be able to share more information about our salary and benefits offering during the hiring process.
****CLEARANCE ELIGIBILITY \- This position may require eligibility to obtain and maintain a U.S. security clearance.****
 For more information about U.S. Security Clearances: click here.
 Forterra is an equal\-opportunity employer, providing and promoting equal employment opportunity in all personnel practices. Forterrans are unique, talented individuals who are united through a shared passion to deliver autonomous systems that enable national resilience and a robust supply chain.
 All qualified applicants will receive consideration for employment without regard to any factor, including veteran and disability status, and criminal history, in accordance with applicable local, state, and federal laws.
 Forterra is also committed to working with and providing reasonable accommodations to individuals with disabilities. Please let your recruiter know if you need an accommodation at any point during the interview process.
 To see Forterra’s candidate data privacy policy, please visit Forterra Legal \| Job Applicant Privacy Notice.
**The Pay Range For This Role Is**
 160,000 \- 210,000 USD per year (Palo Alto Office)</t>
        </is>
      </c>
    </row>
    <row r="44">
      <c r="A44" t="inlineStr">
        <is>
          <t>li-4337959190</t>
        </is>
      </c>
      <c r="B44" t="inlineStr">
        <is>
          <t>Staff Machine Learning Engineer (Foundation AI)</t>
        </is>
      </c>
      <c r="C44" t="inlineStr">
        <is>
          <t>WHOOP</t>
        </is>
      </c>
      <c r="D44" t="inlineStr">
        <is>
          <t>linkedin</t>
        </is>
      </c>
      <c r="E44" t="inlineStr"/>
      <c r="F44" t="inlineStr"/>
      <c r="G44" t="inlineStr">
        <is>
          <t>Boston, MA</t>
        </is>
      </c>
      <c r="H44" t="inlineStr"/>
      <c r="I44" t="inlineStr">
        <is>
          <t>WHOOP is an advanced health and fitness wearable on a mission to unlock human performance and extend healthspan. By providing members with a deep understanding of their bodies, behaviors, and daily lives, WHOOP empowers healthier choices and peak performance.
 We are seeking a Staff Machine Learning Engineer to join our Foundation AI team. This team builds the multimodal foundation models that underpin WHOOP’s next generation of intelligent, personalized, and health\-enhancing experiences. These models integrate data across wearable sensors, language, biomarkers, clinical information, and self\-reported inputs to create scalable AI systems that understand human physiology and behavior.
 In this role, you’ll serve as a senior individual contributor driving the research, development, and deployment of large\-scale multimodal models. You’ll collaborate closely with data scientists, ML engineers, and cross\-functional partners to push the boundaries of deep learning and ensure our models deliver measurable value to WHOOP members.
**Responsibilities**
* Design, train, and optimize large\-scale multimodal foundation models that integrate wearable sensor data, text, biomarkers, and behavioral data.
* Conduct applied research in self\-supervised learning, representation learning, and downstream task fine tuning to advance WHOOP’s core model capabilities.
* Develop scalable, distributed training pipelines for large models on high\-performance compute environments.
* Collaborate with MLOps, data engineering, and software engineering teams to operationalize models for production deployment, ensuring robustness, reproducibility, and observability.
* Partner with product and research teams to translate foundation model capabilities into downstream features that deliver meaningful member value.
* Contribute to the technical roadmap and architectural direction for foundation model development at WHOOP.
* Serve as a technical mentor for other data scientists, sharing best practices in deep learning, large\-scale training, and multimodal data integration.
* Ensure models adhere to WHOOP’s standards for ethical, transparent, and privacy\-preserving AI.
**Qualifications**
* Advanced degree (Master’s or Ph.D.) in Computer Science, Machine Learning, Electrical Engineering, or a related field, or equivalent professional experience.
* 7\+ years of experience in applied ML, AI research, or large\-scale modeling, with a track record of delivering production systems.
* Expertise in modern deep learning (e.g., transformers, state space models) and multimodal model training.
* Proficiency in Python and deep learning frameworks (e.g., PyTorch, TensorFlow).
* Experience building and scaling large datasets and training large models in distributed compute environments.
* Strong applied experience with representation learning, self\-supervised methods, and fine\-tuning for downstream applications.
* Familiarity with MLOps best practices including model versioning, evaluation, CI/CD for ML, and cloud\-based compute.
* Excellent communication skills and ability to collaborate cross\-functionally with engineers, researchers, and product teams.
* Passion for WHOOP’s mission to improve human performance and extend healthspan through science and technology.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*The WHOOP compensation philosophy is designed to attract, motivate, and retain exceptional talent by offering competitive base salaries, meaningful equity, and consistent pay practices that reflect our mission and core values.*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$170,000\-$230,000\.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is>
      </c>
    </row>
    <row r="45">
      <c r="A45" t="inlineStr">
        <is>
          <t>li-4332552260</t>
        </is>
      </c>
      <c r="B45" t="inlineStr">
        <is>
          <t>Senior AI Engineer (Natural Language Systems)</t>
        </is>
      </c>
      <c r="C45" t="inlineStr">
        <is>
          <t>RemoteHunter</t>
        </is>
      </c>
      <c r="D45" t="inlineStr">
        <is>
          <t>linkedin</t>
        </is>
      </c>
      <c r="E45" t="inlineStr"/>
      <c r="F45" t="inlineStr"/>
      <c r="G45" t="inlineStr"/>
      <c r="H45" t="inlineStr"/>
      <c r="I45" t="inlineStr">
        <is>
          <t>About the Opportunity:
 A mission\-driven startup is seeking an experienced Senior AI Engineer to advance AI initiatives in healthcare, focusing on speech and language processing. The organization provides highly automated B2B enterprise software to rehab therapy businesses, supporting their teams and patients. The role involves applying generative AI and ML methods to build reliable, production\-grade systems used daily by clinics, staff, and patients.
 Responsibilities:
 • Drive the mission to improve healthcare through modern AI technology
 • Lead AI projects from ideation through production and iteration until widely adopted
 • Develop and deploy real\-time AI systems for speech and natural language understanding (transcription, summarization, classification)
 • Build robust model and prompt pipelines for LLM\-powered workflows with high accuracy and monitoring
 • Partner with Product and Engineering to identify AI opportunities and deliver measurable outcomes
 • Help develop the strategic AI roadmap across speech, NLP, and automation workflows
 • Apply AI to improve client and internal operations including clinical documentation, customer support, and billing
 • Develop deep understanding of the product, customers, and rehab therapy business
 • Help grow and lead the AI team, including training junior members
 Requirements:
 • 4\+ years building AI/ML systems with production ownership in industry or academia
 • Strong experience with NLP and/or LLM systems (retrieval, summarization, classification, extraction, agent workflows)
 • Experience with speech\-related pipelines in production or near\-real\-time settings (speech\-to\-text, spoken intent classification, conversational AI)
 • Proven track record of benchmarking and improving accuracy, cost, and latency
 • Strong problem\-solving skills
 • Excellent communication skills for explaining AI concepts to non\-technical stakeholders
 • Proficiency in Python (\&gt;3\.9\)
 • Basic Docker knowledge
 • AWS familiarity (S3, RDS, EC2\) preferred
 • Willingness to learn healthcare domain, specifically physical, occupational, and speech therapy
 • Interest in a heavy code contribution role; not an engineering management position
 Benefits \&amp; Perks:
 • Competitive salaries
 • Remote/hybrid work environment
 • Potential equity compensation for outstanding performance
 • Flexible PTO
 • Company\-sponsored lunches
 • Company\-paid disability and life insurance
 • Company\-paid family and medical leave
 • Medical, dental, and vision insurance
 • Discounted pet insurance
 • FSA/DCA and commuter benefits
 • 401k plan
 • Credits for online fitness classes/gym memberships
 • Recovery suite at headquarters, including cold plunge, sauna, and shower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6">
      <c r="A46" t="inlineStr">
        <is>
          <t>li-4350178569</t>
        </is>
      </c>
      <c r="B46" t="inlineStr">
        <is>
          <t>Staff Machine Learning Engineer - DashPass</t>
        </is>
      </c>
      <c r="C46" t="inlineStr">
        <is>
          <t>DoorDash</t>
        </is>
      </c>
      <c r="D46" t="inlineStr">
        <is>
          <t>linkedin</t>
        </is>
      </c>
      <c r="E46" t="inlineStr"/>
      <c r="F46" t="inlineStr"/>
      <c r="G46" t="inlineStr">
        <is>
          <t>San Francisco, CA</t>
        </is>
      </c>
      <c r="H46" t="inlineStr"/>
      <c r="I46" t="inlineStr">
        <is>
          <t>**About The Team**
 DashPass is DoorDash’s subscription loyalty program that delivers lower delivery fees and a host of additional benefits and value to a large subscriber base of both paid and sponsored subscriptions. DashPass subscribers enjoy lower delivery fees, faster ETAs, 3rd party partnerships, and special discounts and promotions to get maximum value of their membership.
 Several teams are part of the DashPass org including Growth, Habituation, Member Experience, Exclusive Offers, and Partnerships. All of these teams require personalized targeting of offers and promotions to entice active Doordash consumers to sign up for DashPass and actively engage with their subscription in a personalized way, as well as reduce churn by offering personalized incentives to DashPass subscribers to keep using their subscription.
 We are forming a new team that will leverage AI and advanced ML to power decision making in real\-time – from personalized sign up promotions to progressive reward systems, and to pre\-cancel offers that retain subscribers.
 DashPass is continuously building new benefits and offerings to drive more value for our subscribers, and personalization is our next big bet to help efficiently grow our subscriber base to 2030 and beyond.
**About The Role**
 We’re looking for a Staff Machine Learning Engineer to drive the design and development of large\-scale ML/optimization systems to target personalization efforts across the DashPass Subscriber journey.
**In This Role, You Will**
* Contribute to Causal inference modeling to measure the incremental impact of DashPass Subscriber acquisition and retention strategies.
* Incentive optimization frameworks that personalize progressive rewards to improve spend efficiency.
* Budget allocation and forecasting models that identify optimal spend across acquisition, referrals, and retention.
* Partner closely with Product, Data Science, and Engineering teams to design experiments, model frameworks, and production ML systems that directly impact DashPass subscriber growth metrics.
* Provide technical mentorship and guidance to engineers and cross\-functional partners — leading through influence, not management.
* Build and deploy 0→1 ML systems that improve subscriber outcomes and marketplace health.
* Set best practices for model training, evaluation, deployment, and monitoring
 This is a highly impactful IC role for someone who enjoys combining economic intuition, large\-scale ML modeling, and system design to solve complex real\-world optimization problems.
**We’re Excited About You Because You Have…**
* M.S. or Ph.D. in Computer Science, Machine Learning, Statistics, or a related field.
* 8\+ years of industry experience building production\-scale ML systems.
* Strong understanding of probability theory, statistics, and machine learning fundamentals.
* Strong programming skills in Python, Java, or C\+\+, and experience with ML frameworks such as TensorFlow, PyTorch, or XGBoost.
* Interest in building and leading a new team that has broad impact across a wide range of problem spaces to support a critical business line.
* Proven ability to lead cross\-functional initiatives and drive complex technical projects end\-to\-end.
* Excellent communication skills — able to explain technical concepts to product, business, and engineering audiences.
* Experience in subscriptions growth or marketplace systems is a plus.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ranges for this position within the United States, including Illinois and Colorado.**
 I4
 $137,100—$201,600 USD
 I5
 $167,800—$246,800 USD
 I6
 $203,500—$299,300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47">
      <c r="A47" t="inlineStr">
        <is>
          <t>li-4350228571</t>
        </is>
      </c>
      <c r="B47" t="inlineStr">
        <is>
          <t>Staff Machine Learning Engineer - DashPass</t>
        </is>
      </c>
      <c r="C47" t="inlineStr">
        <is>
          <t>DoorDash</t>
        </is>
      </c>
      <c r="D47" t="inlineStr">
        <is>
          <t>linkedin</t>
        </is>
      </c>
      <c r="E47" t="inlineStr"/>
      <c r="F47" t="inlineStr"/>
      <c r="G47" t="inlineStr">
        <is>
          <t>Sunnyvale, CA</t>
        </is>
      </c>
      <c r="H47" t="inlineStr"/>
      <c r="I47" t="inlineStr">
        <is>
          <t>**About The Team**
 DashPass is DoorDash’s subscription loyalty program that delivers lower delivery fees and a host of additional benefits and value to a large subscriber base of both paid and sponsored subscriptions. DashPass subscribers enjoy lower delivery fees, faster ETAs, 3rd party partnerships, and special discounts and promotions to get maximum value of their membership.
 Several teams are part of the DashPass org including Growth, Habituation, Member Experience, Exclusive Offers, and Partnerships. All of these teams require personalized targeting of offers and promotions to entice active Doordash consumers to sign up for DashPass and actively engage with their subscription in a personalized way, as well as reduce churn by offering personalized incentives to DashPass subscribers to keep using their subscription.
 We are forming a new team that will leverage AI and advanced ML to power decision making in real\-time – from personalized sign up promotions to progressive reward systems, and to pre\-cancel offers that retain subscribers.
 DashPass is continuously building new benefits and offerings to drive more value for our subscribers, and personalization is our next big bet to help efficiently grow our subscriber base to 2030 and beyond.
**About The Role**
 We’re looking for a Staff Machine Learning Engineer to drive the design and development of large\-scale ML/optimization systems to target personalization efforts across the DashPass Subscriber journey.
**In This Role, You Will**
* Contribute to Causal inference modeling to measure the incremental impact of DashPass Subscriber acquisition and retention strategies.
* Incentive optimization frameworks that personalize progressive rewards to improve spend efficiency.
* Budget allocation and forecasting models that identify optimal spend across acquisition, referrals, and retention.
* Partner closely with Product, Data Science, and Engineering teams to design experiments, model frameworks, and production ML systems that directly impact DashPass subscriber growth metrics.
* Provide technical mentorship and guidance to engineers and cross\-functional partners — leading through influence, not management.
* Build and deploy 0→1 ML systems that improve subscriber outcomes and marketplace health.
* Set best practices for model training, evaluation, deployment, and monitoring
 This is a highly impactful IC role for someone who enjoys combining economic intuition, large\-scale ML modeling, and system design to solve complex real\-world optimization problems.
**We’re Excited About You Because You Have…**
* M.S. or Ph.D. in Computer Science, Machine Learning, Statistics, or a related field.
* 8\+ years of industry experience building production\-scale ML systems.
* Strong understanding of probability theory, statistics, and machine learning fundamentals.
* Strong programming skills in Python, Java, or C\+\+, and experience with ML frameworks such as TensorFlow, PyTorch, or XGBoost.
* Interest in building and leading a new team that has broad impact across a wide range of problem spaces to support a critical business line.
* Proven ability to lead cross\-functional initiatives and drive complex technical projects end\-to\-end.
* Excellent communication skills — able to explain technical concepts to product, business, and engineering audiences.
* Experience in subscriptions growth or marketplace systems is a plus.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ranges for this position within the United States, including Illinois and Colorado.**
 I4
 $137,100—$201,600 USD
 I5
 $167,800—$246,800 USD
 I6
 $203,500—$299,300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48">
      <c r="A48" t="inlineStr">
        <is>
          <t>li-4345224782</t>
        </is>
      </c>
      <c r="B48" t="inlineStr">
        <is>
          <t>Distinguished AI/ML Engineering Lead</t>
        </is>
      </c>
      <c r="C48" t="inlineStr">
        <is>
          <t>FTI Defense - Frontier Technology Inc.</t>
        </is>
      </c>
      <c r="D48" t="inlineStr">
        <is>
          <t>linkedin</t>
        </is>
      </c>
      <c r="E48" t="inlineStr"/>
      <c r="F48" t="inlineStr"/>
      <c r="G48" t="inlineStr">
        <is>
          <t>Dallas, TX</t>
        </is>
      </c>
      <c r="H48" t="inlineStr"/>
      <c r="I48" t="inlineStr">
        <is>
          <t>**Overview**
 Frontier Technology Inc. (FTI) delivers mission\-focused solutions to the Department of Defense and Intelligence Community through advanced engineering, digital transformation, and program execution expertise. We help our customers solve complex challenges and achieve mission success by integrating people, process, and technology.
 FTI is seeking a Distinguished AI/ML Engineer to serve as a technical leader, architect, and integrator — designing, building, deploying, and sustaining AI systems that transform complex mission data into trusted, explainable insights.
 This is a hands\-on builder role, not an analytics management position. The ideal candidate is equally comfortable writing model code, standing up ML pipelines, and integrating AI inference services into operational systems within secure environments. The right candidate blends deep AI/ML engineering expertise with system\-level architecture leadership and an ability to unify data engineering, simulation modeling, and responsible AI principles into scalable, mission\-ready capabilities.
**Responsibilities**
* Architect and integrate hybrid AI systems that combine traditional machine learning, deep learning, large language models (LLMs), and retrieval\-augmented generation (RAG) pipelines.
* Design and deploy scalable AI architectures including APIs, microservices, and model\-serving frameworks that integrate seamlessly with analytic, simulation, or operational systems.
* Lead the full AI/ML lifecycle — from data ingestion and feature engineering through training, deployment, and sustainment within secure DoD environments (IL5/IL6, ATO, GovCloud).
* Engineer event\-driven data pipelines and feature stores for both structured and unstructured data, including text, imagery, and simulation outputs.
* Ensure Responsible AI practices by embedding traceability, explainability, and confidence scoring into deployed systems.
* Implement and maintain MLOps pipelines (MLflow, Kubeflow, Airflow, Docker/Kubernetes) to support continuous integration, retraining, and drift detection.
* Transition R\&amp;D prototypes into production, optimizing for mission constraints such as limited compute, edge environments, or disconnected operations.
* Provide technical leadership and mentorship, setting standards for model quality, architectural design, and ethical AI deployment across programs.
* Collaborate across engineering, data, and modeling teams to unify FTI’s AI portfolio, ensuring interoperability and reuse across mission systems.
* Support proposal and solution development, providing technical inputs for AI/ML architectures, data strategies, and Responsible AI assurance frameworks.
**Education/Qualifications**
* Preferring candidates close to Dayton OH, Chesapeake VA, Huntsville AL, or Colorado Springs CO. Or willing to travel to these locations and customer sites, as needed.
* Bachelor’s degree in Computer Science, Engineering, or a related technical field (Master’s or Ph.D. preferred).
* 10\+ years of overall experience in AI/ML development, with 5\+ years designing and deploying scalable AI/ML architectures, including at least two full lifecycle implementations (from prototype to operational system).
* Proficiency in Python, PyTorch, TensorFlow, and modern ML frameworks.
* Experience designing or deploying systems using vector databases (Milvus, Pinecone, Weaviate), knowledge graphs, and semantic search frameworks.
* Proven ability to design event\-driven data pipelines using Databricks, Spark, Flink, or Kafka.
* Demonstrated experience deploying AI/ML systems in secure, classified, or edge environments.
* Familiarity with Responsible AI and assurance principles, including bias detection, explainability, human\-machine teaming, and hallucination prevention.
* Experience integrating AI models into simulation, modeling, or operational planning systems is highly desirable.
* Experience transitioning R\&amp;D systems into accredited production environments.
* Active Secret clearance required; TS/SCI strongly preferred.
* Strong communication and mentoring skills, with the ability to lead technically while remaining deeply hands\-on.</t>
        </is>
      </c>
    </row>
    <row r="49">
      <c r="A49" t="inlineStr">
        <is>
          <t>li-4345474403</t>
        </is>
      </c>
      <c r="B49" t="inlineStr">
        <is>
          <t>Distinguished AI/ML Engineering Lead</t>
        </is>
      </c>
      <c r="C49" t="inlineStr">
        <is>
          <t>FTI Defense - Frontier Technology Inc.</t>
        </is>
      </c>
      <c r="D49" t="inlineStr">
        <is>
          <t>linkedin</t>
        </is>
      </c>
      <c r="E49" t="inlineStr"/>
      <c r="F49" t="inlineStr"/>
      <c r="G49" t="inlineStr">
        <is>
          <t>Tampa, FL</t>
        </is>
      </c>
      <c r="H49" t="inlineStr"/>
      <c r="I49" t="inlineStr">
        <is>
          <t>**Overview**
 Frontier Technology Inc. (FTI) delivers mission\-focused solutions to the Department of Defense and Intelligence Community through advanced engineering, digital transformation, and program execution expertise. We help our customers solve complex challenges and achieve mission success by integrating people, process, and technology.
 FTI is seeking a Distinguished AI/ML Engineer to serve as a technical leader, architect, and integrator — designing, building, deploying, and sustaining AI systems that transform complex mission data into trusted, explainable insights.
 This is a hands\-on builder role, not an analytics management position. The ideal candidate is equally comfortable writing model code, standing up ML pipelines, and integrating AI inference services into operational systems within secure environments. The right candidate blends deep AI/ML engineering expertise with system\-level architecture leadership and an ability to unify data engineering, simulation modeling, and responsible AI principles into scalable, mission\-ready capabilities.
**Responsibilities**
* Architect and integrate hybrid AI systems that combine traditional machine learning, deep learning, large language models (LLMs), and retrieval\-augmented generation (RAG) pipelines.
* Design and deploy scalable AI architectures including APIs, microservices, and model\-serving frameworks that integrate seamlessly with analytic, simulation, or operational systems.
* Lead the full AI/ML lifecycle — from data ingestion and feature engineering through training, deployment, and sustainment within secure DoD environments (IL5/IL6, ATO, GovCloud).
* Engineer event\-driven data pipelines and feature stores for both structured and unstructured data, including text, imagery, and simulation outputs.
* Ensure Responsible AI practices by embedding traceability, explainability, and confidence scoring into deployed systems.
* Implement and maintain MLOps pipelines (MLflow, Kubeflow, Airflow, Docker/Kubernetes) to support continuous integration, retraining, and drift detection.
* Transition R\&amp;D prototypes into production, optimizing for mission constraints such as limited compute, edge environments, or disconnected operations.
* Provide technical leadership and mentorship, setting standards for model quality, architectural design, and ethical AI deployment across programs.
* Collaborate across engineering, data, and modeling teams to unify FTI’s AI portfolio, ensuring interoperability and reuse across mission systems.
* Support proposal and solution development, providing technical inputs for AI/ML architectures, data strategies, and Responsible AI assurance frameworks.
**Education/Qualifications**
* Preferring candidates close to Dayton OH, Chesapeake VA, Huntsville AL, or Colorado Springs CO. Or willing to travel to these locations and customer sites, as needed.
* Bachelor’s degree in Computer Science, Engineering, or a related technical field (Master’s or Ph.D. preferred).
* 10\+ years of overall experience in AI/ML development, with 5\+ years designing and deploying scalable AI/ML architectures, including at least two full lifecycle implementations (from prototype to operational system).
* Proficiency in Python, PyTorch, TensorFlow, and modern ML frameworks.
* Experience designing or deploying systems using vector databases (Milvus, Pinecone, Weaviate), knowledge graphs, and semantic search frameworks.
* Proven ability to design event\-driven data pipelines using Databricks, Spark, Flink, or Kafka.
* Demonstrated experience deploying AI/ML systems in secure, classified, or edge environments.
* Familiarity with Responsible AI and assurance principles, including bias detection, explainability, human\-machine teaming, and hallucination prevention.
* Experience integrating AI models into simulation, modeling, or operational planning systems is highly desirable.
* Experience transitioning R\&amp;D systems into accredited production environments.
* Active Secret clearance required; TS/SCI strongly preferred.
* Strong communication and mentoring skills, with the ability to lead technically while remaining deeply hands\-on.</t>
        </is>
      </c>
    </row>
    <row r="50">
      <c r="A50" t="inlineStr">
        <is>
          <t>li-4359758020</t>
        </is>
      </c>
      <c r="B50" t="inlineStr">
        <is>
          <t>Sr. Applied Scientist, Prime Video - Personalization and Discovery Science</t>
        </is>
      </c>
      <c r="C50" t="inlineStr">
        <is>
          <t>Prime Video &amp; Amazon MGM Studios</t>
        </is>
      </c>
      <c r="D50" t="inlineStr">
        <is>
          <t>linkedin</t>
        </is>
      </c>
      <c r="E50" t="inlineStr"/>
      <c r="F50" t="inlineStr"/>
      <c r="G50" t="inlineStr">
        <is>
          <t>Sunnyvale, CA</t>
        </is>
      </c>
      <c r="H50" t="inlineStr"/>
      <c r="I50"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A3118785</t>
        </is>
      </c>
    </row>
    <row r="51">
      <c r="A51" t="inlineStr">
        <is>
          <t>li-4359775849</t>
        </is>
      </c>
      <c r="B51" t="inlineStr">
        <is>
          <t>Sr. Applied Scientist, Prime Video - Personalization and Discovery Science</t>
        </is>
      </c>
      <c r="C51" t="inlineStr">
        <is>
          <t>Prime Video &amp; Amazon MGM Studios</t>
        </is>
      </c>
      <c r="D51" t="inlineStr">
        <is>
          <t>linkedin</t>
        </is>
      </c>
      <c r="E51" t="inlineStr"/>
      <c r="F51" t="inlineStr"/>
      <c r="G51" t="inlineStr">
        <is>
          <t>New York, United States</t>
        </is>
      </c>
      <c r="H51" t="inlineStr"/>
      <c r="I51"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A3118785</t>
        </is>
      </c>
    </row>
    <row r="52">
      <c r="A52" t="inlineStr">
        <is>
          <t>li-4360652409</t>
        </is>
      </c>
      <c r="B52" t="inlineStr">
        <is>
          <t>Sr. Applied Scientist, Prime Video - Personalization and Discovery Science</t>
        </is>
      </c>
      <c r="C52" t="inlineStr">
        <is>
          <t>Prime Video &amp; Amazon MGM Studios</t>
        </is>
      </c>
      <c r="D52" t="inlineStr">
        <is>
          <t>linkedin</t>
        </is>
      </c>
      <c r="E52" t="inlineStr"/>
      <c r="F52" t="inlineStr"/>
      <c r="G52" t="inlineStr">
        <is>
          <t>Seattle, WA</t>
        </is>
      </c>
      <c r="H52" t="inlineStr"/>
      <c r="I52"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A3118785</t>
        </is>
      </c>
    </row>
    <row r="53">
      <c r="A53" t="inlineStr">
        <is>
          <t>li-4359783710</t>
        </is>
      </c>
      <c r="B53" t="inlineStr">
        <is>
          <t>Machine Learning Engineer</t>
        </is>
      </c>
      <c r="C53" t="inlineStr">
        <is>
          <t>Plaid</t>
        </is>
      </c>
      <c r="D53" t="inlineStr">
        <is>
          <t>linkedin</t>
        </is>
      </c>
      <c r="E53" t="inlineStr"/>
      <c r="F53" t="inlineStr"/>
      <c r="G53" t="inlineStr"/>
      <c r="H53" t="inlineStr"/>
      <c r="I53" t="inlineStr">
        <is>
          <t>**About The Company** 
 We believe that the way people interact with their finances will drastically improve in the next few years. Plaid is dedicated to empowering this transformation by building the tools and experiences that thousands of developers use to create their own products. Our company, Plaid, powers the tools millions of people rely on to live a healthier financial life. We work with thousands of companies including Venmo, SoFi, several Fortune 500 firms, and many of the largest banks to facilitate seamless connection of financial accounts to various applications and services. Our extensive network covers over 12,000 financial institutions across the US, Canada, UK, and Europe. Founded in 2013 and headquartered in San Francisco, we also have offices in New York, Washington D.C., London, and Amsterdam.
**About The Role** 
 As a Staff Machine Learning Engineer within Plaid’s Fraud Data team, you will play a pivotal role in designing and building scalable machine learning infrastructure that underpins our industry\-leading fraud detection products. Your expertise will drive the evolution of our model deployment, monitoring, and observability frameworks, ensuring high reliability and optimal performance at scale. Collaborating closely with cross\-functional teams including ML Infrastructure, Product, and Engineering, you will develop robust systems that safeguard users and customers from fraudulent activities. Additionally, you will mentor other engineers, contribute to shaping the long\-term technical vision, and influence the strategic direction of the Fraud Data team. This role offers the flexibility of remote work and is ideal for candidates passionate about leveraging data and machine learning to enhance financial security on a global scale.
**Qualifications** 
* 8\+ years of total professional experience, including at least 5 years building and deploying production machine learning systems.
* Proven expertise in machine learning infrastructure and operations.
* Demonstrated technical leadership and architectural vision, with a track record of driving systems from concept to production.
* Proficiency in Python, PyTorch, Spark, SageMaker, Airflow, or equivalent technologies.
* Experience working in fraud detection, risk modeling, or financial security domains is a plus.
* Background in graph machine learning or related advanced techniques is desirable.
**Responsibilities** 
* Design and develop scalable machine learning infrastructure to support Plaid’s fraud detection products.
* Build and maintain robust ML pipelines and systems that handle large\-scale financial data.
* Solve complex problems at the intersection of ML systems, data management, and system reliability.
* Establish the foundational components for fraud detection on one of the largest financial datasets globally.
* Collaborate effectively with engineering, data science, and product teams to deliver innovative solutions.
* Lead efforts to improve model deployment, monitoring, and observability frameworks for high reliability.
* Mentor junior engineers and contribute to technical strategy and long\-term vision of the team.
**Benefits** 
* Competitive salary range of $253,200 \- $400,000 annually.
* Comprehensive health, dental, and vision insurance plans.
* Flexible working arrangements, including remote work options.
* Generous paid time off and holiday leave policies.
* Opportunities for professional development and continuous learning.
* Inclusive and diverse workplace culture committed to equity and belonging.
 Equal Opportunity
 Plaid is proud to be an equal opportunity employer. We value diversity and are committed to creating an inclusive environment for all employees. We do not discriminate based on race, color, national origin, ethnicity, religion, sex (including pregnancy and related medical conditions), sexual orientation, gender identity or expression, transgender status, age, military or veteran status, disability, or any other legally protected characteristic.</t>
        </is>
      </c>
    </row>
    <row r="54">
      <c r="A54" t="inlineStr">
        <is>
          <t>li-4332552748</t>
        </is>
      </c>
      <c r="B54" t="inlineStr">
        <is>
          <t>Machine Learning Engineer</t>
        </is>
      </c>
      <c r="C54" t="inlineStr">
        <is>
          <t>iPerformX</t>
        </is>
      </c>
      <c r="D54" t="inlineStr">
        <is>
          <t>linkedin</t>
        </is>
      </c>
      <c r="E54" t="inlineStr"/>
      <c r="F54" t="inlineStr"/>
      <c r="G54" t="inlineStr">
        <is>
          <t>Tampa, FL</t>
        </is>
      </c>
      <c r="H54" t="inlineStr"/>
      <c r="I54" t="inlineStr">
        <is>
          <t>Job Title: Machine Learning Engineer
 Location: Tampa, FL
 Position Type: Full\-Time
 Reports To: CEO / COO/ CPO
 Position Overview
**Company Description** 
 iPerformX is transforming the training industry with advanced technologies, delivering personalized, data\-driven solutions to improve learning and performance outcomes. With over two decades of experience, iPerformX has developed cognitive and behavioral training programs that leverage real\-time data, biometric insights, and learning patterns to create customized learning paths. Our adaptive training ecosystem integrates artificial intelligence (AI), machine learning (ML), data analytics, and performance management to optimize the training experience for students and instructors. The iPerformX platform supports performance analytics, AI\-driven curriculum optimization, predictive modeling, personalized learning channels, and many more capabilities that ensure measurable and impactful results.
**Role Description** 
 This is a full\-time on\-site role for a Machine Learning Engineer located in Tampa, FL. The Machine Learning Engineer will be responsible for designing, developing, and deploying machine learning models and algorithms. Daily tasks include working with pattern recognition, neural networks, and AI algorithms to build predictive models, analyzing real\-time and historical data, and contributing to the development of adaptive training solutions. Collaboration with cross\-functional teams to improve and implement machine learning solutions is also a key responsibility.
**Qualifications** 
* Strong knowledge in some of the following: NLP, DNNs, as well as classic statistical and learning models such as decision forests and genetic algorithms respectively.
* Advanced skills in Python, with close familiarity of Pandas, PyTorch, LangChain, Flask and Scikit\-Learn
* Proficiency with Docker
* Proficiency in writing high\-performance deterministic algorithms.
* Experience in optimizing and deploying machine learning models.
* Bachelor’s or Master’s degree in Computer Science, or a related field.
* Strong problem\-solving skills and ability to work collaboratively in a team environment.
* Experience with cloud\-based ecosystems and big data platforms is advantageous.
 To Apply
 Please submit your resume and a cover letter highlighting your relevant experience and why you're a great fit for this hybrid role.
 Contact: Adam Dementov, AI Program Manager, at adementov@iperformx.com to inquire with a resume.</t>
        </is>
      </c>
    </row>
    <row r="55">
      <c r="A55" t="inlineStr">
        <is>
          <t>li-4359983216</t>
        </is>
      </c>
      <c r="B55" t="inlineStr">
        <is>
          <t>AI/ML Engineer</t>
        </is>
      </c>
      <c r="C55" t="inlineStr">
        <is>
          <t>Replica</t>
        </is>
      </c>
      <c r="D55" t="inlineStr">
        <is>
          <t>linkedin</t>
        </is>
      </c>
      <c r="E55" t="inlineStr"/>
      <c r="F55" t="inlineStr"/>
      <c r="G55" t="inlineStr"/>
      <c r="H55" t="inlineStr"/>
      <c r="I55" t="inlineStr">
        <is>
          <t>**About The Company** 
 Replica is an innovative company dedicated to providing comprehensive data about the built environment and human interactions within it. Established as a spin\-out from Alphabet in 2019, the company has rapidly grown to become a leader in urban analytics, leveraging advanced data collection and modeling techniques to help both public and private sectors make informed decisions. With recent Series B funding from prominent venture firms such as Founders Fund, Innovation Endeavors, Sidewalk Labs, Firebrand Ventures, and Revolution’s Rise of the Rest Seed Fund, Replica has solidified its position in the market. The organization employs a talented team of 34 professionals across offices in San Francisco, New York, Kansas City, and remote locations across the United States. Committed to fostering a diverse and inclusive environment, Replica values resourcefulness, customer\-centricity, and collaborative innovation. The company's mission revolves around transforming hard urban planning and operational challenges into actionable insights through intuitive design and human\-centered data. Whether assisting city planners in increasing public transit accessibility or helping retail chains decide on new locations, Replica’s insights enable more effective and people\-focused decisions.
**About The Role** 
 Replica is seeking a highly skilled Applied AI/ML Engineer to join its dynamic team. This senior or higher\-level role involves designing, implementing, and scaling advanced machine learning models that power the company's urban simulation and analytics products. The ideal candidate will operate at the intersection of research and engineering, translating cutting\-edge AI/ML techniques into production\-ready solutions that generate meaningful insights about mobility, land use, and activity patterns across the United States. This role requires collaboration with cross\-functional teams—including product management, data science, and engineering—to ensure the development of robust, scalable, and innovative models. The engineer will focus on algorithm development, model optimization, and integration, contributing to Replica’s goal of providing actionable urban insights. The position offers an exciting opportunity to influence urban planning and mobility through state\-of\-the\-art AI/ML applications, working in a fast\-paced, entrepreneurial environment that values innovation, technical excellence, and impact.
**Qualifications** 
* Bachelor’s degree in Computer Science, Applied Mathematics, Engineering, or a related field; advanced degrees (MS/PhD) preferred.
* 4\+ years of professional experience in applied machine learning, research engineering, or related roles.
* Proficiency in Python programming, with experience in ML libraries such as PyTorch, TensorFlow, and scikit\-learn.
* Hands\-on experience designing, training, and deploying machine learning models in production environments.
* Strong experience working with large\-scale datasets, particularly geospatial or time\-series data.
* Familiarity with distributed computation frameworks like Dask, Spark, or Ray, and cloud platforms such as GCP.
* Excellent communication skills, capable of articulating technical decisions and tradeoffs to diverse audiences.
* Knowledge of geospatial analysis, urban data modeling, and related fields is a plus.
**Responsibilities** 
* Design, prototype, and implement applied AI/ML models for mobility, activity, and behavioral analysis at scale.
* Enhance core models related to routing, mode choice, demand estimation, and geospatial forecasting, balancing innovation with production readiness.
* Collaborate with product and data science teams to define technical strategies for modeling initiatives aligned with customer and business needs.
* Evaluate and incorporate new data sources such as mobility datasets, traffic sensors, and geospatial layers for model improvement.
* Develop algorithms to fuse proprietary data with external sources like census data, land use, and streaming data streams.
* Assess model performance, establish success metrics, and iterate to improve accuracy, robustness, and fairness.
* Work closely with data engineers to transition prototypes into scalable, reliable systems used nationwide.
* Contribute to the development of modeling frameworks and shared libraries, mentoring team members to elevate technical standards.
* Stay current with advances in AI, machine learning, and geospatial modeling, applying relevant innovations to business challenges.
**Benefits** 
* Competitive salary commensurate with experience and impact potential.
* Equity stock options providing ownership opportunity in a growing startup.
* Health benefits including medical, dental, and vision coverage, along with FSA options.
* Flexible paid time off to support work\-life balance.
* Opportunities to work in offices located in San Francisco, New York, Kansas City, or remotely across the US.
* Participation in a forward\-thinking, inclusive company culture that values diversity and innovation.
* 401(k) plan with a 3% safe harbor employer contribution.
* Additional incentive bonuses and benefits may be available based on role and performance.
 Equal Opportunity
 Replica is an equal opportunity employer committed to creating a diverse and inclusive workplace. We do not discriminate based on race, color, ancestry, religion, gender, gender identity, parental or pregnancy status, national origin, sexual orientation, age, citizenship, marital status, disability, veteran status, or any other protected class.</t>
        </is>
      </c>
    </row>
    <row r="56">
      <c r="A56" t="inlineStr">
        <is>
          <t>li-4359933322</t>
        </is>
      </c>
      <c r="B56" t="inlineStr">
        <is>
          <t>Machine Learning Engineer</t>
        </is>
      </c>
      <c r="C56" t="inlineStr">
        <is>
          <t>Whatnot</t>
        </is>
      </c>
      <c r="D56" t="inlineStr">
        <is>
          <t>linkedin</t>
        </is>
      </c>
      <c r="E56" t="inlineStr"/>
      <c r="F56" t="inlineStr"/>
      <c r="G56" t="inlineStr"/>
      <c r="H56" t="inlineStr"/>
      <c r="I56" t="inlineStr">
        <is>
          <t>**About The Company**
 Join the Future of Commerce with Whatnot! Whatnot is the largest live shopping platform in North America and Europe dedicated to revolutionizing the way people buy, sell, and discover their favorite items. We are redefining e\-commerce by seamlessly blending community engagement, shopping, and entertainment into a vibrant ecosystem tailored for passionate users. With a remote co\-located team and hubs across the US, UK, Germany, Ireland, and Poland, we are committed to building the future of online marketplaces through innovation and collaboration. Our diverse marketplace features a wide array of categories, including fashion, beauty, electronics, collectibles like trading cards and comic books, and even live plants, ensuring there is something for everyone. As one of the fastest\-growing marketplaces, we are constantly expanding our reach and capabilities, seeking bold and forward\-thinking problem solvers to join our dynamic team. We foster a culture of innovation, agility, and user\-centricity, empowering our team members to turn their passions into thriving businesses and to bring people together through commerce.
**About The Role**
 We are seeking a talented Machine Learning Engineer to join our Discovery Content and Navigation (CAN) team. The primary mission of this team is to enhance the user experience by capturing intent and content signals to create a seamless, engaging, and personalized navigation experience for Whatnot buyers. The role involves developing and deploying machine learning models that power personalized search, recommendations, and discovery features, ensuring that users can effortlessly find engaging shows, relevant products, and connect with sellers. You will lead end\-to\-end ML projects, from scoping and data collection to model training, deployment, and online experimentation. Collaborating closely with cross\-functional teams, you will support product initiatives such as category and brand recommendations, and promote high\-quality, relevant livestreams and products across the platform. This position offers the opportunity to drive technical excellence, establish best practices in ML, and influence the strategic direction of our discovery ecosystem. The role is based in the US with flexible work arrangements, including remote work and the option to work from one of our global office hubs, provided you are within commuting distance of our major locations in New York, San Francisco, Los Angeles, or Seattle.
**Qualifications**
* 4\+ years of industry experience building and deploying machine learning models at scale
* Proficiency in Python, SQL, and common ML frameworks (e.g., TensorFlow, PyTorch, Scikit\-learn)
* Hands\-on experience with applied statistical methods and machine learning techniques such as search, recommendations, content understanding, natural language processing, and large language models
* Strong understanding of data collection, feature engineering, model training, and deployment processes
* Experience working on consumer\-facing platforms and solving real\-world problems using large\-scale data
* Excellent communication skills with the ability to influence and align cross\-functional teams
* Product\-focused mindset with a user\-centric approach to problem\-solving
* Proven ability to ship features rapidly and efficiently in a fast\-paced environment
* Relevant experience in a high\-growth startup environment is preferred
**Responsibilities**
* Lead the design, development, and productionization of machine learning models to enhance personalized navigation, search, and recommendations
* Manage ML projects end\-to\-end, including scoping, data collection, feature engineering, model training, deployment, and online experimentation
* Collaborate with product teams to implement ML\-driven features such as category and brand recommendations, and promote high\-quality livestreams and products
* Work closely with engineering and data teams to integrate ML solutions into production systems at scale
* Establish and promote best practices in ML development, deployment, and monitoring across the organization
* Continuously analyze platform data to improve model performance and user experience
* Stay updated with the latest advancements in AI and machine learning to incorporate innovative solutions
**Benefits**
* Flexible time\-off policy and company\-wide holidays, including spring and winter breaks
* Comprehensive health insurance options covering Medical, Dental, and Vision
* Support for remote work, including home office setup allowances and monthly cellphone/internet stipends
* Care benefits and wellness allowances to promote employee well\-being
* Annual childcare allowance and lifetime family planning benefits such as adoption and fertility expenses
* Retirement plans including 401(k) with employer matching in the US, and pension plans internationally
* Monthly allowance for product testing and user experience feedback
* Paid parental leave of 16 weeks, with a gradual return\-to\-work program
* Opportunities for professional growth and development within a dynamic, innovative environment
 Equal Opportunity
 Whatnot is proud to be an Equal Opportunity Employer. We value diversity and are committed to creating an inclusive environment for all employees. We do not discriminate based on race, religion, color, national origin, gender, sexual orientation, age, marital status, veteran status, parental status, disability, or any other protected characteristic under applicable law. We believe that a diverse workforce enhances our culture, drives innovation, and improves our ability to serve our community. All qualified applicants are encouraged to apply and will be considered without regard to any protected status.</t>
        </is>
      </c>
    </row>
    <row r="57">
      <c r="A57" t="inlineStr">
        <is>
          <t>li-4359963658</t>
        </is>
      </c>
      <c r="B57" t="inlineStr">
        <is>
          <t>AI Engineer</t>
        </is>
      </c>
      <c r="C57" t="inlineStr">
        <is>
          <t>Capstone Investment Advisors</t>
        </is>
      </c>
      <c r="D57" t="inlineStr">
        <is>
          <t>linkedin</t>
        </is>
      </c>
      <c r="E57" t="inlineStr"/>
      <c r="F57" t="inlineStr"/>
      <c r="G57" t="inlineStr">
        <is>
          <t>New York, NY</t>
        </is>
      </c>
      <c r="H57" t="inlineStr"/>
      <c r="I57" t="inlineStr">
        <is>
          <t>**We see the world differently at Capstone Investment Advisors. You will, too.**
 Capstone is one of the leading asset management firms in derivatives and complementary strategies. With approximately $12 billion of AUM and over 330 employees (as of December 1st, 2025\), Capstone was formed in 2007 and is headquartered in New York with offices in London, Amsterdam, Milan, Los Angeles, Hong Kong, Stamford, and Boston.
 For over 20 years, across market cycles, we have identified anomalies, tracked dislocations, and capitalized on opportunities to deliver for our investors. Our approach is built on a different way of investing, working together to innovate new strategies and solutions. Together, we explore the overlooked in the pursuit of lasting results for our clients.
 With our sophisticated, global client base, we recognize that our success is deeply connected to real people. For that reason, we take a human approach to everything we do, focusing largely on collaborative performance. Our workflow and process are built around the belief that by sharing ideas, we achieve greater outcomes. This gives you greater access to resources, direct exposure to senior leadership, and new opportunities to experiment and innovate.
**Responsibilities And Impact**
* Design and implement AI/ML/LLM\-driven models, tools, workflows, and agents to support investment professionals
* Develop, integrate, and maintain AI features into products (e.g. chat agents, copilots, automation pipelines)
* Implement retrieval augmented‑ generation (RAG), MCPs, function calling, and internal integrations (e.g. databases, APIs, services)
* Research, prototype and deploy AI applications using Python
* Engage with domain experts to identify, evaluate, and execute high\-value AI use cases
**Our Future Colleague Has These Skills**
* Master’s or Ph.D. in Artificial Intelligence, Machine Learning, or a related field required
* Proficiency in Python programming
* Hands\-on experience with frameworks like LangChain, Llamaindex, etc., vector stores, LLM APIs (e.g. OpenAI API, Anthropic API), and building MCP servers/clients
* Financial services/hedge fund experience is preferred
**Benefits \&amp; Compensation Information**
 Our team is our most important asset and investment. We value and respect our colleagues and their well\-being inside and outside the workplace and our culture reflects this. We offer a robust and competitive benefits program to ensure the well\-being of our colleagues.
**Some Benefits Included In This Role Are**
* Training and development opportunities
* Robust Wellness Resources: Physical, Mental and Financial
* Time\-Off, Retirement and Commuter Benefits
* Gym Reimbursement and other Discounts
 The applicable base salary range for this role is $100,000 \- $150,000 USD.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In addition to base compensation, this role is eligible for an annual incentive plan.
 To learn even more about being part of the team, visit us online: Careers \- Capstone (capstoneco.com)
 Don’t forget to follow us on LinkedIn
**Capstone’s Commitment**
 At Capstone, we value a diverse, equitable, and inclusive workplace where all employees feel appreciated and respected. Our commitment to a nondiscriminatory approach extends equal opportunities for employment and advancement across our programs, departments, and locations. We actively seek and appreciate a variety of life experiences and heritages and advocate for the amplification of all voices.
 At Capstone, we're all about creating a workplace where you can thrive and make a real impact. We value innovation, teamwork, trust, and discipline, and we know you do too.
**Experimentation:** 
 We love fresh ideas and encourage you to try new things. Here, you’ll have the freedom to innovate and help shape our strategies.
**Collaboration:** 
 We’re big on teamwork. You'll join a supportive community where everyone’s input matters, and we learn from each other every day.
**Trust:** 
 We believe in building strong, honest relationships. You'll be part of an environment where your contributions are respected and integrity is key.
**Discipline:** 
 In our fast\-paced world, staying focused is crucial. We commit to high standards and a disciplined approach, helping you grow both personally and professionally.
 Be part of a team that values your creativity and dedication. Together, let's push boundaries and achieve great things.
**Equal Opportunity Employer**
 Capstone is committed to creating an inclusive environment where we welcome people of different backgrounds. Capstone considers applications for employment without regard to all applicable protected characteristics, including race, color, religion, ethnicity, national origin, gender, sexual orientation, gender identity or expression, age, parental status, veteran status, or disability status.</t>
        </is>
      </c>
    </row>
    <row r="58">
      <c r="A58" t="inlineStr">
        <is>
          <t>li-4359943327</t>
        </is>
      </c>
      <c r="B58" t="inlineStr">
        <is>
          <t>ML Engineer</t>
        </is>
      </c>
      <c r="C58" t="inlineStr">
        <is>
          <t>Rad AI</t>
        </is>
      </c>
      <c r="D58" t="inlineStr">
        <is>
          <t>linkedin</t>
        </is>
      </c>
      <c r="E58" t="inlineStr"/>
      <c r="F58" t="inlineStr"/>
      <c r="G58" t="inlineStr"/>
      <c r="H58" t="inlineStr"/>
      <c r="I58" t="inlineStr">
        <is>
          <t>**About Rad AI** 
 Rad AI is a pioneering healthcare technology company dedicated to transforming the future of medical imaging through artificial intelligence. Founded by a radiologist, our mission is to empower radiologists with innovative AI\-driven solutions that enhance diagnostic accuracy, reduce workload, and improve patient outcomes. With one of the largest proprietary datasets of radiology reports globally, Rad AI has successfully contributed to uncovering hundreds of new cancer diagnoses and significantly reducing error rates in millions of radiology reports. Our cutting\-edge AI models are integrated into clinical workflows, supporting a substantial portion of radiology practices across the United States.
 Our company has attracted over $140 million in funding, including a recent oversubscribed Series C round led by Transformation Capital, which elevated our valuation to over half a billion dollars. Our investors, including Khosla Ventures, World Innovation Lab, Gradient Ventures, and Cone Health Ventures, share our vision of leveraging AI to revolutionize healthcare. Rad AI's innovative generative AI solutions are used daily by thousands of radiologists, supporting more than one\-third of radiology groups and nearly 50% of all medical imaging in the U.S., with partnerships spanning renowned healthcare systems such as Cone Health, Jefferson Einstein Health, Geisinger, Guthrie Healthcare, and Henry Ford Health.
 Recognized as one of the most promising healthcare AI companies by CB Insights and AuntMinnie, and ranked by Deloitte as the 19th fastest\-growing company in North America, Rad AI continues to lead the industry with its impactful solutions. Our recent inclusion in CNBC’s Disruptor 50 list underscores our commitment to innovation and excellence. We are dedicated to building AI\-powered tools that make a meaningful difference in clinical practice and patient care.
**About The Role** 
 We are seeking a highly skilled Staff Machine Learning Engineer to join our MLOps team. In this pivotal role, you will be responsible for designing, developing, and maintaining the infrastructure that underpins our AI research and product deployment efforts. Your work will directly impact the efficiency and scalability of our machine learning models, enabling radiologists to access powerful tools that enhance diagnostic precision and workflow efficiency. This role is primarily backend\-focused, emphasizing cloud\-native development and systems architecture, with a strong emphasis on Python programming.
 You will collaborate closely with data scientists, product managers, and engineering teams to build robust, scalable, and secure systems that support continuous integration, delivery, and training of machine learning models. Your expertise will help ensure that our AI solutions are reliable, compliant with healthcare regulations such as HIPAA, and capable of supporting the high demands of clinical environments. This is a unique opportunity to work at the intersection of AI and healthcare, contributing to innovations that directly improve patient outcomes and radiologist workflows.
**Qualifications** 
* 8\+ years of industry experience in machine learning engineering within cloud\-native environments
* Proficiency in Python programming
* Experience with infrastructure and DevOps tools such as Kubernetes, Docker, and Ansible
* Strong knowledge of cloud platforms, preferably AWS, GCP, or Azure
* Experience architecting distributed systems, storage solutions, and databases
* Hands\-on experience with machine learning frameworks like PyTorch and LangGraph
* Familiarity with orchestration tools such as Airflow (preferred)
* Experience with infrastructure\-as\-code tools like Terraform, Pulumi, or CloudFormation
* Knowledge of monitoring, tracing, and logging tools such as CloudWatch, NewRelic, or Grafana
* Excellent communication skills and a systematic approach to problem\-solving
* Proven ability to manage incidents and establish preventative systems using blameless postmortems
**Responsibilities** 
* Design and architect the infrastructure supporting machine learning applications, services, and workflows
* Develop and maintain the ML platform to support continuous integration, delivery, and training cycles
* Create cloud\-native and serverless architectures to ensure scalable and resilient systems
* Collaborate with data scientists to design efficient data pipelines for model deployment
* Write secure, maintainable, and high\-quality code adhering to internal standards
* Deploy, monitor, and troubleshoot the full ML platform stack, including observability and analytics
* Integrate backend systems with customer\-facing products to ensure seamless model deployment
* Work closely with cross\-functional teams to iterate on features and improve infrastructure efficiency
* Address operational issues proactively and develop systems to prevent future incidents
**Benefits** 
* Comprehensive Medical, Dental, Vision \&amp; Life insurance coverage
* HSA (with employer match), FSA, and DCFSA options
* 401(k) retirement plan
* 11 paid company holidays annually
* Flexible location policy supporting remote work
* Flexible Paid Time Off (PTO) policy
* Annual company\-wide offsite events and periodic team gatherings
* Annual equipment stipend to support remote work setup
 Equal Opportunity
 Rad AI values diversity and is committed to providing equal employment opportunities to all employees and applicants without regard to race, color, religion, national origin, gender, sexual orientation, age, marital status, veteran status, or disability. We consider qualified applicants with criminal histories in accordance with the San Francisco Fair Chance Ordinance.</t>
        </is>
      </c>
    </row>
    <row r="59">
      <c r="A59" t="inlineStr">
        <is>
          <t>li-4360632307</t>
        </is>
      </c>
      <c r="B59" t="inlineStr">
        <is>
          <t>AI / ML Engineer - Known</t>
        </is>
      </c>
      <c r="C59" t="inlineStr">
        <is>
          <t>Pear VC</t>
        </is>
      </c>
      <c r="D59" t="inlineStr">
        <is>
          <t>linkedin</t>
        </is>
      </c>
      <c r="E59" t="inlineStr"/>
      <c r="F59" t="inlineStr"/>
      <c r="G59" t="inlineStr">
        <is>
          <t>Austin, CA</t>
        </is>
      </c>
      <c r="H59" t="inlineStr"/>
      <c r="I59" t="inlineStr">
        <is>
          <t>**About The Role**
 You’ll be the technical founder driving the machine learning and AI backbone behind
 **Known** 
 — an intelligent, compatibility\-driven dating platform that blends psychology, data, and human\-like conversation. You’ll design and ship the systems that make Known feel
 *magical* 
 : personalized matching algorithms, adaptive recommendation loops, and natural voice/LLM\-based interactions that help users connect meaningfully.
 You’ll work closely with the founding team (product, platform, and design) to shape both the
 **data and ML foundations** 
 and the
 **user\-facing experiences** 
 that differentiate Known. This is a hands\-on role with ownership across research, prototyping, and production deployment.
**Responsibilities**
* Design and implement multi\-stage matching systems (embedding\-based retrieval \+ LLM re\-ranking) for compatibility scoring, search, and personalization.
* Develop and maintain ML pipelines for data ingestion, feature generation, model training, evaluation, and inference.
* Prototype and productionize agentic workflows for natural\-language and voice interactions (e.g., AI\-assisted intake interviews, voice matching, or conversation agents).
* Deploy and monitor ML models in production with guardrails for performance, fairness, and safety.
* Run offline \&amp; online experiments (A/B and multivariate) to measure real\-world outcomes such as engagement, match success rate, and conversation quality.
* Collaborate cross\-functionally with platform engineers and product designers to integrate AI seamlessly into the Known user experience.
**Requirements**
* 3\+ years in applied ML or data science engineering roles, ideally working on recommendation, search, or personalization systems.
* Strong proficiency in Python and modern ML frameworks (PyTorch, TensorFlow, JAX, Hugging Face).
* Experience with LLMs, embeddings, and agentic workflows.
* Understanding of A/B testing and human\-in\-the\-loop system design for model evaluation in production.
* Familiarity with ANN search systems and modern MLOps tools is a plus.
* Reinforcement learning or preference modeling experience is a strong plus.
* You care about building safe, fair, and human\-centered AI experiences.
**Example Projects**
* Develop a user matching system based on profile information, onboarding transcripts and engagement behavior.
* Build a dynamic profile enrichment pipeline that integrates behavioral and linguistic features into user representations.
* Deploy a lightweight LLM\-powered voice agent for user intake and conversational matchmaking.
* Create an evaluation harness combining offline metrics (AUC, NDCG) and online experiments (match acceptance, message rate).
* Build model monitoring and retraining loops informed by live interaction feedback.
**Why This Role**
 This is an opportunity to define the technical DNA of a consumer AI product from day one — to architect and deploy systems that combine
 **data science, human psychology, and generative AI** 
 . Your work will directly shape how people connect, communicate, and build relationships in an AI\-assisted world.</t>
        </is>
      </c>
    </row>
    <row r="60">
      <c r="A60" t="inlineStr">
        <is>
          <t>li-4352415635</t>
        </is>
      </c>
      <c r="B60" t="inlineStr">
        <is>
          <t>AI Engineer, AI.x</t>
        </is>
      </c>
      <c r="C60" t="inlineStr">
        <is>
          <t>Charles Schwab</t>
        </is>
      </c>
      <c r="D60" t="inlineStr">
        <is>
          <t>linkedin</t>
        </is>
      </c>
      <c r="E60" t="inlineStr"/>
      <c r="F60" t="inlineStr"/>
      <c r="G60" t="inlineStr">
        <is>
          <t>San Francisco, CA</t>
        </is>
      </c>
      <c r="H60" t="inlineStr"/>
      <c r="I60" t="inlineStr">
        <is>
          <t>Your opportunity
 At Schwab, you will build a rewarding career while making a difference in the lives of our millions of clients. Here, innovative thinking meets creative problem solving as we work together to challenge the status quo. We believe in the power of collaboration and value being together in the office, which is why this role is based on\-site in our San Francisco office. Joining Schwab means joining a company committed to transforming the financial industry and putting clients at the center of everything we do.
 Schwab’s AI Strategy \&amp; Transformation team, known as AI.x, is the central hub for Artificial Intelligence at Schwab. We are an integrated product, engineering, strategy and risk team, all based in San Francisco. We help set the enterprise vision for AI, invest in the most promising opportunities, and accelerate delivery across the company. We also build the core platform that powers AI at scale and explore next\-generation GenAI efforts that will redefine how we serve our clients. As an AI Engineer on AI.x, you will play an important role in bringing these priorities to life by designing and delivering innovative AI solutions.
 This role is more than an engineering position. It is an opportunity to join a high\-profile team shaping Schwab’s future with AI, to build solutions that matter to millions of clients, and to grow your career in one of the most exciting areas of technology today.
 As an AI Engineer, you will contribute to the design, development, and delivery of GenAI applications that enhance client experience and create business value. You will collaborate with architects, engineers, and business leaders to ensure solutions align with Schwab’s enterprise strategy. You will have the opportunity to learn from senior engineers, participate in technical discussions, and help to build strong engineering practices while fostering a culture of continuous learning. You will work on solving complex technical challenges, support best engineering standards, and help drive iterations from concept to production. Above all, you will bring curiosity, creativity, and technical skill to help shape the next generation of AI at Schwab.
 What you have
**Required Qualifications**
* 5\+ years of software development experience and 3\+ years as a hands\-on engineer in startups and/or large organizations.
* Bachelor's degree in Computer Science or related field.
* 3\+ years of experience building complex products from scratch and supporting them in production environments.
* 1\+ years of experience developing applications that use Artificial Intelligence (AI) models to deliver business impact.
* 2\+ years of experience working with applications or data pipelines that interface with large datasets.
* 2\+ years of experience with containers and cloud\-native applications, with exposure to deploying them in the public cloud using infrastructure as code.
**Preferred Qualifications**
* Robust computer science fundamentals and experience working across different parts of the tech stack.
* Exposure to proprietary or open\-source LLMs (Gemini, Claude, OpenAI or other models) and contributing to LLM\-powered applications.
* Commitment to quality in your work, with experience writing and maintaining tests.
* Experience evaluating and monitoring LLM\-generated outputs for quality and consistency.
* Strong communication skills – able to clearly share your perspective with others on the team, both verbally and in writing.
* Interest in mentoring peers and learning from senior engineers through feedback and code reviews.
* Demonstrated commitment to continuous learning and improvement.
* Ability to address complex problems, even with ambiguous or incomplete data, within distributed systems.
* Broad business domain knowledge related to the products you've contributed to.
* Curiosity about new technologies and processes – you seek to grow your skills and share knowledge with team members.
* Experience with Python and front\-end development is preferred but not required.
* Master’s or advanced degrees in Computer Science or related fields are a plus.
 In addition to the salary range, this role is also eligible for bonus or incentive opportunities.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61">
      <c r="A61" t="inlineStr">
        <is>
          <t>li-4352463129</t>
        </is>
      </c>
      <c r="B61" t="inlineStr">
        <is>
          <t>AI/ML Engineer / Defence / $500k+ / NYC</t>
        </is>
      </c>
      <c r="C61" t="inlineStr">
        <is>
          <t>Open Talent</t>
        </is>
      </c>
      <c r="D61" t="inlineStr">
        <is>
          <t>linkedin</t>
        </is>
      </c>
      <c r="E61" t="inlineStr"/>
      <c r="F61" t="inlineStr"/>
      <c r="G61" t="inlineStr">
        <is>
          <t>New York, United States</t>
        </is>
      </c>
      <c r="H61" t="inlineStr"/>
      <c r="I61" t="inlineStr">
        <is>
          <t>**Senior AI/ML Engineer \- (LLMs / RAG / Agentic Systems) \- Aerospace \- NYC \- $500k\+ Equity** 
 We’re hiring for a world class team at one of the fastest growing \&amp; most innovative
 **next\-gen aerospace AI companies** 
 in North America. They're building
 **LLMs, RAG \&amp; high\-performance AI systems** 
 to power mission\-critical operations in defence \&amp; space.
**Only the top 0\.1% of America's AI Engineers can do this.** 
 If you’ve built real mission critical LLM systems that can’t fail \- this could be your next move.
**The Role** 
 You’ll own \&amp; scale a
 **RAG\-driven AI system** 
 powering critical aerospace operations. Expect to tackle
 **retrieval quality, latency bottlenecks, \&amp; eval\-driven fine\-tuning** 
 head\-on for the most innovative \&amp; exciting real\-time systems in Aerospace today. This is full production ownership \- from architecture to metrics.
**You should have experience with:** 
* Deploying
 **LLM\-based systems** 
 at scale (Llama, Mistral, GPT\-4, Claude)
* **Retrieval optimisation** 
 \- hybrid search (BM25 \+ vector), reranking, caching
* **Evaluation** 
 \- recall@k, precision@k, groundedness, hallucination metrics
* Fine\-tuning (LoRA/QLoRA), RAG architecture, LangChain / LlamaIndex
* **Tooling:** 
 Hugging Face, Weaviate/Pinecone, FastAPI, PyTorch, Redis, Postgres
* Monitoring inference, eval automation, \&amp; continuous improvement loops
**Bonus:** 
* IoT or Hardware integration or real\-time systems experience exp.
**Ideal background:** 
* CS or Applied ML degree from a top\-tier university
* Proven 0\-1 experience in a fast\-moving AI startup, or Defence related company
* You’ve shipped reliable GenAI systems under pressure
* Degree in Computer Science from a top\-tier university
* Prior experience in high\-performance teams (0\-1, startups)
* You’ve shipped real systems \- not demos
**You’ll be expected to:** 
* Own the
 **LLM pipeline end\-to\-end** 
 – retrieval → evaluation → fine\-tuning
* Improve
 **accuracy, grounding, and eval metrics** 
 continuously
* Make architecture decisions for scale, reliability \&amp; speed
* Collaborate directly with
 **founders \&amp; domain experts**
**Stack:** 
 Python / PyTorch / LangChain / Transformers / FastAPI / Hugging Face / Weaviate / Redis / Postgres / Docker / Kubernetes
**Offer:** 
* Up to $500,000\+ base salary \+ equity
* Hybrid in NYC
* Tight\-knit, high\-output team
* High ownership, real impact, flat structure
**Interview Process:** 
 1\) Technical Deep Dive
 2\) Technical Assessment or Live Pairing
 3\) Panel focused on mindset \&amp; team fit
**Equal Opportunity** 
 We're hiring for an Equal Opportunity Employer.
 If you’ve shipped real GenAI systems, thrive under pressure, and want to see your models
 **power live aerospace systems** 
 \- this is where theory meets orbit.
**TL;DR \- Senior AI Engineer (NYC, On\-site)** 
* Build \&amp; scale
 **production\-grade GenAI systems** 
 from
 **0 to 1**
* Own and improve
 **RAG pipelines** 
 \- accuracy and latency matter
* Deep experience with
 **LLMs, LangChain, Hugging Face** 
 \&amp; real deployments
* Must have shipped
 **working GenAI products** 
 , not just prototypes
* Ideal: startup DNA, top\-tier CS degree, fast execution mindset
* $350K\+ base \+ equity \-
 **on\-site** 
 at a
 **VC\-backed aerospace startup** 
 in NYC
 \*All our new jobs are posted here 1st:
**linkedin.com/in/sufyanbashir/**</t>
        </is>
      </c>
    </row>
    <row r="62">
      <c r="A62" t="inlineStr">
        <is>
          <t>li-4360652244</t>
        </is>
      </c>
      <c r="B62" t="inlineStr">
        <is>
          <t>Founding ML Engineer - Outspeed</t>
        </is>
      </c>
      <c r="C62" t="inlineStr">
        <is>
          <t>Pear VC</t>
        </is>
      </c>
      <c r="D62" t="inlineStr">
        <is>
          <t>linkedin</t>
        </is>
      </c>
      <c r="E62" t="inlineStr"/>
      <c r="F62" t="inlineStr"/>
      <c r="G62" t="inlineStr">
        <is>
          <t>Palo Alto, CA</t>
        </is>
      </c>
      <c r="H62" t="inlineStr"/>
      <c r="I62" t="inlineStr">
        <is>
          <t>**About Us**
 Outspeed is creating the most lifelike conversational voice systems to augment human\-computer interaction. We are building the infrastructure and tools to unlock applications in therapy, coaching, companionship and gaming.
 Outspeed is led by an experienced team of researchers and engineers with collective experience from MIT, Google, and Microsoft. Our team is based in San Francisco and values empathy, deep technical knowledge, and autonomy.
 Janak earned his bachelor's and master's degrees from MIT and built grid\-scale AI algorithms and infra at Autogrid (acq. Schneider). Sahil is a published researcher who led AI infra efforts at Google and Microsoft.
**Role Description**
 As a Founding Engineer, you will play a pivotal role in shaping the company's technical direction.
 You will train state\-of\-the\-art
 **TTS models** 
 , experiment with new architectures for prosody, expressiveness, and multilingual support, and optimize inference for ultra\-low latency and scalability. You will measure and push boundaries on speech quality (e.g., MOS, intelligibility, naturalness) while engaging directly with customers to integrate feedback into product improvements. You will also contribute heavily to the architectural roadmap, ensuring our systems are robust, flexible, and future\-proof.
 This role requires a proactive individual comfortable working in a fast\-paced environment with frequently shifting priorities.
**Benefits**
* Competitive salary \+ Equity
* Health, dental, and vision insurance.
* Bonuses based on performance
* We are a company founded by immigrants, and we are committed to providing support to immigrant workers throughout their journey.
**Requirements**
* Experience in end\-to\-end ML application development, including data engineering, model tuning, and model serving
* Strong expertise in TTS models, with prior experience training or fine\-tuning large\-scale models for speech synthesis
* Familiarity with speech quality evaluation (MOS, intelligibility, expressiveness, latency)
* Prior experience with audio processing pipelines, vocoders (e.g., HiFi\-GAN, WaveRNN), or speech\-to\-speech systems
* Strong understanding of ML development technologies such as Pytorch, Transformers, CUDA etc.
**Nice\-to\-haves**
* Enjoy moving fast and making a large business impact</t>
        </is>
      </c>
    </row>
    <row r="63">
      <c r="A63" t="inlineStr">
        <is>
          <t>li-4360623730</t>
        </is>
      </c>
      <c r="B63" t="inlineStr">
        <is>
          <t>AI Engineer</t>
        </is>
      </c>
      <c r="C63" t="inlineStr">
        <is>
          <t>Hyra</t>
        </is>
      </c>
      <c r="D63" t="inlineStr">
        <is>
          <t>linkedin</t>
        </is>
      </c>
      <c r="E63" t="inlineStr"/>
      <c r="F63" t="inlineStr"/>
      <c r="G63" t="inlineStr"/>
      <c r="H63" t="inlineStr"/>
      <c r="I63" t="inlineStr">
        <is>
          <t>Principal Enterprise AI Architect, Enterprise AI Platform \- Agentic AI
 📍 Santa Clara, California, 95050
 NVIDIA is looking for a visionary leader to architect the future of agentic AI at scale within our Enterprise AI \&amp; Automation team. This is a rare opportunity to define the blueprint for enterprise AI agents and power the productivity of the world's most advanced AI company.
 What you'll be doing
 • Define the architecture for agent orchestration, RAG, and lifecycle management.
 • Architect data flywheels to drive continuous improvement of AI agents via feedback loops.
 • Partner with engineering and research to integrate NVIDIA's NeMo and AIQ technologies.
 • Design secure integrations with enterprise platforms like ServiceNow, Salesforce, and SAP.
 • Drive deployment decisions across on\-prem, cloud, and hybrid containerized environments.
 What we're looking for
 • 15\+ years of experience in software architecture and large\-scale systems design.
 • Deep expertise in architecting distributed systems with focus on reliability and security.
 • Proficiency in AI/ML systems, generative AI, and agentic AI frameworks.
 • Hands\-on experience with RAG pipelines and orchestration flows like LangChain.
 • Strong background in integrating enterprise data sources via APIs and custom connectors.
 Why NVIDIA
 • Work at the center of the AI revolution with industry\-leading technology.
 • Collaborative culture that encourages innovation and technical excellence.
 • Competitive compensation packages including restricted stock units (RSUs).
 • Comprehensive health, wellness, and family\-focused benefit programs.
 👉 Apply via Hyra to be considered for this opportunity.</t>
        </is>
      </c>
    </row>
    <row r="64">
      <c r="A64" t="inlineStr">
        <is>
          <t>li-4359766232</t>
        </is>
      </c>
      <c r="B64" t="inlineStr">
        <is>
          <t>AI Engineer II - Office AI Team</t>
        </is>
      </c>
      <c r="C64" t="inlineStr">
        <is>
          <t>Microsoft</t>
        </is>
      </c>
      <c r="D64" t="inlineStr">
        <is>
          <t>linkedin</t>
        </is>
      </c>
      <c r="E64" t="inlineStr"/>
      <c r="F64" t="inlineStr"/>
      <c r="G64" t="inlineStr">
        <is>
          <t>Redmond, WA</t>
        </is>
      </c>
      <c r="H64" t="inlineStr"/>
      <c r="I64" t="inlineStr">
        <is>
          <t>**Overview**
**AI Engineer II \- Office AI Team**
 Are you passionate about shaping the future applications of AI and empowering millions of users to unlock their full potential in the productivity space? Microsoft 365 is where the world works, learns, and creates. Join the
 **Office AI team** 
 to reimagine Word, Excel, PowerPoint, and OneNote, turning intents into outcomes and helping hundreds of millions be more productive every day. Office AI plays a pivotal role in shaping the future of Office, through empowering users to interact with and change their content through natural language, making Copilot more intelligent, proactive and seamlessly integrated into users’ workflows, as well as enabling agentic workflows to interact with Office files.
 Learn from industry leaders while applying your knowledge of machine learning, natural language processing, and software engineering to real\-world challenges. See your work ship to production and help hundreds of millions of users be more productive every day.
 As an
 **AI Engineer II** 
 you will work in an exciting and fast\-paced environment on a product team to ship products globally, collaborating closely across engineering, product management, design, and applied science to deliver experiences to production. You will be part of delivering world class solutions!
 Microsoft’s mission is to empower every person and every organization on the planet to achieve more. Bring your growth mindset to innovate in way that empowers others and collaborate to realize our shared goals. Each day we build on our values of respect, integrity, and accountability to create a culture of inclusion where everyone can thrive at work and beyond.
**Responsibilities**
* Ship features in collaboration with Product Management, Design, Applied Science and Engineering. Co‑own scenario goals; translate product requirements into engineering work and solutions that meet quality, latency, and cost targets.
* Collaborate with experienced engineers and scientists to design, prototype, and deliver AI\-powered solutions that make Office apps smarter and more intuitive.
* Partner with product managers, designers, applied scientists, and other engineers in a fast\-paced environment where your contributions matter.
* Prompting and evaluation of LLMs to deliver on customer scenarios. Leverage AI tools to improve engineering development and processes.
* Debug and investigate customer feedback and production usage and fundamentals of features developed.
* Collaborate across engineering for code reviewing pull requests, reviewing design documents and techniques.
* Embody our culture and values
**Qualifications**
**Required Qualifications:**
* Bachelor's Degree in Computer Science or related technical field AND 2\+ years technical engineering experience with coding in languages including, but not limited to Typescript, Python, C\+\+, C\# or Java
+ OR equivalent experience.
* 2\+ years of experience coding in Typescript, Python, C\+\+, C\#, or Java.
* 1\+ years of experience building products that use frontier models, such as prompting, evaluating or fine\-tuning.
* 1\+ years of experience in any of the following: machine learning, deep learning, natural language processing, computer vision, and/or statistics.
**Preferred Qualifications**
* Master's Degree in Computer Science or related technical field AND 3\+ years technical engineering experience with coding in languages including, but not limited to Typescript, Python, C\+\+, C\# or Java
+ OR Bachelor's Degree in Computer Science or related technical field AND 5\+ years technical engineering experience with coding in languages including, but not limited to Typescript, Python, C\+\+, C\# or Java
+ OR equivalent experience
* 2\+ years of experience developing and deploying live production systems as part of a product team.
* Experience collaborating on hybrid or distributed teams across two or more time zones, using both synchronous (live meetings/voice/video) and asynchronous (documents/email/chat/task systems) communication to deliver a shared objective.
* Experience developing task specific metrics and evaluation datasets.
* Experience delivering changes informed by customer signals (such as research insights, usage/adoption, support tickets) that improve customer‐facing Key Performance Indicators (KPI)
* 1\+ year(s) of experience with applied science.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5">
      <c r="A65" t="inlineStr">
        <is>
          <t>li-4330641339</t>
        </is>
      </c>
      <c r="B65" t="inlineStr">
        <is>
          <t>Machine Learning Engineer</t>
        </is>
      </c>
      <c r="C65" t="inlineStr">
        <is>
          <t>Jobs via Dice</t>
        </is>
      </c>
      <c r="D65" t="inlineStr">
        <is>
          <t>linkedin</t>
        </is>
      </c>
      <c r="E65" t="inlineStr"/>
      <c r="F65" t="inlineStr"/>
      <c r="G65" t="inlineStr">
        <is>
          <t>San Francisco, CA</t>
        </is>
      </c>
      <c r="H65" t="inlineStr"/>
      <c r="I65" t="inlineStr">
        <is>
          <t>**Machine Learning Engineer \- Fulltime/Permanent REMOTE position**
 This Jobot Job is hosted by: Dallas Gillespie
 Are you a fit? Easy Apply now by clicking the "Apply Now" button and sending us your resume.
 Salary: $150,000 \- $180,000 per year
**A bit about us:**
 Full\-time, fully remote position with excellent benefits
 Candidates must live in the PST or MDT time zones. CST zone candidates will be considered. EST Candidates are not eligible.
**Why join us?**
 We value you! Our impressive benefits package, bonus potential, and salary reflect that! Work somewhere you are recognized for your contributions!
 Apply Today!
**Job Details**
 Minimum Education:
* Bachelor's degree in computer science, artificial intelligence, informatics or closely related field.
* Master's degree in computer science, engineering or closely related field preferred.
 Minimum Experience:
* 3 or more years of relevant Machine Learning Engineer Experience.
* Proven experience with: Artificial intelligence and machine learning platforms (e.g., AWS, Azure or Google Cloud Platform). Containerization technologies (e.g., Docker) or container orchestration platforms (e.g., Kubernetes). CI/CD tools (e.g., Github Actions). Programming languages and frameworks (e.g., Python, R, SQL). MLOps engineering principles, agile methodologies, and DevOps life\-cycle management. Technical writing and documentation for AI/ML models and processes. Healthcare data and machine learning use cases.
* Healthcare Expertise: Understanding of healthcare regulations and standards, and familiarity with Electronic Health Records (EHR) systems, including integrating machine learning models with these systems.
 REQUIRED qualifications:
* Experience in managing end\-to\-end ML lifecycle.
* Experience in managing automation with Terraform.
* Containerization technologies (e.g., Docker) or container orchestration platforms (e.g., Kubernetes).
* CI/CD tools (e.g., Github Actions).
* Programming languages and frameworks (e.g., Python, R, SQL).
* Deep understanding of coding, architecture, and deployment processes
* Strong understanding of critical performance metrics.
* Extensive experience in predictive modeling, LLMs, and NLP
 Exhibit the ability to effectively articulate the advantages and applications of the RAG framework with LLMs
 Accountabilities:
* Production Deployment and Model Engineering: Proven experience in deploying and maintaining production\-grade machine learning models, with real\-time inference, scalability, and reliability.
* Scalable ML Infrastructures: Proficiency in developing end\-to\-end scalable ML infrastructures using on\-premise cloud platforms such as Amazon Web Services (AWS), Google Cloud Platform (Google Cloud Platform), or Azure.
* Engineering Leadership: Ability to lead engineering efforts in creating and implementing methods and workflows for ML/GenAI model engineering, LLM advancements, and optimizing deployment frameworks while aligning with business strategic directions.
* AI Pipeline Development: Experience in developing AI pipelines for various data processing needs, including data ingestion, preprocessing, and search and retrieval, ensuring solutions meet all technical and business requirements.
* Collaboration: Demonstrated ability to collaborate with data scientists, data engineers, analytics teams, and DevOps teams to design and implement robust deployment pipelines for continuous improvement of machine learning models.
* Continuous Integration/Continuous Deployment (CI/CD) Pipelines: Expertise in implementing and optimizing CI/CD pipelines for machine learning models, automating testing and deployment processes.
* Monitoring and Logging: Competence in setting up monitoring and logging solutions to track model performance, system health, and anomalies, allowing for timely intervention and proactive maintenance.
* Version Control: Experience implementing version control systems for machine learning models and associated code to track changes and facilitate collaboration.
* Security and Compliance: Knowledge of ensuring machine learning systems meet security and compliance standards, including data protection and privacy regulations.
* Documentation: Skill in maintaining clear and comprehensive documentation of ML Ops processes and configurations.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66">
      <c r="A66" t="inlineStr">
        <is>
          <t>li-4330827809</t>
        </is>
      </c>
      <c r="B66" t="inlineStr">
        <is>
          <t>AI/ML Engineer</t>
        </is>
      </c>
      <c r="C66" t="inlineStr">
        <is>
          <t>Jobs via Dice</t>
        </is>
      </c>
      <c r="D66" t="inlineStr">
        <is>
          <t>linkedin</t>
        </is>
      </c>
      <c r="E66" t="inlineStr"/>
      <c r="F66" t="inlineStr"/>
      <c r="G66" t="inlineStr">
        <is>
          <t>Stanford, CA</t>
        </is>
      </c>
      <c r="H66" t="inlineStr"/>
      <c r="I66" t="inlineStr">
        <is>
          <t>**Location:** 
 Stanford, CA
**Salary:** 
 $55\.00 USD Hourly \- $60\.00 USD Hourly
**Description:** 
 Our client is currently seeking a AI/ML Engineer
**Job Title: Ai/ml Engineer**
**Location: Stanford, CA**
**Project Duration: 12\+ Months**
**Position Overview**
 The AI/ML Engineer is a key technical contributor driving CGOE's AI transformation initiatives. This role focuses on building and deploying intelligent, cloud\-native applications\-from GenAI\-powered systems and retrieval\-augmented assistants to data\-driven automation workflows.
 Working at the intersection of machine learning, cloud engineering, and educational innovation, the engineer translates complex needs into scalable, secure, and maintainable AWS\-native AI systems that enhance teaching, learning, and operations across CGOE's global online programs.
**Key Responsibilities**
 AI Application \&amp; Systems Development
 Own the design and end\-to\-end implementation of AI systems combining GenAI, narrow AI, and traditional ML models (e.g., regression, classification).
 Implement retrieval\-augmented generation (RAG), multi\-agent, and protocol\-based AI systems (e.g., MCP).
 Integrate AI capabilities into production\-grade applications using serverless and containerized architectures (AWS Lambda, Fargate, ECS).
 Fine\-tune and optimize existing models for specific educational and administrative use cases, focusing on performance, latency, and reliability.
 Build and maintain data pipelines for model training, evaluation, and monitoring using AWS services such as Glue, S3, Step Functions, and Kinesis.
 Cloud \&amp; Infrastructure Engineering
 Architect and manage scalable AI workloads on AWS, leveraging services such as SageMaker, Bedrock, API Gateway, EventBridge, and IAM\-based security.
 Build microservices and APIs to integrate AI models into applications and backend systems.
 Develop automated CI/CD pipelines ensuring continuous delivery, observability, and monitoring of deployed workloads.
 Apply containerization best practices using Docker and manage workloads through AWS Fargate and ECS for scalable, serverless orchestration and reproducibility.
 Ensure compliance with Stanford and regulatory standards (FERPA, GDPR) for secure data handling and governance.
 Collaboration, Culture \&amp; Continuous Improvement
 Collaborate closely with cross\-functional teams to deliver integrated and impactful AI solutions.
 Use Git\-based version control and code review best practices as part of a collaborative, agile workflow.
 Operate within an agile, iterative development culture, participating in sprints, retrospectives, and planning sessions.
 Continuously learn and adapt to emerging AI frameworks, AWS tools, and cloud technologies. Contribute to documentation, internal knowledge sharing, and mentoring as the team scales.
**Requirements:**
 Education \&amp; Certifications
 Bachelor's degree in Computer Science, AI/ML, Data Engineering, or a related field (Master's preferred).
 AWS certification preferred (Solutions Architect, Developer, or equivalent); Professional\-level certification a plus.
**Experience**
 3\+ years of experience developing and deploying AI/ML\-driven applications in production. 2\+ years of hands\-on experience with AWS\-based architectures (serverless, microservices,CI/CD, IAM).
 Proven ability to design, automate, and maintain data pipelines for model inference, evaluation, and monitoring.
 Experience with both GenAI and traditional ML techniques in applied, production settings.
**Technical Skills**
 Languages: Python (required); familiarity with Go, Rust, R, or TypeScript preferred.
 AI/ML Frameworks: PyTorch, TensorFlow, LangChain, LlamaIndex, or similar.
 Cloud \&amp; Infrastructure: AWS SageMaker, Bedrock, Lambda, ECS/Fargate, API Gateway, EventBridge, Glue, S3, Step Functions, IAM, CloudWatch.
 Infrastructure as Code: AWS CloudFormation.
 DevOps \&amp; Tools: Git, Docker, AWS Fargate, ECS, CI/CD (GitHub Actions, CodePipeline).
 Data Systems: SQL/NoSQL, vector databases, and AWS\-native data services.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row>
    <row r="67">
      <c r="A67" t="inlineStr">
        <is>
          <t>li-4330771158</t>
        </is>
      </c>
      <c r="B67" t="inlineStr">
        <is>
          <t>Machine Learning Engineer</t>
        </is>
      </c>
      <c r="C67" t="inlineStr">
        <is>
          <t>Jobs via Dice</t>
        </is>
      </c>
      <c r="D67" t="inlineStr">
        <is>
          <t>linkedin</t>
        </is>
      </c>
      <c r="E67" t="inlineStr"/>
      <c r="F67" t="inlineStr"/>
      <c r="G67" t="inlineStr">
        <is>
          <t>Denver, CO</t>
        </is>
      </c>
      <c r="H67" t="inlineStr"/>
      <c r="I67" t="inlineStr">
        <is>
          <t>**Machine Learning Engineer \- Fulltime/Permanent REMOTE position**
 This Jobot Job is hosted by: Dallas Gillespie
 Are you a fit? Easy Apply now by clicking the "Apply Now" button and sending us your resume.
 Salary: $150,000 \- $180,000 per year
**A bit about us:**
 Full\-time, fully remote position with excellent benefits
 Candidates must live in the PST or MDT time zones. CST zone candidates will be considered. EST Candidates are not eligible.
**Why join us?**
 We value you! Our impressive benefits package, bonus potential, and salary reflect that! Work somewhere you are recognized for your contributions!
 Apply Today!
**Job Details**
 Minimum Education:
* Bachelor's degree in computer science, artificial intelligence, informatics or closely related field.
* Master's degree in computer science, engineering or closely related field preferred.
 Minimum Experience:
* 3 or more years of relevant Machine Learning Engineer Experience.
* Proven experience with: Artificial intelligence and machine learning platforms (e.g., AWS, Azure or Google Cloud Platform). Containerization technologies (e.g., Docker) or container orchestration platforms (e.g., Kubernetes). CI/CD tools (e.g., Github Actions). Programming languages and frameworks (e.g., Python, R, SQL). MLOps engineering principles, agile methodologies, and DevOps life\-cycle management. Technical writing and documentation for AI/ML models and processes. Healthcare data and machine learning use cases.
* Healthcare Expertise: Understanding of healthcare regulations and standards, and familiarity with Electronic Health Records (EHR) systems, including integrating machine learning models with these systems.
 REQUIRED qualifications:
* Experience in managing end\-to\-end ML lifecycle.
* Experience in managing automation with Terraform.
* Containerization technologies (e.g., Docker) or container orchestration platforms (e.g., Kubernetes).
* CI/CD tools (e.g., Github Actions).
* Programming languages and frameworks (e.g., Python, R, SQL).
* Deep understanding of coding, architecture, and deployment processes
* Strong understanding of critical performance metrics.
* Extensive experience in predictive modeling, LLMs, and NLP
 Exhibit the ability to effectively articulate the advantages and applications of the RAG framework with LLMs
 Accountabilities:
* Production Deployment and Model Engineering: Proven experience in deploying and maintaining production\-grade machine learning models, with real\-time inference, scalability, and reliability.
* Scalable ML Infrastructures: Proficiency in developing end\-to\-end scalable ML infrastructures using on\-premise cloud platforms such as Amazon Web Services (AWS), Google Cloud Platform (Google Cloud Platform), or Azure.
* Engineering Leadership: Ability to lead engineering efforts in creating and implementing methods and workflows for ML/GenAI model engineering, LLM advancements, and optimizing deployment frameworks while aligning with business strategic directions.
* AI Pipeline Development: Experience in developing AI pipelines for various data processing needs, including data ingestion, preprocessing, and search and retrieval, ensuring solutions meet all technical and business requirements.
* Collaboration: Demonstrated ability to collaborate with data scientists, data engineers, analytics teams, and DevOps teams to design and implement robust deployment pipelines for continuous improvement of machine learning models.
* Continuous Integration/Continuous Deployment (CI/CD) Pipelines: Expertise in implementing and optimizing CI/CD pipelines for machine learning models, automating testing and deployment processes.
* Monitoring and Logging: Competence in setting up monitoring and logging solutions to track model performance, system health, and anomalies, allowing for timely intervention and proactive maintenance.
* Version Control: Experience implementing version control systems for machine learning models and associated code to track changes and facilitate collaboration.
* Security and Compliance: Knowledge of ensuring machine learning systems meet security and compliance standards, including data protection and privacy regulations.
* Documentation: Skill in maintaining clear and comprehensive documentation of ML Ops processes and configurations.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68">
      <c r="A68" t="inlineStr">
        <is>
          <t>li-4360661736</t>
        </is>
      </c>
      <c r="B68" t="inlineStr">
        <is>
          <t>Lead Machine Learning Engineer</t>
        </is>
      </c>
      <c r="C68" t="inlineStr">
        <is>
          <t>TEKsystems</t>
        </is>
      </c>
      <c r="D68" t="inlineStr">
        <is>
          <t>linkedin</t>
        </is>
      </c>
      <c r="E68" t="inlineStr"/>
      <c r="F68" t="inlineStr"/>
      <c r="G68" t="inlineStr">
        <is>
          <t>Redwood City, CA</t>
        </is>
      </c>
      <c r="H68" t="inlineStr"/>
      <c r="I68" t="inlineStr">
        <is>
          <t>Description
 Our mission is to build a world\-class big data platform to bring value out of data for us and for our customers. Our goal is to democratize data, support exploding business, build data and ML pipelines to fuel existing and new business critical initiatives.
 We are looking for exceptional, creative and passionate Lead Machine Learning engineers to join our ML and Big Data Team. You will be responsible for building and owning the next\-generation of algorithms and systems that would have critical business impact for this client and improve the user experience for our millions of users.
 Responsibilities
* Explore large datasets, research and develop algorithms/models to solve interesting business problems.
* Design and code highly scalable, machine learning applications processing large volumes of data.
* Collaborate with multiple teams \- data science, business, engineering and help deliver Machine learning based Data products across the company.
* Develop best practices and tools to enable robust delivery of features
* Design and improve architecture in order to ensure horizontal scalability at all layers
 Ideal Candidate
* Strong experience in Machine Learning with deep understanding of algorithms and modeling techniques
* 6\+ years of overall software development experience with at least 4\+ years of industry experience applying Machine Learning to concrete problems
* Great coding skills and strong software development experience with Big Data technologies \&amp; Machine Learning frameworks like SparkML, TensorFlow, PyTorch, Keras
* Understanding of distributed systems, and large scale engineering challenges is plus.
 Technologies we use
* Scala, Python
* MongoDB, Redshift, Druid
* Airflow, Jenkins
* Spark, SparkML, Kinesis
 Skills
 Machine learning, Algorithm, Python, PyTorch, spark, SQL, LLM, Deep Learning
 Additional Skills \&amp; Qualifications
 This person has helped lead teams within ecommerce and marketplace organizations to build and mature their AI infrastructure and features, specifically centered around, Search, Personalization, Recommendation systems.
 Experience With
* Ownership of production ML systems end\-to\-end
* Experience with vector databases, embedding stores, etc.
* Real\-time feature engineering at scale
* Guide junior engineers and collaborate across teams
 Experience Level
 Expert Level
 Job Type \&amp; Location
 This is a Permanent position based out of Redwood City, CA.
 Pay And Benefits
 The pay range for this position is $285000\.00 \- $325000\.00/yr.
 Competitive base salary and ISO equity packages tailored to your experience and impact Company\-sponsored dental and vision insurance for you and your dependents Medical plans including HMO, PPO, and HDHP with employer contributions to HSA $200 monthly wellness stipend for fitness, wellness gear, or health\-related expenses 401(k) plan with a 3% employer match, up to $1,000 annually Flexible vacation and sick leave / paid time off policy Generous parental leave and family support benefits Paid holidays and additional personal days Free daily catered lunches, snacks, and beverages Home office stipend and hybrid work flexibility Employee resource groups (ERGs) to build community and connection Pet\-friendly office
 Workplace Type
 This is a hybrid position in Redwood City,CA.
 Application Deadline
 This position is anticipated to close on Jan 16, 2026\.
 h4\&gt;About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69">
      <c r="A69" t="inlineStr">
        <is>
          <t>li-4359775442</t>
        </is>
      </c>
      <c r="B69" t="inlineStr">
        <is>
          <t>Senior Machine Learning Engineer</t>
        </is>
      </c>
      <c r="C69" t="inlineStr">
        <is>
          <t>Microsoft</t>
        </is>
      </c>
      <c r="D69" t="inlineStr">
        <is>
          <t>linkedin</t>
        </is>
      </c>
      <c r="E69" t="inlineStr"/>
      <c r="F69" t="inlineStr"/>
      <c r="G69" t="inlineStr">
        <is>
          <t>Redmond, WA</t>
        </is>
      </c>
      <c r="H69" t="inlineStr"/>
      <c r="I69" t="inlineStr">
        <is>
          <t>**Overview**
 Viva Engage connects people through communities, bringing leaders and employees together to share knowledge, clarify priorities, and build relationships. Viva Engage (formerly Yammer) is the premier tool to create multi\-directional dialogue between tens of millions of employees worldwide every month.
 Engage team members are at the forefront of driving artificial intelligence (AI) applications and Copilot adoption to make communication and information sharing easy and authentic. Our work supports top challenges for our customers, including digital safety, trusted security standards, and deep analytics to help our customers maximize reach, reduce inefficiencies, and create a thriving organizational culture. We would love to have you join the team driving innovation, connection, and community for our valued global customers.
 As a
 **Senior Machine Learning (ML) Engineer** 
 on the Viva Engage Search team, your experience in Search, Ranking, and Retrieval systems will help shape the future of intelligent search experiences in the Copilot and Agentic AI space. You will play a key role in designing, developing, and deploying cutting\-edge machine learning models that power search experiences that connect individuals with each other and knowledge across organizations. Our focus lies in discovery, recommendations, and relevance across Viva Engage, leveraging data from our platform and across Office 365\.
 This role presents an opportunity to create a vision around the Viva Engage machine learning platform and help us make it a reality. Our tight\-knit, high\-performing team, coupled with the unique challenges posed by social enterprise analytics, will offer plenty of opportunities for impact.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Own the full ML lifecycle \- Design, build, deploy, and monitor end\-to\-end pipelines that power Copilot and Agentic Search experiences.
* Build production\-ready AI agents that automate workflows and surface smart, context\-aware recommendations to boost user productivity.
* Work with massive, complex datasets by applying advanced statistical and machine\-learning methods to solve ambiguous, high\-impact problems.
* Apply Large Language Models (LLMs) to deliver deep semantic understanding and natural\-language interactions that connect employees to knowledge across Microsoft 365\.
* Leverage generative\-AI techniques for data augmentation, relevance tuning, and highly personalized discovery experiences.
* Validate product intuition with experimentation – translate insights into roadmap influence and data\-driven decisions that move key metrics.
* Communicate with clarity – distill intricate technical work for diverse audiences across engineering, product, and executive leadership.
**Qualifications**
**Required Qualifications:**
* Bachelor's Degree in Computer Science or related technical field AND 4\+ years technical engineering experience with coding in languages including, but not limited to, C, C\+\+, C\#, Java, JavaScript, or Python
+ OR equivalent experience.
* 2\+ years of experience working on Machine Learning models specifically with Natural language\-based models.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Experience on working with Elastic Search/Azure AI Search.
* 2\+ years of experience building personalized search solutions across a product/platform.
* Practical experience working with Large Language Models (LLMs) and leveraging tools like PyTorch and TensorFlow.
* System development skills, with a long\-range system view that leverages development ranging from rapid research prototypes to carefully architected complex systems.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0">
      <c r="A70" t="inlineStr">
        <is>
          <t>li-4332562490</t>
        </is>
      </c>
      <c r="B70" t="inlineStr">
        <is>
          <t>Machine Learning Engineer, TikTok Ads Ranking - USDS</t>
        </is>
      </c>
      <c r="C70" t="inlineStr">
        <is>
          <t>TikTok</t>
        </is>
      </c>
      <c r="D70" t="inlineStr">
        <is>
          <t>linkedin</t>
        </is>
      </c>
      <c r="E70" t="inlineStr"/>
      <c r="F70" t="inlineStr"/>
      <c r="G70" t="inlineStr">
        <is>
          <t>San Jose, CA</t>
        </is>
      </c>
      <c r="H70" t="inlineStr"/>
      <c r="I70" t="inlineStr">
        <is>
          <t>**Responsibilities**
 Team Intro:
 TikTok Ads Ranking team is dedicated to model optimization in the ads delivery system. Our goal is to improve monetization efficiency of TikTok Ads products through model optimization in full funnel. The team also aims to design and implement universal modeling solutions, and solve the long\-standing problems of ranking algorithms.
 At TikTok Ads Ranking team, you can optimize model in recall / rough sort / fine sort, and explore innovative algorithms to break through the ceiling of ads performance.
 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
 Responsibilities：
 \- Responsible for the development of ads delivery and ranking systems for the global market. Optimizing model in ads delivery system: feature engineering, model structure, auto crossing, ads cold start, modeling delayed feedback, multi\-task learning, sequence modeling.
 \- Algorithm and system co\-design: retrieval algorithm, sample mining, long sequence; Exploring large\-scale distributed training framework: GPU tuning, feature processing, synchronous training.
 \- Improving ads delivery efficiency in privacy\-preserving environments; LRM, the next generation rec system using LLM learning paradigm: entity understanding, end2end Generative Recommendation, sequence only based Recommendation, Mixture of Export.
 \- Familiar with the entire software development life cycle, including product discussion, requirement analysis, document writing, system design, coding, testing, etc.
 \- Using cutting\-edge information retrieval and machine learning technologies, develop industry\-leading ranking algorithms that directly enhance the real experience of billions of global users.
 \- Deeply explore how large\-scale models will disrupt the next generation of search, recommendation, and ranking models, fully leveraging the world knowledge embedded in these models to bring revolutionary transformations to search and recommendation services.
**Qualifications**
 Minimum qualifications:
 \-Master’s degree (or Bachelor's degree with 1\+) years of experience in Computer Engineering, Electrical Engineering, Computer Science or related major.
 \-1\+ years experience working with Unix Linux systems from kernel to shell and beyond with experience working with system libraries, file systems, and client\-server protocols.
 \-3\+ years experience in one or more programming languages such as Java, C\+\+, Go, or scripting experience in Shell and Python.
 Preferred qualifications:
 \-Self\-driven and capable of coping with ambiguity and move projects from concept to delivery.
 \-Strong in analytical skills and the ability to solve real world problems in a fast moving environment.
 \-Experience in designing, analyzing and building automation and tools for large scale systems.
 \-Experience in building solutions with AWS, GCP, Azures and other cloud services.
 \-Experience in networking technologies such TCP/IP, BGP, DNS, etc. in a carrier\-grade environment.
 \-Experience in developing and operating one or more of following systems: OpenStack, Kubernetes, Nginx, ipvs, ELK stack, Hadoop, etc.
**About USDS**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
 On\-site presence across teams allows the company to operate with greater speed, alignment, and agility — especially in areas like real\-time decision\-making, team development, and integrated execution. As such, the company is shifting from a hybrid work model to a fully in\-person schedule up to 5 days a week.​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
**Job Information**
 【For Pay Transparency】Compensation Description (Annually)
 The base salary range for this position in the selected city is $112725 \- $246240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71">
      <c r="A71" t="inlineStr">
        <is>
          <t>li-4359973441</t>
        </is>
      </c>
      <c r="B71" t="inlineStr">
        <is>
          <t>Lead AI Engineer</t>
        </is>
      </c>
      <c r="C71" t="inlineStr">
        <is>
          <t>Capital One</t>
        </is>
      </c>
      <c r="D71" t="inlineStr">
        <is>
          <t>linkedin</t>
        </is>
      </c>
      <c r="E71" t="inlineStr"/>
      <c r="F71" t="inlineStr"/>
      <c r="G71" t="inlineStr">
        <is>
          <t>New York, NY</t>
        </is>
      </c>
      <c r="H71" t="inlineStr"/>
      <c r="I71"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AI Engineer
 McLean, VA: $197,300 \- $225,100 for Lead AI Engineer
 New York, NY: $215,200 \- $245,600 for Lead AI Engineer
 San Francisco, CA: $215,200 \- $245,600 for Lead AI Engineer
 San Jose, CA: $215,200 \- $245,600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2">
      <c r="A72" t="inlineStr">
        <is>
          <t>li-4359913624</t>
        </is>
      </c>
      <c r="B72" t="inlineStr">
        <is>
          <t>Lead Machine Learning Engineer (Enterprise Platforms Technology)</t>
        </is>
      </c>
      <c r="C72" t="inlineStr">
        <is>
          <t>Capital One</t>
        </is>
      </c>
      <c r="D72" t="inlineStr">
        <is>
          <t>linkedin</t>
        </is>
      </c>
      <c r="E72" t="inlineStr"/>
      <c r="F72" t="inlineStr"/>
      <c r="G72" t="inlineStr">
        <is>
          <t>New York, NY</t>
        </is>
      </c>
      <c r="H72" t="inlineStr"/>
      <c r="I72" t="inlineStr">
        <is>
          <t>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Enterprise Platforms Technology (EPTech) comprises many of Capital One’s most important enterprise platforms. We play an essential role in establishing practices for building technology solutions across the company, while also delivering capabilities that exemplify those practices.
****What you’ll do in the role:****
*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6 years of experience designing and building data\-intensive solutions using distributed computing (Internship experience does not apply)
* At least 4 years of experience programming with Python, Scala, or Java
* At least 2 years of experience building, scaling, and optimizing ML systems
****Preferred Qualifications:****
* Master's or doctoral degree in computer science, electrical engineering, mathematics, or a similar field
* 3\+ years of experience building production\-ready data pipelines that feed ML models
* 3\+ years of on\-the\-job experience with an industry recognized ML framework such as scikit\-learn, PyTorch, Dask, Spark, or TensorFlow
* 2\+ years of experience developing performant, resilient, and maintainable code
* 2\+ years of experience with data gathering and preparation for ML models
* 2\+ years of people leader experience
* 1\+ years of experience leading teams developing ML solutions using industry best practices, patterns, and automation
* Experience developing and deploying ML solutions in a public cloud such as AWS, Azure, or Google Cloud Platform
* Experience designing, implementing, and scaling complex data pipelines for ML models and evaluating their performance
* ML industry impact through conference presentations, papers, blog posts, open source contributions, or patents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$215,200 \- $245,600 for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3">
      <c r="A73" t="inlineStr">
        <is>
          <t>li-4330734331</t>
        </is>
      </c>
      <c r="B73" t="inlineStr">
        <is>
          <t>Startup-Full Stack AI Engineer!</t>
        </is>
      </c>
      <c r="C73" t="inlineStr">
        <is>
          <t>Jobs via Dice</t>
        </is>
      </c>
      <c r="D73" t="inlineStr">
        <is>
          <t>linkedin</t>
        </is>
      </c>
      <c r="E73" t="inlineStr"/>
      <c r="F73" t="inlineStr"/>
      <c r="G73" t="inlineStr">
        <is>
          <t>Santa Monica, CA</t>
        </is>
      </c>
      <c r="H73" t="inlineStr"/>
      <c r="I73" t="inlineStr">
        <is>
          <t>**NEW Full Stack AI Engineer Opportunity!**
 This Jobot Job is hosted by: Audrey Block
 Are you a fit? Easy Apply now by clicking the "Apply Now" button and sending us your resume.
 Salary: $90,000 \- $145,000 per year
**A bit about us:**
 We are a startup based out of Los Angeles with a focus on AI for attorneys. This is an exciting product that will change the way attorneys practice. We have hired 3 engineers thus far, and are looking to bring on 3 in Q1\. This posting is for a new grad/junior engineer. Be a part of revolutionary change in AI today!
**Why join us?**
 HUGE Opportunity for growth
 Base salary \+ Equity
 Team events
 Lunch, gym membership, Fun Fridays
 Flexible schedule
**Job Details**
 Job Details:
 We are on the hunt for a passionate, innovative Full Stack AI Engineer to join our startup. This is a permanent, full\-time position where you will be given the opportunity to shape the future of our company by working on cutting\-edge technology projects. You will play a crucial role in developing, building, and maintaining AI\-driven products and services.
 Responsibilities:
 As a Full Stack AI Engineer, you will be tasked with the following responsibilities:
* Design and build robust, scalable AI\-driven products and services.
* Collaborate closely with cross\-functional teams to understand the needs and translate them into functional and efficient software solutions.
* Develop high\-quality code for the front\-end and back\-end components of our applications, with a focus on back\-end.
* Contribute to the entire product lifecycle from concept to deployment.
* Maintain and improve existing codebases and peer review code changes.
* Leverage existing tools and libraries, suggesting new ones that can improve development efficiencies.
* Document development phases, monitor systems, and ensure the alignment of application components with design specifications.
* Participate in brainstorming sessions and contribute innovative and original ideas to our technology, algorithms, and product.
* Continuously learn about new programming languages, tools, and technologies that can help increase the performance and functionality of our applications.
 Qualifications:
 To be successful in this role, you should have the following qualifications:
* A minimum of 1 year of experience as a Full Stack AI Engineer, or in a similar role.
* Proven experience in building and maintaining AI\-driven products and services.
* Strong knowledge of AI, machine learning algorithms, and software development.
* Proficient in Rust, Go, Sold. JS, C\+\+, or Python.
* Experience with front\-end and back\-end development
* Familiarity with GitHub and other version control systems.
* Solid understanding of hardware and product design principles.
* Excellent problem\-solving skills, with a knack for complex challenges.
* Strong communication skills, with the ability to articulate complex technical concepts in a clear and concise manner.
* A degree in Computer Science, Engineering, or a related field would be a plus.
 This is an exciting opportunity for a Full Stack AI Engineer to join a vibrant team and make a significant impact on our products and services. If you are passionate about AI, eager to solve challenging problems, and want to work in a dynamic, fast\-paced environment, we would love to hear from you.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74">
      <c r="A74" t="inlineStr">
        <is>
          <t>li-4360671488</t>
        </is>
      </c>
      <c r="B74" t="inlineStr">
        <is>
          <t>Lead AI Engineer</t>
        </is>
      </c>
      <c r="C74" t="inlineStr">
        <is>
          <t>Capital One</t>
        </is>
      </c>
      <c r="D74" t="inlineStr">
        <is>
          <t>linkedin</t>
        </is>
      </c>
      <c r="E74" t="inlineStr"/>
      <c r="F74" t="inlineStr"/>
      <c r="G74" t="inlineStr">
        <is>
          <t>Cambridge, MA</t>
        </is>
      </c>
      <c r="H74" t="inlineStr"/>
      <c r="I74"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AI Engineer
 McLean, VA: $197,300 \- $225,100 for Lead AI Engineer
 New York, NY: $215,200 \- $245,600 for Lead AI Engineer
 San Francisco, CA: $215,200 \- $245,600 for Lead AI Engineer
 San Jose, CA: $215,200 \- $245,600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5">
      <c r="A75" t="inlineStr">
        <is>
          <t>li-4359963361</t>
        </is>
      </c>
      <c r="B75" t="inlineStr">
        <is>
          <t>Senior Lead Machine Learning Engineer (Big Data and Machine Learning)</t>
        </is>
      </c>
      <c r="C75" t="inlineStr">
        <is>
          <t>Capital One</t>
        </is>
      </c>
      <c r="D75" t="inlineStr">
        <is>
          <t>linkedin</t>
        </is>
      </c>
      <c r="E75" t="inlineStr"/>
      <c r="F75" t="inlineStr"/>
      <c r="G75" t="inlineStr">
        <is>
          <t>Chicago, IL</t>
        </is>
      </c>
      <c r="H75" t="inlineStr"/>
      <c r="I75" t="inlineStr">
        <is>
          <t>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8 years of experience designing and building data\-intensive solutions using distributed computing (Internship experience does not apply)
* At least 4 years of experience programming with Python, Scala, or Java
* At least 3 years of experience building, scaling, and optimizing ML systems
* At least 2 years of experience leading teams developing ML solutions
****Preferred Qualifications:****
* Master's or doctoral degree in computer science, electrical engineering, mathematics, or a similar field
* Experience developing and deploying ML solutions in a public cloud such as AWS, Azure, or Google Cloud Platform
* 4\+ years of on\-the\-job experience with an industry recognized ML framework such as scikit\-learn, PyTorch, Dask, Spark, or TensorFlow
* 3\+ years of experience developing performant, resilient, and maintainable code
* 3\+ years of experience with data gathering and preparation for ML models
* 3\+ years of people management experience
* ML industry impact through conference presentations, papers, blog posts, open source contributions, or patents
* 3\+ years of experience building production\-ready data pipelines that feed ML models
* Ability to communicate complex technical concepts clearly to a variety of audiences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$209,000 \- $238,500 for Sr. Lead Machine Learning Engineer
 McLean, VA: $229,900 \- $262,400 for Sr. Lead Machine Learning Engineer
 New York, NY: $250,800 \- $286,200 for Sr.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6">
      <c r="A76" t="inlineStr">
        <is>
          <t>li-4359775307</t>
        </is>
      </c>
      <c r="B76" t="inlineStr">
        <is>
          <t>Distinguished AI Engineer</t>
        </is>
      </c>
      <c r="C76" t="inlineStr">
        <is>
          <t>Capital One</t>
        </is>
      </c>
      <c r="D76" t="inlineStr">
        <is>
          <t>linkedin</t>
        </is>
      </c>
      <c r="E76" t="inlineStr"/>
      <c r="F76" t="inlineStr"/>
      <c r="G76" t="inlineStr">
        <is>
          <t>San Jose, CA</t>
        </is>
      </c>
      <c r="H76" t="inlineStr"/>
      <c r="I76"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Distinguished AI Engineer
 Richmond, VA: $244,700 \- $279,200 for Distinguished AI Engineer
 New York, NY: $293,600 \- $335,100 for Distinguished AI Engineer
 Cambridge, MA: $269,100 \- $307,200 for Distinguished AI Engineer
 San Francisco, CA: $293,600 \- $335,100 for Distinguished AI Engineer
 San Jose, CA: $293,600 \- $335,100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7">
      <c r="A77" t="inlineStr">
        <is>
          <t>li-4360641872</t>
        </is>
      </c>
      <c r="B77" t="inlineStr">
        <is>
          <t>Sr. Distinguished AI Engineer</t>
        </is>
      </c>
      <c r="C77" t="inlineStr">
        <is>
          <t>Capital One</t>
        </is>
      </c>
      <c r="D77" t="inlineStr">
        <is>
          <t>linkedin</t>
        </is>
      </c>
      <c r="E77" t="inlineStr"/>
      <c r="F77" t="inlineStr"/>
      <c r="G77" t="inlineStr">
        <is>
          <t>San Francisco, CA</t>
        </is>
      </c>
      <c r="H77" t="inlineStr"/>
      <c r="I77" t="inlineStr">
        <is>
          <t>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10 years of experience developing AI and ML algorithms or technologies, or a Master's degree in Computer Science, AI, Electrical Engineering, Computer Engineering, or related fields plus at least 8 years of experience developing AI and ML algorithms or technologies
* At least 10 years of experience programming with Python, Go, Scala, or Java
**Preferred Qualifications:**
* 9 years of experience deploying scalable and responsible AI solutions on cloud platforms (e.g. AWS, Google Cloud, Azure, or equivalent private cloud)
* Experience architecting, designing, developing, integrating, delivering, and supporting complex enterprise AI systems
* Demonstrated ability to lead and mentor an engineering organization and influence cross\-functional stakeholders up to the SVP level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 Experience building and deploying multi\-modal models for technologies like computer vision, speech recognition, optical character recognition, or other sensor systems in application such as robotics, digital assistants, industrial automation, autonomous driving, or related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$314,800 \- $359,300 for Sr. Distinguished AI Engineer
 Richmond, VA: $286,200 \- $326,700 for Sr. Distinguished AI Engineer
 New York, NY: $343,400 \- $392,000 for Sr. Distinguished AI Engineer
 Cambridge, MA: $314,800 \- $359,300 for Sr. Distinguished AI Engineer
 San Francisco, CA: $343,400 \- $392,000 for Sr. Distinguished AI Engineer
 San Jose, CA: $343,400 \- $392,000 for Sr.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8">
      <c r="A78" t="inlineStr">
        <is>
          <t>li-4351842490</t>
        </is>
      </c>
      <c r="B78" t="inlineStr">
        <is>
          <t>AI Engineer : Charlotte, NC /Iselin, NJ (Hybrid)</t>
        </is>
      </c>
      <c r="C78" t="inlineStr">
        <is>
          <t>Jobs via Dice</t>
        </is>
      </c>
      <c r="D78" t="inlineStr">
        <is>
          <t>linkedin</t>
        </is>
      </c>
      <c r="E78" t="inlineStr"/>
      <c r="F78" t="inlineStr"/>
      <c r="G78" t="inlineStr">
        <is>
          <t>Charlotte, NC</t>
        </is>
      </c>
      <c r="H78" t="inlineStr"/>
      <c r="I78" t="inlineStr">
        <is>
          <t>Dice is the leading career destination for tech experts at every stage of their careers. Our client, Synergent Tech Solutions, is seeking the following. Apply via Dice today!
**Role : AI Engineer**
**Location : Charlotte, NC /Iselin, NJ (Hybrid)**
**Rate: $58/hr (can try $60/hr also)**
**Responsibilities:**
 Integrate Model Control Plane (MCP) and orchestrate AI agents.
 Develop LLM tooling for intelligent automation.
 Ensure secure and scalable AI workflows.
**Skills:**
**Backend \&amp; API:** 
 Python (FastAPI), OpenAPI
**Infrastructure:** 
 Kubernetes/OpenShift
**Data \&amp; Security:** 
 Kafka/Messaging
**Nice to Have:** 
 OPA/Rego/CEL</t>
        </is>
      </c>
    </row>
    <row r="79">
      <c r="A79" t="inlineStr">
        <is>
          <t>li-4330754258</t>
        </is>
      </c>
      <c r="B79" t="inlineStr">
        <is>
          <t>Startup-Full Stack AI Engineer!</t>
        </is>
      </c>
      <c r="C79" t="inlineStr">
        <is>
          <t>Jobs via Dice</t>
        </is>
      </c>
      <c r="D79" t="inlineStr">
        <is>
          <t>linkedin</t>
        </is>
      </c>
      <c r="E79" t="inlineStr"/>
      <c r="F79" t="inlineStr"/>
      <c r="G79" t="inlineStr">
        <is>
          <t>Marina del Rey, CA</t>
        </is>
      </c>
      <c r="H79" t="inlineStr"/>
      <c r="I79" t="inlineStr">
        <is>
          <t>**Startup\-Full Stack AI Engineer Opportunity!**
 This Jobot Job is hosted by: Audrey Block
 Are you a fit? Easy Apply now by clicking the "Apply Now" button and sending us your resume.
 Salary: $90,000 \- $145,000 per year
**A bit about us:**
 We are a startup based out of Los Angeles with a focus on AI for attorneys. This is an exciting product that will change the way attorneys practice. We have hired 3 engineers thus far, and are looking to bring on 3 in Q1\. This posting is for a new grad/junior engineer. Be a part of revolutionary change in AI today!
**Why join us?**
 HUGE Opportunity for growth
 Base salary \+ Equity
 Team events
 Lunch, gym membership, Fun Fridays
 Flexible schedule
**Job Details**
 Job Details:
 We are on the hunt for a passionate, innovative Full Stack AI Engineer to join our startup. This is a permanent, full\-time position where you will be given the opportunity to shape the future of our company by working on cutting\-edge technology projects. You will play a crucial role in developing, building, and maintaining AI\-driven products and services.
 Responsibilities:
 As a Full Stack AI Engineer, you will be tasked with the following responsibilities:
* Design and build robust, scalable AI\-driven products and services.
* Collaborate closely with cross\-functional teams to understand the needs and translate them into functional and efficient software solutions.
* Develop high\-quality code for the front\-end and back\-end components of our applications, with a focus on back\-end.
* Contribute to the entire product lifecycle from concept to deployment.
* Maintain and improve existing codebases and peer review code changes.
* Leverage existing tools and libraries, suggesting new ones that can improve development efficiencies.
* Document development phases, monitor systems, and ensure the alignment of application components with design specifications.
* Participate in brainstorming sessions and contribute innovative and original ideas to our technology, algorithms, and product.
* Continuously learn about new programming languages, tools, and technologies that can help increase the performance and functionality of our applications.
 Qualifications:
 To be successful in this role, you should have the following qualifications:
* A minimum of 1 year of experience as a Full Stack AI Engineer, or in a similar role.
* Proven experience in building and maintaining AI\-driven products and services.
* Strong knowledge of AI, machine learning algorithms, and software development.
* Proficient in Rust, Go, Sold. JS, C\+\+, or Python.
* Experience with front\-end and back\-end development
* Familiarity with GitHub and other version control systems.
* Solid understanding of hardware and product design principles.
* Excellent problem\-solving skills, with a knack for complex challenges.
* Strong communication skills, with the ability to articulate complex technical concepts in a clear and concise manner.
* A degree in Computer Science, Engineering, or a related field would be a plus.
 This is an exciting opportunity for a Full Stack AI Engineer to join a vibrant team and make a significant impact on our products and services. If you are passionate about AI, eager to solve challenging problems, and want to work in a dynamic, fast\-paced environment, we would love to hear from you.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80">
      <c r="A80" t="inlineStr">
        <is>
          <t>li-4359757432</t>
        </is>
      </c>
      <c r="B80" t="inlineStr">
        <is>
          <t>Distinguished AI Engineer</t>
        </is>
      </c>
      <c r="C80" t="inlineStr">
        <is>
          <t>Capital One</t>
        </is>
      </c>
      <c r="D80" t="inlineStr">
        <is>
          <t>linkedin</t>
        </is>
      </c>
      <c r="E80" t="inlineStr"/>
      <c r="F80" t="inlineStr"/>
      <c r="G80" t="inlineStr">
        <is>
          <t>San Francisco, CA</t>
        </is>
      </c>
      <c r="H80" t="inlineStr"/>
      <c r="I80"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Distinguished AI Engineer
 Richmond, VA: $244,700 \- $279,200 for Distinguished AI Engineer
 New York, NY: $293,600 \- $335,100 for Distinguished AI Engineer
 Cambridge, MA: $269,100 \- $307,200 for Distinguished AI Engineer
 San Francisco, CA: $293,600 \- $335,100 for Distinguished AI Engineer
 San Jose, CA: $293,600 \- $335,100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1">
      <c r="A81" t="inlineStr">
        <is>
          <t>li-4359757443</t>
        </is>
      </c>
      <c r="B81" t="inlineStr">
        <is>
          <t>Lead AI Engineer (AI Foundations, LLM Core and Agentic AI)</t>
        </is>
      </c>
      <c r="C81" t="inlineStr">
        <is>
          <t>Capital One</t>
        </is>
      </c>
      <c r="D81" t="inlineStr">
        <is>
          <t>linkedin</t>
        </is>
      </c>
      <c r="E81" t="inlineStr"/>
      <c r="F81" t="inlineStr"/>
      <c r="G81" t="inlineStr">
        <is>
          <t>San Jose, CA</t>
        </is>
      </c>
      <c r="H81" t="inlineStr"/>
      <c r="I81"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AI Engineer
 McLean, VA: $197,300 \- $225,100 for Lead AI Engineer
 New York, NY: $215,200 \- $245,600 for Lead AI Engineer
 San Francisco, CA: $215,200 \- $245,600 for Lead AI Engineer
 San Jose, CA: $215,200 \- $245,600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2">
      <c r="A82" t="inlineStr">
        <is>
          <t>li-4359923607</t>
        </is>
      </c>
      <c r="B82" t="inlineStr">
        <is>
          <t>Senior Lead AI Engineer (AI Foundations, LLM Core and Agentic AI)</t>
        </is>
      </c>
      <c r="C82" t="inlineStr">
        <is>
          <t>Capital One</t>
        </is>
      </c>
      <c r="D82" t="inlineStr">
        <is>
          <t>linkedin</t>
        </is>
      </c>
      <c r="E82" t="inlineStr"/>
      <c r="F82" t="inlineStr"/>
      <c r="G82" t="inlineStr">
        <is>
          <t>San Jose, CA</t>
        </is>
      </c>
      <c r="H82" t="inlineStr"/>
      <c r="I82"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AI Engineer
 McLean, VA: $229,900 \- $262,400 for Sr. Lead AI Engineer
 New York, NY: $250,800 \- $286,200 for Sr. Lead AI Engineer
 San Francisco, CA: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3">
      <c r="A83" t="inlineStr">
        <is>
          <t>li-4359793639</t>
        </is>
      </c>
      <c r="B83" t="inlineStr">
        <is>
          <t>Senior Lead AI Engineer (AI Foundations, LLM Core and Agentic AI)</t>
        </is>
      </c>
      <c r="C83" t="inlineStr">
        <is>
          <t>Capital One</t>
        </is>
      </c>
      <c r="D83" t="inlineStr">
        <is>
          <t>linkedin</t>
        </is>
      </c>
      <c r="E83" t="inlineStr"/>
      <c r="F83" t="inlineStr"/>
      <c r="G83" t="inlineStr">
        <is>
          <t>San Jose, CA</t>
        </is>
      </c>
      <c r="H83" t="inlineStr"/>
      <c r="I83"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AI Engineer
 McLean, VA: $229,900 \- $262,400 for Sr. Lead AI Engineer
 New York, NY: $250,800 \- $286,200 for Sr. Lead AI Engineer
 San Francisco, CA: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4">
      <c r="A84" t="inlineStr">
        <is>
          <t>li-4360623157</t>
        </is>
      </c>
      <c r="B84" t="inlineStr">
        <is>
          <t>Sr, Distinguished AI Engineer</t>
        </is>
      </c>
      <c r="C84" t="inlineStr">
        <is>
          <t>Capital One</t>
        </is>
      </c>
      <c r="D84" t="inlineStr">
        <is>
          <t>linkedin</t>
        </is>
      </c>
      <c r="E84" t="inlineStr"/>
      <c r="F84" t="inlineStr"/>
      <c r="G84" t="inlineStr">
        <is>
          <t>McLean, VA</t>
        </is>
      </c>
      <c r="H84" t="inlineStr"/>
      <c r="I84" t="inlineStr">
        <is>
          <t>AI Engineer \- Sr. Director Level (IC)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10 years of experience developing AI and ML algorithms or technologies, or a Master's degree in Computer Science, AI, Electrical Engineering, Computer Engineering, or related fields plus at least 8 years of experience developing AI and ML algorithms or technologies
* At least 10 years of experience programming with Python, Go, Scala, or Java
 Preferred Qualifications:
* 9 years of experience deploying scalable and responsible AI solutions on cloud platforms (e.g. AWS, Google Cloud, Azure, or equivalent private cloud)
* Experience architecting, designing, developing, integrating, delivering, and supporting complex enterprise AI systems
* Demonstrated ability to lead and mentor an engineering organization and influence cross\-functional stakeholders up to the SVP level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Sales Territory: $286,200 \- $326,700 for Sr. Distinguished AI Engineer
 Cambridge, MA: $314,800 \- $359,300 for Sr. Distinguished AI Engineer
 McLean, VA: $314,800 \- $359,300 for Sr. Distinguished AI Engineer
 New York, NY: $343,400 \- $392,000 for Sr. Distinguished AI Engineer
 San Francisco, CA: $343,400 \- $392,000 for Sr.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5">
      <c r="A85" t="inlineStr">
        <is>
          <t>li-4359923585</t>
        </is>
      </c>
      <c r="B85" t="inlineStr">
        <is>
          <t>Senior Lead AI Engineer (AI Foundations, LLM Core, Agentic AI)</t>
        </is>
      </c>
      <c r="C85" t="inlineStr">
        <is>
          <t>Capital One</t>
        </is>
      </c>
      <c r="D85" t="inlineStr">
        <is>
          <t>linkedin</t>
        </is>
      </c>
      <c r="E85" t="inlineStr"/>
      <c r="F85" t="inlineStr"/>
      <c r="G85" t="inlineStr">
        <is>
          <t>San Francisco, CA</t>
        </is>
      </c>
      <c r="H85" t="inlineStr"/>
      <c r="I85"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AI Engineer
 McLean, VA: $229,900 \- $262,400 for Sr. Lead AI Engineer
 New York, NY: $250,800 \- $286,200 for Sr. Lead AI Engineer
 San Francisco, CA: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6">
      <c r="A86" t="inlineStr">
        <is>
          <t>li-4359953525</t>
        </is>
      </c>
      <c r="B86" t="inlineStr">
        <is>
          <t>Senior AI Engineer  (AI Foundations, LLM Core and Agentic AI)</t>
        </is>
      </c>
      <c r="C86" t="inlineStr">
        <is>
          <t>Capital One</t>
        </is>
      </c>
      <c r="D86" t="inlineStr">
        <is>
          <t>linkedin</t>
        </is>
      </c>
      <c r="E86" t="inlineStr"/>
      <c r="F86" t="inlineStr"/>
      <c r="G86" t="inlineStr">
        <is>
          <t>New York, NY</t>
        </is>
      </c>
      <c r="H86" t="inlineStr"/>
      <c r="I86" t="inlineStr">
        <is>
          <t>Senior AI Engineer (AI Foundations, LLM Core and Agentic AI)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$161,800 \- $184,600 for Senior AI Engineer
 McLean, VA: $161,800 \- $184,600 for Senior AI Engineer
 New York, NY: $176,500 \- $201,400 for Senior AI Engineer
 San Francisco, CA: $176,500 \- $201,400 for Senior AI Engineer
 San Jose, CA: $176,500 \- $201,400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7">
      <c r="A87" t="inlineStr">
        <is>
          <t>li-4359793635</t>
        </is>
      </c>
      <c r="B87" t="inlineStr">
        <is>
          <t>Senior AI Engineer  (AI Foundations, LLM Core and Agentic AI)</t>
        </is>
      </c>
      <c r="C87" t="inlineStr">
        <is>
          <t>Capital One</t>
        </is>
      </c>
      <c r="D87" t="inlineStr">
        <is>
          <t>linkedin</t>
        </is>
      </c>
      <c r="E87" t="inlineStr"/>
      <c r="F87" t="inlineStr"/>
      <c r="G87" t="inlineStr">
        <is>
          <t>San Francisco, CA</t>
        </is>
      </c>
      <c r="H87" t="inlineStr"/>
      <c r="I87" t="inlineStr">
        <is>
          <t>Senior AI Engineer (AI Foundations, LLM Core and Agentic AI)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$161,800 \- $184,600 for Senior AI Engineer
 McLean, VA: $161,800 \- $184,600 for Senior AI Engineer
 New York, NY: $176,500 \- $201,400 for Senior AI Engineer
 San Francisco, CA: $176,500 \- $201,400 for Senior AI Engineer
 San Jose, CA: $176,500 \- $201,400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8">
      <c r="A88" t="inlineStr">
        <is>
          <t>li-4359793644</t>
        </is>
      </c>
      <c r="B88" t="inlineStr">
        <is>
          <t>Lead AI Engineer (AI Foundations, LLM Core and Agentic AI)</t>
        </is>
      </c>
      <c r="C88" t="inlineStr">
        <is>
          <t>Capital One</t>
        </is>
      </c>
      <c r="D88" t="inlineStr">
        <is>
          <t>linkedin</t>
        </is>
      </c>
      <c r="E88" t="inlineStr"/>
      <c r="F88" t="inlineStr"/>
      <c r="G88" t="inlineStr">
        <is>
          <t>San Francisco, CA</t>
        </is>
      </c>
      <c r="H88" t="inlineStr"/>
      <c r="I88"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AI Engineer
 McLean, VA: $197,300 \- $225,100 for Lead AI Engineer
 New York, NY: $215,200 \- $245,600 for Lead AI Engineer
 San Francisco, CA: $215,200 \- $245,600 for Lead AI Engineer
 San Jose, CA: $215,200 \- $245,600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9">
      <c r="A89" t="inlineStr">
        <is>
          <t>li-4359923571</t>
        </is>
      </c>
      <c r="B89" t="inlineStr">
        <is>
          <t>Lead AI Engineer (AI Foundations, LLM Core and Agentic AI)</t>
        </is>
      </c>
      <c r="C89" t="inlineStr">
        <is>
          <t>Capital One</t>
        </is>
      </c>
      <c r="D89" t="inlineStr">
        <is>
          <t>linkedin</t>
        </is>
      </c>
      <c r="E89" t="inlineStr"/>
      <c r="F89" t="inlineStr"/>
      <c r="G89" t="inlineStr">
        <is>
          <t>San Francisco, CA</t>
        </is>
      </c>
      <c r="H89" t="inlineStr"/>
      <c r="I89"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AI Engineer
 McLean, VA: $197,300 \- $225,100 for Lead AI Engineer
 New York, NY: $215,200 \- $245,600 for Lead AI Engineer
 San Francisco, CA: $215,200 \- $245,600 for Lead AI Engineer
 San Jose, CA: $215,200 \- $245,600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0">
      <c r="A90" t="inlineStr">
        <is>
          <t>li-4359933544</t>
        </is>
      </c>
      <c r="B90" t="inlineStr">
        <is>
          <t>Senior Lead AI Engineer (AI Foundations, LLM Core and Agentic AI)</t>
        </is>
      </c>
      <c r="C90" t="inlineStr">
        <is>
          <t>Capital One</t>
        </is>
      </c>
      <c r="D90" t="inlineStr">
        <is>
          <t>linkedin</t>
        </is>
      </c>
      <c r="E90" t="inlineStr"/>
      <c r="F90" t="inlineStr"/>
      <c r="G90" t="inlineStr">
        <is>
          <t>San Francisco, CA</t>
        </is>
      </c>
      <c r="H90" t="inlineStr"/>
      <c r="I90"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AI Engineer
 McLean, VA: $229,900 \- $262,400 for Sr. Lead AI Engineer
 New York, NY: $250,800 \- $286,200 for Sr. Lead AI Engineer
 San Francisco, CA: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1">
      <c r="A91" t="inlineStr">
        <is>
          <t>li-4360682626</t>
        </is>
      </c>
      <c r="B91" t="inlineStr">
        <is>
          <t>ML/AI Engineer</t>
        </is>
      </c>
      <c r="C91" t="inlineStr">
        <is>
          <t>Fluency</t>
        </is>
      </c>
      <c r="D91" t="inlineStr">
        <is>
          <t>linkedin</t>
        </is>
      </c>
      <c r="E91">
        <f>HYPERLINK("https://www.linkedin.com/jobs/view/4360682626", "https://www.linkedin.com/jobs/view/4360682626")</f>
        <v/>
      </c>
      <c r="F91" t="inlineStr"/>
      <c r="G91" t="inlineStr">
        <is>
          <t>San Francisco, CA</t>
        </is>
      </c>
      <c r="H91" t="inlineStr"/>
      <c r="I91" t="inlineStr">
        <is>
          <t>****Fluency is enabling the autonomous Enterprise. (in person)****
 You're needed to build the intelligence layer that understands how work actually happens. We're not fine\-tuning chatbots. We're building systems that comprehend, classify, and quantify enterprise workflows at a scale nobody has attempted.
 Fluency is looking for an ML/AI Engineer to design and build the models that power process conformance, productivity measurement, and AI impact analysis across Fortune 500 organisations.
 The Problem Space
 You'll be building hybrid ML systems that operate on messy, real\-world data: screenshots, OCR text, application metadata, and behavioural signals. The challenge is extracting structured understanding from unstructured chaos, at scale, with cost constraints that make brute\-force LLM calls untenable.
 This means:
* Designing classification systems that detect AI tool usage across thousands of applications
* Building process conformance models that compare observed workflows against ideal templates
* Creating attribution models that quantify productivity impact with statistical rigour
* Optimising inference pipelines to balance accuracy against token economics
 The playbook doesn't exist. You'll write it.
 We're backed by T1 VCs like Accel and are hitting an inflection point with Enterprises all around the globe.
 You'll work directly with founders and our engineering team on technical challenges that span classical ML, LLM orchestration, and production systems engineering.
**About The Role**
 We're looking for someone with:
* Strong Python fundamentals and software engineering discipline
* Experience building classification and NLP systems
* LLM prompt engineering and optimisation (token efficiency, few\-shot design, chain\-of\-thought)
* Evaluation methodology: building ground truth datasets, A/B testing, accuracy measurement
* Production ML experience: model serving, latency optimisation, monitoring
* Comfort with ambiguity and novel problem domains
**Computer Science Background** 
 \- with caveat. \*If you don't have a CS background, you're challenged to beat one of the founders in a 1:1 whiteboard duel on DS\&amp;A judged by Hung. Neither founders have formal CS background, but come prepped.
 There will be an expectation to stay up to business context, which could involve:
* Watching key customer calls
* Interacting with customers
* Helping with product thinking
**Strongly Preferred**
* Experience with hybrid ML/rule\-based systems
* OCR, document understanding, or computer vision background
* Cost optimisation for LLM\-heavy systems
* PyTorch or similar framework experience
* Familiarity with process mining or workflow analysis
* You've shipped ML systems that operate at scale under real constraints
* Interesting personal projects that demonstrate depth
 Our Customers
 We work with some of the world's largest:
* Financial services enterprises (Aon)
* Manufacturing enterprises (Misumi)
* And many more across the enterprise spectrum (PVH)
 Our Culture
 You're expected to be in love with the craft. You're expected to like laughing. You're expected to want to work on novel problems. You're expected to find satisfaction in novelty. You're expected to solve under obscurity.
 Our Values
* In hesitation lies destruction; in action, glory.
* Those who merely meet expectations abandon the pursuit of greatness.
* One who dwells within the forum must regard it as hallowed ground.
* One who has not tasted the grapes declares them sour.
* One who sits alone at the feast misses the richness of the table.
 Location
 Full\-time, in\-person role based in San Francisco, CA.
* We offer E3 sponsorship for Australians to relocate with stipend
**Compensation**
* US$150K \- $250K salary, depending on candidate and experience
* Substantial equity \- every offer includes ownership
* Mac, Linux, or Windows \- your call
* High\-impact work with global enterprises
* Technical, product\-led founders
 Don't apply if:
* You want hybrid or remote
* You don't like working hard and with insane velocity
* You want to work a 9 to 5
* You're not comfortable with rapid iteration
* You think prompt engineering is beneath you
* You've never shipped a model to production
* You don't have personal projects
* You dislike constraints (we have them: cost, latency, accuracy tradeoffs are real)
* You aren't ambitious
* You don't have a good reason for wanting to work at an early\-stage company
 Hiring Process
* Resume screen
* 1:1 with founder
* Technical deep\-dive on past ML work
* Work through a real problem with the team
* Offer
 We strongly encourage applicants from underrepresented backgrounds to apply. Diverse teams build better products \- see value \#5\.
 Compensation Range: $150K \- $250K</t>
        </is>
      </c>
    </row>
    <row r="92">
      <c r="A92" t="inlineStr">
        <is>
          <t>li-4359783710</t>
        </is>
      </c>
      <c r="B92" t="inlineStr">
        <is>
          <t>Machine Learning Engineer</t>
        </is>
      </c>
      <c r="C92" t="inlineStr">
        <is>
          <t>Plaid</t>
        </is>
      </c>
      <c r="D92" t="inlineStr">
        <is>
          <t>linkedin</t>
        </is>
      </c>
      <c r="E92">
        <f>HYPERLINK("https://www.linkedin.com/jobs/view/4359783710", "https://www.linkedin.com/jobs/view/4359783710")</f>
        <v/>
      </c>
      <c r="F92" t="inlineStr"/>
      <c r="G92" t="inlineStr"/>
      <c r="H92" t="inlineStr"/>
      <c r="I92" t="inlineStr">
        <is>
          <t>**About The Company** 
 We believe that the way people interact with their finances will drastically improve in the next few years. Plaid is dedicated to empowering this transformation by building the tools and experiences that thousands of developers use to create their own products. Our company, Plaid, powers the tools millions of people rely on to live a healthier financial life. We work with thousands of companies including Venmo, SoFi, several Fortune 500 firms, and many of the largest banks to facilitate seamless connection of financial accounts to various applications and services. Our extensive network covers over 12,000 financial institutions across the US, Canada, UK, and Europe. Founded in 2013 and headquartered in San Francisco, we also have offices in New York, Washington D.C., London, and Amsterdam.
**About The Role** 
 As a Staff Machine Learning Engineer within Plaid’s Fraud Data team, you will play a pivotal role in designing and building scalable machine learning infrastructure that underpins our industry\-leading fraud detection products. Your expertise will drive the evolution of our model deployment, monitoring, and observability frameworks, ensuring high reliability and optimal performance at scale. Collaborating closely with cross\-functional teams including ML Infrastructure, Product, and Engineering, you will develop robust systems that safeguard users and customers from fraudulent activities. Additionally, you will mentor other engineers, contribute to shaping the long\-term technical vision, and influence the strategic direction of the Fraud Data team. This role offers the flexibility of remote work and is ideal for candidates passionate about leveraging data and machine learning to enhance financial security on a global scale.
**Qualifications** 
* 8\+ years of total professional experience, including at least 5 years building and deploying production machine learning systems.
* Proven expertise in machine learning infrastructure and operations.
* Demonstrated technical leadership and architectural vision, with a track record of driving systems from concept to production.
* Proficiency in Python, PyTorch, Spark, SageMaker, Airflow, or equivalent technologies.
* Experience working in fraud detection, risk modeling, or financial security domains is a plus.
* Background in graph machine learning or related advanced techniques is desirable.
**Responsibilities** 
* Design and develop scalable machine learning infrastructure to support Plaid’s fraud detection products.
* Build and maintain robust ML pipelines and systems that handle large\-scale financial data.
* Solve complex problems at the intersection of ML systems, data management, and system reliability.
* Establish the foundational components for fraud detection on one of the largest financial datasets globally.
* Collaborate effectively with engineering, data science, and product teams to deliver innovative solutions.
* Lead efforts to improve model deployment, monitoring, and observability frameworks for high reliability.
* Mentor junior engineers and contribute to technical strategy and long\-term vision of the team.
**Benefits** 
* Competitive salary range of $253,200 \- $400,000 annually.
* Comprehensive health, dental, and vision insurance plans.
* Flexible working arrangements, including remote work options.
* Generous paid time off and holiday leave policies.
* Opportunities for professional development and continuous learning.
* Inclusive and diverse workplace culture committed to equity and belonging.
 Equal Opportunity
 Plaid is proud to be an equal opportunity employer. We value diversity and are committed to creating an inclusive environment for all employees. We do not discriminate based on race, color, national origin, ethnicity, religion, sex (including pregnancy and related medical conditions), sexual orientation, gender identity or expression, transgender status, age, military or veteran status, disability, or any other legally protected characteristic.</t>
        </is>
      </c>
    </row>
    <row r="93">
      <c r="A93" t="inlineStr">
        <is>
          <t>li-4359983216</t>
        </is>
      </c>
      <c r="B93" t="inlineStr">
        <is>
          <t>AI/ML Engineer</t>
        </is>
      </c>
      <c r="C93" t="inlineStr">
        <is>
          <t>Replica</t>
        </is>
      </c>
      <c r="D93" t="inlineStr">
        <is>
          <t>linkedin</t>
        </is>
      </c>
      <c r="E93">
        <f>HYPERLINK("https://www.linkedin.com/jobs/view/4359983216", "https://www.linkedin.com/jobs/view/4359983216")</f>
        <v/>
      </c>
      <c r="F93">
        <f>HYPERLINK("https://www.wiraa.com/job-description/us4AFD861511D6F74E7E867804E635675F?source=Linkedin&amp;urlHash=ay9I", "https://www.wiraa.com/job-description/us4AFD861511D6F74E7E867804E635675F?source=Linkedin&amp;urlHash=ay9I")</f>
        <v/>
      </c>
      <c r="G93" t="inlineStr"/>
      <c r="H93" t="inlineStr"/>
      <c r="I93" t="inlineStr">
        <is>
          <t>**About The Company** 
 Replica is an innovative company dedicated to providing comprehensive data about the built environment and human interactions within it. Established as a spin\-out from Alphabet in 2019, the company has rapidly grown to become a leader in urban analytics, leveraging advanced data collection and modeling techniques to help both public and private sectors make informed decisions. With recent Series B funding from prominent venture firms such as Founders Fund, Innovation Endeavors, Sidewalk Labs, Firebrand Ventures, and Revolution’s Rise of the Rest Seed Fund, Replica has solidified its position in the market. The organization employs a talented team of 34 professionals across offices in San Francisco, New York, Kansas City, and remote locations across the United States. Committed to fostering a diverse and inclusive environment, Replica values resourcefulness, customer\-centricity, and collaborative innovation. The company's mission revolves around transforming hard urban planning and operational challenges into actionable insights through intuitive design and human\-centered data. Whether assisting city planners in increasing public transit accessibility or helping retail chains decide on new locations, Replica’s insights enable more effective and people\-focused decisions.
**About The Role** 
 Replica is seeking a highly skilled Applied AI/ML Engineer to join its dynamic team. This senior or higher\-level role involves designing, implementing, and scaling advanced machine learning models that power the company's urban simulation and analytics products. The ideal candidate will operate at the intersection of research and engineering, translating cutting\-edge AI/ML techniques into production\-ready solutions that generate meaningful insights about mobility, land use, and activity patterns across the United States. This role requires collaboration with cross\-functional teams—including product management, data science, and engineering—to ensure the development of robust, scalable, and innovative models. The engineer will focus on algorithm development, model optimization, and integration, contributing to Replica’s goal of providing actionable urban insights. The position offers an exciting opportunity to influence urban planning and mobility through state\-of\-the\-art AI/ML applications, working in a fast\-paced, entrepreneurial environment that values innovation, technical excellence, and impact.
**Qualifications** 
* Bachelor’s degree in Computer Science, Applied Mathematics, Engineering, or a related field; advanced degrees (MS/PhD) preferred.
* 4\+ years of professional experience in applied machine learning, research engineering, or related roles.
* Proficiency in Python programming, with experience in ML libraries such as PyTorch, TensorFlow, and scikit\-learn.
* Hands\-on experience designing, training, and deploying machine learning models in production environments.
* Strong experience working with large\-scale datasets, particularly geospatial or time\-series data.
* Familiarity with distributed computation frameworks like Dask, Spark, or Ray, and cloud platforms such as GCP.
* Excellent communication skills, capable of articulating technical decisions and tradeoffs to diverse audiences.
* Knowledge of geospatial analysis, urban data modeling, and related fields is a plus.
**Responsibilities** 
* Design, prototype, and implement applied AI/ML models for mobility, activity, and behavioral analysis at scale.
* Enhance core models related to routing, mode choice, demand estimation, and geospatial forecasting, balancing innovation with production readiness.
* Collaborate with product and data science teams to define technical strategies for modeling initiatives aligned with customer and business needs.
* Evaluate and incorporate new data sources such as mobility datasets, traffic sensors, and geospatial layers for model improvement.
* Develop algorithms to fuse proprietary data with external sources like census data, land use, and streaming data streams.
* Assess model performance, establish success metrics, and iterate to improve accuracy, robustness, and fairness.
* Work closely with data engineers to transition prototypes into scalable, reliable systems used nationwide.
* Contribute to the development of modeling frameworks and shared libraries, mentoring team members to elevate technical standards.
* Stay current with advances in AI, machine learning, and geospatial modeling, applying relevant innovations to business challenges.
**Benefits** 
* Competitive salary commensurate with experience and impact potential.
* Equity stock options providing ownership opportunity in a growing startup.
* Health benefits including medical, dental, and vision coverage, along with FSA options.
* Flexible paid time off to support work\-life balance.
* Opportunities to work in offices located in San Francisco, New York, Kansas City, or remotely across the US.
* Participation in a forward\-thinking, inclusive company culture that values diversity and innovation.
* 401(k) plan with a 3% safe harbor employer contribution.
* Additional incentive bonuses and benefits may be available based on role and performance.
 Equal Opportunity
 Replica is an equal opportunity employer committed to creating a diverse and inclusive workplace. We do not discriminate based on race, color, ancestry, religion, gender, gender identity, parental or pregnancy status, national origin, sexual orientation, age, citizenship, marital status, disability, veteran status, or any other protected class.</t>
        </is>
      </c>
    </row>
    <row r="94">
      <c r="A94" t="inlineStr">
        <is>
          <t>li-4359933322</t>
        </is>
      </c>
      <c r="B94" t="inlineStr">
        <is>
          <t>Machine Learning Engineer</t>
        </is>
      </c>
      <c r="C94" t="inlineStr">
        <is>
          <t>Whatnot</t>
        </is>
      </c>
      <c r="D94" t="inlineStr">
        <is>
          <t>linkedin</t>
        </is>
      </c>
      <c r="E94">
        <f>HYPERLINK("https://www.linkedin.com/jobs/view/4359933322", "https://www.linkedin.com/jobs/view/4359933322")</f>
        <v/>
      </c>
      <c r="F94">
        <f>HYPERLINK("https://www.wiraa.com/job-description/usF349A56CF330B10C3B1A6A5BDE784D53?source=Linkedin&amp;urlHash=pIgx", "https://www.wiraa.com/job-description/usF349A56CF330B10C3B1A6A5BDE784D53?source=Linkedin&amp;urlHash=pIgx")</f>
        <v/>
      </c>
      <c r="G94" t="inlineStr"/>
      <c r="H94" t="inlineStr"/>
      <c r="I94" t="inlineStr">
        <is>
          <t>**About The Company**
 Join the Future of Commerce with Whatnot! Whatnot is the largest live shopping platform in North America and Europe dedicated to revolutionizing the way people buy, sell, and discover their favorite items. We are redefining e\-commerce by seamlessly blending community engagement, shopping, and entertainment into a vibrant ecosystem tailored for passionate users. With a remote co\-located team and hubs across the US, UK, Germany, Ireland, and Poland, we are committed to building the future of online marketplaces through innovation and collaboration. Our diverse marketplace features a wide array of categories, including fashion, beauty, electronics, collectibles like trading cards and comic books, and even live plants, ensuring there is something for everyone. As one of the fastest\-growing marketplaces, we are constantly expanding our reach and capabilities, seeking bold and forward\-thinking problem solvers to join our dynamic team. We foster a culture of innovation, agility, and user\-centricity, empowering our team members to turn their passions into thriving businesses and to bring people together through commerce.
**About The Role**
 We are seeking a talented Machine Learning Engineer to join our Discovery Content and Navigation (CAN) team. The primary mission of this team is to enhance the user experience by capturing intent and content signals to create a seamless, engaging, and personalized navigation experience for Whatnot buyers. The role involves developing and deploying machine learning models that power personalized search, recommendations, and discovery features, ensuring that users can effortlessly find engaging shows, relevant products, and connect with sellers. You will lead end\-to\-end ML projects, from scoping and data collection to model training, deployment, and online experimentation. Collaborating closely with cross\-functional teams, you will support product initiatives such as category and brand recommendations, and promote high\-quality, relevant livestreams and products across the platform. This position offers the opportunity to drive technical excellence, establish best practices in ML, and influence the strategic direction of our discovery ecosystem. The role is based in the US with flexible work arrangements, including remote work and the option to work from one of our global office hubs, provided you are within commuting distance of our major locations in New York, San Francisco, Los Angeles, or Seattle.
**Qualifications**
* 4\+ years of industry experience building and deploying machine learning models at scale
* Proficiency in Python, SQL, and common ML frameworks (e.g., TensorFlow, PyTorch, Scikit\-learn)
* Hands\-on experience with applied statistical methods and machine learning techniques such as search, recommendations, content understanding, natural language processing, and large language models
* Strong understanding of data collection, feature engineering, model training, and deployment processes
* Experience working on consumer\-facing platforms and solving real\-world problems using large\-scale data
* Excellent communication skills with the ability to influence and align cross\-functional teams
* Product\-focused mindset with a user\-centric approach to problem\-solving
* Proven ability to ship features rapidly and efficiently in a fast\-paced environment
* Relevant experience in a high\-growth startup environment is preferred
**Responsibilities**
* Lead the design, development, and productionization of machine learning models to enhance personalized navigation, search, and recommendations
* Manage ML projects end\-to\-end, including scoping, data collection, feature engineering, model training, deployment, and online experimentation
* Collaborate with product teams to implement ML\-driven features such as category and brand recommendations, and promote high\-quality livestreams and products
* Work closely with engineering and data teams to integrate ML solutions into production systems at scale
* Establish and promote best practices in ML development, deployment, and monitoring across the organization
* Continuously analyze platform data to improve model performance and user experience
* Stay updated with the latest advancements in AI and machine learning to incorporate innovative solutions
**Benefits**
* Flexible time\-off policy and company\-wide holidays, including spring and winter breaks
* Comprehensive health insurance options covering Medical, Dental, and Vision
* Support for remote work, including home office setup allowances and monthly cellphone/internet stipends
* Care benefits and wellness allowances to promote employee well\-being
* Annual childcare allowance and lifetime family planning benefits such as adoption and fertility expenses
* Retirement plans including 401(k) with employer matching in the US, and pension plans internationally
* Monthly allowance for product testing and user experience feedback
* Paid parental leave of 16 weeks, with a gradual return\-to\-work program
* Opportunities for professional growth and development within a dynamic, innovative environment
 Equal Opportunity
 Whatnot is proud to be an Equal Opportunity Employer. We value diversity and are committed to creating an inclusive environment for all employees. We do not discriminate based on race, religion, color, national origin, gender, sexual orientation, age, marital status, veteran status, parental status, disability, or any other protected characteristic under applicable law. We believe that a diverse workforce enhances our culture, drives innovation, and improves our ability to serve our community. All qualified applicants are encouraged to apply and will be considered without regard to any protected status.</t>
        </is>
      </c>
    </row>
    <row r="95">
      <c r="A95" t="inlineStr">
        <is>
          <t>li-4332824293</t>
        </is>
      </c>
      <c r="B95" t="inlineStr">
        <is>
          <t>Founding Machine Learning Engineer (10% Sweat Equity)</t>
        </is>
      </c>
      <c r="C95" t="inlineStr">
        <is>
          <t>Tradora.ai</t>
        </is>
      </c>
      <c r="D95" t="inlineStr">
        <is>
          <t>linkedin</t>
        </is>
      </c>
      <c r="E95">
        <f>HYPERLINK("https://www.linkedin.com/jobs/view/4332824293", "https://www.linkedin.com/jobs/view/4332824293")</f>
        <v/>
      </c>
      <c r="F95" t="inlineStr"/>
      <c r="G95" t="inlineStr"/>
      <c r="H95" t="inlineStr"/>
      <c r="I95" t="inlineStr">
        <is>
          <t>**Remote \| United States \| Full\-TimeAbout Tradora** 
 Tradora is reimagining vehicle ownership through intelligence.
 We’re building an AI\-powered fintech platform that transforms cars into managed financial assets — giving consumers and businesses the same equity optimization tools used by wealth managers.
 Our
 **patent\-pending Predictive Equity Management System** 
 leverages proprietary AI frameworks that measure and optimize vehicle equity in real time — helping drivers make smarter decisions around refinancing, insurance, service, and resale.
*(All intellectual property is exclusively owned by Tradora Technologies Inc.)* 
**The Role** 
 We’re looking for a
 **Founding Machine Learning Engineer** 
 to help build, deploy, and scale Tradora’s predictive AI stack.
 You’ll work directly with the founding team (automotive, fintech, and data backgrounds) to operationalize our core models and help shape the company’s data infrastructure and ML roadmap.
 **What You’ll Do** 
* Implement predictive models for valuation, depreciation, and financial forecasting.
* Build production\-grade pipelines, features, and model monitoring systems.
* Collaborate on model training, testing, and deployment across environments.
* Support data integration for finance, insurance, and mobility datasets.
* Drive experimentation and long\-term scalability of Tradora’s ML systems.
**Ideal Profile** 
* 3–6 years of experience in machine learning engineering or applied data science.
* Strong skills in
 **Python, PyTorch/TensorFlow, scikit\-learn, SQL, and cloud ML tools (AWS/GCP/MLflow)** 
 .
* Solid grounding in
 **forecasting, optimization, or financial modeling** 
 .
* Thrives in early\-stage environments — self\-directed, resourceful, and creative.
* Motivated by
 **equity participation** 
 and building real, defensible technology.
**Compensation \&amp; Ownership
* 10% founding\-level equity (sweat equity) — vested over time based on contribution mi
 lestones.All w
 * ork, code, and models produced are owned
 **by Tradora Technologies Inc. unde** 
 r standard IP assignment.Remot
* e\-first structure and close collaboration with the founders.
**Why Join Now** 
 You’ll be joining at the foundation of a company with a
 **patent\-pending AI platform** 
 , investor momentum, and a clear path to market.
 This is an opportunity to define the machine learning core of a fintech\-mobility startup aiming to create a new category in vehicle equity intelligence.
 📩 R
 **each out directly to Floris Chaumat at floris@tradora.ai or Phil Watstein at phil@tradora.ai** 
 Let’s redefine vehicle ownership through AI, equity, and intelligence.**</t>
        </is>
      </c>
    </row>
    <row r="96">
      <c r="A96" t="inlineStr">
        <is>
          <t>li-4359943327</t>
        </is>
      </c>
      <c r="B96" t="inlineStr">
        <is>
          <t>ML Engineer</t>
        </is>
      </c>
      <c r="C96" t="inlineStr">
        <is>
          <t>Rad AI</t>
        </is>
      </c>
      <c r="D96" t="inlineStr">
        <is>
          <t>linkedin</t>
        </is>
      </c>
      <c r="E96">
        <f>HYPERLINK("https://www.linkedin.com/jobs/view/4359943327", "https://www.linkedin.com/jobs/view/4359943327")</f>
        <v/>
      </c>
      <c r="F96" t="inlineStr"/>
      <c r="G96" t="inlineStr"/>
      <c r="H96" t="inlineStr"/>
      <c r="I96" t="inlineStr">
        <is>
          <t>**About Rad AI** 
 Rad AI is a pioneering healthcare technology company dedicated to transforming the future of medical imaging through artificial intelligence. Founded by a radiologist, our mission is to empower radiologists with innovative AI\-driven solutions that enhance diagnostic accuracy, reduce workload, and improve patient outcomes. With one of the largest proprietary datasets of radiology reports globally, Rad AI has successfully contributed to uncovering hundreds of new cancer diagnoses and significantly reducing error rates in millions of radiology reports. Our cutting\-edge AI models are integrated into clinical workflows, supporting a substantial portion of radiology practices across the United States.
 Our company has attracted over $140 million in funding, including a recent oversubscribed Series C round led by Transformation Capital, which elevated our valuation to over half a billion dollars. Our investors, including Khosla Ventures, World Innovation Lab, Gradient Ventures, and Cone Health Ventures, share our vision of leveraging AI to revolutionize healthcare. Rad AI's innovative generative AI solutions are used daily by thousands of radiologists, supporting more than one\-third of radiology groups and nearly 50% of all medical imaging in the U.S., with partnerships spanning renowned healthcare systems such as Cone Health, Jefferson Einstein Health, Geisinger, Guthrie Healthcare, and Henry Ford Health.
 Recognized as one of the most promising healthcare AI companies by CB Insights and AuntMinnie, and ranked by Deloitte as the 19th fastest\-growing company in North America, Rad AI continues to lead the industry with its impactful solutions. Our recent inclusion in CNBC’s Disruptor 50 list underscores our commitment to innovation and excellence. We are dedicated to building AI\-powered tools that make a meaningful difference in clinical practice and patient care.
**About The Role** 
 We are seeking a highly skilled Staff Machine Learning Engineer to join our MLOps team. In this pivotal role, you will be responsible for designing, developing, and maintaining the infrastructure that underpins our AI research and product deployment efforts. Your work will directly impact the efficiency and scalability of our machine learning models, enabling radiologists to access powerful tools that enhance diagnostic precision and workflow efficiency. This role is primarily backend\-focused, emphasizing cloud\-native development and systems architecture, with a strong emphasis on Python programming.
 You will collaborate closely with data scientists, product managers, and engineering teams to build robust, scalable, and secure systems that support continuous integration, delivery, and training of machine learning models. Your expertise will help ensure that our AI solutions are reliable, compliant with healthcare regulations such as HIPAA, and capable of supporting the high demands of clinical environments. This is a unique opportunity to work at the intersection of AI and healthcare, contributing to innovations that directly improve patient outcomes and radiologist workflows.
**Qualifications** 
* 8\+ years of industry experience in machine learning engineering within cloud\-native environments
* Proficiency in Python programming
* Experience with infrastructure and DevOps tools such as Kubernetes, Docker, and Ansible
* Strong knowledge of cloud platforms, preferably AWS, GCP, or Azure
* Experience architecting distributed systems, storage solutions, and databases
* Hands\-on experience with machine learning frameworks like PyTorch and LangGraph
* Familiarity with orchestration tools such as Airflow (preferred)
* Experience with infrastructure\-as\-code tools like Terraform, Pulumi, or CloudFormation
* Knowledge of monitoring, tracing, and logging tools such as CloudWatch, NewRelic, or Grafana
* Excellent communication skills and a systematic approach to problem\-solving
* Proven ability to manage incidents and establish preventative systems using blameless postmortems
**Responsibilities** 
* Design and architect the infrastructure supporting machine learning applications, services, and workflows
* Develop and maintain the ML platform to support continuous integration, delivery, and training cycles
* Create cloud\-native and serverless architectures to ensure scalable and resilient systems
* Collaborate with data scientists to design efficient data pipelines for model deployment
* Write secure, maintainable, and high\-quality code adhering to internal standards
* Deploy, monitor, and troubleshoot the full ML platform stack, including observability and analytics
* Integrate backend systems with customer\-facing products to ensure seamless model deployment
* Work closely with cross\-functional teams to iterate on features and improve infrastructure efficiency
* Address operational issues proactively and develop systems to prevent future incidents
**Benefits** 
* Comprehensive Medical, Dental, Vision \&amp; Life insurance coverage
* HSA (with employer match), FSA, and DCFSA options
* 401(k) retirement plan
* 11 paid company holidays annually
* Flexible location policy supporting remote work
* Flexible Paid Time Off (PTO) policy
* Annual company\-wide offsite events and periodic team gatherings
* Annual equipment stipend to support remote work setup
 Equal Opportunity
 Rad AI values diversity and is committed to providing equal employment opportunities to all employees and applicants without regard to race, color, religion, national origin, gender, sexual orientation, age, marital status, veteran status, or disability. We consider qualified applicants with criminal histories in accordance with the San Francisco Fair Chance Ordinance.</t>
        </is>
      </c>
    </row>
    <row r="97">
      <c r="A97" t="inlineStr">
        <is>
          <t>li-4345393246</t>
        </is>
      </c>
      <c r="B97" t="inlineStr">
        <is>
          <t>Machine Learning Engineer, Personalization &amp; Recommendation Systems</t>
        </is>
      </c>
      <c r="C97" t="inlineStr">
        <is>
          <t>hackajob</t>
        </is>
      </c>
      <c r="D97" t="inlineStr">
        <is>
          <t>linkedin</t>
        </is>
      </c>
      <c r="E97">
        <f>HYPERLINK("https://www.linkedin.com/jobs/view/4345393246", "https://www.linkedin.com/jobs/view/4345393246")</f>
        <v/>
      </c>
      <c r="F97">
        <f>HYPERLINK("https://www.hackajob.com/job/70b5aa58-ed8d-11f0-9e38-0a05e249917d-machine-learning-engineer-personalization-recommendation-systems?utm_source=LinkedIn&amp;utm_medium=JobAds&amp;utm_term=Automated&amp;utm_campaign=comcast-machine-learning-engineer-personalization-recommendation-systems&amp;job_name=machine-learning-engineer-personalization-recommendation-systems&amp;company=comcast&amp;workplace_type=remote&amp;country=united-states&amp;urlHash=p9zw", "https://www.hackajob.com/job/70b5aa58-ed8d-11f0-9e38-0a05e249917d-machine-learning-engineer-personalization-recommendation-systems?utm_source=LinkedIn&amp;utm_medium=JobAds&amp;utm_term=Automated&amp;utm_campaign=comcast-machine-learning-engineer-personalization-recommendation-systems&amp;job_name=machine-learning-engineer-personalization-recommendation-systems&amp;company=comcast&amp;workplace_type=remote&amp;country=united-states&amp;urlHash=p9zw")</f>
        <v/>
      </c>
      <c r="G97" t="inlineStr"/>
      <c r="H97" t="inlineStr"/>
      <c r="I97" t="inlineStr">
        <is>
          <t>***hackajob** 
 is collaborating with
 **Comcast** 
 to connect them with exceptional tech professionals for this role.*
 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Join our Personalization team and help shape the future of customer experiences for millions of users across Comcast and Sky. We are looking for a Machine Learning Engineer with deep expertise in personalization and recommendation systems. This is an opportunity to work on cutting\-edge algorithms, large\-scale data systems, and deliver impactful solutions that drive engagement and satisfaction.
**Job Description**
**What You’ll Do**
* Design, develop, and deploy machine learning models for personalization at scale.
* Leverage contrastive learning and large language models (LLMs) to improve content recommendations.
* Contribute to research\-driven innovation, such as developing advanced sampling strategies and fine\-tuning LLMs for cross\-domain performance improvements.
* Research and implement state\-of\-the\-art algorithms in recommendation systems, NLP, and predictive modeling.
* Collaborate with data scientists, engineers, and product teams to integrate models into production systems.
* Optimize model performance and ensure scalability across large datasets.
* Stay current with advancements in ML and personalization technologies.
**What You’ll Bring**
* Ph.D. in Computer Science, Machine Learning, Statistics, or related field (or equivalent research experience).
* Strong background in machine learning, deep learning, and recommendation systems.
* Proficiency in Python and ML frameworks (TensorFlow, PyTorch, etc.).
* Experience with large\-scale data processing (Spark, Hadoop) and cloud platforms (AWS, Azure, GCP).
* Solid understanding of algorithms, data structures, and software engineering principles.
**Preferred Skills**
* Experience with personalization systems in media, e\-commerce, or streaming platforms.
* Publications in top\-tier ML conferences or journals.
* Experience applying contrastive learning techniques to improve model representations and performance.
* Strong understanding of large language models (LLMs) and hands\-on experience with fine\-tuning for domain adaptation.
* Ability to design and implement advanced sampling strategies for machine learning tasks.
* Proven track record of working on personalization and recommendation systems at scale.
* Familiarity with evaluation methodologies across multiple domains and optimizing models for cross\-domain generalization.
* Familiarity with reinforcement learning or multi\-armed bandit approaches.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Recommendation Systems; ML Frameworks; Problem Solving; Python (Programming Language); Large Scale Data Processing
**Salary**
 Primary Location Pay Range: $142,651\.46 \- $213,977\.19
 Comcast intends to offer the selected candidate base pay within this range, dependent on job\-related, non\-discriminatory factors such as experience.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98">
      <c r="A98" t="inlineStr">
        <is>
          <t>li-4351812672</t>
        </is>
      </c>
      <c r="B98" t="inlineStr">
        <is>
          <t>Full Stack AI/ML Engineer + Unity</t>
        </is>
      </c>
      <c r="C98" t="inlineStr">
        <is>
          <t>Future State University</t>
        </is>
      </c>
      <c r="D98" t="inlineStr">
        <is>
          <t>linkedin</t>
        </is>
      </c>
      <c r="E98">
        <f>HYPERLINK("https://www.linkedin.com/jobs/view/4351812672", "https://www.linkedin.com/jobs/view/4351812672")</f>
        <v/>
      </c>
      <c r="F98" t="inlineStr"/>
      <c r="G98" t="inlineStr"/>
      <c r="H98" t="inlineStr"/>
      <c r="I98" t="inlineStr">
        <is>
          <t>**Job Title:** 
 Unicorn AI/ML Prompt Engineer \+ Full\-Stack Developer \+ Unity Gaming Experience
*Future State University (FSU)* 
 About Future State University (FSU)
 We’re building an AI native education system and career building platform in a 3D MMO world. Applied learning at scale. FSU blends AI\-driven career quests, immersive challenges, and adaptive learning into a gamified professional social network that feels like Fortnite meets LinkedIn for education.
 Our mission: Prepare the next generation for the future of work in the age of AI by delivering scalable, personalized career education and real\-world job readiness, all powered by cutting\-edge AI and 3D tech.
 The Role
 We’re hunting for a
 *rare unicorn* 
 —someone who lives and breathes what's possible AI/ML engineering, full\-stack backend development, and Unity game programming at the absolute top level.
 This role requires mastery across the entire AI\-to\-game pipeline: designing world\-class LLM prompt systems (including multi\-agent orchestration) and RAG integrations, building scalable backend systems, and coding real\-time multiplayer Unity experiences that bring career quests and AI classrooms to life.
 If you want to
 *push the bleeding edge* 
 of AI\-driven EdTech gaming and are fiercely proud of your craft, read on.
 What You’ll Own
* Design, build, and optimize prompt systems for advanced LLMs—crafting dynamic, adaptive AI interactions tailored to each learner’s journey.
* Work hand in hand with front end game dev team in Unity focused on user experience first design.
* Architect and develop scalable backend services with Node.js and Python, leveraging MongoDB, vector search, LangChain/LangGraph, and RAG frameworks.
* Implement complex Unity (C\#) multiplayer features, including low\-latency networking, avatar systems, immersive quests, and AI\-powered gameplay elements.
* Seamlessly integrate AI\-driven learning systems with interactive 3D environments to deliver personalized, evolving career questlines and simulations.
* Lead CI/CD pipelines, cloud deployments, and performance optimizations to maintain a robust, scalable platform.
* Collaborate closely with cross\-functional teams, game designers, AI scientists, narrative writers—to align technical solutions with user engagement and learning goals.
* Continuously iterate based on analytics and user feedback, ensuring prompt accuracy, game balance, and learning efficacy at scale.
 Skills Required — Only the Best Need Apply
* **Prompt Engineering:** 
 Proven expert in crafting, testing, and deploying high\-impact prompts for LLMs with deep RAG system experience (LangChain, LangGraph, vector DBs).
* **Full\-Stack Mastery:** 
 Expert\-level backend skills in Node.js and Python, with solid command of NoSQL DBs (MongoDB), cloud services (AWS/GCP), containerization (Docker), and CI/CD.
* **Unity Programming:** 
 Advanced Unity (C\#) developer with a portfolio of shipped multiplayer 3D projects demonstrating real\-time networking, optimization, and system architecture.
* **AI Integration:** 
 Strong background integrating AI (LLMs, adaptive systems, personalization) into real\-time interactive or game platforms.
* **Systems Design:** 
 Ability to build modular, fault\-tolerant architectures combining backend AI and Unity client with low\-latency, high concurrency support.
* **Debugging \&amp; Optimization:** 
 Exceptional at diagnosing, profiling, and tuning both backend pipelines and client builds under pressure.
* **Collaboration:** 
 Thrives in fast\-paced, cross\-disciplinary teams and communicates clearly with engineers, designers, and product owners.
**Bonus:** 
* Experience with reinforcement learning or custom model fine\-tuning.
* EdTech, gamification, or career readiness platform background.
 Why Join FSU?
* Lead the future of AI\-driven career education in a fast\-growing startup.
* Work on a breakthrough platform blending AI, 3D gaming, and professional networking.
* Collaborate with a mission\-driven, world\-class team pushing the boundaries of EdTech.
* High equity, and a culture that prizes innovation and impact.
 🚀 See FSU in action:
 🎮 Student Gameplay Demo: https://youtu.be/6s7\-NPHUlvM
 📊 AI Teacher Dashboards: https://youtu.be/GxiT8IEa34s
 Discover how we’re redefining learning and career readiness in 3D with AI.
 How to Apply:
 Ready to build the future of work and learning? Send your resume, portfolio, and a cover letter showing how you fit this rare breed to
 **team@futurestateuniversity.com** 
 .
 Lawrence Bugg
 Founder \&amp; CEO, Future State University</t>
        </is>
      </c>
    </row>
    <row r="99">
      <c r="A99" t="inlineStr">
        <is>
          <t>li-4308547551</t>
        </is>
      </c>
      <c r="B99" t="inlineStr">
        <is>
          <t>PhD. Co-op – AI Research / Generative AI Engineer – Orlando, FL – January 2026</t>
        </is>
      </c>
      <c r="C99" t="inlineStr">
        <is>
          <t>Philips</t>
        </is>
      </c>
      <c r="D99" t="inlineStr">
        <is>
          <t>linkedin</t>
        </is>
      </c>
      <c r="E99">
        <f>HYPERLINK("https://www.linkedin.com/jobs/view/4308547551", "https://www.linkedin.com/jobs/view/4308547551")</f>
        <v/>
      </c>
      <c r="F99" t="inlineStr"/>
      <c r="G99" t="inlineStr">
        <is>
          <t>Orlando, FL</t>
        </is>
      </c>
      <c r="H99" t="inlineStr"/>
      <c r="I99" t="inlineStr">
        <is>
          <t>Job Title
 PhD. Co\-op – AI Research / Generative AI Engineer – Orlando, FL – January 2026
**Job Description**
**PhD. Co\-op – AI Research / Generative AI Engineer – Orlando, FL – January 2026**
 Are you interested in a PhD. COOP opportunity with Philips? We welcome individuals who are currently pursuing a PhD. to participate in 6 month paid COOP opportunities at our site in Orlando. Through this role you will join MRPC at the forefront of medical device innovation, building a next\-generation platform to integrate advanced AI into our core engineering workflows. We are seeking a highly motivated and talented AI Research Intern or Co\-op, currently pursuing a PhD.
 This is a unique opportunity to bridge the gap between state\-of\-the\-art academic research and real\-world industrial application. You will go beyond simple RAG applications to
 **architect and build a collaborative multi\-agent system** 
 where intelligent agents work together to solve complex engineering problems. You will play a pivotal role in designing and prototyping the core components of this agentic platform, tackling high impact use cases and contributing to a project with the potential to significantly enhance product development efficiency and safety in the medical device industry.
**Your Role**
* Design and Prototype Novel Generative AI Solutions: Take a leading role in the research, design, and implementation of proof\-of\-concept (PoC) and prototype applications for key systems engineering use cases,
* Leverage our Modern AI Platform: Work hands\-on with our purpose\-built AI stack, including:
+ Interacting with and extending the Open\-WebUI API gateway.
+ Utilizing Azure OpenAI models (GPT\-4o, text\-embedding\-3\-large) via our LiteLLM proxy.
+ Building solutions on top of our Qdrant vector database, designed for terabyte\-scale knowledge bases.
+ Deploying and managing services within a Docker containerized environment.
* Advance the State\-of\-the\-Art in RAG and Agentic Applications: Investigate and apply cutting\-edge techniques in Retrieval\-Augmented Generation (RAG), including advanced chunking strategies, re\-ranking algorithms, and prompt engineering to optimize performance for complex technical and regulatory documents.
* Help define “What’s Next”: Design and build Agents that can take complex product development objectives, plan and execute to achieve them using a ReAct framework and tools including our RAG API. Contribute to the architecture definition for an MCP server and client tools and UI that allows for a scalable approach to implementing multi\-step engineering tasks. Help design and implement the core an Agent Coordinator responsible for task decomposition, planning, and executing multi\-step workflows using advanced reasoning.
* Collaborate and Communicate Findings: Work closely with senior systems engineers and subject matter experts to understand workflow challenges. Present your findings, demo your prototypes, and contribute to the team's strategic direction. There may be opportunities to publish or present your work.
**You’re the right fit if**
* The ideal candidate is enrolled in a PhD program in Computer Science, Artificial Intelligence, Computational Linguistics, or a closely related technical field.
* Demonstrated experience in Natural Language Processing (NLP) and hands\-on expertise with Large Language Models (LLMs) and transformer architectures.
* Strong programming skills in Python and experience with common ML/NLP libraries (e.g., PyTorch, TensorFlow, Hugging Face, scikit\-learn).
* Solid theoretical understanding and practical experience in designing and building RAG pipelines, including knowledge of vector databases (e.g., Qdrant, Pinecone, FAISS) and embedding models.
* Familiarity with cloud computing platforms (Microsoft Azure is a strong plus) and their associated AI/ML services.
* You must be able to successfully perform the following minimum Physical, Cognitive and Environmental job requirements with or without accommodation for this position.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This is an office role.
**About Philips**
 We are a health technology company. We built our entire company around the belief that every human matters, and we won't stop until everybody everywhere has access to the quality healthcare that we all deserve. Do the work of your life to help improve the lives of others.
* Learn more about our business.
* Discover our rich and exciting history.
* Learn more about our purpose.
* Learn more about our culture.
**Philips Transparency Details**
 The hourly pay range for this position is $29\.00 to $45\.00, plus overtime eligible. The actual base pay offered may vary within the posted ranges depending on multiple factors including job\-related knowledge/skills, experience, business needs, geographical location, and internal equity.
**Details About Our Benefits Can Be Found Here.**
 At Philips, it is not typical for an individual to be hired at or near the top end of the range for their role and compensation decisions are dependent upon the facts and circumstances of each case.
**Additional Information**
 US work authorization is a precondition of employment. The company will not consider candidates who require sponsorship for a work\-authorized visa, now or in the future.
 Company relocation benefits
 ***will not***
 be provided for this position. For this position, you must reside in
 ***or***
 within commuting distance to Orlando, FL
 This requisition is expected to stay active for 45 days but may close earlier if a successful candidate is selected or business necessity dictates. Interested candidates are encouraged to apply as soon as possible to ensure consideration.
*Philips is an Equal Employment and Opportunity Employer including Disability/Vets and maintains a drug\-free workplace.*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2026-01-11T03:02:21Z</dcterms:created>
  <dcterms:modified xsi:type="dcterms:W3CDTF">2026-01-11T03:02:21Z</dcterms:modified>
</cp:coreProperties>
</file>