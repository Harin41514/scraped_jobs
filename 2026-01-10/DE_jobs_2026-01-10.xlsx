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in-35405b47d57f093c</t>
        </is>
      </c>
      <c r="B2" t="inlineStr">
        <is>
          <t>Data Engineer/AWS III</t>
        </is>
      </c>
      <c r="C2" t="inlineStr">
        <is>
          <t>JPMorganChase</t>
        </is>
      </c>
      <c r="D2" t="inlineStr">
        <is>
          <t>indeed</t>
        </is>
      </c>
      <c r="E2" t="inlineStr"/>
      <c r="F2" t="inlineStr"/>
      <c r="G2" t="inlineStr">
        <is>
          <t>Columbus, OH, US</t>
        </is>
      </c>
      <c r="H2" s="2" t="n">
        <v>46031</v>
      </c>
      <c r="I2" t="inlineStr">
        <is>
          <t>**JOB DESCRIPTION**  
Job responsibilities
* Provide direction, oversight, and coaching for a team of entry\-level to mid\-level engineers working on basic to moderately complex tasks.
* Executes solutions, design, development, and technical troubleshooting with ability to think beyond routine or conventional approaches to build solutions or break down technical problems
* Collaborate with data analysts, data scientists, and business stakeholders to understand data requirements and translate them into effective visual solutions.
* Work in an Agile development environment with team members, including Product Managers,SRE Engineers.
* Develop secure, high\-quality production code, review and debug code written by others, and drive decisions influencing product design, application functionality, and technical operations.
* Serve as a subject matter expert in one or more areas of focus and actively contribute to the engineering community as an advocate of firmwide frameworks, tools, and practices of the end to end Development Life Cycle.
* Influence peers and project decision\-makers to consider the use and application of leading\-edge technologies.
* Stay current with industry trends and emerging technologies in Data Management, Artificial Intelligence and Machine Learning.
Required qualifications, capabilities, and skills
* 5\+ years applied experience in data engineering. In addition, demonstrated coaching and mentoring experience.
* Hands\-on experience in writing code using Python libraries such as Pandas, Boto3, PySpark, and Jupyter Notebooks, along with AWS services including Glue, S3, Kafka, and Kubernetes
* Hands\-on practical experience delivering system design, application development, testing, and operational stability.
* Collaborate with various stakeholders and independently tackle design and functionality challenges with minimal oversight
* Proficient in automation and continuous delivery methods.
* Skilled in resolving code issues and proficient in Git for managing repositories and team collaboration.
* Experience and proficiency across the data lifecycle
* Evaluates and reports on access control processes to determine effectiveness of data asset security with minimal supervision
* Advanced understanding of agile methodologies, Application Resiliency, and Security
* Bachelor’s degree in data science, Computer Science, Information Systems, Statistics, or a related field.
Preferred qualifications, capabilities, and skills
* Strong Python experience, especially in the context of developing solutions for large financial platforms.
* Strong experience in AWS serverless services: This includes expertise in using AWS Step functions, Lambda , Dynamodb and NoSQL database services
* Experience using AWS Lake Formation service.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
      <c r="A3" t="inlineStr">
        <is>
          <t>in-8811ead9dafc7011</t>
        </is>
      </c>
      <c r="B3" t="inlineStr">
        <is>
          <t>Senior Lead Data Engineer</t>
        </is>
      </c>
      <c r="C3" t="inlineStr">
        <is>
          <t>Capital One</t>
        </is>
      </c>
      <c r="D3" t="inlineStr">
        <is>
          <t>indeed</t>
        </is>
      </c>
      <c r="E3" t="inlineStr"/>
      <c r="F3" t="inlineStr"/>
      <c r="G3" t="inlineStr">
        <is>
          <t>McLean, VA, US</t>
        </is>
      </c>
      <c r="H3" s="2" t="n">
        <v>46030</v>
      </c>
      <c r="I3" t="inlineStr">
        <is>
          <t>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in-5ea6691f03fbdda5</t>
        </is>
      </c>
      <c r="B4" t="inlineStr">
        <is>
          <t>Senior Data Engineer</t>
        </is>
      </c>
      <c r="C4" t="inlineStr">
        <is>
          <t>Capital One</t>
        </is>
      </c>
      <c r="D4" t="inlineStr">
        <is>
          <t>indeed</t>
        </is>
      </c>
      <c r="E4" t="inlineStr"/>
      <c r="F4" t="inlineStr"/>
      <c r="G4" t="inlineStr">
        <is>
          <t>McLean, VA, US</t>
        </is>
      </c>
      <c r="H4" s="2" t="n">
        <v>46030</v>
      </c>
      <c r="I4"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SQL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data pipeline development including Python, SQL
* 2\+ years of experience with a public cloud (AWS, Microsoft Azure, Google Cloud)
* 3\+ years of experience utilizing a business intelligence visualization tool
* 3\+ years experience with Distributed data/computing tools (MapReduce, Hadoop, Hive, EMR, Kafka, Spark, Gurobi, or MySQL)
* 2\+ years experience working on real\-time data and streaming applications
* 2\+ years of data warehousing experience (Redshift or Snowflake)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in-43d2bdf06bc9b81b</t>
        </is>
      </c>
      <c r="B5" t="inlineStr">
        <is>
          <t>Senior Data Engineer (Bank Tech)</t>
        </is>
      </c>
      <c r="C5" t="inlineStr">
        <is>
          <t>Capital One</t>
        </is>
      </c>
      <c r="D5" t="inlineStr">
        <is>
          <t>indeed</t>
        </is>
      </c>
      <c r="E5" t="inlineStr"/>
      <c r="F5" t="inlineStr"/>
      <c r="G5" t="inlineStr">
        <is>
          <t>McLean, VA, US</t>
        </is>
      </c>
      <c r="H5" s="2" t="n">
        <v>46030</v>
      </c>
      <c r="I5" t="inlineStr">
        <is>
          <t>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in-aab4f281a55a378e</t>
        </is>
      </c>
      <c r="B6" t="inlineStr">
        <is>
          <t>Senior Data Engineer</t>
        </is>
      </c>
      <c r="C6" t="inlineStr">
        <is>
          <t>Capital One</t>
        </is>
      </c>
      <c r="D6" t="inlineStr">
        <is>
          <t>indeed</t>
        </is>
      </c>
      <c r="E6" t="inlineStr"/>
      <c r="F6" t="inlineStr"/>
      <c r="G6" t="inlineStr">
        <is>
          <t>Richmond, VA, US</t>
        </is>
      </c>
      <c r="H6" s="2" t="n">
        <v>46030</v>
      </c>
      <c r="I6"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This team focuses on enhancing the developer experience and optimizing our credit card technology organization for efficiency. You will build robust data pipelines and data products that provide data insights, key performance metrics, and allow engineers to dedicate more time to creative development. This horizontal team offers unique exposure to various divisions of the organization, creating an environment where learning is truly a never\-ending process. Some of the technologies we currently leverage include Python, Spark, AWS, GoLang, GraphQL, and SQL.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in-6bf86d178a712824</t>
        </is>
      </c>
      <c r="B7" t="inlineStr">
        <is>
          <t>Lead Data Engineer (Bank Tech)</t>
        </is>
      </c>
      <c r="C7" t="inlineStr">
        <is>
          <t>Capital One</t>
        </is>
      </c>
      <c r="D7" t="inlineStr">
        <is>
          <t>indeed</t>
        </is>
      </c>
      <c r="E7" t="inlineStr"/>
      <c r="F7" t="inlineStr"/>
      <c r="G7" t="inlineStr">
        <is>
          <t>McLean, VA, US</t>
        </is>
      </c>
      <c r="H7" s="2" t="n">
        <v>46030</v>
      </c>
      <c r="I7" t="inlineStr">
        <is>
          <t>Lead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Wilmington, DE: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in-2ffe5ad871ab2c02</t>
        </is>
      </c>
      <c r="B8" t="inlineStr">
        <is>
          <t>Senior Lead Data Engineer</t>
        </is>
      </c>
      <c r="C8" t="inlineStr">
        <is>
          <t>Capital One</t>
        </is>
      </c>
      <c r="D8" t="inlineStr">
        <is>
          <t>indeed</t>
        </is>
      </c>
      <c r="E8" t="inlineStr"/>
      <c r="F8" t="inlineStr"/>
      <c r="G8" t="inlineStr">
        <is>
          <t>McLean, VA, US</t>
        </is>
      </c>
      <c r="H8" s="2" t="n">
        <v>46030</v>
      </c>
      <c r="I8" t="inlineStr">
        <is>
          <t>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in-58c27c5853e3b6b0</t>
        </is>
      </c>
      <c r="B9" t="inlineStr">
        <is>
          <t>Quality Analytics Engineer II</t>
        </is>
      </c>
      <c r="C9" t="inlineStr">
        <is>
          <t>Boston Scientific</t>
        </is>
      </c>
      <c r="D9" t="inlineStr">
        <is>
          <t>indeed</t>
        </is>
      </c>
      <c r="E9" t="inlineStr"/>
      <c r="F9" t="inlineStr"/>
      <c r="G9" t="inlineStr">
        <is>
          <t>Arden Hills, MN, US</t>
        </is>
      </c>
      <c r="H9" s="2" t="n">
        <v>46031</v>
      </c>
      <c r="I9"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Quality Analytics Engineer II will support Quality Engineering and Manufacturing organization through advanced data analysis, reporting, automation, and business systems insights. This role focuses on enabling data\-driven decision\-making by integrating data from multiple enterprise systems and delivering scalable analytics solutions.
 **Work Mode:**
This role follows an onsite work model requiring employees to be in our Arden Hills, MN office 5 days per week.
 **Visa Sponsorship:**  
Boston Scientific will not offer sponsorship or take over sponsorship of an employment visa for this position at this time.
 **Relocation:**
This role will not provide relocation support or assistance.
 **Your responsibilities will include:**
* Design, develop, and maintain **end\-to\-end analytics solutions**, including data extraction, transformation, modeling, and visualization
* Develop and optimize **complex SQL queries** across enterprise databases
* Analyze and integrate data from **SAP, MES** and related manufacturing systems
* Build interactive dashboards and reports using **Power BI and/or Tableau**
* Perform **data validation, reconciliation, and quality checks** to ensure accuracy and consistency
* Partner with Process/Quality Engineering, Management teams, and IT to define data requirements and reporting needs
* Analyze **quality trends, operational KPIs, and process performance**
* Support **automation and analytics enablement** using **Python, Power Automate, and scripting tools**
* Assist in defining **data standards, metrics definitions, and documentation**
* Support ad\-hoc and recurring analytics requests from Quality, Manufacturing, and Operations stakeholders
* Contribute to continuous improvement initiatives through **data\-driven insights**
* Displays problem solving/communication skills
 **Required Qualifications:**
* Bachelor’s degree in Engineering, Data Analytics, Computer Science, Information Systems, or a related field
* Minimum of 2 years of experience in data analytics, business intelligence, or analytics engineering
* Strong proficiency in SQL and relational databases
* Hands\-on experience with Power BI and/or Tableau
* Experience working with ERP systems (e.g., SAP, MES)
* Solid understanding of databases, data structures, data modeling, ETL concepts, and analytics best practices
* Strong knowledge of Excel (pivot tables, functions, data manipulation, etc.)
* Familiarity with cloud data platforms (e.g., Azure, Snowflake, AWS)
* Knowledge of manufacturing and quality KPIs (defect trends, yield, throughput, cycle time, etc.)
 **Preferred Qualifications:**
* Experience in medical device, life sciences, or regulated manufacturing environments
* Working knowledge of Python for data analysis and automation
* Experience with automation tools like Microsoft Power Automate, and platforms such as Microsoft Forms and Sharepoint
* Problem Solving Certification (Green Belt, CQE, Six Sigma, etc.)
* Ability to collaborate and influence across multiple, cross\-functional teams
* Strong communication skills (verbal and written)
* Strong analytical and problem\-solving skills with attention to detail
* Proven ability to gather and document requirements, model processes, and translate business requirements into effective analytics solutions
 **Requisition ID: 621144**
**Minimum Salary: $ 71,500**
**Maximum Salary: $ 135,800**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10">
      <c r="A10" t="inlineStr">
        <is>
          <t>in-1a29391aaae890aa</t>
        </is>
      </c>
      <c r="B10" t="inlineStr">
        <is>
          <t>Data engineer</t>
        </is>
      </c>
      <c r="C10" t="inlineStr">
        <is>
          <t>Stacklogy</t>
        </is>
      </c>
      <c r="D10" t="inlineStr">
        <is>
          <t>indeed</t>
        </is>
      </c>
      <c r="E10" t="inlineStr"/>
      <c r="F10" t="inlineStr"/>
      <c r="G10" t="inlineStr">
        <is>
          <t>US</t>
        </is>
      </c>
      <c r="H10" s="2" t="n">
        <v>46031</v>
      </c>
      <c r="I10"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1">
      <c r="A11" t="inlineStr">
        <is>
          <t>in-a23ade0c5fb7c3db</t>
        </is>
      </c>
      <c r="B11" t="inlineStr">
        <is>
          <t>Senior Lead Data Engineer</t>
        </is>
      </c>
      <c r="C11" t="inlineStr">
        <is>
          <t>JPMorganChase</t>
        </is>
      </c>
      <c r="D11" t="inlineStr">
        <is>
          <t>indeed</t>
        </is>
      </c>
      <c r="E11" t="inlineStr"/>
      <c r="F11" t="inlineStr"/>
      <c r="G11" t="inlineStr">
        <is>
          <t>Wilmington, DE, US</t>
        </is>
      </c>
      <c r="H11" s="2" t="n">
        <v>46031</v>
      </c>
      <c r="I11" t="inlineStr">
        <is>
          <t>**JOB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 Engineer at JPMorgan Chase within the Consumer Community Banking Data Center Management team, you are an integral part of an agile team that works to enhance, build, and deliver data collection, storage, access, and analytics in a secure, stable, and scalable way. You will leverage your deep technical expertise and problem solving capabilities to drive significant business impact and tackle a diverse array of challenges that span multiple data pipelines, data architectures, and other data consumers. You will work effectively across multiple teams to evaluate requirements and develop a data proposal that unifies all teams and aligns to enterprise standards.
This role requires detailed understanding of modern data engineering solutions for large and complex data sets as well as the ability to develop a strategic plan, present it to senior management, and drive the implementation.
**Job responsibilities**
* Develops and implements a comprehensive data strategy aligned with departmental and organizational goals
* Collaborates with stakeholders to understand data requirements and translate them into technical solutions
* Establishes data governance and quality standards to ensure data integrity and compliance
* Evaluates and selects appropriate data technologies (databases, ETL tools, cloud platforms) to meet current and future needs
* Optimizes data architecture and infrastructure for performance, reliability, and cost\-effectiveness
* Provides recommendations and insight on data management, governance procedures, and intricacies applicable to the acquisition, maintenance, validation, and utilization of data
* Designs and delivers trusted data collection, storage, access, and analytics data platform solutions in a secure, stable, and scalable way
* Defines database back\-up, recovery, and archiving strategy
* Generates advanced data models for one or more teams using firmwide tooling, linear algebra, statistics, and geometrical algorithms
* Creates functional and technical documentation supporting best practices
* Adds to team culture of diversity, opportunity, inclusion, and respect
**Required qualifications, capabilities, and skills**
* Formal training or certification on **Data Engineering** concepts and 5\+ years applied experience
* Working experience with both relational and NoSQL databases
* Advanced understanding of database back\-up, recovery, and archiving strategies
* Advanced knowledge of linear algebra, statistics, and geometrical algorithms
* Experience presenting and delivering visual data
* Hands on experience with ETL tools and data integration frameworks
* Ability to communicate complex technical concepts to non\-technical stakeholders.
* Programming skills for data processing and automation
* Knowledge of data governance, data quality, and security best practices
* Experience with complex data models and data lakes
* Strong Project Management skills, deals well with ambiguity; can shape and define the future, take an idea and turn it into execution
**Preferred qualifications, capabilities, and skills**
* Experience with business intelligence tools (e.g., Tableau, Qlik) and enabling self\-service analytics
* Experience with cloud data platforms (e.g., AWS) and cloud\-native data engineering tools
* 7\+ years of related Data Engineering experience including designing and building data pipelines and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
      <c r="A12" t="inlineStr">
        <is>
          <t>in-3b98b9e1fa1d42a0</t>
        </is>
      </c>
      <c r="B12" t="inlineStr">
        <is>
          <t>Oracle / Python Data Engineer</t>
        </is>
      </c>
      <c r="C12" t="inlineStr">
        <is>
          <t>Intone Networks</t>
        </is>
      </c>
      <c r="D12" t="inlineStr">
        <is>
          <t>indeed</t>
        </is>
      </c>
      <c r="E12" t="inlineStr"/>
      <c r="F12" t="inlineStr"/>
      <c r="G12" t="inlineStr">
        <is>
          <t>Houston, TX, US</t>
        </is>
      </c>
      <c r="H12" s="2" t="n">
        <v>46030</v>
      </c>
      <c r="I12" t="inlineStr">
        <is>
          <t>Title \- Oracle/Python Data Engineer Location \- Houston \- Tx Duration \- 6\-12 months \+ 3 days onsite in Houston</t>
        </is>
      </c>
    </row>
    <row r="13">
      <c r="A13" t="inlineStr">
        <is>
          <t>in-66a0e22cb7f1d5c6</t>
        </is>
      </c>
      <c r="B13" t="inlineStr">
        <is>
          <t>DB2 Data Engineer</t>
        </is>
      </c>
      <c r="C13" t="inlineStr">
        <is>
          <t>Intone Networks</t>
        </is>
      </c>
      <c r="D13" t="inlineStr">
        <is>
          <t>indeed</t>
        </is>
      </c>
      <c r="E13" t="inlineStr"/>
      <c r="F13" t="inlineStr"/>
      <c r="G13" t="inlineStr">
        <is>
          <t>Houston, TX, US</t>
        </is>
      </c>
      <c r="H13" s="2" t="n">
        <v>46030</v>
      </c>
      <c r="I13" t="inlineStr">
        <is>
          <t>Title \- DB2 data Engineer Location \- Houston\-TX Duration \- 6\-12 months 3 days onsite in Houston</t>
        </is>
      </c>
    </row>
    <row r="14">
      <c r="A14" t="inlineStr">
        <is>
          <t>in-9823d92d81200e4d</t>
        </is>
      </c>
      <c r="B14" t="inlineStr">
        <is>
          <t>Data Engineer</t>
        </is>
      </c>
      <c r="C14" t="inlineStr">
        <is>
          <t>Intone Networks</t>
        </is>
      </c>
      <c r="D14" t="inlineStr">
        <is>
          <t>indeed</t>
        </is>
      </c>
      <c r="E14" t="inlineStr"/>
      <c r="F14" t="inlineStr"/>
      <c r="G14" t="inlineStr">
        <is>
          <t>Cupertino, CA, US</t>
        </is>
      </c>
      <c r="H14" s="2" t="n">
        <v>46030</v>
      </c>
      <c r="I14" t="inlineStr">
        <is>
          <t>Candidates must not be from the insurance, banking, or finance domains and must have experience working with enterprise\-level companies. Requirements 6\+ years software engineering, including strong SQL and data focus Expertise in languages like Python, Java, or Scala and technologies like Airflow, Spark, Trino, Kafka Ability to analyze complex datasets and design solutions with optimum quality and efficiency Familiarity with SDLC best practices, version control, CI/CD Description You will architect, develop, and test large scale and efficient solutions that provide Client leadership with the accurate data required to rapidly understand and adapt to changing business conditions. Design and implement scalable, efficient, and high\-quality methods of consuming data from a diverse set of sources with variable quality and predictability Create data products, enabling self\-service and predictability by any consumer Build libraries and frameworks that drive leverage and productivity for the entire team Optimize and maintain solutions, driving improvements in efficiency, data quality, and operational excellence We are a rapidly growing team with plenty of interesting technical and business challenges to solve. We seek a self\-starter, who is willing to learn fast, adapt well to changing requirements and work with cross functional teams.</t>
        </is>
      </c>
    </row>
    <row r="15">
      <c r="A15" t="inlineStr">
        <is>
          <t>in-38b4e5b4c36c73e8</t>
        </is>
      </c>
      <c r="B15" t="inlineStr">
        <is>
          <t>Managed Services - Data &amp; Analytics - Data Engineer - Manager</t>
        </is>
      </c>
      <c r="C15" t="inlineStr">
        <is>
          <t>PwC</t>
        </is>
      </c>
      <c r="D15" t="inlineStr">
        <is>
          <t>indeed</t>
        </is>
      </c>
      <c r="E15" t="inlineStr"/>
      <c r="F15" t="inlineStr"/>
      <c r="G15" t="inlineStr">
        <is>
          <t>Seattle, WA, US</t>
        </is>
      </c>
      <c r="H15" s="2" t="n">
        <v>46030</v>
      </c>
      <c r="I15"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 Business Intelligence team you lead the development and implementation of data engineering solutions, leveraging your proficiency in AWS services, Snowflake, and data transformation tools. As a Manager, you guide and inspire your team to deliver top\-quality data solutions, making sure strategic planning and mentoring junior staff. You are responsible for managing client accounts, embracing technology and innovation, and maintaining the utmost standards of integrity and authenticity in every deliverable.
Responsibilities
* Lead the design and execution of data engineering solutions
* Utilize AWS services and Snowflake for data transformation
* Inspire and guide team members to achieve excellence
* Oversee client account management with a focus on innovation
* Foster a culture of integrity and authenticity in projects
* Mentor junior staff in strategic planning and development
* Embrace and implement new technologies to enhance solutions
* Deliver top\-notch data solutions
What You Must Have
* Bachelor's Degree
* 5 years of experience
What Sets You Apart
* Demonstrating significant abilities in incident management
* Managing change and problem management effectively
* Utilizing ITIL processes and service management tools
* Skilled in AWS services like EC2, S3, and Lambda
* Specializing in Snowflake for data warehousing solutions
* Utilizing DBT for data transformation and modeling
* Knowledgeable in data pipeline tools like Apache Airflow
* Skilled in Python for data processing and automation
* Specializing in SQL skills for complex queries and optimization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
      <c r="A16" t="inlineStr">
        <is>
          <t>in-b1854cce96cdebb3</t>
        </is>
      </c>
      <c r="B16" t="inlineStr">
        <is>
          <t>Senior/Lead Data Engineer</t>
        </is>
      </c>
      <c r="C16" t="inlineStr">
        <is>
          <t>Intone Networks</t>
        </is>
      </c>
      <c r="D16" t="inlineStr">
        <is>
          <t>indeed</t>
        </is>
      </c>
      <c r="E16" t="inlineStr"/>
      <c r="F16" t="inlineStr"/>
      <c r="G16" t="inlineStr">
        <is>
          <t>Houston, TX, US</t>
        </is>
      </c>
      <c r="H16" s="2" t="n">
        <v>46029</v>
      </c>
      <c r="I16" t="inlineStr">
        <is>
          <t>Senior/Lead Data Engineer role responsible for high visibility project Must have software engineering background Must adhere to SOLID principles, understand/use design patterns Must have Snowflake, AWS S3, and on\-prem exp</t>
        </is>
      </c>
    </row>
    <row r="17">
      <c r="A17" t="inlineStr">
        <is>
          <t>in-827bf841c9471a7e</t>
        </is>
      </c>
      <c r="B17" t="inlineStr">
        <is>
          <t>Data Engineer - AI / ML</t>
        </is>
      </c>
      <c r="C17" t="inlineStr">
        <is>
          <t>Intone Networks</t>
        </is>
      </c>
      <c r="D17" t="inlineStr">
        <is>
          <t>indeed</t>
        </is>
      </c>
      <c r="E17" t="inlineStr"/>
      <c r="F17" t="inlineStr"/>
      <c r="G17" t="inlineStr">
        <is>
          <t>Deerfield, IL, US</t>
        </is>
      </c>
      <c r="H17" s="2" t="n">
        <v>46027</v>
      </c>
      <c r="I17" t="inlineStr">
        <is>
          <t>Location: Deerfield, IL \-, would have to go onsite per company guidelines (4 days per week) if converted 7\+ months with extension possible\- Potential to convert 1 round with hiring manager and team Data Engineer supports the Clinical Trials data science team and enables data ops, advanced analytics, machine learning, and generative AI solutions. This role builds robust data pipelines, optimizes architecture, and ensures high\-quality data delivery for critical business functions.</t>
        </is>
      </c>
    </row>
    <row r="18">
      <c r="A18" t="inlineStr">
        <is>
          <t>in-d4137ee59eb22200</t>
        </is>
      </c>
      <c r="B18" t="inlineStr">
        <is>
          <t>Principal Software Engineer - (Data Engineering / Java / Python) | Risk Technology Engineering &amp; Architecture</t>
        </is>
      </c>
      <c r="C18" t="inlineStr">
        <is>
          <t>JPMorganChase</t>
        </is>
      </c>
      <c r="D18" t="inlineStr">
        <is>
          <t>indeed</t>
        </is>
      </c>
      <c r="E18" t="inlineStr"/>
      <c r="F18" t="inlineStr"/>
      <c r="G18" t="inlineStr">
        <is>
          <t>New York, NY, US</t>
        </is>
      </c>
      <c r="H18" s="2" t="n">
        <v>46031</v>
      </c>
      <c r="I18" t="inlineStr">
        <is>
          <t>**JOB DESCRIPTION**  
If you are looking for a game\-changing career, working for one of the world's leading financial institutions, you’ve come to the right place.
As a Principal Software Engineer at JPMorganChase within the Corporate Risk Technology team, you will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to support one or more of the firm’s portfolios.
**Job responsibilities**
* Architect and implement complex, scalable data engineering/ coding frameworks and solutions using modern software design principles.
* Lead the design and development of secure, high\-quality production code for data\-intensive applications; review and mentor other engineers.
* Drive adoption of advanced technical methods and practices aligned with the latest industry standards.
* Advises cross\-functional teams on technological matters within your domain of expertise
* Serves as the function’s go\-to subject matter expert
* Creates durable, reusable software frameworks that are leveraged across teams and functions
* Influences leaders and senior stakeholders across business, product, and technology teams
* Champions the firm’s culture of diversity, opportunity, inclusion, and respect
* Contributes to the development of technical methods in specialized fields in line with the latest product development methodologies
**Required qualifications, capabilities, and skills**
* Formal training or certification on data engineering concepts and 10\+ years applied experience
* Strong proficiency in Data Engineering, Data Architecture, AI/ML with hands\-on experience in designing, implementing, testing, and ensuring the operational stability of large\-scale enterprise data platforms and solutions
* Expert in one or more programming language(s) eg. Java, Python , C/C\+\+;
* Advanced working knowledge of relational and NoSQL databases, data lake architectures, data mesh concepts, and data governance.
* Practical experience with cloud\-native data platforms (AWS, Azure, GCP).
* Experience leading technical teams and projects as a Tech Lead or Data Architect
* Experience in large scale data processing, using micro services, API design, Kafka, Redis, MemCached, Observability (Dynatrace , Splunk, Grafana or similar), Orchestration (Airflow, Temporal)
* Advanced knowledge of software application development and technical processes
* Ability to present and effectively communicate with Senior Leaders and Executives
* Experience in Computer Science, Computer Engineering, Mathematics, or a related technical field
**Preferred qualifications, capabilities, and skills*** Deep hands\-on experience with Spark/PySpark, other big data processing technologies
* Experience with modern data technologies and cloud\-based solutions, such as Databricks or Snowflake.
* Expertise in modern, open\-source table formats and catalog services for managing large\-scale data in data lakes, such as Apache Iceberg.
* Experience with federated database entitlements such as Immuta or similar tools.
* Familiarity with data consumption tools like Dremio or Starburst.
*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19">
      <c r="A19" t="inlineStr">
        <is>
          <t>in-84be706181c15801</t>
        </is>
      </c>
      <c r="B19" t="inlineStr">
        <is>
          <t>Software Engineer III - Data engineering, Java/Python</t>
        </is>
      </c>
      <c r="C19" t="inlineStr">
        <is>
          <t>JPMorganChase</t>
        </is>
      </c>
      <c r="D19" t="inlineStr">
        <is>
          <t>indeed</t>
        </is>
      </c>
      <c r="E19" t="inlineStr"/>
      <c r="F19" t="inlineStr"/>
      <c r="G19" t="inlineStr">
        <is>
          <t>New York, NY, US</t>
        </is>
      </c>
      <c r="H19" s="2" t="n">
        <v>46031</v>
      </c>
      <c r="I19" t="inlineStr">
        <is>
          <t>**JOB DESCRIPTION**  
We have an exciting and rewarding opportunity for you to take your software engineering career to the next level.
As a Software Engineer III at JP Morgan Chase within the Corporate Risk Technology, you serve as a seasoned member of an Agile Engineering \&amp; Architecture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 years applied experience.
* Proficiency in Data Engineering \&amp; Architecture, AI/ML with hands\-on experience in designing, implementing, testing, and ensuring the operational stability of large\-scale enterprise platforms and solutions
* Advanced in one or more programming language(s) eg. Java, Python, C/C\+\+, C\#
* Working knowledge of relational and NoSQL databases and data lake architectures
* Experience in developing, debugging, and maintaining code (preferably in a large corporate environment) with one or more modern programming languages and database querying languages with good overlap of application \&amp; DB.
* Experience in large scale data processing, using micro services, API design, Kafka, Redis, MemCached, Observability (Dynatrace , Splunk, Grafana or similar), Orchestration (Airflow, Temporal)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Experience with modern data technologies such as Databricks or Snowflake.
* Hands\-on experience with Spark/PySpark and other big data processing technologies
*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0">
      <c r="A20" t="inlineStr">
        <is>
          <t>in-ce02040fb5542ef5</t>
        </is>
      </c>
      <c r="B20" t="inlineStr">
        <is>
          <t>Data and BI Engineer</t>
        </is>
      </c>
      <c r="C20" t="inlineStr"/>
      <c r="D20" t="inlineStr">
        <is>
          <t>indeed</t>
        </is>
      </c>
      <c r="E20" t="inlineStr"/>
      <c r="F20" t="inlineStr"/>
      <c r="G20" t="inlineStr">
        <is>
          <t>NY, US</t>
        </is>
      </c>
      <c r="H20" s="2" t="n">
        <v>46031</v>
      </c>
      <c r="I20"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21">
      <c r="A21" t="inlineStr">
        <is>
          <t>in-d8b0c59281597c9c</t>
        </is>
      </c>
      <c r="B21" t="inlineStr">
        <is>
          <t>ETL Data Engineer-3</t>
        </is>
      </c>
      <c r="C21" t="inlineStr">
        <is>
          <t>Realign</t>
        </is>
      </c>
      <c r="D21" t="inlineStr">
        <is>
          <t>indeed</t>
        </is>
      </c>
      <c r="E21" t="inlineStr"/>
      <c r="F21" t="inlineStr"/>
      <c r="G21" t="inlineStr">
        <is>
          <t>CA, US</t>
        </is>
      </c>
      <c r="H21" s="2" t="n">
        <v>46031</v>
      </c>
      <c r="I21" t="inlineStr">
        <is>
          <t>Job Type: Contract
Job Category: IT
Job Description
**Title: ETL Data Engineer**  
**Location : \- California / remote****Duration : 06 Months**  
Seeking an experienced Data Managemenet professional who will design, implement, and manage secure, scalable ODS solution for reporting and decision making to support critical business applications. This role requires strong hands\-on SQL adn SSIS experience, automation skills, and the ability to collaborate with cross\-functional teams.  
Key Responsibilities  
* Strategize, Design, implement, and manage ODS jobs and environments.
* Documentation of PowerBI project requirements, roadmap planning and reporting data delivery.
* Build and maintain SSIS packages, SQL queries, databases and reports
* Ensure high availability and scalable solution is designed for ODS environment.
* Monitor and optimize SQL queries, daily, weekly and monthly Jobs.
* Collaborate with development teams to design data management projects.
* Maintain backup and disaster recovery strategies.
* Document cloud architecture, processes, and configurations.
* Support cloud migration and modernization projects.
* Conduct performance testing.
Preferred Skills \&amp; Qualifications  
* Experience: 5\+ years in Data Management with PowerBI, SQL, SSIS, AWS/Azure
* Strong project management experience.
Required Skills
DEVOPS ENGINEER
 SENIOR EMAIL SECURITY ENGINEER</t>
        </is>
      </c>
    </row>
    <row r="22">
      <c r="A22" t="inlineStr">
        <is>
          <t>in-15d0da90e74f903e</t>
        </is>
      </c>
      <c r="B22" t="inlineStr">
        <is>
          <t>Staff Data Engineer - Data Quality</t>
        </is>
      </c>
      <c r="C22" t="inlineStr">
        <is>
          <t>HCA Healthcare</t>
        </is>
      </c>
      <c r="D22" t="inlineStr">
        <is>
          <t>indeed</t>
        </is>
      </c>
      <c r="E22" t="inlineStr"/>
      <c r="F22" t="inlineStr"/>
      <c r="G22" t="inlineStr">
        <is>
          <t>Nashville, TN, US</t>
        </is>
      </c>
      <c r="H22" s="2" t="n">
        <v>46031</v>
      </c>
      <c r="I22"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A successful candidate will have:
* Bachelor's degree in computer science, related technical field, or equivalent experience required
* Master's degree in computer science or related field preferred
* 5\+ years of experience in Data Engineer required
* 1\+ year(s) of experience in Healthcare preferred
* 7\+ years of experience in Information Technology required
* Strong understanding of best practices and standards for GCP Data process design and implementation.
* 2\+ years hands\-on experience with GCP platform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23">
      <c r="A23" t="inlineStr">
        <is>
          <t>in-edc3b7730070aaa2</t>
        </is>
      </c>
      <c r="B23" t="inlineStr">
        <is>
          <t>Quantexa Data Engineer</t>
        </is>
      </c>
      <c r="C23" t="inlineStr">
        <is>
          <t>Sumitomo Group</t>
        </is>
      </c>
      <c r="D23" t="inlineStr">
        <is>
          <t>indeed</t>
        </is>
      </c>
      <c r="E23">
        <f>HYPERLINK("https://www.indeed.com/viewjob?jk=edc3b7730070aaa2", "https://www.indeed.com/viewjob?jk=edc3b7730070aaa2")</f>
        <v/>
      </c>
      <c r="F23">
        <f>HYPERLINK("https://careers.smbcgroup.com/smbc/job/Charlotte-Quantexa-Data-Engineer-NC-28202/1349273100/?feedId=392100&amp;utm_source=Indeed&amp;utm_campaign=SMBC_Indeed", "https://careers.smbcgroup.com/smbc/job/Charlotte-Quantexa-Data-Engineer-NC-28202/1349273100/?feedId=392100&amp;utm_source=Indeed&amp;utm_campaign=SMBC_Indeed")</f>
        <v/>
      </c>
      <c r="G23" t="inlineStr">
        <is>
          <t>Charlotte, NC, US</t>
        </is>
      </c>
      <c r="H23" s="3" t="n">
        <v>46031</v>
      </c>
      <c r="I2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**JOB SUMMARY**
---------------
Quantexa Data Engineer supporting SMBC’s AML Market applications and data services. Purpose: design, build, and maintain scalable data pipelines and shared libraries that ensure data availability, quality, reliability, and regulatory compliance for Anti\-Money Laundering obligations. Scope and impact: enterprise\-scale AML data engineering on Azure (Data Factory Gen2, Databricks), Elasticsearch, and MS SQL Server, enabling faster time to market through reusable capabilities, improving platform health and performance, and reducing compliance risk by strengthening data integrity and security. Reporting structure: reports to AML Market Technology leadership and partners closely with Technology, Product, and Business stakeholders.**PRINCIPAL DUTIES AND RESPONSIBILITIES**
-----------------------------------------
* Design, develop, and optimize robust data pipelines and ETL processes for AML data domains.
* Build reusable libraries and shared capabilities to accelerate delivery across Data Engineering teams.
* Evolve platform capabilities and maintain overall platform health, performance, and reliability.
* Collaborate with cross\-functional stakeholders to translate data requirements into solutions.
* Ensure data quality, integrity, and security across all data systems and workflows.
* Monitor, troubleshoot, and continuously improve data workflows, SLAs, and performance.
* Automate validation, testing, and deployment processes to increase delivery speed and consistency.
* Develop and integrate services using Spark and Scala or Java or Python; implement RESTful APIs with JSON; support Tomcat\-hosted services and Elasticsearch indexing/queries.
* Apply Agile practices; manage work using Jira and documentation using Confluence.
* Operate within DevOps tooling and pipelines (git, Azure DevOps, Jenkins).
* Stay current with emerging data engineering technologies and trends; propose improvements.
* Communicate proactively with business users, support teams, vendors, and stakeholders to ensure high customer satisfaction.
**POSITION SPECIFICATIONS**
---------------------------
**Required Qualifications**
* Bachelor’s or Master’s degree in Computer Science, Engineering, or related field.
* 7\+ years in data engineering or closely related roles.
**Technical Skills**
* Highly proficient in Scala, Python, and SQL; hands\-on with Spark; experience with Apache Airflow.
* Azure cloud data platforms: Azure Data Factory Gen2, Azure Databricks, Azure\-hosted databases.
* Elasticsearch experience; RESTful APIs with JSON; Tomcat application services.
* Advanced SQL on relational databases, preferably MS SQL Server and Azure\-hosted databases.
* Strong ETL tooling knowledge and data modeling skills.
* DevOps lifecycle experience: git, Azure DevOps, Jenkins.
* Agile methodologies; Jira and Confluence proficiency.
* Linux/Unix environment familiarity.
**Professional Competencies**
* Strong analytical and diagnostic skills for troubleshooting complex systems.
* Ability to design scalable data architectures and shared frameworks that improve time to market.
* Clear, proactive communication with technical and non\-technical stakeholders.
* Focus on data quality, integrity, security, and SLA adherence.
Our positions are open to all, regardless of their human characteristics or conditions regarding ethnicity, gender, sexual orientation, accessibility, cultural, social, or any other factor. As well, will always be open to people with disabilities.</t>
        </is>
      </c>
    </row>
    <row r="24">
      <c r="A24" t="inlineStr">
        <is>
          <t>in-b4bc22909a3609a2</t>
        </is>
      </c>
      <c r="B24" t="inlineStr">
        <is>
          <t>Analytic Data Engineer</t>
        </is>
      </c>
      <c r="C24" t="inlineStr">
        <is>
          <t>CVS Health</t>
        </is>
      </c>
      <c r="D24" t="inlineStr">
        <is>
          <t>indeed</t>
        </is>
      </c>
      <c r="E24">
        <f>HYPERLINK("https://www.indeed.com/viewjob?jk=b4bc22909a3609a2", "https://www.indeed.com/viewjob?jk=b4bc22909a3609a2")</f>
        <v/>
      </c>
      <c r="F24">
        <f>HYPERLINK("https://click.appcast.io/t/YCiz1W8QXxXzWKEDJn1q7SLc674FwXuJYn3UyHY9PXc=", "https://click.appcast.io/t/YCiz1W8QXxXzWKEDJn1q7SLc674FwXuJYn3UyHY9PXc=")</f>
        <v/>
      </c>
      <c r="G24" t="inlineStr">
        <is>
          <t>New York, NY, US</t>
        </is>
      </c>
      <c r="H24" s="3" t="n">
        <v>46030</v>
      </c>
      <c r="I2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01/23/2026
Qualified applicants with arrest or conviction records will be considered for employment in accordance with all federal, state and local laws.</t>
        </is>
      </c>
    </row>
    <row r="25">
      <c r="A25" t="inlineStr">
        <is>
          <t>in-80bd1d8c94e0a3b6</t>
        </is>
      </c>
      <c r="B25" t="inlineStr">
        <is>
          <t>Analytic Data Engineer</t>
        </is>
      </c>
      <c r="C25" t="inlineStr">
        <is>
          <t>CVS Health</t>
        </is>
      </c>
      <c r="D25" t="inlineStr">
        <is>
          <t>indeed</t>
        </is>
      </c>
      <c r="E25">
        <f>HYPERLINK("https://www.indeed.com/viewjob?jk=80bd1d8c94e0a3b6", "https://www.indeed.com/viewjob?jk=80bd1d8c94e0a3b6")</f>
        <v/>
      </c>
      <c r="F25">
        <f>HYPERLINK("https://click.appcast.io/t/xyLYIXD0Rw18P0jl7Sjmxqk9P3Htoh3-WVb1RZK1bDA=", "https://click.appcast.io/t/xyLYIXD0Rw18P0jl7Sjmxqk9P3Htoh3-WVb1RZK1bDA=")</f>
        <v/>
      </c>
      <c r="G25" t="inlineStr">
        <is>
          <t>Washington, DC, US</t>
        </is>
      </c>
      <c r="H25" s="3" t="n">
        <v>46030</v>
      </c>
      <c r="I2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01/23/2026
Qualified applicants with arrest or conviction records will be considered for employment in accordance with all federal, state and local laws.</t>
        </is>
      </c>
    </row>
    <row r="26">
      <c r="A26" t="inlineStr">
        <is>
          <t>in-3b33b5f50e801c66</t>
        </is>
      </c>
      <c r="B26" t="inlineStr">
        <is>
          <t>Data Engineer</t>
        </is>
      </c>
      <c r="C26" t="inlineStr">
        <is>
          <t>Amazon.com</t>
        </is>
      </c>
      <c r="D26" t="inlineStr">
        <is>
          <t>indeed</t>
        </is>
      </c>
      <c r="E26">
        <f>HYPERLINK("https://www.indeed.com/viewjob?jk=3b33b5f50e801c66", "https://www.indeed.com/viewjob?jk=3b33b5f50e801c66")</f>
        <v/>
      </c>
      <c r="F26">
        <f>HYPERLINK("https://www.amazon.jobs/jobs/3141339/data-engineer?cmpid=DA_INAD200785B", "https://www.amazon.jobs/jobs/3141339/data-engineer?cmpid=DA_INAD200785B")</f>
        <v/>
      </c>
      <c r="G26" t="inlineStr">
        <is>
          <t>San Francisco, CA, US</t>
        </is>
      </c>
      <c r="H26" s="3" t="n">
        <v>46001</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in-fbf4fc33992c63c1</t>
        </is>
      </c>
      <c r="B27" t="inlineStr">
        <is>
          <t>Data Engineer</t>
        </is>
      </c>
      <c r="C27" t="inlineStr">
        <is>
          <t>Amazon.com</t>
        </is>
      </c>
      <c r="D27" t="inlineStr">
        <is>
          <t>indeed</t>
        </is>
      </c>
      <c r="E27">
        <f>HYPERLINK("https://www.indeed.com/viewjob?jk=fbf4fc33992c63c1", "https://www.indeed.com/viewjob?jk=fbf4fc33992c63c1")</f>
        <v/>
      </c>
      <c r="F27">
        <f>HYPERLINK("https://www.amazon.jobs/jobs/3141339/data-engineer?cmpid=DA_INAD200785B", "https://www.amazon.jobs/jobs/3141339/data-engineer?cmpid=DA_INAD200785B")</f>
        <v/>
      </c>
      <c r="G27" t="inlineStr">
        <is>
          <t>Seattle, WA, US</t>
        </is>
      </c>
      <c r="H27" s="3" t="n">
        <v>46001</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in-71c85277a8e65e35</t>
        </is>
      </c>
      <c r="B28" t="inlineStr">
        <is>
          <t>Delivery Consultant - Data Engineer, Data and Machine Learning, WWPS US Federal</t>
        </is>
      </c>
      <c r="C28" t="inlineStr">
        <is>
          <t>Amazon Web Services</t>
        </is>
      </c>
      <c r="D28" t="inlineStr">
        <is>
          <t>indeed</t>
        </is>
      </c>
      <c r="E28">
        <f>HYPERLINK("https://www.indeed.com/viewjob?jk=71c85277a8e65e35", "https://www.indeed.com/viewjob?jk=71c85277a8e65e35")</f>
        <v/>
      </c>
      <c r="F28">
        <f>HYPERLINK("https://www.amazon.jobs/jobs/3134583/delivery-consultant--data-engineer-data-and-machine-learning-wwps-us-federal?cmpid=DA_INAD200785B", "https://www.amazon.jobs/jobs/3134583/delivery-consultant--data-engineer-data-and-machine-learning-wwps-us-federal?cmpid=DA_INAD200785B")</f>
        <v/>
      </c>
      <c r="G28" t="inlineStr">
        <is>
          <t>Arlington, VA, US</t>
        </is>
      </c>
      <c r="H28" s="3" t="n">
        <v>45991</v>
      </c>
      <c r="I2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in-6a02f1996792de7c</t>
        </is>
      </c>
      <c r="B29" t="inlineStr">
        <is>
          <t>Delivery Consultant - Data Engineer, Data and Machine Learning, WWPS US Federal</t>
        </is>
      </c>
      <c r="C29" t="inlineStr">
        <is>
          <t>Amazon Web Services</t>
        </is>
      </c>
      <c r="D29" t="inlineStr">
        <is>
          <t>indeed</t>
        </is>
      </c>
      <c r="E29">
        <f>HYPERLINK("https://www.indeed.com/viewjob?jk=6a02f1996792de7c", "https://www.indeed.com/viewjob?jk=6a02f1996792de7c")</f>
        <v/>
      </c>
      <c r="F29">
        <f>HYPERLINK("https://www.amazon.jobs/jobs/3134583/delivery-consultant--data-engineer-data-and-machine-learning-wwps-us-federal?cmpid=DA_INAD200785B", "https://www.amazon.jobs/jobs/3134583/delivery-consultant--data-engineer-data-and-machine-learning-wwps-us-federal?cmpid=DA_INAD200785B")</f>
        <v/>
      </c>
      <c r="G29" t="inlineStr">
        <is>
          <t>Herndon, VA, US</t>
        </is>
      </c>
      <c r="H29" s="3" t="n">
        <v>45991</v>
      </c>
      <c r="I2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li-4350364210</t>
        </is>
      </c>
      <c r="B2" t="inlineStr">
        <is>
          <t>Data Engineer (L5)</t>
        </is>
      </c>
      <c r="C2" t="inlineStr">
        <is>
          <t>Netflix</t>
        </is>
      </c>
      <c r="D2" t="inlineStr">
        <is>
          <t>linkedin</t>
        </is>
      </c>
      <c r="E2" t="inlineStr"/>
      <c r="F2" t="inlineStr"/>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are revolutionizing how shows and movies are produced, pushing technological boundaries to efficiently deliver streaming video at a massive scale over the internet, and continuously improving the end\-to\-end user experience with Netflix across their member journey.
 We pride ourselves on using data to inform our decision\-making as we work towards our mission. This requires curating data across various domains such as Growth, Finance, Product, Content, and Studio. All of this data collection and curation is made possible thanks to the amazing Data Engineers of Netflix who bring this data to life.
 Data Engineering at Netflix is a role that requires building systems to process data efficiently and modeling the data to power analytics. These solutions can range from batch data pipelines that bring to life business metrics to real\-time processing services that integrate with our core product features. In addition, we require our Data Engineers to have a rich understanding of large distributed systems on which our data solutions rely. Candidates should have knowledge across several of these skill sets and usually need to be deep in at least one. As a Data Engineer, you also need to have strong communication skills since you will need to collaborate with business, engineering, and data science teams to enable a culture of learning. Learn more about the work of data engineers at Netflix.
 Location of work: We are considering candidates who are willing to relocate to Los Gatos, California, as well as fully\-remote candidates (remote in the US with occasional visits to Los Gatos) depending on the team your skills are most aligned with.
**Who are you?**
* You strive to write elegant code, and you're comfortable with picking up new technologies independently
* You are proficient in at least one major programming language (e.g. Java, Scala, Python) and comfortable working with SQL
* You enjoy helping teams push the boundaries of analytical insights, creating new product features using data, and powering machine\-learning models
* You have a strong background in at least one of the following: distributed data processing or software engineering of data services, or data modeling
* You are familiar with big data technologies like Spark or Flink and comfortable working with web\-scale datasets
* You have an eye for detail, good data intuition, and a passion for data quality
* You appreciate the importance of great documentation and data debugging skills
* You relate to and embody many of the aspects of the Netflix Culture. You love working independently while also collaborating and giving/receiving candid feedback
* You are comfortable working in a rapidly changing environment with ambiguous requirements. You are nimble and take intelligent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li-4313303066</t>
        </is>
      </c>
      <c r="B3" t="inlineStr">
        <is>
          <t>Analytics Engineer (L5) - Audience &amp; Identity - Ads</t>
        </is>
      </c>
      <c r="C3" t="inlineStr">
        <is>
          <t>Netflix</t>
        </is>
      </c>
      <c r="D3" t="inlineStr">
        <is>
          <t>linkedin</t>
        </is>
      </c>
      <c r="E3" t="inlineStr"/>
      <c r="F3" t="inlineStr"/>
      <c r="G3" t="inlineStr"/>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We are now hiring for the founding data scientists in this new business area for Netflix!
 Our goal in the Audience \&amp; Identity Science team is to deepen our understanding of our ad\-tier members, in order to improve advertiser performance and ensure a great member experience. We continually improve ad targeting capabilities through machine learning, analytics, data exploration, and optimization. Our work includes segment modeling, expansion algorithms, and lookalike modeling. We also provide modeling and analytics support for Netflix live content and integrations with third\-party partners, with a high priority on privacy and data security. We focus on repeatable, scalable modeling for a variety of current and future applications.
 As an Analytics Engineer, you will work on defining, tracking, and reporting our key metrics on all Ads audience and identity data products and ML models. You will own multiple key areas, provide insights \&amp; reports to both leadership and business stakeholders, and proactively find and pursue projects with high business impact. Ideally, you will be able to present big pictures of complex domains in easy\-to\-understand formats.
**Responsibilities**
* Autonomously identify and pursue research with significant business impact, and make compelling cases for prioritization and resource allocation
* Proactively perform data exploration on member and advertiser data to discover future opportunities
* Create prototype data pipelines and partner with data engineers to productize new data sets
* Identify, compute and validate metrics to measure project success and support product decision making
* Develop metrics, data audits, dashboards, and ad hoc analyses to support production ML models
* Deliver well\-documented datasets, tools, and reports to key technical and business partners
* Serve as a strategic thought partner to product managers and business stakeholders, directly influencing product direction and improving user experience.
* Cultivate strong partnerships with cross\-functional stakeholders from product, engineering, operations, design, consumer research, etc.
* Effectively communicate findings and insights to both technical and non\-technical audiences
**Qualifications**
* Senior analytics professional with a strong record of data exploration, reporting, data viz (Tableau, D3 etc), and data storytelling skills
* Expertise in SQL and Python, and some exposure to ETL and data warehousing concepts
* Experience with production monitoring of machine learning models and high leverage data sets
* Strong business acumen and ability to translate technical results into business impact
* Excellent communication and collaboration skills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li-4344086284</t>
        </is>
      </c>
      <c r="B4" t="inlineStr">
        <is>
          <t>Data Engineer</t>
        </is>
      </c>
      <c r="C4" t="inlineStr">
        <is>
          <t>Ford Motor Company</t>
        </is>
      </c>
      <c r="D4" t="inlineStr">
        <is>
          <t>linkedin</t>
        </is>
      </c>
      <c r="E4" t="inlineStr"/>
      <c r="F4" t="inlineStr"/>
      <c r="G4" t="inlineStr">
        <is>
          <t>Dearborn, MI</t>
        </is>
      </c>
      <c r="H4" t="inlineStr"/>
      <c r="I4" t="inlineStr">
        <is>
          <t>**Job Description**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**Responsibilities**
 We are looking for a data engineer with exceptional skills in Machine Learning (ML) and Artificial Intelligence (AI).
**In this position...**
 We are seeking an experienced data engineer with a strong focus on building and maintaining sophisticated full\-stack applications. The successful candidate will possess a proven track record of designing, developing, and deploying successful innovative Generative AI (GenAI) software solutions. This role requires a proven communicator who effectively interfaces between technical and business teams, translating complex AI capabilities and technical insights into actionable business value.
**What You'll Do...**
* Architect, develop, and deploy end\-to\-end agentic full\-stack Generative AI (GenAI) applications that solve complex real\-world problems, with a specific focus on improving engineering challenges and inefficiencies.
* Design and implement robust, scalable data science and Machine Learning Operations (MLOps) pipelines primarily within cloud environments like Google Cloud Platform (GCP) and Amazon Web Services (AWS), ensuring efficient deployment and maintenance of AI solutions.
* Lead the integration of new cloud technologies and AI tools (e.g., Vertex AI) into our workflows, continuously evaluating their potential and articulating their business value to drive innovation and efficiency.
* Develop intuitive and responsive front\-end user interfaces that enable seamless interaction with agentic AI systems and effectively translate complex outputs into actionable insights.
* Acquire a deep understanding of vehicle engineering problems, translating them into appropriate mathematical representations and AI/ML solutions (classification, prediction, intelligent automation).
* Ensure the overall quality and integrity of data and solutions throughout the development lifecycle, from data collection and cleaning to model deployment.
**Qualifications**
**You'll have...**
* Bachelor’s Degree in Computer Science \&amp; Engineering or equivalent combination of relevant education and experience.
* 3\+ years of experience building full\-stack applications in production environments, with proficiency in JavaScript/TypeScript, React, HTML and backend frameworks including Next.js, Node.js, Python, or Go
* 2\+ year experience with database systems (SQL, NoSQL), API design (REST/GraphQL) and building scalable API services using frameworks such as Flask or FastAPI.
* 2\+ year experience deploying and maintaining applications in cloud\-native environments (e.g., AWS, Azure, GCP)
* 2\+ year experience working with DevOps tools (Docker, Kubernetes, Terraform, etc.)
* Leveraging and integrating cloud\-based AI tools like Vertex AI into production systems.
* A strong passion for evaluating, championing, and integrating new technologies and tools, particularly within GCP, into existing workflows, with the ability to clearly articulate and justify their business value and impact.
* Exceptional collaboration skills, with the ability to effectively interface between technical development teams and business stakeholders, understanding and navigating both IT and business constraints.
* Comfortable working in ambiguous environments where problems are not always well\-defined, and solutions require innovative thinking.
**Even better, you may have...**
* Masters Degree in Computer Science \&amp; Engineering
* 5\+ years of Python development experience, specifically for:
+ Advanced data manipulation and analysis using libraries such as Pandas.
+ Machine Learning model development, including Natural Language Processing (NLP), and utilizing deep learning frameworks like PyTorch, TensorFlow, and Keras.
* 3\+ years of hands\-on experience developing and deploying solutions on major cloud platforms, including Google Cloud Platform (GCP) or Amazon Web Services (AWS).
* 3\+ years of Front\-End Development experience using modern web technologies like React, JavaScript, and HTML, to build intuitive user interfaces for AI applications.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7\-8\.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5">
      <c r="A5" t="inlineStr">
        <is>
          <t>li-4293138779</t>
        </is>
      </c>
      <c r="B5" t="inlineStr">
        <is>
          <t>Data Engineer 5 - Product (QOE)</t>
        </is>
      </c>
      <c r="C5" t="inlineStr">
        <is>
          <t>Netflix</t>
        </is>
      </c>
      <c r="D5" t="inlineStr">
        <is>
          <t>linkedin</t>
        </is>
      </c>
      <c r="E5" t="inlineStr"/>
      <c r="F5" t="inlineStr"/>
      <c r="G5" t="inlineStr"/>
      <c r="H5" t="inlineStr"/>
      <c r="I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are focused on delivering an incredible member experience, ensuring that every stream is high\-quality, thrilling, and uninterrupted. Quality of Experience (QoE) is one of the key areas where we measure and optimize our product's performance. Within Data Science and Engineering (DSE), we leverage data to measure, optimize, and personalize our product quality, aiming to provide a delightful, thrilling, and engaging experience for our members.
 In this role, you’ll collaborate with data engineers, software engineers, and QoE analytical engineers to build reliable, scalable data pipelines, transform client and server telemetry into core performance metrics, and surface QoE insights. The team is small, so the role requires a high degree of autonomy, strong technical judgment, and the ability to span across the data stack, from pipeline development to performance metrics and tools.
 Who are you?
* You strive to write elegant code and are comfortable with independently picking up new technologies.
* You master at least one major programming language (preferably Python) and are comfortable working with SQL.
* You enjoy helping teams push the boundaries of analytical insights, using data to create new product features, and powering machine\-learning models.
* You have a strong background in at least one of the following: distributed data processing or software engineering of data services.
* You are familiar with big data technologies like Spark and Flink and comfortable working with web\-scale datasets.
* You are passionate about the end\-to\-end software development lifecycle, focusing on automation, testing, CI/CD, and documentation.
* At Netflix, you own your code, services, and pipelines. You have practical, solid DevOps and Operation fundamentals, and you enjoy total ownership of your domain.
* You have an eye for detail, good data intuition, and a passion for data quality.
* You relate to and embody many of the aspects of the Netflix Culture. You love working independently while also collaborating and giving/receiving candid feedback.
* You are comfortable working in a rapidly changing environment with ambiguous requirements. You are nimble and take intelligent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
      <c r="A6" t="inlineStr">
        <is>
          <t>li-4350146038</t>
        </is>
      </c>
      <c r="B6" t="inlineStr">
        <is>
          <t>Data Engineer 5 - Privacy</t>
        </is>
      </c>
      <c r="C6" t="inlineStr">
        <is>
          <t>Netflix</t>
        </is>
      </c>
      <c r="D6" t="inlineStr">
        <is>
          <t>linkedin</t>
        </is>
      </c>
      <c r="E6" t="inlineStr"/>
      <c r="F6" t="inlineStr"/>
      <c r="G6" t="inlineStr"/>
      <c r="H6" t="inlineStr"/>
      <c r="I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are in the midst of major transformative developments for the Netflix product with the launch of an Advertising supported plan, Games and Live content. These new products, alongside our streaming service, have resulted in significant increases in the complexity and breadth of our internal data ecosystem. We manage one of the largest paid subscription businesses and are committed to handling our members’ data with a high degree of care towards appropriate use as well as compliance with local privacy laws and regulations in the 190\+ countries where we operate.
 The Privacy and Legal Data Engineering pod builds scalable data management and extraction frameworks which are at the core of our ability to hold ourselves to the highest data privacy and hygiene standards in the industry.
 We are looking for a Data Engineer to help augment our ability to build these robust, scalable privacy centric data frameworks. As part of this team, you will work on diverse data technologies such as Spark, Presto, Flink, Kafka and others to build insightful, scalable and robust data pipelines; write ETL jobs to collect and aggregate data; and build high quality data frameworks that enable appropriate handling of customer personal data.
 The ideal candidate will bring a strong track record of having built data systems and frameworks to strengthen the privacy posture at large consumer businesses. They will have a deep background in distributed data processing and share our passion for continuously improving the ways we handle data to make Netflix's data privacy posture better.
**Who You Are**
* Passionate about consumer centric data privacy and risk mitigation for the business
* Highly proficient in at least one of Java, Python or Scala with at least 8 years of software/data engineering experience
* Proficient in advanced SQL and effective in a complex data environment
* Highly experienced in engineering data pipelines using big data technologies (Hive, Presto, Spark, Flink) on medium to large scale data sets
* Comfortable working cross functionally with multiple types of stakeholders groups
* Able to successfully lead large, complex systems design and implementation challenges independently
**What You Will Do**
* Design and implement elegant frameworks to scalably meet various internal and consumer facing data privacy and legal needs
* Engineer efficient, adaptable and scalable data pipelines to process structured and unstructured data
* Develop a deep understanding of the data ecosystem at Netflix from a privacy lens
* Partner with the privacy engineering teams to understand product goals and provide data which enables us to respond to customer and regulatory data requests
* Mentor and inspire teammates while elevating the impact of the team
* Enable Netflix to effectively manage legal and regulatory risk and compliance while maintaining a high standard of consumer data privacy expectations
**A Few More Things To Know**
 Our culture is unique and we live by our values, so it's worth learning more about Netflix at jobs.netflix.com/culture. We regularly share examples of our work on our tech blog. You will need to be comfortable working in the most agile of environments. Requirements will be vague. Iterations will be rapid. You will need to be nimble and take smart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7">
      <c r="A7" t="inlineStr">
        <is>
          <t>li-4287957958</t>
        </is>
      </c>
      <c r="B7" t="inlineStr">
        <is>
          <t>NY Senior Data Engineer</t>
        </is>
      </c>
      <c r="C7" t="inlineStr">
        <is>
          <t>Cornspring</t>
        </is>
      </c>
      <c r="D7" t="inlineStr">
        <is>
          <t>linkedin</t>
        </is>
      </c>
      <c r="E7" t="inlineStr"/>
      <c r="F7" t="inlineStr"/>
      <c r="G7" t="inlineStr">
        <is>
          <t>New York, NY</t>
        </is>
      </c>
      <c r="H7" t="inlineStr"/>
      <c r="I7" t="inlineStr">
        <is>
          <t>* Unfortunately, no visa sponsorship or transfer will be provided with this position.
* If you're up for the challenge, we'd love to hear from you. When you click apply, there will be an application form for you to complete. It should take around 5 to 10 minutes to complete
 Cornspring is an innovative start\-up FinTech company, with a mission to empower Family Offices and Asset Owners with real\-time, AI driven data intelligence and portfolio insights.
 The tools we are building are solving one of the most complex and valuable challenges in Finance. Our clients operate at the highest levels of global finance, managing billions in assets. Yet, legacy systems fail them: slow, fragmented, and outdated.
 Cornspring is redefining Family Office services by leveraging state\-of\-the\-art generative AI and Large Language Models to provide unparalleled insights and efficiency to Family Office investment and accounting data.
 This is a high\-ownership environment, and we need exceptional engineers who bring a mix of talent and passion to join us on our incredibly exciting journey.
 We are currently looking for a top\-tier Senior Data Engineer with deep expertise in Python programming in a financial context. This is a pivotal role, where you will be tackling technically challenging problems and working with cutting edge AI technology.
 You will be reporting to the Head of Data Operations and will be working alongside a team of talented engineers.
* You will be responsible for developing and maintaining our ETL pipelines, handling diverse data formats, and ensuring data quality and consistency.
* You'll work on automating data processing workflows while implementing robust validation and error handling mechanisms to maintain data integrity.
* You will conduct testing on data movement, transformation code, and data components to ensure integrity, accuracy, and high\-quality deliverables for all data processing
* You will design and implement data solutions for new initiatives and provide continuous oversight for existing solutions to improve quality and performance
* You will assess and integrate new data sources into pipelines to meet evolving business needs
* You'll provide technical design and coding assistance to junior team members, ensuring the successful delivery of initiatives.
**Requirements**
* The role requires a strong expertise in Python data manipulation libraries and a solid understanding of financial data structures
* University degree in Computer Science, Software Engineering or equivalent.
* Solid data engineering experience
* Experience designing and maintaining ETL pipelines, integrating data from multiple sources (including APIs).
* Experience working with remote teams.
* Knowledge and exposure to Azure and / or AWS.
**Benefits**
* Competitive salary.
* Hybrid working: we work from a beautiful office in Manhattan 2 days a week
* Being part of a revolutionary movement in Family Office technology
* Working with cutting\-edge AI and data technologies.
* Challenging projects that make a real impact to our sector.</t>
        </is>
      </c>
    </row>
    <row r="8">
      <c r="A8" t="inlineStr">
        <is>
          <t>li-4344217968</t>
        </is>
      </c>
      <c r="B8" t="inlineStr">
        <is>
          <t>Data Engineer III</t>
        </is>
      </c>
      <c r="C8" t="inlineStr">
        <is>
          <t>Sam's Club</t>
        </is>
      </c>
      <c r="D8" t="inlineStr">
        <is>
          <t>linkedin</t>
        </is>
      </c>
      <c r="E8" t="inlineStr"/>
      <c r="F8" t="inlineStr"/>
      <c r="G8" t="inlineStr">
        <is>
          <t>Sunnyvale, CA</t>
        </is>
      </c>
      <c r="H8" t="inlineStr"/>
      <c r="I8" t="inlineStr">
        <is>
          <t>Position Summary...
 What you'll do...
 You have a deep interest and passion for technology. You have a passion to drive critical business initiatives with Data. You love writing and owning codes and enjoy working with people who will keep challenging you at every stage. You have strong problem solving, analytic, decision\- making and excellent communication with interpersonal skills. You are self\-driven and motivated with the desire to work in a fast\- paced, results\-driven agile environment with varied responsibilities.
 About Team: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 Go, Club Pickup, and home delivery service in select markets. Sam's Club also provides travel, auto purchasing, pharmacy, optical, hearing aid centers, tire and battery centers, and a portfolio of business operations support services. Immigration sponsorship is not available in this role. What you'll do:
* Design, build, test and deploy cutting edge solutions at scale, impacting millions of customers worldwide drive value from data
* Interact with Sam's Club engineering teams across geographies to leverage expertise and contribute to the tech community.
* Engage with Product Management and Business to drive the agenda, set your priorities and deliver awesome product features to keep platform ahead of market scenarios.
* Identify right open source tools to deliver product features by performing research, POC/Pilot and/or interacting with various open source forums
* Develop and/or Contribute to add features that enable adoption of data across Sam's Club
* Deploy and monitor products on Cloud platforms
* Develop and implement best\-in\-class monitoring processes to enable data applications meet SLAs
* Guide the team technically for end to end solution Lifecycle. What you'll bring:
* 2 \- 3 years of Big data development experience
* 1 \- 2 Years of Experience in GCP/Azure cloud platforms
* Demonstrates up\-to\-date expertise in Data Engineering, complex data pipeline development
* Architect, Design, develop, implement and tune distributed data processing pipelines that process large volume of data; focusing on scalability, low \-latency, and fault\-tolerance in every system built.
* Exposure to Data Governance ( Data Quality, Metadata Management, Security, etc.)
* Experience with Java, Scala and/or Python to write data pipelines and data processing layers
* Demonstrates expertise in writing complex, highly\-optimized queries across large data sets
* Proven working expertise with Big Data Technologies Spark Scala/PySpark, and SQL
* Knowledge and experience in Kafka, Spark Streaming, Druid and Presto.
 About Sam's Club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
      <c r="A9" t="inlineStr">
        <is>
          <t>li-4359942351</t>
        </is>
      </c>
      <c r="B9" t="inlineStr">
        <is>
          <t>Data Engineer</t>
        </is>
      </c>
      <c r="C9" t="inlineStr">
        <is>
          <t>Thumbtack</t>
        </is>
      </c>
      <c r="D9" t="inlineStr">
        <is>
          <t>linkedin</t>
        </is>
      </c>
      <c r="E9" t="inlineStr"/>
      <c r="F9" t="inlineStr"/>
      <c r="G9" t="inlineStr"/>
      <c r="H9" t="inlineStr"/>
      <c r="I9" t="inlineStr">
        <is>
          <t>**About The Company** 
 Thumbtack is a leading platform dedicated to helping millions of individuals confidently care for their homes. The company offers a comprehensive app that provides personalized guidance, AI tools, and a seamless hiring experience for home improvement projects. Every day, homeowners across every county in the United States turn to Thumbtack to handle urgent repairs, seasonal maintenance, and larger renovation projects. With a growing community of over 300,000 local service businesses, Thumbtack empowers homeowners to determine which projects to undertake, when to do them, and who to hire. The company's mission is to make home improvement accessible, efficient, and reliable, fostering a community of builders and service providers committed to quality and trust. If you are inspired by making an impact and building innovative solutions, Thumbtack offers an exciting environment to contribute and grow.
**About The Role** 
 We are seeking a highly experienced Data Engineer to join our Marketing Tech team at Thumbtack. This role is pivotal in developing and optimizing our marketing data infrastructure to support our diverse marketing channels, including paid advertising (SEM, social media, streaming media) and organic efforts (SEO, engagement, lifecycle marketing). As part of the embedded Data Engineering team, you will collaborate closely with marketing, analytics, data science, and product engineering teams to design, build, and maintain scalable data systems that drive measurable business impact. Your expertise will help shape our data architecture, ensuring high data quality, reliability, and accessibility across the organization. The ideal candidate will have a strong background in building complex data ecosystems, a strategic mindset for long\-term data planning, and a passion for mentorship and collaboration. This role offers the opportunity to influence the future of our marketing data products, including real\-time data pipelines based on Apache Kafka, and to work in a dynamic, innovative environment committed to excellence and continuous improvement.
**Qualifications** 
* 8\+ years of experience designing, building, and scaling data systems, including pipelines, warehouses, and analytical data products.
* Proven technical leadership in architecting complex data ecosystems and ownership of data models, transformation frameworks, and integrations across multiple data domains.
* Advanced proficiency in SQL and Python.
* Deep experience with modern data stacks, including cloud\-native warehouses such as BigQuery or Snowflake.
* Experience with orchestration tools like Airflow or similar platforms.
* Knowledge of transformation frameworks such as dbt or equivalent.
* Strong system design and architecture skills, with the ability to reason about scalability, cost, and performance trade\-offs.
* Exceptional collaboration skills, capable of partnering effectively with cross\-functional teams including marketing, analytics, and data science.
* Strong ownership mentality with the ability to mentor others and drive data quality initiatives.
**Responsibilities** 
* Collaboratively develop and promote a comprehensive framework for integrating data\-driven thinking into the software development lifecycle for marketing.
* Design, architect, and maintain core marketing datasets, data marts, and feature stores that support both mature products and evolving marketing initiatives.
* Partner with analytics, data science, and machine learning teams to understand their data needs and design datasets with engineering rigor.
* Ensure data quality and implement best practices across marketing and business data domains.
* Build and enhance real\-time marketing data products, leveraging technologies such as Apache Kafka.
* Define and implement long\-term data strategies that align with organizational goals, balancing scalability, cost\-efficiency, and performance.
* Mentor junior engineers, raise data standards, and promote best practices in data engineering across teams.
* Collaborate with product and engineering teams to integrate data seamlessly into marketing tools and platforms.
**Benefits** 
* Competitive salary aligned with experience and location.
* Health, dental, and vision insurance coverage.
* Flexible remote work options and supportive work environment.
* Opportunities for professional growth and development.
* Collaborative and inclusive company culture.
* Generous paid time off and holidays.
* Participation in company equity programs and performance bonuses.
 Equal Opportunity
 Thumbtack is committed to fostering an inclusive and diverse workplace. We are proud to be an equal opportunity employer and do not discriminate based on sex, race, color, age, pregnancy, sexual orientation, gender identity or expression, religion, national origin, ancestry, citizenship, marital status, military or veteran status, genetic information, disability status, or any other characteristic protected by law.</t>
        </is>
      </c>
    </row>
    <row r="10">
      <c r="A10" t="inlineStr">
        <is>
          <t>li-4325859002</t>
        </is>
      </c>
      <c r="B10" t="inlineStr">
        <is>
          <t>Data Engineer</t>
        </is>
      </c>
      <c r="C10" t="inlineStr">
        <is>
          <t>Digital Infuzion</t>
        </is>
      </c>
      <c r="D10" t="inlineStr">
        <is>
          <t>linkedin</t>
        </is>
      </c>
      <c r="E10" t="inlineStr"/>
      <c r="F10" t="inlineStr"/>
      <c r="G10" t="inlineStr">
        <is>
          <t>Rockville, MD</t>
        </is>
      </c>
      <c r="H10" t="inlineStr"/>
      <c r="I10" t="inlineStr">
        <is>
          <t>We believe that by equipping researchers with rapid insights and providers with tailored, on\-demand data, we can help people lead better, healthier lives. At Digital Infuzion, we harness innovative healthcare solutions and cutting\-edge bioinformatics to make meaningful impacts in patient care.
 Our team thrives in a creative, open, and growth\-oriented environment, guided by our core values:
 Outcomes First: Focusing on what matters most and making timely, informed decisions.
 Innovative: Embracing creativity and continuous improvement to drive novel solutions.
 Radical Candor: Communicating openly and honestly, balancing direct feedback with genuine care.
 Never Satisfied: Pursuing excellence and continuous growth beyond the status quo.
 Resilient: Adapting and persevering through challenges, turning obstacles into opportunities.
 If you're passionate about leveraging technology to improve healthcare and want to work in an environment that values innovation and collaboration, we may have just the opportunity for you.
**Position Overview**
 We are looking for an experienced data engineer to join our team of top\-notch technologists. You will use various methods to transform raw data into useful data that will accelerate scientific research and discovery.
 To succeed in this data engineering position, you should have strong analytical skills and the ability to work with data from different sources. Data engineer skills also include familiarity with several programming languages including SQL and Python and knowledge of working in the Cloud with various cloud\-based technologies.
**Skills \&amp; Experience**
* Experience with SQL and Python (PySpark) skills
* Demonstrable experience in data engineering involving implementation of end\-to\-end data pipelines
* Experience with R\-Studio
* Good communication and willingness to work as a team
* Detail\-oriented with excellent organizational skills
* Hands\-on experience with at least one of the leading public cloud data platforms (Amazon Web Services, Azure)
* Experience in implementing data pipelines for streaming and/or batch integrations using tools/frameworks like Glue ETL, Lambda, Apache Airflow, AWS Step Functions, etc.
* Experience working with code repositories and continuous integration
**Set Yourself Apart With**
* Working experience with writing and optimizing PL/SQL
* Experience in data modeling, warehouse design and fact/dimension implementations
* AWS Developer certifications or AWS experience
* Experience using OpenSearch
* Implementation experience with column\-oriented data technologies (e.g., Redshift, Parquet), NoSQL database technologies (e.g., DynamoDB, MongoDB)
* Understanding of development and project methodologies
**Digital Infuzion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per Federal laws.**
**We can provide reasonable accommodation to applicants with disabilities. If you need a reasonable accommodation for any part of the application and hiring process, please contact Human Resources at HR@digitalinfuzion.com. The decision on granting reasonable accommodation will be made on a case\-by\-case basis.**</t>
        </is>
      </c>
    </row>
    <row r="11">
      <c r="A11" t="inlineStr">
        <is>
          <t>li-4345482042</t>
        </is>
      </c>
      <c r="B11" t="inlineStr">
        <is>
          <t>Data Engineer - Machine Learning (Marketing Analytics)</t>
        </is>
      </c>
      <c r="C11" t="inlineStr">
        <is>
          <t>PODS</t>
        </is>
      </c>
      <c r="D11" t="inlineStr">
        <is>
          <t>linkedin</t>
        </is>
      </c>
      <c r="E11" t="inlineStr"/>
      <c r="F11" t="inlineStr"/>
      <c r="G11" t="inlineStr">
        <is>
          <t>Clearwater, FL</t>
        </is>
      </c>
      <c r="H11" t="inlineStr"/>
      <c r="I11" t="inlineStr">
        <is>
          <t>At PODS (Portable On Demand Storage), we're not just a leader in the moving and storage industry, we redefined it. Since 1998, we’ve empowered customers across the U.S. and Canada with flexible, portable solutions that put customers in control of their move. Whether it’s a local transition or a cross\-country journey, our personalized service makes any experience smoother, smarter, and more human.
 We’re driven by a culture of trust, authenticity, and continuous improvement. Our team is the heartbeat of our success, and together we strive to make each day better than the last. If you’re looking for a place where your work matters, your ideas are valued, and your growth is supported\- PODS is your next destination.
**Job Summary**
 The Data Engineer\- Machine Learning is responsible for scaling a modern data \&amp; AI stack to drive revenue growth, improve customer satisfaction, and optimize resource utilization. As an ML Data Engineer, you will bridge data engineering and ML engineering: build high‑quality feature pipelines in Snowflake/Snowpark, Databricks, productionize and operate batch/real‑time inference, and establish MLOps/LLMOps practices so models deliver measurable business impact at scale.
***Note:** 
 This role is required onsite at PODS headquarters in Clearwater, FL. The onsite working schedule is Monday \- Thursday onsite with Friday remote.*
*It is NOT a remote opportunity.*
**General Benefits \&amp; Other Compensation**
* Medical, dental, and vision insurance
* Employer\-paid life insurance and disability coverage
* 401(k) retirement plan with employer match
* Paid time off (vacation, sick leave, personal days)
* Paid holidays
* Parental leave / family leave
* Bonus eligibility / incentive pay
* Professional development / training reimbursement
* Employee assistance program (EAP)
* Commuter benefits / transit subsidies (if available)
* Other fringe benefits (e.g. wellness credits)
**What You Will Do**
* Design, build, and operate feature pipelines that transform curated datasets into reusable, governed feature tables in Snowflake
* Productionize ML models (batch and real‑time) with reliable inference jobs/APIs, SLAs, and observability
* Setup processes in Databricks and Snowflake/Snowpark to schedule, monitor, and auto‑heal training/inference pipelines
* Collaborate with our Enterprise Data \&amp; Analytics (ED\&amp;A) team centered on replicating operational data into Snowflake, enriching it into governed, reusable models/feature tables, and enabling advanced analytics \&amp; ML—with Databricks as a core collaboration environment
* Partner with Data Science to optimize models that grow customer base and revenue, improve CX, and optimize resources
* Implement MLOps/LLMOps: experiment tracking, reproducible training, model/asset registry, safe rollout, and automated retraining triggers
* Enforce data governance \&amp; security policies and contribute metadata, lineage, and definitions to the ED\&amp;A catalog
* Optimize cost/performance across Snowflake/Snowpark and Databricks
* Follow robust and established version control and DevOps practices
* Create clear runbooks and documentation, and share best practices with analytics, data engineering, and product partners
**Also, you will**
 DELIVER QUALITY RESULTS: Able to deliver top quality service to all customers (internal and external); Able to ensure all details are covered and adhere to company policies; Able to strive to do things right the first time; Able to meet agreed\-upon commitments or advises customer when deadlines are jeopardized; Able to define high standards for quality and evaluate products, services, and own performance against those standards
 TAKE INITIATIVE: Able to exhibit tendencies to be self\-starting and not wait for signals; Able to be proactive and demonstrate readiness and ability to initiate action; Able to take action beyond what is required and volunteers to take on new assignments; Able to complete assignments independently without constant supervision
 BE INNOVATIVE / CREATIVE: Able to examine the status quo and consistently look for better ways of doing things; Able to recommend changes based on analyzed needs; Able to develop proper solutions and identify opportunities
 BE PROFESSIONAL: Able to project a positive, professional image with both internal and external business contacts; Able to create a positive first impression; Able to gain respect and trust of others through personal image and demeanor
 ADVANCED COMPUTER USER: Able to use required software applications to produce correspondence, reports, presentations, electronic communication, and complex spreadsheets including formulas and macros and/or databases. Able to operate general office equipment including company telephone system
**What You Will Need**
* Bachelor’s or Master’s in CS, Data/ML, or related field (or equivalent experience) required
* 4\+ years in data/ML engineering building production‑grade pipelines with Python and SQL
* Strong hands‑on with Snowflake/Snowpark and Databricks; comfort with Tasks \&amp; Streams for orchestration
* 2\+ years of experience optimizing models: batch jobs and/or real‑time APIs, containerized services, CI/CD, and monitoring
* Solid understanding of data modeling and governance/lineage practices expected by ED\&amp;A
**It Would Be Nice If You Had**
* Familiarity with LLMOps patterns for generative AI applications
* Experience with NLP, call center data, and voice analytics
* Exposure to feature stores, model registries, canary/shadow deploys, and A/B testing frameworks
* Marketing analytics domain familiarity (lead scoring, propensity, LTV, routing/prioritization)
**MANAGEMENT \&amp; SUPERVISORY RESPONSIBILTIES**
* Direct supervisor job title(s) typically include: VP, Marketing Analytics
* Job may require supervising Analytics associates
**No Unsolicited Resumes from Third\-Party Recruiters**
 Please note that as per PODS policy, we do not accept unsolicited resumes from third\-party recruiters unless such recruiters are engaged to provide candidates for a specified opening and in alignment with our Inclusive Diversity values.Any employment agency, person or entity that submits an unsolicited resume does so with the understanding that PODS will have the right to hire that applicant at its discretion without any fee owed to the submitting employment agency, person, or entity.
**DISCLAIMER**
 The preceding job description has been designed to indicate the general nature of work performed; the level of knowledge and skills typically required; and usual working conditions of this position. It is not designed to contain, or be interpreted as, a comprehensive listing of all requirements or responsibilities that may be required by employees in this job.
**Equal Opportunity, Affirmative Action Employer**
 PODS Enterprises, LLC is an Equal Opportunity, Affirmative Action Employer. We will not discriminate unlawfully against qualified applicants or employees with respect to any term or condition of employment based on race, color, national origin, ancestry, sex, sexual orientation, age, religion, physical or mental disability, marital status, place of birth, military service status, or other basis protected by law.</t>
        </is>
      </c>
    </row>
    <row r="12">
      <c r="A12" t="inlineStr">
        <is>
          <t>li-4359952316</t>
        </is>
      </c>
      <c r="B12" t="inlineStr">
        <is>
          <t>Data Engineer</t>
        </is>
      </c>
      <c r="C12" t="inlineStr">
        <is>
          <t>Rocky Mountain Elk Foundation</t>
        </is>
      </c>
      <c r="D12" t="inlineStr">
        <is>
          <t>linkedin</t>
        </is>
      </c>
      <c r="E12" t="inlineStr"/>
      <c r="F12" t="inlineStr"/>
      <c r="G12" t="inlineStr"/>
      <c r="H12" t="inlineStr"/>
      <c r="I12" t="inlineStr">
        <is>
          <t>**About The Company**
 The Rocky Mountain Elk Foundation (RMEF) is a mission\-driven non\-profit organization dedicated to ensuring the future of elk, other wildlife, their habitats, and our hunting heritage. Since its founding in 1984, RMEF has made significant strides in conservation efforts, helping to conserve nearly one square mile of elk country every day. Through strategic partnerships and community engagement, the organization has conserved or enhanced more than 9\.1 million acres of land, including improving public access to 1\.6 million acres. The foundation's vision is to expand its impact to 10 million acres by 2030, fostering sustainable wildlife populations and outdoor traditions. RMEF prides itself on its conservation successes and is committed to making an even larger impact through innovative initiatives and technological advancements.
**About The Role**
 RMEF is seeking a skilled Data Engineer to transform how the organization leverages data across its operations. This role involves designing, building, and maintaining the foundation of RMEF’s data infrastructure and analytics platforms. The Data Engineer will serve as the technical owner of data architecture, ensuring high data quality, governance, and accessibility. Collaborating closely with IT leadership and business stakeholders, the successful candidate will develop automated data pipelines, implement analytics solutions, and support emerging technologies such as ERP, CRM, and advanced analytics platforms. The role aims to shift the organization from ad\-hoc reporting to self\-service analytics, enabling leadership and staff to make data\-driven decisions with confidence. This is an exciting opportunity for an IT professional passionate about conservation and technology to make a meaningful impact in a dynamic, mission\-focused environment.
**Qualifications**
* Bachelor’s degree in Computer Science, Information Systems, Data Science, or a related field, or equivalent experience
* Minimum of five years of experience in data engineering, data architecture, or analytics engineering roles
* Proven experience in building and deploying production dashboards and analytics solutions for business users
* Strong SQL proficiency, including complex queries, optimization, and relational database design
* Experience with NetSuite (SuiteAnalytics, saved searches, data models) or similar ERP systems
* Familiarity with data integration tools such as Fivetran, dbt, Talend, Azure Data Factory, or similar
* Proficiency with Power BI or comparable BI platforms, including DAX, data modeling, and report design
* Understanding of data modeling techniques (dimensional modeling, star schema, data vault)
* Knowledge of API design and RESTful web services for data integration
* Experience with version control (Git) and CI/CD practices for data pipelines
* Ability to translate business requirements into technical data solutions
* Strong analytical and problem\-solving skills
* Excellent communication skills, capable of explaining technical concepts to non\-technical stakeholders
* Understanding of membership, fundraising, and nonprofit operations data models
* Commitment to maintaining high data quality standards (95%\+ accuracy)
**Responsibilities**
* Design and implement enterprise data architecture, including data models and integration patterns, to establish a single source of truth for member and donor data
* Implement and manage NetSuite Analytics Warehouse (NSAW) as the primary analytics platform
* Develop and maintain high\-value Power BI dashboards for leadership and operational teams to facilitate data\-driven decision\-making
* Design and build automated data pipelines (ETL/ELT) connecting systems such as NetSuite, M360suite, Klaviyo, and payment gateways
* Define and document data governance policies, including metric definitions, data quality rules, and access controls
* Monitor data pipeline performance, troubleshoot failures, and implement automated error handling to ensure system reliability
* Investigate and resolve data quality incidents, such as duplicates and sync failures, and implement monitoring to detect anomalies
* Enable self\-service analytics by creating user\-friendly data models and providing staff training on BI tools
* Ensure compliance with relevant data handling regulations (e.g., PCI\-DSS) and implement appropriate access controls
* Serve as a technical advisor to IT leadership on data strategy, recommending technologies and best practices to enhance organizational capabilities
* Provide technical mentorship to IT staff on data\-related topics
* Perform additional duties as required to support the organization’s data initiatives
**Benefits**
* Opportunity to work in a mission\-driven organization dedicated to wildlife conservation
* Remote work flexibility with occasional travel to Missoula, Montana
* Collaborative and innovative work environment
* Professional development and training opportunities
* Contributing to impactful conservation projects and initiatives
* Competitive salary and benefits package (if available)
 Equal Opportunity
 RMEF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 and regulations.</t>
        </is>
      </c>
    </row>
    <row r="13">
      <c r="A13" t="inlineStr">
        <is>
          <t>li-4345512127</t>
        </is>
      </c>
      <c r="B13" t="inlineStr">
        <is>
          <t>Analytics Engineer</t>
        </is>
      </c>
      <c r="C13" t="inlineStr">
        <is>
          <t>Paylocity</t>
        </is>
      </c>
      <c r="D13" t="inlineStr">
        <is>
          <t>linkedin</t>
        </is>
      </c>
      <c r="E13" t="inlineStr"/>
      <c r="F13" t="inlineStr"/>
      <c r="G13" t="inlineStr"/>
      <c r="H13" t="inlineStr"/>
      <c r="I13" t="inlineStr">
        <is>
          <t>**Description**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There are jobs and then there are
 *careers* 
 . Since 1997, Paylocity has been hiring talented people, giving them big challenges, and providing the right resources to help them succeed. Our award\-winning culture ensures all employees feel truly welcome, appreciated, and free to be themselves. While other companies talk about it, we make it happen. Join Paylocity and launch your career!
**Fully Remote (U.S. Only):**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The Analytics Engineer serves as a bridge between data engineering and analytics, responsible for transforming raw data into reliable datasets that empower business intelligence and data\-driven decision making. This role combines software engineering best practices with deep analytical expertise to build scalable data transformation workflows, implement robust data governance, and enable self\-service analytics across the organization.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Execution and Quality
* Own medium to large projects independently and ensure stakeholder and business needs are met.
* Develop data transformation pipelines using dbt (data build tool) for modeling and transformation logic.
* Build reusable data flows and semantic layer models that enable consistent metrics and KPIs across the organization including go\-to\-market, operations, and product \&amp; tech.
* Identify and solve bugs, edge cases, and pain points via code reviews and ad\-hoc troubleshooting.
* Implement CI/CD, testing, and monitoring across the data stack (e.g. from source data to dashboards/reports).
* Be a proactive problem solver – able develop solutions with minimal guidance.
 Technical Expertise and Design
* Write readable and maintainable code that is optimized for performance and scalability.
* Able communicate complex ideas clearly and concisely to technical and non\-technical audiences.
* Cut through ambiguity and distinguish true needs and priorities.
* Architect data models based on best practices (fact/dim tables, normalized/denormalized tables, OBT, SCD, etc.).
* Create and maintain documentation for data models, business logic, and data lineage to support self\-service analytics.
* Establish data governance practices including naming conventions, model organization, and version control for analytics code.
 Collaboration, Influence, and Scope
* Build trust with end\-users to encourage data\-driven decision\-making.
* Collaborate with business stakeholders to understand requirements and translate them into scalable data solutions.
* Partner with data engineers on pipeline architecture and with analysts/data scientists on data product requirements.
* Use their influence to drive roadmap, tooling/resourcing decisions, and advocate for best practices.
* Work outside of their immediate team to identify dependencies and remove blockers.
**Education And Experience**
* Bachelor's degree in Computer Science, Data Science, Business Analytics, Engineering, Economics, Finance, or related quantitative discipline.
* 3\+ years of experience in analytics engineering, data engineering, or business intelligence development.
* 2\+ years of hands\-on experience with dbt (data build tool) for data modeling and transformation workflows.
* Expert proficiency in SQL for complex data transformations and analytical queries.
* Experience with Python for data processing, automation, and scripting.
* Knowledge of dimensional modeling, data warehouse design principles, and analytics best practices.
* Understanding of data governance, data quality frameworks, and metadata management.
* Familiarity with version control systems (Git) and software engineering practices.
**Preferred**
* 2\+ years of experience in a stakeholder facing analytics role (data analyst, financial analyst, reporting analyst, etc.) is preferred.
* Working familiarity with Docker, Bash, and Command Line.
* Experience with cloud data platforms (AWS Redshift, Snowflake, BigQuery, Databricks or similar).
* Experience with BI tools (Tableau, Looker, Power BI, Sigma) and their integration with data models.
* Knowledge of orchestration tools (Airflow, dbt Cloud).
* Ability to intelligently use AI tools (ChatGPT, Claude, Cursor, etc.).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pay range for this position is $100,000\- $130,000/yr;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4">
      <c r="A14" t="inlineStr">
        <is>
          <t>li-4328182451</t>
        </is>
      </c>
      <c r="B14" t="inlineStr">
        <is>
          <t>Data Engineer</t>
        </is>
      </c>
      <c r="C14" t="inlineStr">
        <is>
          <t>Kiewit</t>
        </is>
      </c>
      <c r="D14" t="inlineStr">
        <is>
          <t>linkedin</t>
        </is>
      </c>
      <c r="E14" t="inlineStr"/>
      <c r="F14" t="inlineStr"/>
      <c r="G14" t="inlineStr">
        <is>
          <t>Omaha, NE</t>
        </is>
      </c>
      <c r="H14" t="inlineStr"/>
      <c r="I14" t="inlineStr">
        <is>
          <t>**Requisition ID:** 
 178908
**Job Level:** 
 Mid Level
**Home District/Group:** 
 DHO Information Technology Group
**Department:** 
 Technology Group
**Market:** 
 Corporate Home Office
**Employment Type:** 
 Full Time
**Position Overview**
 The Data Engineer is responsible for designing, developing, and maintaining scalable, reliable, and secure data pipelines within a modern data platform environment. This role supports self\-service data consumption, reporting, analytics, and ensures data quality, integrity, and compliance. This role offers opportunity for professional development, certifications, and career advancement, exposure to large\-scale, structured and unstructured data environments and participation in a dynamic, innovative, and supportive team culture.
**District Overview**
 Kiewit Technology Group builds solutions to enable and support our company's expansive operations. Our mission is to deliver project schedule and cost certainty by employing technology designed by and for the construction industry. Our team utilizes systems and tools that manage every part of Kiewit's business and the project lifecycle to improve planning and day\-to\-day execution in the field. We give our people real\-time data to make faster, smarter decisions.
**Location**
 This is an in\-office role located on our LaVista, NE campus. This is not a remote opportunity and requires regular, daily attendance.
**Responsibilities**
* Design, develop, and optimize data pipelines and ETL/ELT processes for ingesting, transforming, and loading data from diverse sources (databases, file systems, cloud platforms) into BI and analytics platforms (e.g., Snowflake, Azure Data Lake, SQL Server).
* Implement data orchestration using modern tools (e.g., Airflow, Prefect, Azure Data Factory).
* Collaborate with data scientists, analysts, business stakeholders, and cross\-functional IT teams to understand data requirements and deliver solutions.
* Contribute to data modeling (star/snowflake schema), documentation, and metadata management.
* Ensure data quality, integrity, and compliance with relevant standards and regulations (e.g., GDPR, HIPAA).
* Monitor, troubleshoot, and resolve production issues in a timely manner.
* Participate in agile delivery teams, including design and code review sessions, to ensure optimal, bug\-free code is deployed to production.
* Support CI/CD processes and version control (e.g., Git) for data engineering workflows.
* Mentor junior engineers and contribute to team knowledge sharing and best practices.
* Stay current with emerging technologies and trends in data engineering, cloud platforms, and data governance.
**Qualifications**
* 2–5 years of experience in a data engineering role, preferably in a data warehouse or cloud data platform environment.
* Proficiency in SQL, data modeling, and performance optimization.
* Experience with ETL/ELT tools (e.g., Informatica, Azure Data Factory, dbt) and scripting languages (e.g., Python).
* Experience with data pipeline orchestration tools (e.g., Airflow, Prefect) and cloud platforms (AWS, Azure, GCP).
* Familiarity with containerization (Docker, Kubernetes) and infrastructure automation (Terraform) is a plus.
* Proven ability to interpret complex business rules and processes, and translate them into robust data integration solutions.
* Strong commitment to meeting deadlines and delivering high\-quality solutions.
* Excellent interpersonal and communication skills, with the ability to explain technical concepts to both technical and non\-technical audiences.
* Demonstrated ability to work collaboratively in agile, cross\-functional teams.
* Passion for continuous learning and professional development in the data engineering space.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5">
      <c r="A15" t="inlineStr">
        <is>
          <t>li-4283439000</t>
        </is>
      </c>
      <c r="B15" t="inlineStr">
        <is>
          <t>Real-Time Data Engineer II</t>
        </is>
      </c>
      <c r="C15" t="inlineStr">
        <is>
          <t>AppFolio</t>
        </is>
      </c>
      <c r="D15" t="inlineStr">
        <is>
          <t>linkedin</t>
        </is>
      </c>
      <c r="E15" t="inlineStr"/>
      <c r="F15" t="inlineStr"/>
      <c r="G15" t="inlineStr">
        <is>
          <t>San Diego, CA</t>
        </is>
      </c>
      <c r="H15" t="inlineStr"/>
      <c r="I15"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6">
      <c r="A16" t="inlineStr">
        <is>
          <t>li-4328210910</t>
        </is>
      </c>
      <c r="B16" t="inlineStr">
        <is>
          <t>Data Engineer - Python/SQL</t>
        </is>
      </c>
      <c r="C16" t="inlineStr">
        <is>
          <t>HTC Global Services</t>
        </is>
      </c>
      <c r="D16" t="inlineStr">
        <is>
          <t>linkedin</t>
        </is>
      </c>
      <c r="E16" t="inlineStr"/>
      <c r="F16" t="inlineStr"/>
      <c r="G16" t="inlineStr">
        <is>
          <t>Orlando, FL</t>
        </is>
      </c>
      <c r="H16" t="inlineStr"/>
      <c r="I16" t="inlineStr">
        <is>
          <t>**Job Description**
**Data Engineer (Python/SQL)**
**Overview**
 We are seeking an experienced Data Engineer with strong Python and SQL expertise to support the migration and expansion of an existing, production\-grade data platform into a new business environment. This role is heavily focused on enabling reliable data movement, system integrations, and backend data workflows while ensuring continuity, performance, and stability during migration efforts.
 The ideal candidate will work hands\-on across data pipelines, backend services, and integrations, partnering closely with engineering leads to extend an established platform to support additional operational and analytical use cases. This role blends development, problem solving, and collaboration across multiple engineering teams.
 Key Responsibilities
* Design, build, and maintain Python\-based services and data workflows that support platform migration efforts.
* Develop, optimize, and troubleshoot complex SQL queries supporting data ingestion, transformation, and validation.
* Support data movement and synchronization between existing systems and newly onboarded environments.
* Build and maintain integrations across internal platforms, databases, and APIs.
* Contribute to platform modernization initiatives with a focus on scalability, reliability, and maintainability.
* Partner with technical leads to identify migration risks, data gaps, and performance bottlenecks.
* Participate in code reviews and ensure adherence to established development and data quality standards.
**Required Experience**
* Strong hands\-on experience with Python in a data engineering or backend\-focused role.
* Advanced SQL skills with experience working in relational database environments.
* Background supporting data pipelines, backend services, or system integrations.
* Experience participating in platform migrations, system expansions, or modernization initiatives.
* Familiarity with CI/CD practices and modern development workflows.
* Ability to collaborate effectively across engineering, data, and platform teams.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
 Onsite</t>
        </is>
      </c>
    </row>
    <row r="17">
      <c r="A17" t="inlineStr">
        <is>
          <t>li-4283431861</t>
        </is>
      </c>
      <c r="B17" t="inlineStr">
        <is>
          <t>Real-Time Data Engineer II</t>
        </is>
      </c>
      <c r="C17" t="inlineStr">
        <is>
          <t>AppFolio</t>
        </is>
      </c>
      <c r="D17" t="inlineStr">
        <is>
          <t>linkedin</t>
        </is>
      </c>
      <c r="E17" t="inlineStr"/>
      <c r="F17" t="inlineStr"/>
      <c r="G17" t="inlineStr">
        <is>
          <t>Chicago, IL</t>
        </is>
      </c>
      <c r="H17" t="inlineStr"/>
      <c r="I17"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8">
      <c r="A18" t="inlineStr">
        <is>
          <t>li-4352259281</t>
        </is>
      </c>
      <c r="B18" t="inlineStr">
        <is>
          <t>Senior Data Engineer</t>
        </is>
      </c>
      <c r="C18" t="inlineStr">
        <is>
          <t>APT Search</t>
        </is>
      </c>
      <c r="D18" t="inlineStr">
        <is>
          <t>linkedin</t>
        </is>
      </c>
      <c r="E18" t="inlineStr"/>
      <c r="F18" t="inlineStr"/>
      <c r="G18" t="inlineStr">
        <is>
          <t>New York, United States</t>
        </is>
      </c>
      <c r="H18" t="inlineStr"/>
      <c r="I18" t="inlineStr">
        <is>
          <t>**Senior Data Engineer** 
**Remote – NYC Area \- I Repeat, this is REMOTE, but you need to be in the NYC AREA** 
**Compensation: $160,000 – $180,000 – Subject to experience** 
 We operate at the intersection of complex legal services and modern data engineering. Our teams build enterprise\-scale data platforms that power critical legal, regulatory, and business decisions for global organisations.
 If you’re motivated by designing robust data architectures, working with high\-value, high\-complexity datasets, and seeing your engineering work directly influence strategic outcomes, this is an environment where your expertise will have real impact.
**Senior Data Engineer** 
 You’re a Senior Data Engineer with proven experience leading a team successfully through the full lifecycle of a project.
 You’ll ideally have experience working in the legal industry and a track record of supporting multiple service lines as part of your day to day.
**What You’ll Be Doing** 
* Own and lead the full lifecycle of data engineering initiatives, from discovery, design, deploy, and scale.
* Utilising your knowledge of Azure Data Factory, Azure Databricks, and Microsoft Fabric notebooks, you’ll design and implement scalable data pipelines.
* Design and activate effective lakehouse solutions using Microsoft Fabric and Azure Databricks
* Support and guide colleagues with the dev of Power BI datasets, semantic models, and executive dashboards.
* A great communicator and proven leader, you thrive in a cross\-functional environment, supporting colleagues across legal ops, finance, and knowledge management to ensure data products directly support strategic and operational objectives.
* Drive the importance of data governance, quality, and compliance across legal domains.
**What We’re Looking For** 
* Extensive experience in data engineering (typically 7\+ years), including significant delivery experience within a law firm or legal services organisation.
* Practical application of Microsoft Fabric, Databricks (Data Lake), and Power BI.
* Deep expertise in SQL Server, T\-SQL, SSIS, and enterprise data warehousing.
* Understanding of core legal data platforms such as time recording, billing, matter management, and document management systems.
**Extra Points:** 
* Understanding of core legal data platforms such as Intapp, Foundation, iManage, time recording, billing, matter management, and document management systems.
* Experience with medallion architecture and data lakehouse design patterns.
 Employment is subject to verification of identity and authorisation to work in the United States, in line with federal requirements.
 **Must be authorized to work in the United States for any employer.** 
**For more information, apply here or contact ryan@weareapt.io**</t>
        </is>
      </c>
    </row>
    <row r="19">
      <c r="A19" t="inlineStr">
        <is>
          <t>li-4328275751</t>
        </is>
      </c>
      <c r="B19" t="inlineStr">
        <is>
          <t>Sr. Data Engineer</t>
        </is>
      </c>
      <c r="C19" t="inlineStr">
        <is>
          <t>Symetra</t>
        </is>
      </c>
      <c r="D19" t="inlineStr">
        <is>
          <t>linkedin</t>
        </is>
      </c>
      <c r="E19" t="inlineStr"/>
      <c r="F19" t="inlineStr"/>
      <c r="G19" t="inlineStr"/>
      <c r="H19" t="inlineStr"/>
      <c r="I19" t="inlineStr">
        <is>
          <t>Symetra has an exciting opportunity to join our team as a
 **Sr. Data Engineer** 
 !
**About The Role**
 Symetra is looking for a Data Engineer to join our Data Management team. In this role, you’ll Architect and develop modern cloud\-based solutions for the enterprise data warehouse, data marts, and data platforms. Lead in the delivery of significant projects, guiding and mentoring other data engineers to deliver modern cloud ETL/BI solutions.
**What You Will Do**
* Experience building/operating highly available, distributed systems of data extraction, ingestion, and processing of large data sets.
* Working knowledge of modern data architectures and trends such as Data Mesh, Data Lakehouse, etc.
* Research, analyze, recommend and select technical approaches for solving exciting and complex development and integration problems.
* Create and maintain automated methods of orchestrating data flows and products while monitoring data quality and the status of related infrastructure.
* Implement additional project components (API interfaces) for accessibility.
* Implement secure cloud data solutions which align to privacy and security controls.
* Enable and support data and analytics capabilities and technologies, ensuring functional specifications meet or exceed established business and functional requirements, technical standards, quality.
**Why work at Symetra**
 “The atmosphere at Symetra is truly different than at other companies. If you are looking for a company where your voice will matter and be heard, Symetra is the place for you.” Sydney S. \- Actuarial Associate III
 “I chose Symetra because I heard it was a pro\-employee company—and it’s absolutely true. The work environment is supportive, the people are great, and the benefits are generous. Symetra truly cares about its employees. The relaxed atmosphere and opportunities to learn and grow—both within your role and beyond—make it a great place to build your career.” \- Alicia L., Claims Examiner
**What We Offer You**
 We don’t take a “one\-size\-fits\-all” approach when it comes to our employees. Our programs are designed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$113,700 – $189,400 plus eligibility for annual bonus programs
**Who You Are**
* A passion for all things data; understanding how to work with it at scale, and more importantly, knowing how to get the most out of it
* Contribute to the overall data platform architecture and evolution
* Experience with data concepts (SQL, NoSQL, Normalization) and working with complex data structures
* Experience with Infrastructure\-as\-code tools such as Cloud Formation and Terraform
* Experience in designing and implementing cloud data solutions using a broad range of AWS technologies (e.g. EC2, EMR, DMS, GLUE, S3, Lake Formation, Redshift, VPC, IAM, CloudWatch, SQS, Lambda, CloudTrail, Systems Manager, KMS, Kinesis Streams)
* Proficiency in one or more of the following scripting languages; SQL, Python, Scala, C\#, or Go
* Working knowledge of scripting languages such as bash or powershell
* Track record of successfully building scalable Data Lake solutions that connects to distributed data storage using multiple data connectors
* Must have a background in data engineering – Data Warehouse, ETL/ELT and BI experience
* Serve as an expert; envision and integrate emerging data technologies, anticipate new trends to solve complex business and technical problems
* Working experience with various stream analytics technologies
* Familiarity with modern engineering practices, including agile development, CI/CD and devops
* High school diploma required.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For more information about our careers visit: https://symetra.eightfold.ai/careers
**Work Authorization**
 Employer work visa sponsorship and support are not provided for this role. Applicants must be currently authorized to work in the United States at hire and must maintain authorization to work in the United States throughout their employment with our company.
**Please Review Symetra's Remote Network Minimum Requirements**
 As a remote\-first organization committed to providing a positive experience for both employees and customers, Symetra has the following standards for employees' internet connection:
* Minimum Internet Speed:100 Mbps download and 20 Mbps upload, in alignment with the FCC's definition of "broadband."
* Internet Type: Fiber, Cable (e.g., Comcast, Spectrum), or DSL.
* Not Permissible: Satellite (e.g., Starlink), cellular broadband (hotspot or otherwise), any other wireless technology, or wired dial\-up.
 When applying to jobs at Symetra you'll be asked to test your internet speed and confirm that your internet connection meets or exceeds Symetra's standard as outlined above
 **.**
**Identity Verification**
 Symetra is committed to fair and secure hiring practices. For all roles, candidates will be required (after the initial phone screen) to be on video for all interviews. Symetra will take affirmative steps at key points in the process to verify that a candidate is not seeking employment fraudulently, e.g. through use of a false identity.
**Failure To Comply With Verification Procedures May Result In**
* Disqualification from the recruitment process
* Withdrawal of a job offer
* Termination of employment and other criminal and/or civil remedies, if fraud is discovered</t>
        </is>
      </c>
    </row>
    <row r="20">
      <c r="A20" t="inlineStr">
        <is>
          <t>li-4345215695</t>
        </is>
      </c>
      <c r="B20" t="inlineStr">
        <is>
          <t>Senior Data Engineer</t>
        </is>
      </c>
      <c r="C20" t="inlineStr">
        <is>
          <t>The Clorox Company</t>
        </is>
      </c>
      <c r="D20" t="inlineStr">
        <is>
          <t>linkedin</t>
        </is>
      </c>
      <c r="E20" t="inlineStr"/>
      <c r="F20" t="inlineStr"/>
      <c r="G20" t="inlineStr">
        <is>
          <t>Oakland, CA</t>
        </is>
      </c>
      <c r="H20" t="inlineStr"/>
      <c r="I20"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We are seeking an experienced and highly skilled senior data engineer to join our enterprise data strategy and operations team. The ideal candidate will have extensive expertise in designing, building and maintaining data pipelines and data solution architectures on cloud platforms, particularly Azure. This role involves leading data engineering products, optimizing data processing workflows, ensuring data quality and governance, and collaborating with cross\-functional teams to support analysis and insights generation to fuel large scale ideation and roadmapping associated with revenue growth and margin improvements projects at scale across the enterprise.
 The role of Senior Data Engineer at Clorox will play a key role in leading and delivering enterprise quality data solutions that can enable data driven business decisions. Role is an analytical big picture thinker with a product mindset and strong background in business intelligence and engineering in cloud platform, that can leverage technology and build scalable data products that create value across the organization.This role will also serve as a key collaborator with our business analytics and enterprise technology stakeholders to innovate, build and sustain the cloud data infrastructure that will further Clorox’s digital transformation efforts.
**In this role, you will:**
* Collaborate \&amp; Lead: Work closely with business product owners, data scientists, analysts, and cross\-functional stakeholders to understand the business’ data needs and provide technical solutions. Influence business partners to align to the technical solutions and to adhere to technical architecture standards. Provide technical guidance to junior engineers, BI developers, and contractors to create efficient and effective data solutions.
* Architecting and Innovate: Strong proficiency in Python, Spark, SQL, PySQL, Pandas, CI/CD methodologies is required. Strong data ingestion, data modeling and dimensional modeling skills using medallion lake house architecture. Strong BI skills to build reports \&amp; dashboards using Power BI and Tableau etc. Experience in reporting security like row level, column level, object level and masking etc. Experience with SQL and DML to recast data in backend database for data changes, restatements and data processing errors, etc. Experience with ML Ops and supporting Data Science workflow pipelines. Knowledge of Gen AI frameworks and LLMs to support agentic products
* Optimize and Scale: Build and maintain data pipelines to integrate data from various source systems. Optimize data pipelines for performance, reliability and cost\-effectiveness. Work with enterprise infrastructure and technology teams to implement best practices for performance monitoring, cloud resource management, including scaling, cost control and security.
* Ensure Quality and Governance: Ensure safe custody, transport and storage of data in the data platforms. Collaborate with Data Governance Stewards and Business Stakeholders to enforce the business rules, data quality rules and data cataloging activities. Ensure data quality, security and compliance for the data products responsible under this role.
* Enhance BI Capabilities: Develop and manage business intelligence solutions for the organization to transform data into insights that can drive business value. Help Analytics Product Owners and Business Leaders improve business decisions through data analytics, data visualization, and data modeling techniques and technologies.
**What we look for:**
* 7\+ years of experience if the candidate holds BS degree in Computer Science, Information Systems or relevant streams; 5\-7 years of experience if the candidate holds MS/PhD degree
* Experience in architecting data solutions, cloud data engineering, end to end data warehouse or lake house implementations, end to end business intelligence implementations
* 7 plus years of experience with data engineering, data warehousing, business intelligence with substantial experience in managing large\-scale data projects
* 5 plus years’ experience with data solutions implementations in Cloud platform technologies like Microsoft Azure, AWS etc.
* 4 plus years with business intelligence using technologies like Power BI, Tableau etc.
* 4plus years of experience with Azure services like Data Factory, Databricks, and Delta Lake will be an added advantage.
* Experience in end\-to\-end support for data engineering solutions (Data Pipelines), including designing, developing, deploying, and supporting solutions for existing platforms
* Knowledge or experience in Microsoft D365 Dataverse and reporting in Microsoft Fabric technology
**Workplace type:**
 Hybrid \- 3 days in the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$128,000 \- $252,200
 –Zone B: $117,400 \- $231,200
 –Zone C: $106,700 \- $210,200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21">
      <c r="A21" t="inlineStr">
        <is>
          <t>li-4345513118</t>
        </is>
      </c>
      <c r="B21" t="inlineStr">
        <is>
          <t>Senior Data Engineer</t>
        </is>
      </c>
      <c r="C21" t="inlineStr">
        <is>
          <t>The Clorox Company</t>
        </is>
      </c>
      <c r="D21" t="inlineStr">
        <is>
          <t>linkedin</t>
        </is>
      </c>
      <c r="E21" t="inlineStr"/>
      <c r="F21" t="inlineStr"/>
      <c r="G21" t="inlineStr">
        <is>
          <t>Pleasanton, CA</t>
        </is>
      </c>
      <c r="H21" t="inlineStr"/>
      <c r="I21"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We are seeking an experienced and highly skilled senior data engineer to join our enterprise data strategy and operations team. The ideal candidate will have extensive expertise in designing, building and maintaining data pipelines and data solution architectures on cloud platforms, particularly Azure. This role involves leading data engineering products, optimizing data processing workflows, ensuring data quality and governance, and collaborating with cross\-functional teams to support analysis and insights generation to fuel large scale ideation and roadmapping associated with revenue growth and margin improvements projects at scale across the enterprise.
 The role of Senior Data Engineer at Clorox will play a key role in leading and delivering enterprise quality data solutions that can enable data driven business decisions. Role is an analytical big picture thinker with a product mindset and strong background in business intelligence and engineering in cloud platform, that can leverage technology and build scalable data products that create value across the organization.This role will also serve as a key collaborator with our business analytics and enterprise technology stakeholders to innovate, build and sustain the cloud data infrastructure that will further Clorox’s digital transformation efforts.
**In this role, you will:**
* Collaborate \&amp; Lead: Work closely with business product owners, data scientists, analysts, and cross\-functional stakeholders to understand the business’ data needs and provide technical solutions. Influence business partners to align to the technical solutions and to adhere to technical architecture standards. Provide technical guidance to junior engineers, BI developers, and contractors to create efficient and effective data solutions.
* Architecting and Innovate: Strong proficiency in Python, Spark, SQL, PySQL, Pandas, CI/CD methodologies is required. Strong data ingestion, data modeling and dimensional modeling skills using medallion lake house architecture. Strong BI skills to build reports \&amp; dashboards using Power BI and Tableau etc. Experience in reporting security like row level, column level, object level and masking etc. Experience with SQL and DML to recast data in backend database for data changes, restatements and data processing errors, etc. Experience with ML Ops and supporting Data Science workflow pipelines. Knowledge of Gen AI frameworks and LLMs to support agentic products
* Optimize and Scale: Build and maintain data pipelines to integrate data from various source systems. Optimize data pipelines for performance, reliability and cost\-effectiveness. Work with enterprise infrastructure and technology teams to implement best practices for performance monitoring, cloud resource management, including scaling, cost control and security.
* Ensure Quality and Governance: Ensure safe custody, transport and storage of data in the data platforms. Collaborate with Data Governance Stewards and Business Stakeholders to enforce the business rules, data quality rules and data cataloging activities. Ensure data quality, security and compliance for the data products responsible under this role.
* Enhance BI Capabilities: Develop and manage business intelligence solutions for the organization to transform data into insights that can drive business value. Help Analytics Product Owners and Business Leaders improve business decisions through data analytics, data visualization, and data modeling techniques and technologies.
**What we look for:**
* 7\+ years of experience if the candidate holds BS degree in Computer Science, Information Systems or relevant streams; 5\-7 years of experience if the candidate holds MS/PhD degree
* Experience in architecting data solutions, cloud data engineering, end to end data warehouse or lake house implementations, end to end business intelligence implementations
* 7 plus years of experience with data engineering, data warehousing, business intelligence with substantial experience in managing large\-scale data projects
* 5 plus years’ experience with data solutions implementations in Cloud platform technologies like Microsoft Azure, AWS etc.
* 4 plus years with business intelligence using technologies like Power BI, Tableau etc.
* 4plus years of experience with Azure services like Data Factory, Databricks, and Delta Lake will be an added advantage.
* Experience in end\-to\-end support for data engineering solutions (Data Pipelines), including designing, developing, deploying, and supporting solutions for existing platforms
* Knowledge or experience in Microsoft D365 Dataverse and reporting in Microsoft Fabric technology
**Workplace type:**
 Hybrid \- 3 days in the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$128,000 \- $252,200
 –Zone B: $117,400 \- $231,200
 –Zone C: $106,700 \- $210,200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22">
      <c r="A22" t="inlineStr">
        <is>
          <t>li-4360651339</t>
        </is>
      </c>
      <c r="B22" t="inlineStr">
        <is>
          <t>Sr. Data Engineer</t>
        </is>
      </c>
      <c r="C22" t="inlineStr">
        <is>
          <t>FNIC Trusted insurance advisors</t>
        </is>
      </c>
      <c r="D22" t="inlineStr">
        <is>
          <t>linkedin</t>
        </is>
      </c>
      <c r="E22" t="inlineStr"/>
      <c r="F22" t="inlineStr"/>
      <c r="G22" t="inlineStr">
        <is>
          <t>Omaha, NE</t>
        </is>
      </c>
      <c r="H22" t="inlineStr"/>
      <c r="I22" t="inlineStr">
        <is>
          <t>**Description**
**Are you looking for?**
* Flexibility that fits your life, including work\-from\-home options
* Paid time off driven by results and well\-being, not a fixed number of days
* A fun, collaborative environment
* Support for continued learning and career growth
* A culture based on trust, accountability, and bringing your whole self to work
 We are seeking an experienced, versatile
 **Sr. Data Engineer** 
 to join our innovative and agile data team. This role is instrumental in designing, building, and evolving a modern, scalable data platform while working in deep daily collaboration with a complementary Data Analyst.
 As a senior member of the team, this position requires strong technical leadership, hands\-on engineering expertise, and a customer\-centric mindset. You will own core data architecture and engineering decisions while mentoring the Data Analyst and ensuring shared accountability for data quality, reliability, and delivery.
**What’s the work like?**
*You will...*
* Architect, implement, and maintain scalable data solutions using Google Cloud Platform, with BigQuery as the primary analytical data store.
* Design, build, and optimize data pipelines using Python, dbt, and Airflow (Cloud Composer) to support analytics, reporting, and downstream integrations.
* Develop and maintain robust APIs and integrations in Python, enabling seamless communication between the data platform and business applications.
* Collaborate closely with the Data Analyst to validate data models, transformation logic, and pipeline outputs, ensuring accuracy and business alignment.
* Support and contribute to PowerBI semantic models and dashboards, partnering with the Data Analyst to ensure performance, usability, and trusted metrics.
* Act as a full\-stack data professional, contributing across data architecture, ingestion, transformation, analytics enablement, visualization support, and API development.
* Serve as a technical mentor to the Data Analyst, providing guidance on data modeling, SQL optimization, engineering best practices, and platform design.
* Participate jointly with the Data Analyst in monitoring, UAT, troubleshooting, and operational support of data pipelines and reporting solutions.
* Build and maintain technical documentation for data architecture, pipelines, and engineering standards; support user\-facing documentation efforts as needed.
* Work within an agile framework alongside a dedicated Product Owner to deliver iterative, high\-value data solutions.
* Provide proactive internal customer support and demonstrate strong customer\-centric behaviors for internally developed data products and platforms.
**Okay, so why join FNIC?**
*While we expect a lot from our employees at FNIC, we believe in giving just as much in return. Here’s what you can expect when you join our team...*
* Competitive Pay: We offer market\-competitive compensation packages that reflect your experience, expertise, and the value you bring to our clients and teams.
* Benefits You Can Rely On: Health, dental, and vision insurance, HSA with employer contributions, 401(k) match, employer\-paid disability coverage, and life insurance.
* Freestyle PTO \&amp; Work\-Life Balance: Our trust\-based and freestyle time\-off approach removes PTO banks and offers flexible telecommuting options.
* Dress for Your Day: Whether you’re client\-facing or behind the scenes, we encourage you to dress in a way that helps you feel comfortable and confident.
* Invested in Your Development: We support continuous learning through tuition reimbursement, training opportunities, and career growth paths across FNIC.
* A Workplace That Cares: Access mental health support through our EAP, virtual fitness classes, in\-office gym access (Omaha), and a culture that prioritizes connection, fun, and collaboration.
**Requirements**
**What do I need to know?**
*You have to have…*
* Bachelor’s degree in Computer Science, Software Engineering, Data Engineering, Information Systems, or a related technical field (or equivalent practical experience).
* 5\+ years of professional data engineering experience, with at least 2 years in a senior or full\-stack data engineering role.
* Strong expertise with BigQuery / Google Cloud Platform, including data modeling and advanced SQL optimization.
* Proven experience building and maintaining data pipelines using Python, dbt, and Airflow (Cloud Composer).
* Experience supporting analytics and reporting platforms, including PowerBI semantic models and dashboards.
* Familiarity with Azure DevOps or similar CI/CD and work management tooling.
* Demonstrated ability to mentor and collaborate closely with analytics\-focused team members.
* Strong problem\-solving skills, attention to data quality, and ownership mindset.
* Ability to thrive in an agile, fast\-moving environment with close business and technical collaboration.
* Legal authorization to work in the United States without the need for employer sponsorship, now or in the future.
**We'd like it if you had...**
* Familiarity or experience with Applied System’s Epic platform.
* Previous experience or exposure to the Insurance industry.
**If you’re passionate about building reliable data platforms, mentoring analytical talent, and owning end\-to\-end data solutions in a collaborative environment, we’d love to hear from you.**</t>
        </is>
      </c>
    </row>
    <row r="23">
      <c r="A23" t="inlineStr">
        <is>
          <t>li-4337919372</t>
        </is>
      </c>
      <c r="B23" t="inlineStr">
        <is>
          <t>Data Engineer III</t>
        </is>
      </c>
      <c r="C23" t="inlineStr">
        <is>
          <t>SiriusXM</t>
        </is>
      </c>
      <c r="D23" t="inlineStr">
        <is>
          <t>linkedin</t>
        </is>
      </c>
      <c r="E23" t="inlineStr"/>
      <c r="F23" t="inlineStr"/>
      <c r="G23" t="inlineStr">
        <is>
          <t>Lawrenceville, NJ</t>
        </is>
      </c>
      <c r="H23" t="inlineStr"/>
      <c r="I23" t="inlineStr">
        <is>
          <t>**Who We Are**
 SiriusXM and its brands (Pandora, 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SiriusXM is seeking a highly motivated and experienced Data Engineer to join our Data Org. In this role, you will be responsible for designing and developing data processing pipelines, data warehousing solutions, and real\-time data ingestion systems. You will work closely with data scientists, analysts, and other stakeholders to develop solutions that support the business needs of SiriusXM, Pandora and AdsWizz.
**What You’ll Do**
* Develop and maintain high\-performance, scalable, and fault\-tolerant data processing systems using Spark, Flink, Druid, or the like.
* Collaborate with cross\-functional teams to integrate data from multiple sources and ensure data accuracy and consistency.
* Write complex SQL queries to support data analysis and reporting.
* Develop and maintain data models and ETL processes.
* Optimize data pipelines and system performance to ensure efficient data processing and analysis.
* Build and maintain data infrastructure, including data storage and data access systems.
* Stay up\-to\-date with the latest developments in data engineering technologies and best practices.
**What You’ll Need**
* Bachelor's degree in Computer Science, Engineering, or a related field.
* 3\+ years of experience in Data Engineering.
* Expertise in Spark and Python.
* Experience with Scala is a bonus.
* Strong understanding of distributed systems, data modeling, and ETL processes.
* Hands\-on experience with cloud\-based data warehousing solutions (e.g., AWS Redshift, Snowflake, Teradata).
* Excellent problem\-solving skills and attention to detail.
* Strong written and verbal communication skills.
* Ability to work independently and as part of a team.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$104,000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R\-2025\-08\-2</t>
        </is>
      </c>
    </row>
    <row r="24">
      <c r="A24" t="inlineStr">
        <is>
          <t>li-4345293640</t>
        </is>
      </c>
      <c r="B24" t="inlineStr">
        <is>
          <t>Senior Data Engineer</t>
        </is>
      </c>
      <c r="C24" t="inlineStr">
        <is>
          <t>The Clorox Company</t>
        </is>
      </c>
      <c r="D24" t="inlineStr">
        <is>
          <t>linkedin</t>
        </is>
      </c>
      <c r="E24" t="inlineStr"/>
      <c r="F24" t="inlineStr"/>
      <c r="G24" t="inlineStr">
        <is>
          <t>Alpharetta, GA</t>
        </is>
      </c>
      <c r="H24" t="inlineStr"/>
      <c r="I24"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We are seeking an experienced and highly skilled senior data engineer to join our enterprise data strategy and operations team. The ideal candidate will have extensive expertise in designing, building and maintaining data pipelines and data solution architectures on cloud platforms, particularly Azure. This role involves leading data engineering products, optimizing data processing workflows, ensuring data quality and governance, and collaborating with cross\-functional teams to support analysis and insights generation to fuel large scale ideation and roadmapping associated with revenue growth and margin improvements projects at scale across the enterprise.
 The role of Senior Data Engineer at Clorox will play a key role in leading and delivering enterprise quality data solutions that can enable data driven business decisions. Role is an analytical big picture thinker with a product mindset and strong background in business intelligence and engineering in cloud platform, that can leverage technology and build scalable data products that create value across the organization.This role will also serve as a key collaborator with our business analytics and enterprise technology stakeholders to innovate, build and sustain the cloud data infrastructure that will further Clorox’s digital transformation efforts.
**In this role, you will:**
* Collaborate \&amp; Lead: Work closely with business product owners, data scientists, analysts, and cross\-functional stakeholders to understand the business’ data needs and provide technical solutions. Influence business partners to align to the technical solutions and to adhere to technical architecture standards. Provide technical guidance to junior engineers, BI developers, and contractors to create efficient and effective data solutions.
* Architecting and Innovate: Strong proficiency in Python, Spark, SQL, PySQL, Pandas, CI/CD methodologies is required. Strong data ingestion, data modeling and dimensional modeling skills using medallion lake house architecture. Strong BI skills to build reports \&amp; dashboards using Power BI and Tableau etc. Experience in reporting security like row level, column level, object level and masking etc. Experience with SQL and DML to recast data in backend database for data changes, restatements and data processing errors, etc. Experience with ML Ops and supporting Data Science workflow pipelines. Knowledge of Gen AI frameworks and LLMs to support agentic products
* Optimize and Scale: Build and maintain data pipelines to integrate data from various source systems. Optimize data pipelines for performance, reliability and cost\-effectiveness. Work with enterprise infrastructure and technology teams to implement best practices for performance monitoring, cloud resource management, including scaling, cost control and security.
* Ensure Quality and Governance: Ensure safe custody, transport and storage of data in the data platforms. Collaborate with Data Governance Stewards and Business Stakeholders to enforce the business rules, data quality rules and data cataloging activities. Ensure data quality, security and compliance for the data products responsible under this role.
* Enhance BI Capabilities: Develop and manage business intelligence solutions for the organization to transform data into insights that can drive business value. Help Analytics Product Owners and Business Leaders improve business decisions through data analytics, data visualization, and data modeling techniques and technologies.
**What we look for:**
* 7\+ years of experience if the candidate holds BS degree in Computer Science, Information Systems or relevant streams; 5\-7 years of experience if the candidate holds MS/PhD degree
* Experience in architecting data solutions, cloud data engineering, end to end data warehouse or lake house implementations, end to end business intelligence implementations
* 7 plus years of experience with data engineering, data warehousing, business intelligence with substantial experience in managing large\-scale data projects
* 5 plus years’ experience with data solutions implementations in Cloud platform technologies like Microsoft Azure, AWS etc.
* 4 plus years with business intelligence using technologies like Power BI, Tableau etc.
* 4plus years of experience with Azure services like Data Factory, Databricks, and Delta Lake will be an added advantage.
* Experience in end\-to\-end support for data engineering solutions (Data Pipelines), including designing, developing, deploying, and supporting solutions for existing platforms
* Knowledge or experience in Microsoft D365 Dataverse and reporting in Microsoft Fabric technology
**Workplace type:**
 Hybrid \- 3 days in the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$128,000 \- $252,200
 –Zone B: $117,400 \- $231,200
 –Zone C: $106,700 \- $210,200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25">
      <c r="A25" t="inlineStr">
        <is>
          <t>li-4351841491</t>
        </is>
      </c>
      <c r="B25" t="inlineStr">
        <is>
          <t>Sr Data Engineer - Project Hire</t>
        </is>
      </c>
      <c r="C25" t="inlineStr">
        <is>
          <t>The Walt Disney Company</t>
        </is>
      </c>
      <c r="D25" t="inlineStr">
        <is>
          <t>linkedin</t>
        </is>
      </c>
      <c r="E25" t="inlineStr"/>
      <c r="F25" t="inlineStr"/>
      <c r="G25" t="inlineStr">
        <is>
          <t>Glendale, CA</t>
        </is>
      </c>
      <c r="H25" t="inlineStr"/>
      <c r="I25" t="inlineStr">
        <is>
          <t>This is not a remote role \- you must be in the area or willing to relocate
 Senior Data Engineer
 The Studio Technology group at Walt Disney Studios comprises teams providing scalable, secure, and innovative technology solutions to enable the present and future of cinematic storytelling. The Data Platforms store, analyze, report on, and visualize data and insights for everything from the ﬁnancial engines that keep the Studio running to marketing and consumer applications that touch millions of people, to production data that supports the creation of Disney's wide array of ﬁlms and series.
 As a Senior Data Engineer at The Walt Disney Studios, you will play a pivotal role in the transformation of data into actionable insights. Collaborate with our dynamic team of technologists to develop cutting\-edge data solutions that drive innovation and fuel business growth. Your responsibilities will include managing complex data structures and delivering scalable and efficient data solutions. Your expertise in data engineering will be crucial in optimizing our data\-driven decision\-making processes. If you're passionate about leveraging data to make a tangible impact, we welcome you to join us in shaping the future of our organization.
**Key Responsibilities**
* Contribute to maintaining, updating, and expanding existing Core Data platform data pipelines
* Build tools and services to support data discovery, lineage, governance, and privacy
* Engage with and understand our customers, forming relationships that allow us to understand and prioritize both innovative new offerings and incremental platform improvements
* Collaborate with other software/data engineers and cross\-functional teams
* Tech stack includes Airflow, Spark, Databricks, Delta Lake, Kubernetes and AWS
* Collaborate with product managers, architects, and other engineers to drive the success of the Core Data platform
* Contribute to developing and documenting both internal and external standards and best practices for pipeline configurations, naming conventions, and more
* Ensure high operational efficiency and quality of the Core Data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Maintain detailed documentation of your work and changes to support data quality and data governance requirements
**Qualifications**
* Must have 5\+ years of data engineering experience developing large data pipelines
* Must have proficiency in at least one major programming language (e.g. Python, Java, Scala)
* Strong SQL skills and ability to create queries to analyze complex datasets
* Must have hands\-on production environment experience with distributed processing systems such as Spark
* Must have hands\-on production experience with data pipeline orchestration systems such as Airflow for creating and maintaining data pipelines
* Experience with Databricks
* Experience with Snowflake a plus
* Deep Understanding of AWS or other cloud providers as well as infrastructure as code
* Familiarity with Data Modeling techniques and Data Warehousing standard methodologies and practices
* Strong algorithmic problem\-solving expertise
* Excellent written and verbal communication
* Advance understanding of OLTP vs OLAP environments
* Willingness and ability to learn and pick up new skill sets
* Self\-starting problem solver with an eye for detail and excellent analytical and communication skills
* Familiar with Scrum and Agile methodologies
* Bachelor’s Degree in Computer Science, Information Systems equivalent industry experience
 \#DISNEYTECH
 The hiring range for this position in Glendale $141,900\.00 to $190,300\.00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6">
      <c r="A26" t="inlineStr">
        <is>
          <t>li-4345435531</t>
        </is>
      </c>
      <c r="B26" t="inlineStr">
        <is>
          <t>Senior Data Engineer</t>
        </is>
      </c>
      <c r="C26" t="inlineStr">
        <is>
          <t>The Clorox Company</t>
        </is>
      </c>
      <c r="D26" t="inlineStr">
        <is>
          <t>linkedin</t>
        </is>
      </c>
      <c r="E26" t="inlineStr"/>
      <c r="F26" t="inlineStr"/>
      <c r="G26" t="inlineStr">
        <is>
          <t>Durham, NC</t>
        </is>
      </c>
      <c r="H26" t="inlineStr"/>
      <c r="I26"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We are seeking an experienced and highly skilled senior data engineer to join our enterprise data strategy and operations team. The ideal candidate will have extensive expertise in designing, building and maintaining data pipelines and data solution architectures on cloud platforms, particularly Azure. This role involves leading data engineering products, optimizing data processing workflows, ensuring data quality and governance, and collaborating with cross\-functional teams to support analysis and insights generation to fuel large scale ideation and roadmapping associated with revenue growth and margin improvements projects at scale across the enterprise.
 The role of Senior Data Engineer at Clorox will play a key role in leading and delivering enterprise quality data solutions that can enable data driven business decisions. Role is an analytical big picture thinker with a product mindset and strong background in business intelligence and engineering in cloud platform, that can leverage technology and build scalable data products that create value across the organization.This role will also serve as a key collaborator with our business analytics and enterprise technology stakeholders to innovate, build and sustain the cloud data infrastructure that will further Clorox’s digital transformation efforts.
**In this role, you will:**
* Collaborate \&amp; Lead: Work closely with business product owners, data scientists, analysts, and cross\-functional stakeholders to understand the business’ data needs and provide technical solutions. Influence business partners to align to the technical solutions and to adhere to technical architecture standards. Provide technical guidance to junior engineers, BI developers, and contractors to create efficient and effective data solutions.
* Architecting and Innovate: Strong proficiency in Python, Spark, SQL, PySQL, Pandas, CI/CD methodologies is required. Strong data ingestion, data modeling and dimensional modeling skills using medallion lake house architecture. Strong BI skills to build reports \&amp; dashboards using Power BI and Tableau etc. Experience in reporting security like row level, column level, object level and masking etc. Experience with SQL and DML to recast data in backend database for data changes, restatements and data processing errors, etc. Experience with ML Ops and supporting Data Science workflow pipelines. Knowledge of Gen AI frameworks and LLMs to support agentic products
* Optimize and Scale: Build and maintain data pipelines to integrate data from various source systems. Optimize data pipelines for performance, reliability and cost\-effectiveness. Work with enterprise infrastructure and technology teams to implement best practices for performance monitoring, cloud resource management, including scaling, cost control and security.
* Ensure Quality and Governance: Ensure safe custody, transport and storage of data in the data platforms. Collaborate with Data Governance Stewards and Business Stakeholders to enforce the business rules, data quality rules and data cataloging activities. Ensure data quality, security and compliance for the data products responsible under this role.
* Enhance BI Capabilities: Develop and manage business intelligence solutions for the organization to transform data into insights that can drive business value. Help Analytics Product Owners and Business Leaders improve business decisions through data analytics, data visualization, and data modeling techniques and technologies.
**What we look for:**
* 7\+ years of experience if the candidate holds BS degree in Computer Science, Information Systems or relevant streams; 5\-7 years of experience if the candidate holds MS/PhD degree
* Experience in architecting data solutions, cloud data engineering, end to end data warehouse or lake house implementations, end to end business intelligence implementations
* 7 plus years of experience with data engineering, data warehousing, business intelligence with substantial experience in managing large\-scale data projects
* 5 plus years’ experience with data solutions implementations in Cloud platform technologies like Microsoft Azure, AWS etc.
* 4 plus years with business intelligence using technologies like Power BI, Tableau etc.
* 4plus years of experience with Azure services like Data Factory, Databricks, and Delta Lake will be an added advantage.
* Experience in end\-to\-end support for data engineering solutions (Data Pipelines), including designing, developing, deploying, and supporting solutions for existing platforms
* Knowledge or experience in Microsoft D365 Dataverse and reporting in Microsoft Fabric technology
**Workplace type:**
 Hybrid \- 3 days in the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$128,000 \- $252,200
 –Zone B: $117,400 \- $231,200
 –Zone C: $106,700 \- $210,200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27">
      <c r="A27" t="inlineStr">
        <is>
          <t>li-4352443829</t>
        </is>
      </c>
      <c r="B27" t="inlineStr">
        <is>
          <t>Data Analytics Engineer</t>
        </is>
      </c>
      <c r="C27" t="inlineStr">
        <is>
          <t>Thermo Fisher Scientific</t>
        </is>
      </c>
      <c r="D27" t="inlineStr">
        <is>
          <t>linkedin</t>
        </is>
      </c>
      <c r="E27" t="inlineStr"/>
      <c r="F27" t="inlineStr"/>
      <c r="G27" t="inlineStr">
        <is>
          <t>Texas, United States</t>
        </is>
      </c>
      <c r="H27" t="inlineStr"/>
      <c r="I27" t="inlineStr">
        <is>
          <t>**Work Schedule**
 Standard (Mon\-Fri)
**Environmental Conditions**
 Office
 How will you make an impact?
 We are seeking an expert Microsoft Fabric Developer \&amp; Administrator to support projects by building and improving modern analytics and AI solutions using the Microsoft Fabric platform. This role will help the company make faster, more thoughtful decisions by delivering AI\-powered insights, automation, and real\-time reporting across global business functions.
 The ideal candidate will upgrade and streamline our data systems by using tools like Power BI, Fabric Lakehouse, Data Activator, Data Agent, and Copilot, and by integrating ChatGPT and Model Context Protocol (MCP) to develop experienced, conversational, and user\-friendly analytics. This role requires strong technical skills, problem\-solving abilities, and the capability to build secure, scalable systems that drive innovation, efficiency, and business growth.
**What will you do?**
* Build and enhance Power BI datasets, dashboards, and reports within the Microsoft Fabric ecosystem, ensuring performance, scalability, and an outstanding user experience.
* Leverage Copilot, ChatGPT, and MCP\-based AI integrations to automate insights, enable natural language analytics, and deliver predictive and generative intelligence.
* Develop advanced data modeling, DAX, and Power Query (M) solutions to enable complex, high\-volume enterprise reporting.
* Coordinate and configure Fabric capacities, workspaces, pipelines, and Lakehouses, ensuring secure, reliable, and compliant operations.
* Manage and integrate Data Activator and Data Agent for event\-driven, AI\-assisted analytics workflows.
* Perform capacity analysis, optimize resource utilization, and build proactive monitoring processes to sustain peak performance.
* Integrate Fabric telemetry and activity logs with Log Analytics and Azure Monitor to build actionable intelligence on usage, performance, and cost efficiency.
* Develop CI/CD automation for Power BI and Fabric assets through Azure DevOps, Git, or GitHub Actions, ensuring version control, alignment, and deployment consistency.
* Collaborate with engineering and data teams to unify data across Databricks, AWS Redshift, and Data Lakes, establishing a governed, high\-availability data fabric.
* Optimize SQL and PySpark queries for analytical performance and efficiency.
* Implement data lineage, governance, and security protocols using enterprise\-level RLS/OLS and workspace oversight.
* Promote and improve reporting by using advanced technology, MCP\-based analytics, and automation to help teams create their own reports more easily and effectively.
* Lead platform optimization and capacity scaling initiatives for sustained reliability and performance.
* Demonstrate advanced problem\-solving, debugging, and cross\-platform integration skills across hybrid data and AI ecosystems.
**Experience, Knowledge, Skills, And Abilities**
* BS/MS or equivalent experience in Computer Science or related fields, plus 5–8 years working with Power BI and Microsoft Fabric at an enterprise level.
* Strong hands\-on experience with Fabric Lakehouse, Data Agent, Copilot, and MCP integrations with ChatGPT.
* Advanced skills in DAX, Power Query (M), Power BI REST APIs, and Data Gateway setup.
* Experience building CI/CD pipelines for Fabric and Power BI using Azure DevOps, Git, or GitHub Actions.
* Strong coding and automation skills using SQL, Python, PySpark, and PowerShell.
* Basic knowledge of Terraform, Azure CLI, and DevOps tools used for automated deployments.
* Good understanding of data governance, RLS/OLS, and workspace management in Fabric.
* Experience with Log Analytics, monitoring, and capacity tuning for Power BI Premium and Fabric.
* Strong problem\-solving and debugging skills, especially for automation and AI\-enabled systems.
* Demonstrated leadership, teamwork, and interpersonal skills across IT, data, and business teams.
* Ability to thrive in fast\-paced, multi\-project environments, maintaining quality and agility.
* Takes ownership, stays accountable, and always looks for ways to improve and scale systems.
* Passionate about AI, MCP, and new technology, staying up\-to\-date with Fabric and AI advancements.
* Able to turn complex technical work into clear business value and help shape data strategy.
**Benefits And Total Rewards**
 This position may also be eligible to receive a variable annual bonus based on company, team, and individual performance. Thermo Fisher Scientific offers a comprehensive Total Rewards package that includes:
* Multiple medical, dental, and vision plan options.
* Employee assistance and family support programs, tuition reimbursement, and commuter benefits.
* Paid time off (PTO), paid holidays, parental leave, and life/disability insurance.
* Retirement programs such as a competitive 401(k) with company match and an Employee Stock Purchase Plan (ESPP).</t>
        </is>
      </c>
    </row>
    <row r="28">
      <c r="A28" t="inlineStr">
        <is>
          <t>li-4350353800</t>
        </is>
      </c>
      <c r="B28" t="inlineStr">
        <is>
          <t>Data Engineer III</t>
        </is>
      </c>
      <c r="C28" t="inlineStr">
        <is>
          <t>GHX</t>
        </is>
      </c>
      <c r="D28" t="inlineStr">
        <is>
          <t>linkedin</t>
        </is>
      </c>
      <c r="E28" t="inlineStr"/>
      <c r="F28" t="inlineStr"/>
      <c r="G28" t="inlineStr">
        <is>
          <t>Louisville, CO</t>
        </is>
      </c>
      <c r="H28" t="inlineStr"/>
      <c r="I28" t="inlineStr">
        <is>
          <t>The Data Engineer is responsible for developing and executing data solutions that support product and technology initiatives, including general application development activities such as unit testing, code review, code deployment, and technical documentation. This role also collaborates with Product and Engineering teams to design solutions and enable new data capabilities.
**Key Responsibilities**
* Lead and contribute to the backend and ETL development effort of our data platform using Python and SQL
* Integrate and optimize data flows between AWS and Snowflake for application, analytics, and reporting use cases
* Implement and manage data quality, security, and monitoring frameworks
* Develop and maintain infrastructure\-as\-code using tools such as CloudFormation or CDK
* Contribute to DevOps practices for CI/CD pipeline automation, version control, and deployment
* Provide architectural guidance and development/build standards for the team
* Troubleshoot and resolve issues in APIs, data pipeline lines, and infrastructure
* Analyze business requirements and work with teammates to formulate supporting design and design documentation
**KEY COMPETENCIES**
* Thorough understanding of, and support for, Agile development methodologies
* Ability to design, collect, and analyze large datasets
* Ability to communicate technical concepts and designs to cross\-functional and offshore teams who have varying levels of technical experience
* Proven data engineering, problem\-solving, and analysis skills
* Strong demonstrable SQL and Python skills
* Ability to adapt to changing conditions and lead others through change
* Demonstrated organizational, prioritization, and time management skills
* Attention to detail
* Ability and willingness to travel nationally to remote offices and partners approximately 10% of the time
**Required Education, Certifications, And Experience**
* Bachelor’s degree in Computer Science, Mathematics, or related fields
* 5\+ years of data engineering experience building business intelligence applications with exceptional SQL, PL/SQL, and/or Python skills
* 5\+ years of experience of ETL development in a big data environment
* 5\+ years working in an agile development environment
* Technical writing experience in relevant areas, including queries, reports, and presentations
**Preferred Qualifications**
* Experience in a diverse set of Amazon Web Services services such as SNS/SQS, S3, Glue, Lambda, API Gateway
* Strong development experience in Python, PySpark, and SQL
* Experience developing in Snowflake
* Knowledge of data governance, API security, and best practices for cloud\-based systems
**Key Differentiators**
* Application, system or data architecture experience
* Machine learning experience
 Estimated Salary: $98,000 \- $130,500
 The base salary range represents the anticipated low and high end of the GHX’s salary range for this position. The base salary is one component of GHX’s total compensation package for employees. Other rewards and benefits include: health, vision, and dental insurance, accident and life insurance, 401k matching, paid\-time off, and education reimbursement, to name a few. To view more details of our benefits, visit us here: https://www.ghx.com/about/careers/
*No 3rd party agencies or C2C allowed.*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***Disclaimer***
*Global Healthcare Exchange, LLC and its North American subsidiaries (collectively, “GHX”)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 
*GHX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GHX’s employees to perform their expected job duties is absolutely not tolerated.*
*Read our GHX Privacy Policy*</t>
        </is>
      </c>
    </row>
    <row r="29">
      <c r="A29" t="inlineStr">
        <is>
          <t>li-4351831452</t>
        </is>
      </c>
      <c r="B29" t="inlineStr">
        <is>
          <t>Analytics Engineer</t>
        </is>
      </c>
      <c r="C29" t="inlineStr">
        <is>
          <t>RemoteHunter</t>
        </is>
      </c>
      <c r="D29" t="inlineStr">
        <is>
          <t>linkedin</t>
        </is>
      </c>
      <c r="E29" t="inlineStr"/>
      <c r="F29" t="inlineStr"/>
      <c r="G29" t="inlineStr"/>
      <c r="H29" t="inlineStr"/>
      <c r="I29"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li-4337909114</t>
        </is>
      </c>
      <c r="B30" t="inlineStr">
        <is>
          <t>Senior Data Engineer, Graph Analytics</t>
        </is>
      </c>
      <c r="C30" t="inlineStr">
        <is>
          <t>TRM Labs</t>
        </is>
      </c>
      <c r="D30" t="inlineStr">
        <is>
          <t>linkedin</t>
        </is>
      </c>
      <c r="E30" t="inlineStr"/>
      <c r="F30" t="inlineStr"/>
      <c r="G30" t="inlineStr"/>
      <c r="H30" t="inlineStr"/>
      <c r="I30"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As a Senior Data Engineer on the Graph Analytics team, you will build scalable graph systems that analyze large networks of cryptocurrency transactions. You will collaborate closely with engineers, data scientists, and investigators to design mission\-critical graph algorithms that analyze flows of funds. You will leverage distributed databases and graph processors to implement real\-time graph algorithms at the multi\-blockchain scale. You will collaborate with data science teams to identify opportunities to apply tools and techniques from graph theory to a variety of predictive learning problems.
**The impact you will have:**
* Designing and implementing graph algorithms that analyze large cryptocurrency transaction networks at multi\-blockchain scale
* Researching new graph\-native technology to evaluate benefit to data science and data engineering teams at TRM
* Working on a highly cross\-functional team that collaborates with cryptocurrency investigators to identify key user stories and requirements for new graph algorithms and features
* Understanding and refining TRM’s risk models which analyze large networks of cryptocurrency transactions to assign risk scores to addresses
* Communicating complex implementation details to a variety of audiences from investigators and customer success stakeholders to data engineers and data scientists
* Integrating with a diverse set of data inputs ranging from raw blockchain data to complex model outputs
**What we’re looking for:**
* Your academic background is in a quantitative field such as Computer Science, Mathematics, Engineering, or Physics.
* You have strong knowledge of algorithm design and data structures, and have experience applying this knowledge towards real\-world problems.
* You have experience optimizing large\-scale distributed data processing systems such as Apache Spark, Apache Hadoop, Dask, and distributed graph databases.
* You have experience converting academic research into products and have worked with research teams that regularly ship new features.
* You have strong programming experience with Python and SQL.
* You are an excellent communicator who is skilled at tailoring explanations of complex topics to both technical and non\-technical audiences.
* You are self\-motivated. You propose and validate solutions with minimal guidance. You're comfortable working with ambiguity and shaping your own research direction while being accountable for outcomes.
* You are knowledgeable of basic graph theory concepts.
**About the Team:**
*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The diversity of perspectives and expertise within our team sparks creative exchanges and enhances our problem\-solving capabilities, allowing us to leverage our global synergy to drive innovation and efficiency.
* We're driven by a deep sense of ownership, constant pursuit of improvement and an obsession with delivering magical experiences to our customers; these are a core part of our culture. We're driven by the desire to continuously hone our craft and to this end, we regularly assess our processes, seek feedback, and embrace iterative development to refine what we do. We structure problems and use the 80/20 rule(for many outcomes, roughly 80% of consequences come from 20% of causes) to identify where to direct our razor\-sharp focus. Each of us is passionate about excellence and growth, and we're encouraged to challenge the status quo and experiment with new methods. This mindset creates an environment where innovation is part of our daily routine and every team member is an impact\-oriented trailblazer. By celebrating our successes and learning from our setbacks, we stay agile and forward\-thinking, always striving to elevate our performance and impact.
**Learn about TRM Speed in this position:**
*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31">
      <c r="A31" t="inlineStr">
        <is>
          <t>li-4345163093</t>
        </is>
      </c>
      <c r="B31" t="inlineStr">
        <is>
          <t>Data Engineer</t>
        </is>
      </c>
      <c r="C31" t="inlineStr">
        <is>
          <t>Booz Allen Hamilton</t>
        </is>
      </c>
      <c r="D31" t="inlineStr">
        <is>
          <t>linkedin</t>
        </is>
      </c>
      <c r="E31" t="inlineStr"/>
      <c r="F31" t="inlineStr"/>
      <c r="G31" t="inlineStr">
        <is>
          <t>Tampa, FL</t>
        </is>
      </c>
      <c r="H31" t="inlineStr"/>
      <c r="I31" t="inlineStr">
        <is>
          <t>**Job Number: R0231082**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Experience in a data engineering or analytics engineering role in a professional environment
* Experience developing and maintaining scalable data stores that supply big data in forms needed for business analysis
* Experience with SQL and a general\-purpose programming language such as Python, Java, TypeScript, or C\+\+
* Experience creating programs for retrieving, parsing, and processing structured and unstructured data
* Experience working with digital engagement metric tools such as Google Analytics
* Experience developing scalable ETL and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Top Secret clearance
* HS diploma or GED
**Nice If You Have:** 
* Experience with Palantir Foundry
* Experience with a public cloud, including AWS, Microsoft Azure, or Google Cloud
* Experience with distributed data and computing tools such as Spark, Databricks, Hadoop, Hive, AWS EMR, or Kafka
* Experience with natural language processing (NLP) or techniques for extracting insights from text and documents
* Experience working on real\-time data and streaming applications, and with NoSQL implementation using MongoDB or Cassandra
* Experience with data warehousing, including AWS Redshift, MySQL, or Snowflake
* Experience with UNIX and Linux, including basic commands and Shell scripting
* Experience with Agile engineering practices
* TS/SCI clearance
* Bachelor’s degree in CS, Mathematics, Software Engineering, or Data Science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2">
      <c r="A32" t="inlineStr">
        <is>
          <t>li-4345165117</t>
        </is>
      </c>
      <c r="B32" t="inlineStr">
        <is>
          <t>Principal Data Engineer</t>
        </is>
      </c>
      <c r="C32" t="inlineStr">
        <is>
          <t>Pattern®</t>
        </is>
      </c>
      <c r="D32" t="inlineStr">
        <is>
          <t>linkedin</t>
        </is>
      </c>
      <c r="E32" t="inlineStr"/>
      <c r="F32" t="inlineStr"/>
      <c r="G32" t="inlineStr">
        <is>
          <t>Lehi, UT</t>
        </is>
      </c>
      <c r="H32" t="inlineStr"/>
      <c r="I32"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We are seeking a Principal Data Engineer to lead the design and development of our inventory data pipelines. At Pattern, we manage inventory at massive scale, and high\-quality inventory data is foundational to how we plan, move, and optimize product placement across our network—ensuring the right inventory is in the right place, exactly when it’s needed.
**What is a day in the life of a Data Engineer?**
* Collaborate with product management and stakeholders to understand the inventory data needs of the business and help shape the roadmap.
* Promote data engineering best practices.
* Guide and mentor a team of engineers in India.
* Contribute to the evolution of our inventory data pipelines.
**What will I need to thrive in this role?**
* 8\+ years of professional experience.
* Expertise in SQL, Spark, Airflow, and ETL pipelines.
* Knowledge of data engineering best practices.
* Really strong communication skills, including the ability to break down technical concepts for stakeholders and technical guidance for other engineers.
**What is the team like?**
* The Principal Data Engineer will report to the VP of Engineering, who oversees engineering for Operations, Finance, and Marketplace Integrations. You will collaborate closely with other data engineering team members and two product managers (PMs). The team structure is distributed, including some engineers in the US and some engineers in India. All stakeholders and PMs are located in our Lehi, UT office.
**What’s the company culture?**
* We are looking for individuals who are: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**What is the hiring process?**
* Initial phone interview with Pattern’s talent acquisition team
* Video interview with a hiring manager
* Onsite interview with a panel of department leaders
* Professional reference checks
* Executive review
* Offer
**How can I stand out as an applicant?**
* Discuss professional accomplishments with specific data to quantify examples
* Provide insights on how you can add value and be the best addition to the team
* Focus on mentioning how you would be partner obsessed at Pattern
* Share experience on any side projects related to data and analytics
**Why should I work at Pattern?**
**Benefits**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li-4312427512</t>
        </is>
      </c>
      <c r="B33" t="inlineStr">
        <is>
          <t>Data Engineer - Pipelines and Platform (On-site Work Schedule)</t>
        </is>
      </c>
      <c r="C33" t="inlineStr">
        <is>
          <t>Parts Town</t>
        </is>
      </c>
      <c r="D33" t="inlineStr">
        <is>
          <t>linkedin</t>
        </is>
      </c>
      <c r="E33" t="inlineStr"/>
      <c r="F33" t="inlineStr"/>
      <c r="G33" t="inlineStr">
        <is>
          <t>Plattsburgh, NY</t>
        </is>
      </c>
      <c r="H33" t="inlineStr"/>
      <c r="I33" t="inlineStr">
        <is>
          <t>**Description**
*Position at Parts Town*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 at a Glance
 We are looking for a Data Engineer\- Pipelines \&amp; Platform that will focus on building and maintaining reliable, scalable pipelines on our Google Cloud Platform (GCP) data ecosystem. They will ensure data from SAP, Salesforce, eCommerce, WMS, and other systems flows seamlessly into BigQuery through automated, monitored, and secure processes. You will play a pivotal and foundational role in shaping our data driven and AI mission by building the pipelines, products, and platforms that power the next generation of digital distribution.
 A Typical Day
* Design, build, and maintain ETL/ELT pipelines on GCP using Dataflow, Dataproc, or Cloud Data Fusion.
* Manage workflow orchestration with Cloud Composer (Airflow) for scheduling, retries, and monitoring.
* Optimize data ingestion from SAP, Salesforce, eCommerce, and WMS into BigQuery.
* Implement Pub/Sub streaming pipelines for near real\-time use cases.
* Develop and manage bronze/silver layers (raw \+ cleansed) with best practices for schema design and partitioning.
* Implement data quality frameworks (Great Expectations, dbt tests, or custom Python checks) with automated alerts.
* Automate CI/CD for data pipelines using Cloud Build or GitHub Actions.
* Monitor cost/performance of pipelines with Cloud Monitoring \&amp; Logging.
* Document pipeline architecture and maintain data lineage via Dataplex or Collibra integration.
 To Land This Opportunity
* You have 4\+ years of experience in data engineering, ideally with GCP as the primary cloud.
* You obtain deep expertise with BigQuery, Dataflow, Cloud Composer, and Pub/Sub.
* You’re proficient in SQL and Python.
* You have hands\-on experience with dbt for data transformations.
* You’re familiar with Terraform (or Deployment Manager) for IaC.
* You have experience designing scalable ingestion frameworks from ERP/CRM/WMS/eCommerce.
* You have strong knowledge of security, IAM, and compliance in cloud data environments.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$99,047\.94 – 133,668\.86 salary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34">
      <c r="A34" t="inlineStr">
        <is>
          <t>li-4350268011</t>
        </is>
      </c>
      <c r="B34" t="inlineStr">
        <is>
          <t>Sr. Data Analytics Engineer - HashiCorp</t>
        </is>
      </c>
      <c r="C34" t="inlineStr">
        <is>
          <t>IBM</t>
        </is>
      </c>
      <c r="D34" t="inlineStr">
        <is>
          <t>linkedin</t>
        </is>
      </c>
      <c r="E34" t="inlineStr"/>
      <c r="F34" t="inlineStr"/>
      <c r="G34" t="inlineStr">
        <is>
          <t>Austin, TX</t>
        </is>
      </c>
      <c r="H34" t="inlineStr"/>
      <c r="I34" t="inlineStr">
        <is>
          <t>**Introduction**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team of deep product experts, ensuring exceptional client experiences, with a focus on delivery, excellence, and obsession over customer outcomes. This position involves contributing to HashiCorp's offerings, now part of IBM, which empower organizations to automate and secure multi\-cloud and hybrid environments. You will join a team managing the lifecycle of infrastructure and security, enhancing IBM's cloud solutions to ensure enterprises achieve efficiency, security, and scalability in their cloud journey.
**Your Role And Responsibilities**
 This is an individual contributor role responsible for hands\-on development, reporting to the Sr. Manager of Analytics Engineering.
 Analytics Engineering is focused on translating our trove of data into consumable models that accelerate time\-to\-insight for the Automation Pillar in IBM Software division.
 As a Sr. Data Analytics Engineer, you will work closely with subject matter experts to design and develop data models that power common analytics use cases – ad hoc analyses, reports/dashboards, and AI/ML models.
 You will make it easier for every PM and key business stakeholder to consistently self\-serve answers to their questions about customer behavior and product usage, by leveraging the wealth of customer and product data we generate.
**What You’ll Do (responsibilities)**
* Own the creation and maintenance of self\-serve tools (data models, reports, dashboards, etc.) that enable business stakeholders to be data\-driven in their decision\-making.
* Deliver on inquisitive analyses that answer critical business questions.
* Develop training and enablement content to ramp users on models and dashboards in our portfolio.
* Identify and drive opportunities to make data more consumable and decrease time\-to\-insight for analytics consumers.
**What Success Looks Like In This Role**
* Reduced time required for self\-service users to generate actionable insights.
* High adoption of data products that you create.
* Reliable, accurate, and well\-documented data solutions that stakeholders trust.
**Preferred Education**
 Bachelor's Degree
**Required Technical And Professional Expertise**
* Must have prior experience with dbt.
* 7\+ years of experience in analytics, analytics engineering, data engineering, or a related role.
* Strong business acumen with 5\+ years experience developing analytics specifically for go\-to\-market functions (Sales, Marketing, Services).
* Solid grasp of SQL, structuring data, and ability to effectively query multiple tables of different grains with the use of subqueries/CTEs and window functions.
* Experience working with modern data management systems (e.g. Snowflake, Redshift, etc.).
**Preferred Technical And Professional Experience**
* Ability to shape ambiguity into tangible deliverables.
* Solid grasp of data modeling and semantic layers.
* Understands both data lake and data warehousing approaches to data management.</t>
        </is>
      </c>
    </row>
    <row r="35">
      <c r="A35" t="inlineStr">
        <is>
          <t>li-4283795926</t>
        </is>
      </c>
      <c r="B35" t="inlineStr">
        <is>
          <t>Data Engineer III - Generative AI, Graph modelling</t>
        </is>
      </c>
      <c r="C35" t="inlineStr">
        <is>
          <t>JPMorganChase</t>
        </is>
      </c>
      <c r="D35" t="inlineStr">
        <is>
          <t>linkedin</t>
        </is>
      </c>
      <c r="E35" t="inlineStr"/>
      <c r="F35" t="inlineStr"/>
      <c r="G35" t="inlineStr">
        <is>
          <t>Jersey City, NJ</t>
        </is>
      </c>
      <c r="H35" t="inlineStr"/>
      <c r="I35" t="inlineStr">
        <is>
          <t>**Job Description**
 We have an exciting and rewarding opportunity for you to take your software engineering career to the next level.
 As a Data Engineer III at JPMorgan Chase within the Technology and Data Management team, you will have an exciting and rewarding opportunity to take your software engineering career to the next level. You will be part of a dynamic team, applying your expertise in ontologies and generative AI to design and implement complex AI\-promote solutions. This role offers the chance to collaborate with cross\-functional teams, conduct research on the latest advancements, and provide technical leadership and mentorship, all while contributing to the organization's knowledge management initiatives.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Develop and maintain ontologies to support the organization's knowledge management initiatives.
* Design and implement scalable knowledge bases using knowledge graph technologies.
* Apply generative AI techniques to enhance the organization's data processing and information retrieval capabilities.
* Collaborate with cross\-functional teams to integrate AI\-driven solutions into existing systems and workflows.
* Conduct research and stay updated on the latest advancements in ontologies, knowledge graphs, and generative AI.
* Provide technical leadership and mentorship to junior team members in the areas of ontologies and AI.
* Evaluate and select appropriate tools and technologies for building and maintaining knowledge graphs.
* Ensure the quality, accuracy, and consistency of the knowledge base and its associated ontologies.
**Required Qualifications, Capabilities, And Skills**
* Formal training or certification on ontologies concepts and 3\+ years applied experience
* Expertise in generative AI techniques and their application in real\-world scenarios.
* Strong programming skills in languages such as Python, Java, or similar.
* Familiarity with tools and frameworks like RDF, OWL, SPARQL, and graph databases(Neo4j, Tiger Grpah etc)
* Excellent problem\-solving skills and the ability to work independently and collaboratively.
* Strong communication skills to effectively convey complex technical concepts to non\-technical stakeholders.
**Preferred qualifications, capabilities and skills:**
* Experience with machine learning frameworks and libraries. Knowledge of natural language processing (NLP) and its integration with knowledge graphs.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6">
      <c r="A36" t="inlineStr">
        <is>
          <t>li-4360602817</t>
        </is>
      </c>
      <c r="B36" t="inlineStr">
        <is>
          <t>Data Engineer I</t>
        </is>
      </c>
      <c r="C36" t="inlineStr">
        <is>
          <t>Centene Corporation</t>
        </is>
      </c>
      <c r="D36" t="inlineStr">
        <is>
          <t>linkedin</t>
        </is>
      </c>
      <c r="E36" t="inlineStr"/>
      <c r="F36" t="inlineStr"/>
      <c r="G36" t="inlineStr">
        <is>
          <t>Bernalillo County, NM</t>
        </is>
      </c>
      <c r="H36" t="inlineStr"/>
      <c r="I36"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This includes data ingestion, data transformation, data validation/quality, data pipeline optimization, orchestration, and engaging with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Ensures quality of technical solutions as data moves across Centene’s environments
* Provides insight into the changing data environment, data processing, data storage, and utilization requirements for the company and offer suggestions for solutions
* Develops, constructs, tests, and maintains architectures using programming language and tools
* Identifies ways to improve data reliability, efficiency, and quality; use data to discover tasks that can be automated
* Helps maintain the integrity and security of company data
* Performs other duties as assigned
* Complies with all policies and standards
**Education/Experience** 
 A Bachelor's degree in a quantitative or business field (e.g., statistics, mathematics, engineering, computer science) and requires 0 – 2 years of related experience. Or equivalent experience acquired through accomplishments of applicable knowledge, duties, scope and skill reflective of the level of this position. Or completion of a Centene\-sponsored emerging talent program.
**Technical Skills**
* One or more of the following skills are desired.
* ETL
* Snowflake
* Informatica
* Talend
* SQL
 Pay Range $27\.02 \- $48\.55 per hour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7">
      <c r="A37" t="inlineStr">
        <is>
          <t>li-4332581491</t>
        </is>
      </c>
      <c r="B37" t="inlineStr">
        <is>
          <t>Senior Analytics Engineer</t>
        </is>
      </c>
      <c r="C37" t="inlineStr">
        <is>
          <t>RemoteHunter</t>
        </is>
      </c>
      <c r="D37" t="inlineStr">
        <is>
          <t>linkedin</t>
        </is>
      </c>
      <c r="E37" t="inlineStr"/>
      <c r="F37" t="inlineStr"/>
      <c r="G37" t="inlineStr"/>
      <c r="H37" t="inlineStr"/>
      <c r="I37"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li-4334782345</t>
        </is>
      </c>
      <c r="B38" t="inlineStr">
        <is>
          <t>Staff Data Engineer</t>
        </is>
      </c>
      <c r="C38" t="inlineStr">
        <is>
          <t>SailPoint</t>
        </is>
      </c>
      <c r="D38" t="inlineStr">
        <is>
          <t>linkedin</t>
        </is>
      </c>
      <c r="E38" t="inlineStr"/>
      <c r="F38" t="inlineStr"/>
      <c r="G38" t="inlineStr"/>
      <c r="H38" t="inlineStr"/>
      <c r="I38" t="inlineStr">
        <is>
          <t>**Staff Data Engineer – Streaming Data Systems** 
**Location:** 
 REMOTE
**Team:** 
 Data Platform
**Level:** 
 Staff
**About the Role**
 We are looking for a
 **Staff Data Engineer** 
 with deep expertise in
 **streaming data architectures** 
 to drive the evolution of our real\-time data platform. This role is highly technical and hands\-on — ideal for someone who thrives on solving complex scaling challenges, architecting low\-latency systems, and leading teams to deliver high\-quality streaming data solutions that power analytics, machine learning, and core product features.
 As a senior member of the data engineering team, you’ll shape the technical direction of our streaming ecosystem and help define best practices for how data flows through our organization.
**Responsibilities**
* **Architect and lead** 
 the design and implementation of scalable, fault\-tolerant
 **streaming data pipelines** 
 using platforms such as
 **Apache Kafka, Flink, Spark Structured Streaming, or Kinesis** 
 .
* **Evolve the real\-time data platform** 
 to support new business use cases, ensuring low\-latency data delivery and high reliability.
* Partner with
 **data scientists, product engineers, and platform teams** 
 to design data models and streaming APIs that enable real\-time insights and decision\-making.
* Drive
 **data quality, observability, and governance** 
 across streaming systems, including schema management, lineage, and monitoring.
* Optimize pipeline performance, reliability, and cost across multiple environments (cloud and on\-prem).
* Lead
 **code reviews, architecture reviews, and technical mentoring** 
 for other engineers.
* Establish and champion
 **best practices** 
 for streaming data engineering, deployment automation, and CI/CD for data systems.
* Collaborate with platform teams to ensure data systems are
 **secure, compliant, and highly available** 
 .
**Qualifications**
**Required:** 
* 8\+ years of experience in
 **data engineering** 
 , with at least 3\+ years in
 **real\-time or streaming systems** 
 .
* Deep expertise with
 **Kafka** 
 (or equivalent message brokers), including schema registry, partitioning strategies, and consumer group management.
* Hands\-on experience with
 **stream processing frameworks** 
 (e.g., Apache Flink, Spark Structured Streaming, Kafka Streams).
* Strong proficiency in
 **Python, Scala, or Java** 
 , and familiarity with data pipeline orchestration tools (Airflow, Dagster, etc.).
* Solid understanding of
 **distributed systems, networking, and storage** 
 .
* Experience with
 **cloud platforms** 
 (AWS, GCP, or Azure) and managed streaming services (Kinesis, Pub/Sub, etc.).
* Familiarity with
 **data modeling, lakehouse architectures, and batch \+ streaming integration** 
 .
**Preferred:** 
* Experience building
 **exactly\-once** 
 or
 **idempotent** 
 streaming pipelines.
* Knowledge of
 **data governance, lineage, and observability tools** 
 (e.g., Datadog, Prometheus, OpenLineage).
* Prior experience leading a data platform or mentoring senior engineers.
* Exposure to
 **machine learning feature pipelines** 
 or
 **event\-driven microservices** 
 .
**What You’ll Bring** 
* A strong sense of ownership and curiosity for optimizing data flow in complex environments.
* Ability to think strategically while delivering practical, scalable solutions.
* Leadership in driving cross\-team collaboration and influencing architectural direction.
* Passion for helping teams move from
 **batch\-oriented thinking** 
 to
 **event\-driven design** 
 .
**Why Join Us**
 You’ll play a pivotal role in
 **building the next generation of our data platform** 
 , enabling real\-time insights that directly impact business outcomes. We invest in engineering excellence, autonomy, and continuous learning — and we’re looking for a Staff Data Engineer who shares that vision.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$127,800 \- $182,500 \- $237,300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39">
      <c r="A39" t="inlineStr">
        <is>
          <t>li-4337929279</t>
        </is>
      </c>
      <c r="B39" t="inlineStr">
        <is>
          <t>Staff Data Engineer, Marketing Technology</t>
        </is>
      </c>
      <c r="C39" t="inlineStr">
        <is>
          <t>Thumbtack</t>
        </is>
      </c>
      <c r="D39" t="inlineStr">
        <is>
          <t>linkedin</t>
        </is>
      </c>
      <c r="E39" t="inlineStr"/>
      <c r="F39" t="inlineStr"/>
      <c r="G39" t="inlineStr"/>
      <c r="H39" t="inlineStr"/>
      <c r="I39"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Marketing Tech Team**
 Marketing Tech is a critical team at Thumbtack overseeing and optimizing millions of marketing spend and is directly responsible for driving our company’s top line revenue growth. As part of this team, you’d get to work on a wide range of Marketing lanes such as paid (SEM, Social, Streaming Media, etc) as well as organic (SEO, Engagement and Lifecycle Marketing, etc) and have an outsized impact on our broader marketing efforts.
**The Challenge**
 Thumbtack is relatively early in the journey of building out a world\-class Marketing Tech stack. This role reports to the Embedded Data Engineering team, but works day\-to\-day with the Marketing Tech engineering team, with a small sub\-team of two other Data Engineers. You’ll work collaboratively to develop and build the vision of incorporating data through all aspects of marketing at Thumbtack, designed with our cross\-\-functional team. Thumbtack fosters a very collaborative culture of builders, and as such, you’d help set the data architecture, be hands on in building our datasets and mentor engineers as we go.
**What You'll Do**
* Collaboratively refine and evangelize a comprehensive framework for integrating data\-thinking into the software development lifecycle for marketing
* Design, architect, and maintain core marketing datasets, data marts, and feature stores that support a blend of mature products and features with a rapidly evolving product line, in partnership with analytics, data science, and machine learning
* Integrate with teams consisting of product engineers, analysts, data scientists, machine learning engineers throughout marketing to understand their data needs, and help design datasets with the same engineering rigor as any other software we design
* Drive data quality and best practices across marketing and business areas
* Help build the next generation of marketing data products at Thumbtack, based on real\-time data products on top of Apache Kafka
**In order to be successful, you must bring**
* 8\+ years of experience designing, building, and scaling data systems—spanning pipelines, warehouses, and analytical data products that drive measurable business impact.
* Proven technical leadership in architecting and evolving complex data ecosystems, including ownership of data models, transformation frameworks, and integrations across multiple data domains; advanced proficiency in SQL and Python.
* Deep experience with modern data stacks, including cloud\-native warehouses (e.g., BigQuery or Snowflake), orchestration tools (Airflow or equivalent), and transformation frameworks (dbt or similar).
* Strong system design and architecture mindset, able to reason about scalability, cost, and performance trade\-offs, and define long\-term data strategy.
* Exceptional collaboration and influence skills, partnering effectively with Marketing Engineering, Analytics, and Data Science to translate business goals into robust, production\-grade data systems.
* Strong sense of ownership and accountability, balancing hands\-on technical execution with the ability to mentor others, raise standards, and drive organization\-wide improvements in data quality and reliability.
**Expected salary ranges**
* For candidates living in San Francisco / Bay Area, San Jose, New York City, or Seattle metros, the expected salary range for the role is currently $249,900 \- $323,400\.
* For candidates living in Austin, TX or Washington DC metros or in California, Massachusetts, New Jersey, or Washington states, the expected salary range for the role is currently $224,900 \- $291,100\.
* For candidates living in all other US locations, the expected salary range for this role is currently $212,400 \- $274,900\.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40">
      <c r="A40" t="inlineStr">
        <is>
          <t>li-4350383854</t>
        </is>
      </c>
      <c r="B40" t="inlineStr">
        <is>
          <t>Sr. Data Analytics Engineer - HashiCorp</t>
        </is>
      </c>
      <c r="C40" t="inlineStr">
        <is>
          <t>IBM</t>
        </is>
      </c>
      <c r="D40" t="inlineStr">
        <is>
          <t>linkedin</t>
        </is>
      </c>
      <c r="E40" t="inlineStr"/>
      <c r="F40" t="inlineStr"/>
      <c r="G40" t="inlineStr">
        <is>
          <t>Lowell, MA</t>
        </is>
      </c>
      <c r="H40" t="inlineStr"/>
      <c r="I40" t="inlineStr">
        <is>
          <t>**Introduction**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team of deep product experts, ensuring exceptional client experiences, with a focus on delivery, excellence, and obsession over customer outcomes. This position involves contributing to HashiCorp's offerings, now part of IBM, which empower organizations to automate and secure multi\-cloud and hybrid environments. You will join a team managing the lifecycle of infrastructure and security, enhancing IBM's cloud solutions to ensure enterprises achieve efficiency, security, and scalability in their cloud journey.
**Your Role And Responsibilities**
 This is an individual contributor role responsible for hands\-on development, reporting to the Sr. Manager of Analytics Engineering.
 Analytics Engineering is focused on translating our trove of data into consumable models that accelerate time\-to\-insight for the Automation Pillar in IBM Software division.
 As a Sr. Data Analytics Engineer, you will work closely with subject matter experts to design and develop data models that power common analytics use cases – ad hoc analyses, reports/dashboards, and AI/ML models.
 You will make it easier for every PM and key business stakeholder to consistently self\-serve answers to their questions about customer behavior and product usage, by leveraging the wealth of customer and product data we generate.
**What You’ll Do (responsibilities)**
* Own the creation and maintenance of self\-serve tools (data models, reports, dashboards, etc.) that enable business stakeholders to be data\-driven in their decision\-making.
* Deliver on inquisitive analyses that answer critical business questions.
* Develop training and enablement content to ramp users on models and dashboards in our portfolio.
* Identify and drive opportunities to make data more consumable and decrease time\-to\-insight for analytics consumers.
**What Success Looks Like In This Role**
* Reduced time required for self\-service users to generate actionable insights.
* High adoption of data products that you create.
* Reliable, accurate, and well\-documented data solutions that stakeholders trust.
**Preferred Education**
 Bachelor's Degree
**Required Technical And Professional Expertise**
* Must have prior experience with dbt.
* 7\+ years of experience in analytics, analytics engineering, data engineering, or a related role.
* Strong business acumen with 5\+ years experience developing analytics specifically for go\-to\-market functions (Sales, Marketing, Services).
* Solid grasp of SQL, structuring data, and ability to effectively query multiple tables of different grains with the use of subqueries/CTEs and window functions.
* Experience working with modern data management systems (e.g. Snowflake, Redshift, etc.).
**Preferred Technical And Professional Experience**
* Ability to shape ambiguity into tangible deliverables.
* Solid grasp of data modeling and semantic layers.
* Understands both data lake and data warehousing approaches to data management.</t>
        </is>
      </c>
    </row>
    <row r="41">
      <c r="A41" t="inlineStr">
        <is>
          <t>li-4352297102</t>
        </is>
      </c>
      <c r="B41" t="inlineStr">
        <is>
          <t>Data Engineering Solutions Architect</t>
        </is>
      </c>
      <c r="C41" t="inlineStr">
        <is>
          <t>Jobot</t>
        </is>
      </c>
      <c r="D41" t="inlineStr">
        <is>
          <t>linkedin</t>
        </is>
      </c>
      <c r="E41" t="inlineStr"/>
      <c r="F41" t="inlineStr"/>
      <c r="G41" t="inlineStr">
        <is>
          <t>Austin, TX</t>
        </is>
      </c>
      <c r="H41" t="inlineStr"/>
      <c r="I41" t="inlineStr">
        <is>
          <t>Want to learn more about this role and Jobot? Click our Jobot logo and follow our LinkedIn page!
 Job details
**Join the fastest growing Data engineering solutions company!**
 This Jobot Job is hosted by Adam Bennett
 Are you a fit? Easy Apply now by clicking the "Easy Apply" button and sending us your resume.
 Salary $150,000 \- $220,000 per year
**A Bit About Us**
 This is one of Jobot's best clients, and a company that has been growing by over 100% year over year for the last 7 years. They are continuing to grow!
 This company is focused on offering top tier consulting services to enterprise companies that are trying to better utilize their data.
****Why join us?****
 Join us for the variety of work, the opportunity to interface with some of the top companies in the world, and ability to build creative solutions to challenging problems.
**Job Details**
 Must be a talented data engineer! Ideally you come from some soft of consulting or client facing background, this may include internal customers!
 Hands on engineering experience a must. This includes the following
* Snowflake or Databricks engineering
* Deep understanding of AWS or Azure or GCP
* Code bases written in Python, Scala and or Java
* Most important? Clear and concise communication skills, you must be able to sit in front of a client, and be engaging, and speak with non\-technical stakeholders.
 This company will not be able to sponsor or transfer visas.
 If interested, please apply, or feel free to message Adam@jobot.com directly.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2">
      <c r="A42" t="inlineStr">
        <is>
          <t>li-4332582487</t>
        </is>
      </c>
      <c r="B42" t="inlineStr">
        <is>
          <t>Data and BI Engineer</t>
        </is>
      </c>
      <c r="C42" t="inlineStr">
        <is>
          <t>American Food &amp; Vending</t>
        </is>
      </c>
      <c r="D42" t="inlineStr">
        <is>
          <t>linkedin</t>
        </is>
      </c>
      <c r="E42" t="inlineStr"/>
      <c r="F42" t="inlineStr"/>
      <c r="G42" t="inlineStr">
        <is>
          <t>New York, United States</t>
        </is>
      </c>
      <c r="H42" t="inlineStr"/>
      <c r="I42"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43">
      <c r="A43" t="inlineStr">
        <is>
          <t>li-4359794067</t>
        </is>
      </c>
      <c r="B43" t="inlineStr">
        <is>
          <t>Senior Data Engineer, Data Products</t>
        </is>
      </c>
      <c r="C43" t="inlineStr">
        <is>
          <t>Raya</t>
        </is>
      </c>
      <c r="D43" t="inlineStr">
        <is>
          <t>linkedin</t>
        </is>
      </c>
      <c r="E43" t="inlineStr"/>
      <c r="F43" t="inlineStr"/>
      <c r="G43" t="inlineStr"/>
      <c r="H43" t="inlineStr"/>
      <c r="I43" t="inlineStr">
        <is>
          <t>A great candidate is excited to support our growing use of data, including working closely with the analytics and product engineering teams, to build a better user experience. Finally, they believe in Raya’s vision, which is to enrich lives by fostering relationships through quality, in person interactions.
 As Raya’s first Data Engineer for Data Products, you will be a founding member of the data engineering team and will play a pivotal role in empowering the company to be data\-driven. The ideal candidate is experienced and confident building out performant, impactful data models, and trhives in a collaborative environment where they can influence product and business decisions through data.
**In this role, you will**
* Architect complex, high\-volume data pipelines for production use
* Design and implement scalable data models serving multiple product and internal teams
* Own data quality frameworks and standards across key data products
* Build reusable patterns for transformations and metrics to drive efficiency
* Define and maintain core business metrics and Key Performance Indicators (KPIs) in partnership with Analytics
* Own the data products used across the company, ensuring reliability and performance
* Set and promote standards for data modeling and pipeline development
* Partner closely with Analytics, Data Science, and Machine Learning teams on requirements to reduce friction and accelerate their work
* Mentor engineers and actively participate in the hiring process
**Qualifications**
* 5\+ years of experience in data engineering with a proven track record of successful data architecture and pipeline creation
* Expertise in handling large\-scale data systems and cloud platforms (preferably AWS)
* Proficient in Python and SQL. Scala and MongoDB are a plus
* Strong experience with data pipeline and workflow management tools like Apache Airflow, Luigi, or Prefect
* In\-depth knowledge of real\-time data processing frameworks such as Kinesis, Kafka, Flink, or Spark Streaming. Experience with Segment is a plus.
* Experience with data modeling tools and ETL frameworks, with a strong emphasis on performance optimization
* Excellent communication and collaboration skills to work effectively across teams</t>
        </is>
      </c>
    </row>
    <row r="44">
      <c r="A44" t="inlineStr">
        <is>
          <t>li-4359933334</t>
        </is>
      </c>
      <c r="B44" t="inlineStr">
        <is>
          <t>Data Engineer</t>
        </is>
      </c>
      <c r="C44" t="inlineStr">
        <is>
          <t>Calyptus</t>
        </is>
      </c>
      <c r="D44" t="inlineStr">
        <is>
          <t>linkedin</t>
        </is>
      </c>
      <c r="E44" t="inlineStr"/>
      <c r="F44" t="inlineStr"/>
      <c r="G44" t="inlineStr">
        <is>
          <t>New York, United States</t>
        </is>
      </c>
      <c r="H44" t="inlineStr"/>
      <c r="I4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45">
      <c r="A45" t="inlineStr">
        <is>
          <t>li-4359784354</t>
        </is>
      </c>
      <c r="B45" t="inlineStr">
        <is>
          <t>Data and BI Engineer</t>
        </is>
      </c>
      <c r="C45" t="inlineStr">
        <is>
          <t>American Dining Creations</t>
        </is>
      </c>
      <c r="D45" t="inlineStr">
        <is>
          <t>linkedin</t>
        </is>
      </c>
      <c r="E45" t="inlineStr"/>
      <c r="F45" t="inlineStr"/>
      <c r="G45" t="inlineStr">
        <is>
          <t>New York, United States</t>
        </is>
      </c>
      <c r="H45" t="inlineStr"/>
      <c r="I45"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46">
      <c r="A46" t="inlineStr">
        <is>
          <t>li-4352454247</t>
        </is>
      </c>
      <c r="B46" t="inlineStr">
        <is>
          <t>Lead Data Engineer</t>
        </is>
      </c>
      <c r="C46" t="inlineStr">
        <is>
          <t>Vori</t>
        </is>
      </c>
      <c r="D46" t="inlineStr">
        <is>
          <t>linkedin</t>
        </is>
      </c>
      <c r="E46" t="inlineStr"/>
      <c r="F46" t="inlineStr"/>
      <c r="G46" t="inlineStr">
        <is>
          <t>San Francisco, CA</t>
        </is>
      </c>
      <c r="H46" t="inlineStr"/>
      <c r="I46" t="inlineStr">
        <is>
          <t>**Why this role / Why now**
 Vori is building the operating system for grocery. Data is at the core: item catalogs, invoices, movements, pricing, promotions, loyalty, and payments all flow through our platform.
 We have Forward Deployed Engineers with strong data engineering backgrounds who build integrations and pipelines to onboard customers fast. What we need now is a Lead Data Engineer to own the ETL strategy and data platform end\-to\-end—setting standards, scaling our orchestration and reliability, and making data a durable competitive advantage.
 This is a hands\-on leadership role. You’ll architect and build, but you’ll also set direction, create the playbooks, and level up the team around correctness, observability, and speed.
 What you’ll do
* Lead the design and evolution of our data platform and ETL/ELT
* Own our orchestration layer: asset design, partitioning strategies, sensors/schedules, backfills/replays, retries, and operational best practices.
* Own pipelines that ingest data from real customer systems (CSV/EDI/API/SFTP, PDFs/OCR).
* Own data checks and monitoring (freshness, duplicates, drift, broken joins).
* Define core data models and metric definitions with Product/Engineering/Ops.
* Improve performance and cost in the warehouse.
* Set engineering standards and mentor the engineers doing data work.
* Help hire and grow the data engineering function over time.
**What We’re Looking For**
**Must\-haves**
* Expertise in data engineering / analytics engineering / data platform roles (or equivalent depth).
* Proven experience designing and scaling data platforms and ETL/ELT systems in production.
* Experience with unstructured ingestion (OCR pipelines, document parsing)
* Excellent SQL and strong fundamentals in data modeling (facts/dims, grains, SCD patterns, avoiding double counts).
* Real operational experience: idempotency, backfills, schema evolution, observability, and incident response for data.
* Startup mindset: you can move fast, prioritize ruthlessly, and build leverage with limited resources.
**Analytical “sharp edges” we want**
* Strong analytical mind with comfort in probability and statistics (sampling, anomaly detection, false positives/negatives).
* You reason clearly about uncertainty and tradeoffs, and you can explain them simply.
**Nice\-to\-haves**
* CDC/streaming experience, event\-driven architectures.
* Experience building semantic layers / metrics governance.
* GCP \+ BigQuery (or equivalent) experience.
**How You’ll Work With The Team**
 You’ll partner closely with:
* Forward Deployed Engineers who build customer integrations and ingestion
* Operations and onboarding teams who live the messy reality
* Product \+ Core Engineering teams who build platform capabilities and features
 You’ll be the person who makes data “boringly reliable” while still shipping fast.
 Expectations (Vori pace)
* You will be stretched and challenged with large scope and fast\-paced deadlines. This is not a “keep the lights on” data role—this is building the data foundation for a company transforming a \~$1T industry.
* Vori isn’t a simple 9–5 job. We’re building a Seal Team 6 of individuals who work hard, long, and smart to deliver exceptional results with limited resources. If we win, we transform the most fundamental industry on earth—food. Are you in?
**Why Vori**
* Mission\-driven team building tech that helps local businesses thrive
* Backed by top investors and advisors from Stripe, Uber, Palantir, and Toast
* Real revenue, real growth, and a massive market opportunity
* A chance to shape not just marketing—but the company's future</t>
        </is>
      </c>
    </row>
    <row r="47">
      <c r="A47" t="inlineStr">
        <is>
          <t>li-4351852047</t>
        </is>
      </c>
      <c r="B47" t="inlineStr">
        <is>
          <t>Junior Data Engineer</t>
        </is>
      </c>
      <c r="C47" t="inlineStr">
        <is>
          <t>Haystack</t>
        </is>
      </c>
      <c r="D47" t="inlineStr">
        <is>
          <t>linkedin</t>
        </is>
      </c>
      <c r="E47" t="inlineStr"/>
      <c r="F47" t="inlineStr"/>
      <c r="G47" t="inlineStr"/>
      <c r="H47" t="inlineStr"/>
      <c r="I47" t="inlineStr">
        <is>
          <t>**Data Engineer \| Rockville, MD 20850 \| $63,653 \- 108,210** 
 We're working with BAE Systems on this exciting opportunity.
 Join BAE Systems as a Data Engineer and play a pivotal role in national security by developing cutting\-edge data analytic and visualization solutions for the U.S. Navy's strategic weapon systems. Leverage your expertise in Python, ETL, and data warehousing to contribute to a critical program with a legacy spanning decades.
**The Role** 
 • Design and implement scalable data pipelines for AI/ML applications, utilizing data warehousing, ETL, and data streaming techniques.
 • Perform data wrangling, cleaning, and transformation using tools like NumPy and Pandas to prepare data for analysis.
 • Collaborate with Data Solution Architects and AI/ML Developers to optimize data for model development and analytics.
 • Implement robust monitoring systems to ensure data pipeline reliability and performance, supporting critical Navy functions.
 • Conduct technical analysis, trade studies, and research to enhance COTS/GOTS data engineering solutions.
**What You'll Need** 
 • Bachelor's degree or higher in Computer Science, Data Engineering, or a related STEM field.
 • Proficiency in programming languages including Python, JSON/XML, and various query languages (SQL).
 • Experience with ETL/TS tools and frameworks, with a strong understanding of data warehousing concepts.
 • Familiarity with data manipulation libraries such as NumPy, Pandas, Matplotlib, and Seaborn.
 • Experience with data warehousing solutions like RedShift, BigQuery, and Snowflake, and big data technologies such as Hadoop, Spark, and Kafka.
**What's On Offer** 
 • Comprehensive health, dental, and vision insurance for regular employees working 20\+ hours.
 • Robust 401(k) savings plan with company contributions to secure your financial future.
 • Generous paid time off, paid holidays, and additional leave options including parental, military, and bereavement.
 • Employee assistance programs, legal plans, and exclusive discounts on various insurance and perks.
**Apply via Haystack today!**</t>
        </is>
      </c>
    </row>
    <row r="48">
      <c r="A48" t="inlineStr">
        <is>
          <t>li-4359765927</t>
        </is>
      </c>
      <c r="B48" t="inlineStr">
        <is>
          <t>Data Engineer</t>
        </is>
      </c>
      <c r="C48" t="inlineStr">
        <is>
          <t>NerdWallet</t>
        </is>
      </c>
      <c r="D48" t="inlineStr">
        <is>
          <t>linkedin</t>
        </is>
      </c>
      <c r="E48" t="inlineStr"/>
      <c r="F48" t="inlineStr"/>
      <c r="G48" t="inlineStr"/>
      <c r="H48" t="inlineStr"/>
      <c r="I48" t="inlineStr">
        <is>
          <t>**About The Company** 
 NerdWallet is a leading personal finance platform dedicated to empowering consumers to make smarter financial decisions. Committed to transparency, inclusivity, and innovation, NerdWallet offers tools, resources, and expert guidance to help individuals navigate their financial journeys with confidence. Our culture fosters growth, flexibility, and authenticity, supporting team members whether they work remotely or in\-office. We prioritize well\-being, professional development, and impactful work, ensuring our Nerds thrive both personally and professionally. As we continue to expand our services and reach, NerdWallet remains focused on delivering clarity and value to our users through innovative financial solutions.
**About The Role** 
 We are seeking a highly skilled and experienced Staff Data Engineer to join our Core Engineering team. In this role, you will be instrumental in designing, developing, and maintaining scalable, reliable data pipelines and models that underpin our analytics, experimentation, and strategic decision\-making processes. You will work closely with cross\-functional teams across product, engineering, and business units to solve complex data challenges, ensuring our data systems are aligned with NerdWallet’s strategic goals. This position offers a unique opportunity to influence the data architecture directly within a product vertical, translating technical solutions into tangible business outcomes. As a leader in data engineering, you will foster a culture of innovation, reliability, and continuous improvement, mentoring junior engineers and shaping best practices across the organization.
**Qualifications** 
* 7\+ years of professional experience in data engineering
* 5\+ years of hands\-on experience with AWS, Snowflake, DBT, Airflow
* Advanced proficiency in Python and SQL
* Strong knowledge of relational databases and query performance tuning
* Experience with streaming technologies such as Storm, Kafka, Kinesis, and Flume
* Bachelor’s or Master’s degree in Computer Science, Engineering, or a related field (or equivalent professional experience)
* Proven ability to design, build, and operate robust data systems with reliable monitoring and logging practices
* Excellent communication skills, both written and verbal
* Strong analytical and logical thinking skills to define problems, collect data, and draw valid conclusions
* Experience leading technical initiatives and influencing architectural decisions
* Familiarity with modern data engineering practices, including AI and automation solutions
**Responsibilities** 
* Lead the design, development, and maintenance of critical data assets to ensure accuracy, reliability, and alignment with business priorities
* Drive technical innovation by evaluating emerging technologies and implementing scalable solutions to enhance data pipeline performance and reliability
* Address complex technical challenges related to scalability, security, and performance, providing clear rationale for architectural decisions
* Ensure data pipeline observability and reliability by proactively identifying issues, investigating anomalies, and improving monitoring systems
* Collaborate effectively with cross\-functional teams through transparent communication and problem\-solving to meet shared goals
* Take ownership of initiatives that span multiple domains, providing technical leadership to ensure successful project delivery
* Prioritize tasks strategically to balance business impact, risk, and timely execution, driving measurable results
* Act as a technical advisor and thought leader, shaping long\-term architecture and best practices within the team
* Mentor and foster a culture of technical excellence, continuous learning, and innovation among engineering team members
**Benefits** 
* Industry\-leading medical, dental, and vision health plans for employees and their dependents
* Rejuvenation Policy including Vacation Time Off, 11 holidays, and 4 Mental Health Days Off
* New Parent Leave for employees welcoming a new child through birth, adoption, or foster care
* Mental health support services
* Paid sabbatical to recharge, learn, and pursue personal interests
* Health and Dependent Care FSA and HSA plans with company contributions
* Monthly stipends for wellness, cell phone, and Wi\-Fi expenses
* Work from home equipment stipend and co\-working space subsidy
* Participation in employee resource groups and company\-wide events to foster community and inclusion
* Paid volunteer time off and matching donations to charitable causes
* Retirement savings plan with company match through 401(k)
* Access to exclusive financial products, guidance, and unlimited sessions with a Certified Financial Planner (CFP)
* Disability and employer\-paid life insurance coverage
 Equal Opportunity
 NerdWallet is an equal opportunity employer committed to fostering a diverse and inclusive workplace. We prohibit discrimination and harassment based on race, color, religion, sex, national origin, age, disability, sexual orientation, gender identity, or any other characteristic protected by applicable law.</t>
        </is>
      </c>
    </row>
    <row r="49">
      <c r="A49" t="inlineStr">
        <is>
          <t>li-4345382509</t>
        </is>
      </c>
      <c r="B49" t="inlineStr">
        <is>
          <t>Data Engineer</t>
        </is>
      </c>
      <c r="C49" t="inlineStr">
        <is>
          <t>RemoteHunter</t>
        </is>
      </c>
      <c r="D49" t="inlineStr">
        <is>
          <t>linkedin</t>
        </is>
      </c>
      <c r="E49" t="inlineStr"/>
      <c r="F49" t="inlineStr"/>
      <c r="G49" t="inlineStr"/>
      <c r="H49" t="inlineStr"/>
      <c r="I49"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0">
      <c r="A50" t="inlineStr">
        <is>
          <t>li-4359904065</t>
        </is>
      </c>
      <c r="B50" t="inlineStr">
        <is>
          <t>Data Engineer</t>
        </is>
      </c>
      <c r="C50" t="inlineStr">
        <is>
          <t>Dark Wolf</t>
        </is>
      </c>
      <c r="D50" t="inlineStr">
        <is>
          <t>linkedin</t>
        </is>
      </c>
      <c r="E50" t="inlineStr"/>
      <c r="F50" t="inlineStr"/>
      <c r="G50" t="inlineStr">
        <is>
          <t>Herndon, VA</t>
        </is>
      </c>
      <c r="H50" t="inlineStr"/>
      <c r="I50" t="inlineStr">
        <is>
          <t>**Dark Wolf Solutions** 
 is looking for a
 **Data Engineer** 
 to join our team working out of Falls Church, VA. This position will have hybrid/remote flexibility. The Data Engineer will be responsible for designing, building, and optimizing robust data pipelines and data infrastructure to ensure the reliability, accessibility, and quality of data for analytics and mission\-critical applications. The ideal candidate will leverage extensive experience with data engineering principles, DevSecOps best practices, Test Driven Development (TDD), and User Centered Design (UCD) principles to rapidly develop and deliver first\-class, customer\-centric software solutions. They will utilize leading languages and frameworks, including Python (FastAPI), AWS, and Rancher Kubernetes, to automate testing and ensure delivered software meets and exceeds customer needs, all while working collaboratively within a dedicated team..
**Key Responsibilities**
* Using DevSecOps best practices to rapidly develop and deliver first class solutions for a DoD customer
* Developing software using leading languages and frameworks including Python (FastAPI), AWS, and Rancher Kubernetes
* Leveraging Test Driven Development and User Centered design best practices automate testing and ensure delivered software meets and exceeds customer needs
* Applying software design best practices to identify and analyze potential solutions, generate design diagrams to convey and capture system design, and participate in technical exchange meetings to discuss with the team and customer stakeholders
* Embracing a shared responsibility for system security
* Performing threat modeling to identify and mitigate system security threats, implement protective and preventive security measures continuously throughout the software development lifecycle
* Continuously engaging with project teams to deliver quality products
* Participating in daily standups, sprint planning/review meetings, discover and framing workshops, and customer demo sessions
**Required Qualifications**
* B.S. in Computer Science (or equivalent experience) and at least 3 years professional experience working as part of an Agile team using DevOps practices and modern programming languages and frameworks to develop and engineer data\-related services and applications to cloud platforms
* Experience with modern programming languages and frameworks including Python (FastAPI, Django, Flask), JavaScript (Node.js, Express, Vue, Svelte, React), and Java (Spring Boot)
* Experience developing data focused solutions to include experience designing and implementing OpenAPI compliant data schemas and REST APIs, implementing data persistence and query logic using Object Relational Mapping (ORM) libraries and SQL, and implementing data validation business rules
* Experience developing AWS cloud solutions with a specific focus on data services such as S3, RDS, and EMR
* US Citizenship required, must be clearable up to a Secret security clearance
**Desired Qualifications**
* M.S in Computer Science or related
* Experience with AI/ML
* Experience with Kubernetes (Rancher RKE2, AWS EKS) and microservice architectures
* Experience with data engineering and big data technologies such as Apache Airflow, Trino, and AWS EMR
* Experience with NIST Risk Management Framework and security accreditation process and tasks
 This position has hybrid schedule flexibility. The salary range is expected to be between $130,000\.00 \- $160,000\.00, commensurate on experience.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row>
    <row r="51">
      <c r="A51" t="inlineStr">
        <is>
          <t>li-4345352050</t>
        </is>
      </c>
      <c r="B51" t="inlineStr">
        <is>
          <t>Data Engineer</t>
        </is>
      </c>
      <c r="C51" t="inlineStr">
        <is>
          <t>Haystack</t>
        </is>
      </c>
      <c r="D51" t="inlineStr">
        <is>
          <t>linkedin</t>
        </is>
      </c>
      <c r="E51" t="inlineStr"/>
      <c r="F51" t="inlineStr"/>
      <c r="G51" t="inlineStr"/>
      <c r="H51" t="inlineStr"/>
      <c r="I51" t="inlineStr">
        <is>
          <t>**Data Engineer \| Rockville, MD 20850 \| $63,653 \- 108,210** 
 We're working with BAE Systems on this exciting opportunity.
 Join BAE Systems as a Data Engineer and play a pivotal role in national security by developing cutting\-edge data analytic and visualization solutions for the U.S. Navy's strategic weapon systems. Leverage your expertise in Python, ETL, and data warehousing to contribute to a critical program with a legacy spanning decades.
**The Role** 
 • Design and implement scalable data pipelines for AI/ML applications, utilizing data warehousing, ETL, and data streaming techniques.
 • Perform data wrangling, cleaning, and transformation using tools like NumPy and Pandas to prepare data for analysis.
 • Collaborate with Data Solution Architects and AI/ML Developers to optimize data for model development and analytics.
 • Implement robust monitoring systems to ensure data pipeline reliability and performance, supporting critical Navy functions.
 • Conduct technical analysis, trade studies, and research to enhance COTS/GOTS data engineering solutions.
**What You'll Need** 
 • Bachelor's degree or higher in Computer Science, Data Engineering, or a related STEM field.
 • Proficiency in programming languages including Python, JSON/XML, and various query languages (SQL).
 • Experience with ETL/TS tools and frameworks, with a strong understanding of data warehousing concepts.
 • Familiarity with data manipulation libraries such as NumPy, Pandas, Matplotlib, and Seaborn.
 • Experience with data warehousing solutions like RedShift, BigQuery, and Snowflake, and big data technologies such as Hadoop, Spark, and Kafka.
**What's On Offer** 
 • Comprehensive health, dental, and vision insurance for regular employees working 20\+ hours.
 • Robust 401(k) savings plan with company contributions to secure your financial future.
 • Generous paid time off, paid holidays, and additional leave options including parental, military, and bereavement.
 • Employee assistance programs, legal plans, and exclusive discounts on various insurance and perks.
**Apply via Haystack today!**</t>
        </is>
      </c>
    </row>
    <row r="52">
      <c r="A52" t="inlineStr">
        <is>
          <t>li-4332542539</t>
        </is>
      </c>
      <c r="B52" t="inlineStr">
        <is>
          <t>Analytics Engineer</t>
        </is>
      </c>
      <c r="C52" t="inlineStr">
        <is>
          <t>RemoteHunter</t>
        </is>
      </c>
      <c r="D52" t="inlineStr">
        <is>
          <t>linkedin</t>
        </is>
      </c>
      <c r="E52" t="inlineStr"/>
      <c r="F52" t="inlineStr"/>
      <c r="G52" t="inlineStr"/>
      <c r="H52" t="inlineStr"/>
      <c r="I52"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li-4359766477</t>
        </is>
      </c>
      <c r="B53" t="inlineStr">
        <is>
          <t>AI-Native Data Engineer - TrueMeter</t>
        </is>
      </c>
      <c r="C53" t="inlineStr">
        <is>
          <t>Pear VC</t>
        </is>
      </c>
      <c r="D53" t="inlineStr">
        <is>
          <t>linkedin</t>
        </is>
      </c>
      <c r="E53" t="inlineStr"/>
      <c r="F53" t="inlineStr"/>
      <c r="G53" t="inlineStr">
        <is>
          <t>Palo Alto, CA</t>
        </is>
      </c>
      <c r="H53" t="inlineStr"/>
      <c r="I53" t="inlineStr">
        <is>
          <t>**AI\-Native Data Engineer @ TrueMeter**
**SF Bay Area \| Hybrid (3 days onsite, 2 remote)**
**About Us**
 We’re building the
 **AI Energy Agent** 
 that’s becoming the default way any business pays for power and saves on energy.
 The grid is breaking under the weight of AI and electrification — data centers are driving record demand, renewables are lagging, and energy costs are climbing 3x faster than inflation. Businesses are desperate for predictability and control.
**TrueMeter** 
 fixes this. We turn messy, multi\-utility bills into a single, cheaper, fixed\-price subscription — powered by AI.
 We launched our MVP in May 2024\. Since then, we’ve onboarded
 **millions in energy bills** 
 from great brands and proven that what we’re building… works.
 We’re Stanford\-alum founders backed by top Silicon Valley investors, growing fast, and hiring an elite set of
 **AI\-native engineers** 
 to help us scale.
**The Role**
 We’re looking for someone who loves building things from scratch — fast. You’ll own our data and AI infrastructure end\-to\-end: pipelines, databases, APIs, and the foundations for coding agents and LLM workflows.
 You’ll work directly with the co\-founder/CTO, helping shape how data moves through the company — from raw energy telemetry to real\-world business impact.
 This is a startup role in the truest sense: priorities change, speed matters, and the impact is huge.
**You’ll Work On**
* Building high\-reliability data pipelines and APIs to connect to dozens of utilities and public energy sources.
* Architecting databases and ingestion systems for time\-series energy data, billing, and telemetry.
* Designing GCP infrastructure (e.g., BigQuery, Cloud SQL, Secret Manager) for scale and cost efficiency.
* Building infra that allows coding agents and AI tools to automate workflows across the stack.
* Setting up CI/CD, observability, and automation to keep us shipping fast and clean.
* Documenting, communicating, and collaborating across tech \+ business — translating your work into impact metrics everyone can understand.
**Who You Are**
* AI\-native — curious, self\-taught, and excited about pushing the boundaries of what LLMs and agents can do in real systems.
* Nimble builder — you can ship an MVP in a short time, then iterate it into something robust.
* First\-principles thinker — you choose tools based on logic, not hype, and can build an efficient and cost\-effective infrastructure.
* Communicator — you can explain your work to both engineers and execs, and they’ll actually get it.
* Independent executor — you don’t need handholding; you define, scope, and deliver.
* Startup\-aware — you know priorities will change, things will break, and that’s part of the thrill.
* Ambitious — you care deeply about impact and are willing to put in the work to want to help build something big.
 If you’ve built production data systems before (Python, TypeScript, GCP, SQL/NoSQL) and love learning new tools, you’ll fit right in.
**Why TrueMeter**
 We’re early — which means you’ll have real ownership, not just tasks. You’ll design systems that last, see your work ship in days (not quarters), and help shape a company whose vision is to redefine energy management for every business in America.
 We move fast, we think from first principles, and we care deeply about impact — on customers, the grid, and the planet.
 If that sounds like your kind of challenge, we’d love to talk.</t>
        </is>
      </c>
    </row>
    <row r="54">
      <c r="A54" t="inlineStr">
        <is>
          <t>li-4345332391</t>
        </is>
      </c>
      <c r="B54" t="inlineStr">
        <is>
          <t>Big Data Engineer</t>
        </is>
      </c>
      <c r="C54" t="inlineStr">
        <is>
          <t>RemoteHunter</t>
        </is>
      </c>
      <c r="D54" t="inlineStr">
        <is>
          <t>linkedin</t>
        </is>
      </c>
      <c r="E54" t="inlineStr"/>
      <c r="F54" t="inlineStr"/>
      <c r="G54" t="inlineStr"/>
      <c r="H54" t="inlineStr"/>
      <c r="I54" t="inlineStr">
        <is>
          <t>About the Opportunity:
 This team is seeking a seasoned Factory Data Engineer to lead the development of scalable data solutions in a cloud\-native environment. The role involves designing robust data pipelines, optimizing data warehouse performance, and working with in\-house tools to support data operations and management.
 Responsibilities:
 • Create Python, Spark, Perl, Shell Scripting programs to process data sets
 • Maintain existing Python, Spark, Perl, Shell Scripts and C programs
 • Collaborate with cross\-functional teams to understand data requirements and deliver high\-quality solutions
 • Learn and work extensively with in\-house data tools and frameworks, contributing to their enhancement and integration
 • Ensure data quality, governance, and security across all data assets
 • Mentor junior engineers and promote best practices in data engineering
 • Drive performance tuning, cost optimization, and automation of data workflows
 • Participate in Agile ceremonies, code reviews, and technical design discussions
 • Create required documentation and provide interface documentation to other team members on interfaces
 • Follow established SOPs and practices
 • Validate data generated to confirm that desired values are created
 Requirements:
 • Bachelor’s degree or equivalent in computer science
 • Minimum 5 years of experience in Python, Perl, C programming languages
 • Good understanding of Spark and pySpark
 • Good understanding of databases such as Hive, Postgres or Oracle
 • Familiarity with scheduling tools such as Airflow or Control\-M
 • Strong communication skills, ability to write technical documentation and present ideas
 Benefits \&amp; Perks:
 • Paid time off
 • Medical, dental, and vision insurance
 • 401(k) plan
 Compensation:
 • Salary range for this role is $90,000 to $115,000
 • Compensation will depend on factors such as education, experience, skills, location, and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li-4330610728</t>
        </is>
      </c>
      <c r="B55" t="inlineStr">
        <is>
          <t>Data Engineer - PySpark / Databricks - Hybird</t>
        </is>
      </c>
      <c r="C55" t="inlineStr">
        <is>
          <t>Jobs via Dice</t>
        </is>
      </c>
      <c r="D55" t="inlineStr">
        <is>
          <t>linkedin</t>
        </is>
      </c>
      <c r="E55" t="inlineStr"/>
      <c r="F55" t="inlineStr"/>
      <c r="G55" t="inlineStr">
        <is>
          <t>New York, NY</t>
        </is>
      </c>
      <c r="H55" t="inlineStr"/>
      <c r="I55" t="inlineStr">
        <is>
          <t>RESPONSIBILITIES:
 Kforce is seeking a highly skilled Data Engineer to join an enterprise\-level data team supporting one of our Top Financial Services clients in New York City. This role is focused on modernizing data infrastructure, building scalable pipelines, and creating a centralized data platform to drive data\-driven decision\-making across multiple business functions.
 Summary:
 The Data Engineer will be a key contributor in migrating and modernizing on\-premises data into Databricks on AWS, leveraging Terraform, PySpark, and AWS services to deliver a robust and efficient data platform. The team needs resources that have experience in Pyspark for ETL Development, SparkSQL and Databricks and experience in AWS resources like S3, Glue, Athena and Aurora Postgres.
 Key Responsibilities:
* Design, build, and maintain scalable data pipelines for ingestion, transformation, and delivery of enterprise data
* Support modernization initiatives, migrating on\-premises data into Databricks to enable enterprise\-scale analytics
* Implement Infrastructure as Code (IaC) for data environments using Terraform
* Collaborate with data architects and platform engineers to optimize AWS compute, database, and storage resources
* Develop and manage ETL/ELT workflows using Databricks (PySpark, Python, SQL)
* Ensure data quality, security, and compliance across all environments
 REQUIREMENTS:
* Infrastructure as Code (IaC): Strong hands\-on experience with Terraform.
* Databricks Expertise: Building notebooks with PySpark and Python; Solid knowledge of Databricks architecture and provisioning; Familiarity with Medallion Architecture (Delta Lake, Lakehouse)
* AWS Cloud Services: Practical experience with Glue, Lambda, Step Functions, RDS, and related AWS resources
* SQL Proficiency: Strong SQL skills for data cataloging, ingestion, and transformations
* ETL Development: Proven experience building complex ETL processes beyond simple lift\-and\-shift
* Data Migration \&amp; Modeling: Knowledge of on\-premises to cloud migrations and modern data modeling practices
 Preferred/Nice to have:
* CI/CD Pipelines: Experience with GitLab and/or Jenkins for version control, code commits, and automated pipelines
* Shift\-Left Testing/DevSecOps: Familiarity with SAST/DAST tools and security\-first development practices
* Exposure to analytics tools and BI platforms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6">
      <c r="A56" t="inlineStr">
        <is>
          <t>li-4345302446</t>
        </is>
      </c>
      <c r="B56" t="inlineStr">
        <is>
          <t>Senior Analytics Engineer</t>
        </is>
      </c>
      <c r="C56" t="inlineStr">
        <is>
          <t>RemoteHunter</t>
        </is>
      </c>
      <c r="D56" t="inlineStr">
        <is>
          <t>linkedin</t>
        </is>
      </c>
      <c r="E56" t="inlineStr"/>
      <c r="F56" t="inlineStr"/>
      <c r="G56" t="inlineStr"/>
      <c r="H56" t="inlineStr"/>
      <c r="I56"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li-4330569380</t>
        </is>
      </c>
      <c r="B57" t="inlineStr">
        <is>
          <t>Data Engineer</t>
        </is>
      </c>
      <c r="C57" t="inlineStr">
        <is>
          <t>Jobs via Dice</t>
        </is>
      </c>
      <c r="D57" t="inlineStr">
        <is>
          <t>linkedin</t>
        </is>
      </c>
      <c r="E57" t="inlineStr"/>
      <c r="F57" t="inlineStr"/>
      <c r="G57" t="inlineStr">
        <is>
          <t>Jacksonville, FL</t>
        </is>
      </c>
      <c r="H57" t="inlineStr"/>
      <c r="I57" t="inlineStr">
        <is>
          <t>RESPONSIBILITIES:
 Kforce has a client seeking an experienced Remote Data Engineer to design, build, and maintain scalable data pipelines and cloud\-based data solutions that support enterprise analytics and decision\-making. This role will focus on integrating data from multiple sources, ensuring data quality and reliability, and modernizing legacy systems into modern cloud platforms.
 Duties:
* Data Engineer will design, develop, and maintain ETL pipelines and data integrations
* Ensure data quality, accuracy, and consistency through validation and testing
* Build and optimize data models for analytics and reporting
* Support cloud\-based data platforms (Azure, Snowflake, Databricks, etc.)
* As a Data Engineer, you will collaborate with cross\-functional teams to deliver data products
* Contribute to CI/CD processes, code reviews, and documentation
 REQUIREMENTS:
* Strong hands\-on experience with SQL, ETL development, data validation, and cloud technologies (Azure preferred)
* Comfortable collaborating with application teams, business partners, and data stakeholders in an Agile environment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8">
      <c r="A58" t="inlineStr">
        <is>
          <t>li-4352434788</t>
        </is>
      </c>
      <c r="B58" t="inlineStr">
        <is>
          <t>BI Engineer, AWS Finance, Analytics and Science Team</t>
        </is>
      </c>
      <c r="C58" t="inlineStr">
        <is>
          <t>myGwork - LGBTQ+ Business Community</t>
        </is>
      </c>
      <c r="D58" t="inlineStr">
        <is>
          <t>linkedin</t>
        </is>
      </c>
      <c r="E58" t="inlineStr"/>
      <c r="F58" t="inlineStr"/>
      <c r="G58" t="inlineStr">
        <is>
          <t>Seattle, WA</t>
        </is>
      </c>
      <c r="H58" t="inlineStr"/>
      <c r="I58" t="inlineStr">
        <is>
          <t>**This job is with Amazon, an inclusive employer and a member of myGwork – the largest global platform for the LGBTQ\+ business community. Please do not contact the recruiter directly.**
**Description**
 AWS is one of Amazon's largest and fastest growing businesses, serving millions of customers in more than 190 countries. We use cloud computing to reshape the way global enterprises use information technology. We are looking for entrepreneurial, analytical, creative, flexible leaders to help us redefine the information technology industry. If you want to join a fast\-paced, innovative team that is making history, this is the place for you.
 AWS Central Economics \&amp; Science (ACES) drives best practices for objectively applying economics and science in decision making across AWS. The team collaborates with AWS science and business teams to identify, frame, and analyze complex and ambiguous problems of the highest priority. Through data\-driven insights and analytical resources, ACES supports strategic decision\-making across the AWS global organization, including sales operations and business performance optimization.
 The successful candidate will be an expert with SQL, ETL (and general data wrangling), and have exemplary communication skills. The candidate will need to be comfortable with ambiguity in a fast\-paced and ever\-changing environment, and able to think big while paying careful attention to detail. The candidate will know and love working with business intelligence tools and can partner with customers to answer key business questions.
 Key job responsibilities
* Work with business customers to gather requirements and deliver complete data analytical solutions
* Learn why customers are asking for data and what their underlying questions and business goals are
* Own the design, development, and maintenance of ongoing metrics and analyses used to drive key business decisions
* Recognize and adopt best practices, including data integrity, accuracy, and reliability, as well as documentation
* Drive data democratization throughout the organization, enabling others to self\-serve their data needs
**Basic Qualifications**
* 3\+ years of analyzing and interpreting data with Redshift, Oracle, NoSQL etc. experience
* Experience with data visualization using Tableau, Quicksight, or similar tools
* Experience with data modeling, warehousing and building ETL pipelines
* Experience in Statistical Analysis packages such as R, SAS and Matlab
* Experience using SQL to pull data from a database or data warehouse and scripting experience (Python) to process data for modeling
* 3\+ years of business intelligence and analytics experience
**Preferred Qualifications**
* Experience with AWS solutions such as EC2, DynamoDB, S3, and Redshift
* Experience in data mining, ETL, etc. and using databases in a business environment with large\-scale, complex datasets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WA, Seattle \- 99,500\.00 \- 160,000\.00 USD annually]]\&gt;</t>
        </is>
      </c>
    </row>
    <row r="59">
      <c r="A59" t="inlineStr">
        <is>
          <t>li-4330610735</t>
        </is>
      </c>
      <c r="B59" t="inlineStr">
        <is>
          <t>Data Engineer</t>
        </is>
      </c>
      <c r="C59" t="inlineStr">
        <is>
          <t>Jobs via Dice</t>
        </is>
      </c>
      <c r="D59" t="inlineStr">
        <is>
          <t>linkedin</t>
        </is>
      </c>
      <c r="E59" t="inlineStr"/>
      <c r="F59" t="inlineStr"/>
      <c r="G59" t="inlineStr">
        <is>
          <t>Texas, United States</t>
        </is>
      </c>
      <c r="H59" t="inlineStr"/>
      <c r="I59" t="inlineStr">
        <is>
          <t>job summary:
 Advanced experience in building and maintaining automated data pipelines.
 Strong knowledge of ETL/ELT processes and orchestration tools (Airflow, Prefect, Dagster).
 location: Roanoke, Texas
 job type: Contract
 salary: $79 \- 80 per hour
 work hours: 8am to 5pm
 education: Bachelors
 responsibilities:
* Architect and Design scalable, secure, and high\-performance data pipelines for on\-prem and cloud environments.
* Develop and Enhance automated ETL/ELT workflows leveraging modern frameworks and best practices.
* Modernize Legacy Systems by migrating data pipelines to cloud\-native solutions.
* Implement CI/CD Pipelines for data workflows, ensuring robust version control and automated deployments.
* Apply DevOps Practices to improve reliability, observability, and maintainability of data infrastructure.
* Troubleshoot and Resolve Issues in data pipelines, identifying root causes and implementing permanent fixes.
* Analyze Business Processes to identify inefficiencies and opportunities for automation and improvement.
* Translate Business Insights into Technical Solutions by creating actionable technical plans aligned with business objectives.
* Communicate Effectively with both technical teams and business stakeholders to ensure clarity and alignment.
* Execute Implementation Plans with urgency, high quality, and accountability for outcomes.
* Leverage All Available Resources proactively to deliver projects on time and within scope.
* Optimize Performance of large\-scale data processing systems and troubleshoot pipeline failures.
* Ensure Data Quality and Governance through validation frameworks, lineage tracking, and compliance with security standards.
* Collaborate with Cross\-Functional Teams including data scientists, analysts, and business stakeholders to deliver data solutions.
* Mentor and Guide junior engineers, promoting best practices and technical excellence.
* Drive Innovation by evaluating emerging technologies and recommending improvements to data architecture.
 qualifications:
 Data Engineering Expertise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0">
      <c r="A60" t="inlineStr">
        <is>
          <t>li-4330627194</t>
        </is>
      </c>
      <c r="B60" t="inlineStr">
        <is>
          <t>Data Engineer</t>
        </is>
      </c>
      <c r="C60" t="inlineStr">
        <is>
          <t>Jobs via Dice</t>
        </is>
      </c>
      <c r="D60" t="inlineStr">
        <is>
          <t>linkedin</t>
        </is>
      </c>
      <c r="E60" t="inlineStr"/>
      <c r="F60" t="inlineStr"/>
      <c r="G60" t="inlineStr">
        <is>
          <t>Cincinnati, OH</t>
        </is>
      </c>
      <c r="H60" t="inlineStr"/>
      <c r="I60" t="inlineStr">
        <is>
          <t>**Description:**
**100% On Site in Cincinnati, Ohio**
 We are looking for an enthusiastic Data Engineer who demonstrates great communication skills, curiosity, and a desire to learn a new business and its supporting technical processes. This is an exciting role to support modern Data solutions.
*Due to client requirement, applicants must be willing and able to work on a w2 basis. For our w2 consultants, we offer a great benefits package that includes Medical, Dental, and Vision benefits, 401k with company matching, and life insurance. W2 Rate $30\-$39/hr*
**Responsibilities:**
* Handle the design and construction of scalable management systems, ensure that all data systems meet company requirements, and also research new uses for data acquisition.
* Required to know and understand the ins and outs of the industry such as data mining practices, algorithms, and how data can be used.
* Design, construct, install, test and maintain data management systems.
* Build high\-performance algorithms, predictive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**Experience Requirements:**
 Must\-have technical skill sets, in priority order:
* Snowflake \- Modern data warehousing
* dbt \- SQL\-based transformations, testing, and documentation.
* DataStage \- Legacy ETL support during migration.
* SQL \- Advanced queries and optimization.
* ETL/ELT Development \- Pipeline design and orchestration.
* CI/CD \- Git\-based deployment and automation
 Nice\-to\-have technical skill set:
* AWS / Azure / Google Cloud Platform \- Cloud storage, compute, and IAM fundamentals.
* Python \&amp; Shell scripting \- Automation and data processing.
* Data Modeling \- Normalized and dimensional models.
* Data Validation Frameworks \- e.g., dbt tests or Great Expectations.
* Metadata Management \- Cataloging and lineage tracking.
* REST / SOAP APIs \- Integration with external systems
 Candidate must demonstrate great communication skills, curiosity, and a desire to learn a new business and its supporting technical processes. Three or more years of applied technical experience desired.
**Education Requirements:**
 Qualifications: Technical Degree or related work experience.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61">
      <c r="A61" t="inlineStr">
        <is>
          <t>li-4330721239</t>
        </is>
      </c>
      <c r="B61" t="inlineStr">
        <is>
          <t>Data Engineer</t>
        </is>
      </c>
      <c r="C61" t="inlineStr">
        <is>
          <t>Jobs via Dice</t>
        </is>
      </c>
      <c r="D61" t="inlineStr">
        <is>
          <t>linkedin</t>
        </is>
      </c>
      <c r="E61" t="inlineStr"/>
      <c r="F61" t="inlineStr"/>
      <c r="G61" t="inlineStr">
        <is>
          <t>Lockbourne, OH</t>
        </is>
      </c>
      <c r="H61" t="inlineStr"/>
      <c r="I61" t="inlineStr">
        <is>
          <t>**Description**
 We are looking for a skilled and innovative Data Engineer to join our team in Grove City, Ohio. In this role, you will be responsible for designing and implementing advanced data pipelines, ensuring the seamless integration and accessibility of data across various systems. As a key player in our analytics and data infrastructure efforts, you will contribute to building a robust and scalable data ecosystem to support AI and machine learning initiatives.
 Responsibilities:
 Design and develop scalable data pipelines to ingest, process, and transform data from multiple sources.
 Optimize data models to support analytics, forecasting, and AI/ML applications.
 Collaborate with internal teams and external partners to enhance data engineering capabilities.
 Implement and enforce data governance, security, and quality standards across hybrid cloud environments.
 Work closely with analytics and data science teams to ensure seamless data accessibility and integration.
 Develop and maintain data products and services to enable actionable insights.
 Troubleshoot and improve the performance of data workflows and storage systems.
 Align data systems across departments to create a unified and reliable data infrastructure.
 Support innovation by leveraging big data tools and frameworks such as Databricks and Spark.
**Requirements**
 Demonstrated experience in designing and developing data pipelines and performing ETL processes.
 Proficiency in programming languages such as Python and big data tools like Apache Spark.
 Hands\-on experience with cloud platforms, preferably Azure, including Azure Data Factory.
 Strong understanding of data modeling, warehousing principles, and performance optimization.
 Familiarity with relational and non\-relational databases, including legacy systems.
 Knowledge of big data frameworks such as Hadoop and Kafka is highly desirable.
 Ability to work collaboratively with cross\-functional teams and guide best practices.
 Self\-motivated and capable of thriving in a fast\-paced environment focused on building new systems.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62">
      <c r="A62" t="inlineStr">
        <is>
          <t>li-4360613256</t>
        </is>
      </c>
      <c r="B62" t="inlineStr">
        <is>
          <t>Senior Data Engineer</t>
        </is>
      </c>
      <c r="C62" t="inlineStr">
        <is>
          <t>Capital One</t>
        </is>
      </c>
      <c r="D62" t="inlineStr">
        <is>
          <t>linkedin</t>
        </is>
      </c>
      <c r="E62" t="inlineStr"/>
      <c r="F62" t="inlineStr"/>
      <c r="G62" t="inlineStr">
        <is>
          <t>Richmond, VA</t>
        </is>
      </c>
      <c r="H62" t="inlineStr"/>
      <c r="I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SQL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data pipeline development including Python, SQL
* 2\+ years of experience with a public cloud (AWS, Microsoft Azure, Google Cloud)
* 3\+ years of experience utilizing a business intelligence visualization tool
* 3\+ years experience with Distributed data/computing tools (MapReduce, Hadoop, Hive, EMR, Kafka, Spark, Gurobi, or MySQL)
* 2\+ years experience working on real\-time data and streaming applications
* 2\+ years of data warehousing experience (Redshift or Snowflake)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li-4360641869</t>
        </is>
      </c>
      <c r="B63" t="inlineStr">
        <is>
          <t>Senior Data Engineer</t>
        </is>
      </c>
      <c r="C63" t="inlineStr">
        <is>
          <t>Capital One</t>
        </is>
      </c>
      <c r="D63" t="inlineStr">
        <is>
          <t>linkedin</t>
        </is>
      </c>
      <c r="E63" t="inlineStr"/>
      <c r="F63" t="inlineStr"/>
      <c r="G63" t="inlineStr">
        <is>
          <t>Richmond, VA</t>
        </is>
      </c>
      <c r="H63" t="inlineStr"/>
      <c r="I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This team focuses on enhancing the developer experience and optimizing our credit card technology organization for efficiency. You will build robust data pipelines and data products that provide data insights, key performance metrics, and allow engineers to dedicate more time to creative development. This horizontal team offers unique exposure to various divisions of the organization, creating an environment where learning is truly a never\-ending process. Some of the technologies we currently leverage include Python, Spark, AWS, GoLang, GraphQL, and SQL.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4">
      <c r="A64" t="inlineStr">
        <is>
          <t>li-4359933521</t>
        </is>
      </c>
      <c r="B64" t="inlineStr">
        <is>
          <t>Senior Data Engineer (Python, Spark, Databricks, AWS)</t>
        </is>
      </c>
      <c r="C64" t="inlineStr">
        <is>
          <t>Capital One</t>
        </is>
      </c>
      <c r="D64" t="inlineStr">
        <is>
          <t>linkedin</t>
        </is>
      </c>
      <c r="E64" t="inlineStr"/>
      <c r="F64" t="inlineStr"/>
      <c r="G64" t="inlineStr">
        <is>
          <t>McLean, VA</t>
        </is>
      </c>
      <c r="H64" t="inlineStr"/>
      <c r="I6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 1\+ years of experience with DataBricks
* 1\+ years of experience in Lakehouse, Iceberg or Delta lake.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5">
      <c r="A65" t="inlineStr">
        <is>
          <t>li-4359775312</t>
        </is>
      </c>
      <c r="B65" t="inlineStr">
        <is>
          <t>Senior Data Engineer (PySpark/Spark, AWS, Databricks, EMR, ETL/SQL)</t>
        </is>
      </c>
      <c r="C65" t="inlineStr">
        <is>
          <t>Capital One</t>
        </is>
      </c>
      <c r="D65" t="inlineStr">
        <is>
          <t>linkedin</t>
        </is>
      </c>
      <c r="E65" t="inlineStr"/>
      <c r="F65" t="inlineStr"/>
      <c r="G65" t="inlineStr">
        <is>
          <t>McLean, VA</t>
        </is>
      </c>
      <c r="H65" t="inlineStr"/>
      <c r="I6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Relational DBs (MySQL, Postges, SQL Server)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li-4359963369</t>
        </is>
      </c>
      <c r="B66" t="inlineStr">
        <is>
          <t>Senior Data Engineer (Python, Spark, AWS)</t>
        </is>
      </c>
      <c r="C66" t="inlineStr">
        <is>
          <t>Capital One</t>
        </is>
      </c>
      <c r="D66" t="inlineStr">
        <is>
          <t>linkedin</t>
        </is>
      </c>
      <c r="E66" t="inlineStr"/>
      <c r="F66" t="inlineStr"/>
      <c r="G66" t="inlineStr">
        <is>
          <t>McLean, VA</t>
        </is>
      </c>
      <c r="H66" t="inlineStr"/>
      <c r="I6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As a Senior Data Engineer, you will build robust data pipelines to process data from internal and external sources. This team plays a critical role in Capital One's credit line increase program. Our Data Engineers leverage technologies like Snowflake, Databricks, and AWS Glue to build world class data pipelines and datasets that power credit modeling, credit decisioning, and drive growth across Capital One credit card business.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7">
      <c r="A67" t="inlineStr">
        <is>
          <t>li-4359933549</t>
        </is>
      </c>
      <c r="B67" t="inlineStr">
        <is>
          <t>Senior Data Engineer (Python, Spark, AWS)</t>
        </is>
      </c>
      <c r="C67" t="inlineStr">
        <is>
          <t>Capital One</t>
        </is>
      </c>
      <c r="D67" t="inlineStr">
        <is>
          <t>linkedin</t>
        </is>
      </c>
      <c r="E67" t="inlineStr"/>
      <c r="F67" t="inlineStr"/>
      <c r="G67" t="inlineStr">
        <is>
          <t>Richmond, VA</t>
        </is>
      </c>
      <c r="H67" t="inlineStr"/>
      <c r="I6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8">
      <c r="A68" t="inlineStr">
        <is>
          <t>li-4330781182</t>
        </is>
      </c>
      <c r="B68" t="inlineStr">
        <is>
          <t>Sr. Data Platform Engineer</t>
        </is>
      </c>
      <c r="C68" t="inlineStr">
        <is>
          <t>Jobs via Dice</t>
        </is>
      </c>
      <c r="D68" t="inlineStr">
        <is>
          <t>linkedin</t>
        </is>
      </c>
      <c r="E68" t="inlineStr"/>
      <c r="F68" t="inlineStr"/>
      <c r="G68" t="inlineStr">
        <is>
          <t>Elk Grove, CA</t>
        </is>
      </c>
      <c r="H68" t="inlineStr"/>
      <c r="I68" t="inlineStr">
        <is>
          <t>**Location:** 
 Elk Grove, CA
**Salary:** 
 $160,000\.00 USD Annually \- $170,000\.00 USD Annually
**Description:**
**Hybrid role 3X a week in office in Elk Grove, CA; no remote capabilities**
**This is a direct hire opportunity.**
 Summary:
 We're seeking a seasoned Senior Data Platform Engineer to design, build, and optimize scalable data solutions that power analytics, reporting, and AI/ML initiatives. This full\-time role is hands\-on, working with architects, analysts, and business stakeholders to ensure data systems are reliable, secure, and high\-performing.
 Responsibilites:
* Build and maintain robust data pipelines (structured, semi\-structured, unstructured).
* Implement ETL workflows with Spark, Delta Lake, and cloud\-native tools.
* Support big data platforms (Databricks, Snowflake, Google Cloud Platform) in production.
* Troubleshoot and optimize SQL queries, Spark jobs, and workloads.
* Ensure governance, security, and compliance across data systems.
* Integrate workflows into CI/CD pipelines with Git, Jenkins, Terraform.
* Collaborate cross\-functionally to translate business needs into technical solutions.
 Qualifications:
* 7\+ years in data engineering with production pipeline experience.
* Expertise in Spark ecosystem, Databricks, Snowflake, Google Cloud Platform.
* Strong skills in PySpark, Python, SQL.
* Experience with RAG systems, semantic search, and LLM integration.
* Familiarity with Kafka, Pub/Sub, vector databases.
* Proven ability to optimize ETL jobs and troubleshoot production issues.
* Agile team experience and excellent communication skills.
* Certifications in Databricks, Snowflake, Google Cloud Platform, or Azure.
* Exposure to Airflow, BI tools (Power BI, Looker Studio).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69">
      <c r="A69" t="inlineStr">
        <is>
          <t>li-4330708077</t>
        </is>
      </c>
      <c r="B69" t="inlineStr">
        <is>
          <t>Data Engineer/Developer</t>
        </is>
      </c>
      <c r="C69" t="inlineStr">
        <is>
          <t>Jobs via Dice</t>
        </is>
      </c>
      <c r="D69" t="inlineStr">
        <is>
          <t>linkedin</t>
        </is>
      </c>
      <c r="E69" t="inlineStr"/>
      <c r="F69" t="inlineStr"/>
      <c r="G69" t="inlineStr">
        <is>
          <t>Frederick, MD</t>
        </is>
      </c>
      <c r="H69" t="inlineStr"/>
      <c r="I69" t="inlineStr">
        <is>
          <t>**If interested reach out directly to or call/text
 Responsibilities:**
* Support full SDLC services for LogiCole defined priorities.
* Communicate well on all levels to various government and contractor support personnel including Developers, Business Analysts, Testers, Engineers, Operations Administrators, and Leadership.
* Plan, develop and implement improvements, new features and changes to existing SQL and NoSQL databases.
* Be able to operate independently as well as seamlessly with the team to
* complete the mission.
* Work with external partners to gather requirements.
**Required Qualifications:**
* A bachelor's degree in computer science, information systems, cybersecurity, data science, or information technology and 4 years of experience in information technology systems development.
* Proficiency developing, documenting, and modeling SQL (e.g., PostgreSQL) and NoSQL databases (e.g., MongoDB).
* Strong oral and written communication skills.
* Experience in SQL that includes modifying database data/objects, analyzing relationships and data reconciliation in a SQL database.
* Experience in JavaScript that includes modifying database data/objects, analyzing relationships, validating data types and data reconciliation in a NoSQL database.
* Experience developing python scripts used to access, query, and modify data in SQL (e.g., PostgreSQL) and NoSQL databases (e.g., MongoDB).
* Experience using ETL/streaming framework tools (e.g., Apache NiFi) and principals (e.g., full and CDC data load techniques).
* Experience using DEVOps tools and principals.
* Experience applying Agile design methodology and tools (e.g., Jira).
* Experience or knowledge of SAFe.
**Desired Qualifications:**
* Currently holds a Common Access Card/T3 investigation
* Experience with Defense Medical Logistics \- Enterprise Support applications and support of DoD medical treatment facilities.
* Experience with Apache Nifi.
* Experience with pgSQL, plSQL or other SQL procedural language.
* Any one of the following certifications: Cloud\+, SSCP, Security\+, GSEC, SecurityX/CASP\+, CISA, CISSP, CISSP\-ISSAP or CISSP\-ISSEP.
 \#DI\-KS1
 \#M2
 Ref: \#850\-Rockville</t>
        </is>
      </c>
    </row>
    <row r="70">
      <c r="A70" t="inlineStr">
        <is>
          <t>li-4360613263</t>
        </is>
      </c>
      <c r="B70" t="inlineStr">
        <is>
          <t>Senior Data Engineer (Bank Tech)</t>
        </is>
      </c>
      <c r="C70" t="inlineStr">
        <is>
          <t>Capital One</t>
        </is>
      </c>
      <c r="D70" t="inlineStr">
        <is>
          <t>linkedin</t>
        </is>
      </c>
      <c r="E70" t="inlineStr"/>
      <c r="F70" t="inlineStr"/>
      <c r="G70" t="inlineStr">
        <is>
          <t>McLean, VA</t>
        </is>
      </c>
      <c r="H70" t="inlineStr"/>
      <c r="I7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li-4359757428</t>
        </is>
      </c>
      <c r="B71" t="inlineStr">
        <is>
          <t>Distinguished Data Engineer - Card Data</t>
        </is>
      </c>
      <c r="C71" t="inlineStr">
        <is>
          <t>Capital One</t>
        </is>
      </c>
      <c r="D71" t="inlineStr">
        <is>
          <t>linkedin</t>
        </is>
      </c>
      <c r="E71" t="inlineStr"/>
      <c r="F71" t="inlineStr"/>
      <c r="G71" t="inlineStr">
        <is>
          <t>Chicago, IL</t>
        </is>
      </c>
      <c r="H71" t="inlineStr"/>
      <c r="I71"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Distinguished Data Engineer
 McLean, VA: $269,100 \- $307,200 for Distinguished Data Engineer
 New York, NY: $293,600 \- $335,100 for Distinguished Data Engineer
 Richmond, VA: $244,700 \- $279,200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li-4359913636</t>
        </is>
      </c>
      <c r="B72" t="inlineStr">
        <is>
          <t>Senior Data Engineer (Enterprise Platforms Technology)</t>
        </is>
      </c>
      <c r="C72" t="inlineStr">
        <is>
          <t>Capital One</t>
        </is>
      </c>
      <c r="D72" t="inlineStr">
        <is>
          <t>linkedin</t>
        </is>
      </c>
      <c r="E72" t="inlineStr"/>
      <c r="F72" t="inlineStr"/>
      <c r="G72" t="inlineStr">
        <is>
          <t>McLean, VA</t>
        </is>
      </c>
      <c r="H72" t="inlineStr"/>
      <c r="I7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li-4359793603</t>
        </is>
      </c>
      <c r="B73" t="inlineStr">
        <is>
          <t>Senior Data Engineer (Cloud Operations Resilience Engineering)</t>
        </is>
      </c>
      <c r="C73" t="inlineStr">
        <is>
          <t>Capital One</t>
        </is>
      </c>
      <c r="D73" t="inlineStr">
        <is>
          <t>linkedin</t>
        </is>
      </c>
      <c r="E73" t="inlineStr"/>
      <c r="F73" t="inlineStr"/>
      <c r="G73" t="inlineStr">
        <is>
          <t>McLean, VA</t>
        </is>
      </c>
      <c r="H73" t="inlineStr"/>
      <c r="I7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4">
      <c r="A74" t="inlineStr">
        <is>
          <t>li-4359913621</t>
        </is>
      </c>
      <c r="B74" t="inlineStr">
        <is>
          <t>Senior Data Engineer (Bank Tech)</t>
        </is>
      </c>
      <c r="C74" t="inlineStr">
        <is>
          <t>Capital One</t>
        </is>
      </c>
      <c r="D74" t="inlineStr">
        <is>
          <t>linkedin</t>
        </is>
      </c>
      <c r="E74" t="inlineStr"/>
      <c r="F74" t="inlineStr"/>
      <c r="G74" t="inlineStr">
        <is>
          <t>McLean, VA</t>
        </is>
      </c>
      <c r="H74" t="inlineStr"/>
      <c r="I7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li-4360623168</t>
        </is>
      </c>
      <c r="B75" t="inlineStr">
        <is>
          <t>Senior Data Engineer (Cloud Operations Resilience Engineering)</t>
        </is>
      </c>
      <c r="C75" t="inlineStr">
        <is>
          <t>Capital One</t>
        </is>
      </c>
      <c r="D75" t="inlineStr">
        <is>
          <t>linkedin</t>
        </is>
      </c>
      <c r="E75" t="inlineStr"/>
      <c r="F75" t="inlineStr"/>
      <c r="G75" t="inlineStr">
        <is>
          <t>Richmond, VA</t>
        </is>
      </c>
      <c r="H75" t="inlineStr"/>
      <c r="I7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6">
      <c r="A76" t="inlineStr">
        <is>
          <t>li-4359757438</t>
        </is>
      </c>
      <c r="B76" t="inlineStr">
        <is>
          <t>Senior Lead Data Engineer</t>
        </is>
      </c>
      <c r="C76" t="inlineStr">
        <is>
          <t>Capital One</t>
        </is>
      </c>
      <c r="D76" t="inlineStr">
        <is>
          <t>linkedin</t>
        </is>
      </c>
      <c r="E76" t="inlineStr"/>
      <c r="F76" t="inlineStr"/>
      <c r="G76" t="inlineStr">
        <is>
          <t>Richmond, VA</t>
        </is>
      </c>
      <c r="H76" t="inlineStr"/>
      <c r="I7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li-4359783905</t>
        </is>
      </c>
      <c r="B77" t="inlineStr">
        <is>
          <t>Senior Data Engineer (Cloud Operations Resilience Engineering)</t>
        </is>
      </c>
      <c r="C77" t="inlineStr">
        <is>
          <t>Capital One</t>
        </is>
      </c>
      <c r="D77" t="inlineStr">
        <is>
          <t>linkedin</t>
        </is>
      </c>
      <c r="E77" t="inlineStr"/>
      <c r="F77" t="inlineStr"/>
      <c r="G77" t="inlineStr">
        <is>
          <t>Richmond, VA</t>
        </is>
      </c>
      <c r="H77" t="inlineStr"/>
      <c r="I7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li-4351832380</t>
        </is>
      </c>
      <c r="B78" t="inlineStr">
        <is>
          <t>Lead Data Engineer</t>
        </is>
      </c>
      <c r="C78" t="inlineStr">
        <is>
          <t>Jobs via Dice</t>
        </is>
      </c>
      <c r="D78" t="inlineStr">
        <is>
          <t>linkedin</t>
        </is>
      </c>
      <c r="E78" t="inlineStr"/>
      <c r="F78" t="inlineStr"/>
      <c r="G78" t="inlineStr">
        <is>
          <t>San Jose, CA</t>
        </is>
      </c>
      <c r="H78" t="inlineStr"/>
      <c r="I7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Marketing Operations and Engineering team in Growth Marketing and Insights (GMI) handles data architecture, transformation, and engineering for the Growth Marketing and Insights (GMI) under Marketing Org. We manage backend data for marketing measurement tools and processes such as attribution, product and customer segmentation, and lifetime value.
 We want an Engineering Lead to manage the data enabling the team's work. You will partner with business analysts and data scientists to outline requirements for new/existing models. You will develop data pipelines, refine ETL processes, ensure data quality, and seek ways to increase efficiency and automation in everyday work. You will take ownership of the data platform behind Adobe's marketing models and other marketing measurement and reporting tools used at all company levels.
**What you'll do:**
 We are seeking a proven contributor who will provide support in data engineering, building data assets, and software applications. This individual should be able to provide technical direction and system architecture advice for individual initiatives.
* You will collaborate with key partners and apply your technical proficiency across different stages of the Software Development Process including Requirements Elicitation, Application Architecture definition, and Build.
* You will play a meaningful role in building high\-level design artifacts.
* You will also deliver high\-quality code work for a module, lead validation for all types of testing, and support activities related to implementation and transition.
* Take charge of reorganizing the database to more effectively serve data scientists and business analysts throughout the marketing organization.
* Scope requirements, connect data sources and build ETL processes to support new products and routes to market as the team expands campaign measurement products/models for Adobe's B2C and B2B business units.
* Partner with Marketing, Finance, and Sales teams to maintain data integrity and perform root cause analysis when discrepancies arise in the data.
**What you'll need to succeed:**
* BS/MS in Computer Science or equivalent experience with 8\+ years of data engineering experience.
* Proven expertise in SQL, Python, Spark, and data pipeline orchestration tools (e.g., Airflow, dbt).
* Experience with CursorAI or similar platforms for intelligent data workflows and automation.
* Hands\-on experience with cloud platforms (AWS, Azure, Google Cloud Platform) and cloud\-based analytics environments such as Databricks.
* Experience collaborating with Data Scientists and BI Engineers to provide actionable insights.
* Excellent communication skills and ability to explain technical concepts to non\-technical collaborators.
* Experience and passion for data\-driven development.
* Excellent written and verbal communication skills.
* Background in supporting agile marketing or growth teams is a plus.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79">
      <c r="A79" t="inlineStr">
        <is>
          <t>li-4359933523</t>
        </is>
      </c>
      <c r="B79" t="inlineStr">
        <is>
          <t>Lead Data Engineer (Bank Tech)</t>
        </is>
      </c>
      <c r="C79" t="inlineStr">
        <is>
          <t>Capital One</t>
        </is>
      </c>
      <c r="D79" t="inlineStr">
        <is>
          <t>linkedin</t>
        </is>
      </c>
      <c r="E79" t="inlineStr"/>
      <c r="F79" t="inlineStr"/>
      <c r="G79" t="inlineStr">
        <is>
          <t>McLean, VA</t>
        </is>
      </c>
      <c r="H79" t="inlineStr"/>
      <c r="I7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Wilmington, DE: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li-4330776447</t>
        </is>
      </c>
      <c r="B80" t="inlineStr">
        <is>
          <t>Senior Software AI Data Engineer</t>
        </is>
      </c>
      <c r="C80" t="inlineStr">
        <is>
          <t>Jobs via Dice</t>
        </is>
      </c>
      <c r="D80" t="inlineStr">
        <is>
          <t>linkedin</t>
        </is>
      </c>
      <c r="E80" t="inlineStr"/>
      <c r="F80" t="inlineStr"/>
      <c r="G80" t="inlineStr">
        <is>
          <t>Pleasanton, CA</t>
        </is>
      </c>
      <c r="H80" t="inlineStr"/>
      <c r="I80" t="inlineStr">
        <is>
          <t>****Job Description****
 This position is onsite in Pleasanton, CA \- Remote is not an option. Visa sponsorship is not available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Oracle Fusion Data Intelligence platform (FDI) is the next generation of Oracle Fusion Analytics Warehouse 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;id\=FAWAG\-GUID\-18E9C0C0\-EC07\-4E7D\-95EE\-EAD8D0CA2771
 As part of Data Pipeline AI Engineering team, you will design, model data solutions and build AI agents to support analytics, machine learning and task automation. The role is a full stack engineer role focused on various technologies related to Data Engineering and Web applications.
****Qualifications****
* 6\+ years of hands\-on Software Design, Development of highly scalable data applications
* Proficient in AI Technologies \- LLM, NLP, Prompts, RAG, Embeddings, Graph Store, Vector Store, Cluster Store, MCP, LangChain, LangGraph
* Proficient in Data Engineering technologies like Spark, Airflow, dbt, ETL pipelines
* Proficient in technologies Java, Spring Boot, Python, JPA, Database, SQL \&amp; RDBMS Design
* Web UI technologies like Oracle JET, JavaScript, TypeScript, CSS, HTML5
* Deep knowledge of all aspects of Cloud native distributed system development such as Oracle Cloud Infrastructure (OCI), AWS, Google Cloud
* Expert in tools like Jenkins, TeamCity, Docker, and Kubernetes
* Working knowledge of Data Warehouse, Data Lakes and Data Modeling techniques
* Bachelors degree in Computer Science, Computer Engineering or equivalent, Masters is preferred
****Responsibilities****
 Developing AI Application: Design, Build different AI Agents, Chatbots, Workflows to support various data pipeline configurations.
 Developing Data Solutions: Implement and enhance data\-driven solutions to integrate massive amounts of data in real\-time/batch mode from various data producing systems using state\-of\-the\-art tools such as OCI Data Flow, OCI Data Integration, Spark and Kafka. Embrace modern data architecture philosophies including data products, data contracts, and data mesh to ensure a decentralized approach to data management. Expert in Advanced SQL and PL/SQL for data analysis and testing data gaps \&amp; data quality
 Data Pipeline Development: Develop and optimize high\-performance, batch and real\-time data pipelines employing advanced streaming technologies like Kafka, NoSQL and Oracle ETL Tools to address challenges associated with large\-scale data processing and analysis.
 Cloud Data Management: Implement and oversee cloud\-specific data services including Autonomous Data Warehouse, OCI Object Storage with Parquet and Delta\-Tables and OCI Streams. Leverage cloud architectures to improve data sharing and interoperability across different business pillars
 Security and Compliance: Ensure all data practices comply with security policies and regulations, embedding security by design in the data infrastructure.
 Incorporate tools and methodologies recommended for data security and compliance, ensuring robust protection and governance of data assets. Ensure data governance, security, and compliance: lineage, cataloguing, DQ checks, PII protection, and privacy\-by\-design
 Collaboration: Work with onsite and offshore development and QA teams, cross functional teams to define interfaces, build integrations, implement highly scalable, high quality features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li-4351852507</t>
        </is>
      </c>
      <c r="B81" t="inlineStr">
        <is>
          <t>Solutions Architect - (Data Engineering)</t>
        </is>
      </c>
      <c r="C81" t="inlineStr">
        <is>
          <t>Jobs via Dice</t>
        </is>
      </c>
      <c r="D81" t="inlineStr">
        <is>
          <t>linkedin</t>
        </is>
      </c>
      <c r="E81" t="inlineStr"/>
      <c r="F81" t="inlineStr"/>
      <c r="G81" t="inlineStr">
        <is>
          <t>New York, NY</t>
        </is>
      </c>
      <c r="H81" t="inlineStr"/>
      <c r="I81"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2">
      <c r="A82" t="inlineStr">
        <is>
          <t>li-4332532465</t>
        </is>
      </c>
      <c r="B82" t="inlineStr">
        <is>
          <t>Solutions Architect - (Data Engineering)</t>
        </is>
      </c>
      <c r="C82" t="inlineStr">
        <is>
          <t>Jobs via Dice</t>
        </is>
      </c>
      <c r="D82" t="inlineStr">
        <is>
          <t>linkedin</t>
        </is>
      </c>
      <c r="E82" t="inlineStr"/>
      <c r="F82" t="inlineStr"/>
      <c r="G82" t="inlineStr">
        <is>
          <t>Dallas, TX</t>
        </is>
      </c>
      <c r="H82" t="inlineStr"/>
      <c r="I82"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3">
      <c r="A83" t="inlineStr">
        <is>
          <t>li-4345362398</t>
        </is>
      </c>
      <c r="B83" t="inlineStr">
        <is>
          <t>Solutions Architect - (Data Engineering)</t>
        </is>
      </c>
      <c r="C83" t="inlineStr">
        <is>
          <t>Jobs via Dice</t>
        </is>
      </c>
      <c r="D83" t="inlineStr">
        <is>
          <t>linkedin</t>
        </is>
      </c>
      <c r="E83" t="inlineStr"/>
      <c r="F83" t="inlineStr"/>
      <c r="G83" t="inlineStr">
        <is>
          <t>Chicago, IL</t>
        </is>
      </c>
      <c r="H83" t="inlineStr"/>
      <c r="I83"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4">
      <c r="A84" t="inlineStr">
        <is>
          <t>li-4345322488</t>
        </is>
      </c>
      <c r="B84" t="inlineStr">
        <is>
          <t>Solutions Architect - (Data Engineering)</t>
        </is>
      </c>
      <c r="C84" t="inlineStr">
        <is>
          <t>Jobs via Dice</t>
        </is>
      </c>
      <c r="D84" t="inlineStr">
        <is>
          <t>linkedin</t>
        </is>
      </c>
      <c r="E84" t="inlineStr"/>
      <c r="F84" t="inlineStr"/>
      <c r="G84" t="inlineStr">
        <is>
          <t>Atlanta, GA</t>
        </is>
      </c>
      <c r="H84" t="inlineStr"/>
      <c r="I84"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5">
      <c r="A85" t="inlineStr">
        <is>
          <t>li-4332532463</t>
        </is>
      </c>
      <c r="B85" t="inlineStr">
        <is>
          <t>Solutions Architect - (Data Engineering)</t>
        </is>
      </c>
      <c r="C85" t="inlineStr">
        <is>
          <t>Jobs via Dice</t>
        </is>
      </c>
      <c r="D85" t="inlineStr">
        <is>
          <t>linkedin</t>
        </is>
      </c>
      <c r="E85" t="inlineStr"/>
      <c r="F85" t="inlineStr"/>
      <c r="G85" t="inlineStr">
        <is>
          <t>Salt Lake City, UT</t>
        </is>
      </c>
      <c r="H85" t="inlineStr"/>
      <c r="I85"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6">
      <c r="A86" t="inlineStr">
        <is>
          <t>li-4330855871</t>
        </is>
      </c>
      <c r="B86" t="inlineStr">
        <is>
          <t>Software Developer (Data Engineer)</t>
        </is>
      </c>
      <c r="C86" t="inlineStr">
        <is>
          <t>Jobs via Dice</t>
        </is>
      </c>
      <c r="D86" t="inlineStr">
        <is>
          <t>linkedin</t>
        </is>
      </c>
      <c r="E86" t="inlineStr"/>
      <c r="F86" t="inlineStr"/>
      <c r="G86" t="inlineStr">
        <is>
          <t>Washington, DC</t>
        </is>
      </c>
      <c r="H86" t="inlineStr"/>
      <c r="I86" t="inlineStr">
        <is>
          <t>**Department Marketing Statement:**
**Join WMATAs Enterprise Applications Team and Drive Innovation!**
 WMATA is looking for an
 **experienced Data Engineer** 
 to help drive our next wave of digital transformation. In this role, youll harness the power of
 **Oracle Cloud Infrastructure (OCI)** 
 and
 **Microsoft Azure** 
 , working with advanced technologies like
 **Lakehouse architecture,** 
**Data Integration's** 
 and
 **Autonomous Data Warehouse** 
 .
 Your mission: build scalable, high\-performance data pipelines that enable enterprise analytics and unlock actionable insights across the organization.
**Minimum Qualifications**
****Minimum** 
**Education****
* Graduation from an accredited college or university with a Bachelor's Degree in Mathematics, Computer Science, Engineering or related field.
* In lieu of degree, a high school diploma or GED and additional four (4\) years of experience in progressively responsible and diversified information systems, communication systems management and technical experience in a large organization.
**Minimum Experience**
* Five (5\) yearsof experience in progressively responsible and diversified information systems, communication systems management and technical experience in a large organization.
****Minimum** 
**Certification/Licensure****
* N/A
**Preferred Qualifications**
* Experience in design, development and maintenance of operational applications preferably includingresponsibilities as seniortechnical staff and project managerand as senior 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 area task leader and may serveas project leaderon complex systemsor technical task 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 technical leadership and/or specialized technical assistance in problem\-solving and application systems development.
* Provides expert assistance in assigned criticalsystems areas withinthe department.
* Develops, enhances and maintains applications and integrations withinDigital Modernization's portfolio
* Prepares concise reportssuitable for all levels of management regarding projects and technical issues within assigned areas of responsibility.
* Performs assignments using a full complement of software engineering skills such as requirements specification, system design,software development, qualityassurance, documentation, and testing.
* Functions as project engineer for system configuration management plan, with assigned responsibilityand is designated as the prime pointof contact. Responsible for the maintenance and execution of project configuration version control when making changes to existing application software or designing new software.
* Is responsible for being on call during"off" hours and must respondto emergency outageseither via telephone, email, or in person and assists on\-site staff until normal operations are resumed.
* Provides technical leadership and/or specialized technicalassistance in problemsolving and application systems development.
* Is responsible for a high level of operational performance and software reliability within major application systems throughout Digital Modernization.
* Develops, reviews and updates varioussystems or softwareas required, in compliance with WMATA Standards and Criteria and Standard Specifications with industry standards, best industry practices, and current or future WMATA practices.
* Develops and reviewsother department technical specifications and task orders for procurement of hardware, software, test equipment and services.
* Performs failure analysisand prepares reportsincluding root causeand recommended corrective action for stakeholders and management. Evaluates and provide guidanceon system changesto determine feasibility, alternative solutions, and back out procedures.
* Works closely with end usersto understand theirinformation requirements and to directresolution of their problems.
* Maintains up\-to date supportrequests and projectwork plans. Preparesstatus reports to compare progress with work plans.
* Advises supervisory staff concerning system modifications and applications system deficiencies, end user requirements, and computer hardware,and recommends softwaresupport, work method and practice improvements.
* Works variable hours to avoid adverse impact on operations and availability.
**Other Duties**
* Maintains and promotesawareness and accountability with safety policiesand procedures while performing job functions. Promotes a positive safety culture and encourages reporting of safety consistent with our Agency SafetyPlan, other regulatory requirements within the 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87">
      <c r="A87" t="inlineStr">
        <is>
          <t>li-4360633430</t>
        </is>
      </c>
      <c r="B87" t="inlineStr">
        <is>
          <t>Data Engineer</t>
        </is>
      </c>
      <c r="C87" t="inlineStr">
        <is>
          <t>Fluency</t>
        </is>
      </c>
      <c r="D87" t="inlineStr">
        <is>
          <t>linkedin</t>
        </is>
      </c>
      <c r="E87">
        <f>HYPERLINK("https://www.linkedin.com/jobs/view/4360633430", "https://www.linkedin.com/jobs/view/4360633430")</f>
        <v/>
      </c>
      <c r="F87">
        <f>HYPERLINK("https://jobs.ashbyhq.com/fluency/64bacd77-0e3d-4b6c-b722-dcd33778a56d/application?utm_source=yNwbAlQALg&amp;urlHash=fePW", "https://jobs.ashbyhq.com/fluency/64bacd77-0e3d-4b6c-b722-dcd33778a56d/application?utm_source=yNwbAlQALg&amp;urlHash=fePW")</f>
        <v/>
      </c>
      <c r="G87" t="inlineStr">
        <is>
          <t>San Francisco, CA</t>
        </is>
      </c>
      <c r="H87" t="inlineStr"/>
      <c r="I87" t="inlineStr">
        <is>
          <t>**Fluency is enabling the autonomous Enterprise. (in\-person)**
 You're needed to help pioneer a new software category that will change how enterprises work. Welcome to the data layer of the future.
 Fluency is looking for a next\-level data engineer to build the data infrastructure the ontologizes how work happens across Fortune 500 organizations.
 You'll be working on problems that have
 *no established solutions* 
 . We're processing terabytes of workflow data per enterprise customer in real\-time \- systems that map, relationship, contextualize, and analyze work patterns across entire orgs. Think human genome project, but for enterprise workflows.
 You'll invent new data primitives and paradigms. This means designing novel data structures for representing work, building pipelines that process billions of events per day, and writing whitepapers on approaches that don't exist yet.
 You're operating at the bleeding edge of data science where the playbook hasn't been written.
 We're backed by T1 VCs like Accel and are hitting an inflection point with Enterprises all around the globe.
 You'll work directly with founders and our engineering team. The technical challenges are unprecedented: real\-time processing at massive scale, creating a universal taxonomy for work across every industry, and building systems that can handle the most complex enterprise data environments on earth.
**About The Role**
 We're looking for someone with:
* Strong programming knowledge, Python preferred
* Software engineering fundamentals \- APIs, backend services
* SQL \+ DBT (or SQLMesh) proficiecy
* Infrastructure as code: Terraform (or equivalent)
* Orchestration: Dagster/Airflow/Prefect
* Production postgres experience
* Datalake experience (Iceberg, Databricks, etc)
* Computer Science Background \- with caveat.
* If you don't have a CS background, you're challenged to beat one of the founders in a 1:1 whiteboard duel on DS\&amp;A judged by Hung. Neither founders have formal CS background, but come prepped.
 There will be an expectation to stay up to business context, which could involve:
* Watching key customer calls
* Interacting with customers!
* Helping with product thinking
**Strongly Preferred**
* Has trained models before (even personal projects count, perhaps especially)
* You have interesting personal projects
* Pytorch or similar framework experience
* Kubernetes
* Ray for distributed compute
* Understand ML/DL systems from an infra perspective
* Deep learning theory understanding
* Esoteric knowledge
**Our Customers**
 We work with some of the world’s largest:
* Financial services enterprises (Aon)
* Manufacturing enterprises (Misumi)
* And many more across the enterprise spectrum (PVH)
**Our Culture**
 You're expected to be in love with the craft. You're expected to like laughing. You're expected to want to work on novel problems. You're expected to find satisfaction in novelty. You're expected to solve under obscurity.
**Our Values**
* In hesitation lies destruction; in action, glory.
* Those who merely meet expectations abandon the pursuit of greatness.
* One who dwells within the forum must regard it as hallowed ground.
* One who has not tasted the grapes declares them sour.
* One who sits alone at the feast misses the richness of the table.
**Location**
 Full\-time, in\-person role based in San Francisco, CA.
* We offer E3 sponsorship for Australians to relocate with stipend
**Compensation**
* US$150K \- $250K salary, depending on candidate and experience
* Substantial equity \- every offer includes ownership
* Mac, Linux, or Windows \- your call
* High\-impact work with global enterprises
* Technical, product\-led founders
**Don't apply if:**
* You want hybrid or remote
* You don't like working hard and with insane velocity
* You want to work a 9 \-\&gt; 5
* You’re not comfortable with rapid iteration
* You prefer working on CRUD apps
* You don’t have personal projects
* You dislike AI
* You don't have a good reason for wanting to work at an early\-stage company
* You aren’t ambitious
**Hiring Process**
* Resume screen
* 1:1 with founder
* Interview w/ engineering team
* Work through something with the team
* Offer
 We strongly encourage applicants from underrepresented backgrounds to apply. Diverse teams build better products — see value \#5\.
 Compensation Range: $150K \- $250K</t>
        </is>
      </c>
    </row>
    <row r="88">
      <c r="A88" t="inlineStr">
        <is>
          <t>li-4359776198</t>
        </is>
      </c>
      <c r="B88" t="inlineStr">
        <is>
          <t>Senior Data Engineer</t>
        </is>
      </c>
      <c r="C88" t="inlineStr">
        <is>
          <t>Microsoft</t>
        </is>
      </c>
      <c r="D88" t="inlineStr">
        <is>
          <t>linkedin</t>
        </is>
      </c>
      <c r="E88">
        <f>HYPERLINK("https://www.linkedin.com/jobs/view/4359776198", "https://www.linkedin.com/jobs/view/4359776198")</f>
        <v/>
      </c>
      <c r="F88" t="inlineStr"/>
      <c r="G88" t="inlineStr">
        <is>
          <t>Redmond, WA</t>
        </is>
      </c>
      <c r="H88" t="inlineStr"/>
      <c r="I88" t="inlineStr">
        <is>
          <t>**Overview**
 The M365 Copilot App Platform team delivers the foundational platform that powers the Microsoft 365 Copilot app. We provide the core platform APIs, deployment pipelines, telemetry instrumentation, and infrastructure that enable Copilot experiences across web, Windows, and Mac. Our responsibilities span: \- Application and Platform Ownership: From the app code to backend web servers and middle\-tier services. \- Partner Enablement: All AI\-enabled experiences from partner teams are built on our platform, making us critical to their success. \- Data and Insights: We manage the data pipeline that supports business insights and operational excellence. \- End\-to\-End Delivery: From platform APIs and infrastructure to deployment and monitoring, ensuring reliability and scalability. Our mission is to empower every Copilot experience by providing a robust, secure, and scalable platform that accelerates innovation across Microsoft 365\. As a Senior Data Engineer in the M365 Copilot App Platform team, you will design, build, and optimize scalable data pipelines and platforms that power advanced analytics and AI solutions. You will work closely with software engineers, data scientists, and product teams to ensure reliable, secure, and high\-performance data systems that enable innovation across Microsoft’s Copilot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Data Architecture \&amp; Pipeline Development
* Design and implement robust ETL/ELT workflows for structured and unstructured data using modern data engineering frameworks.
* Scalable Data Solutions: Build distributed data processing systems leveraging technologies such as Spark, Azure Data Lake, and Synapse.
* Data Quality \&amp; Governance: Establish standards for data integrity, lineage, and compliance with enterprise security and privacy policies.
* Performance Optimization: Monitor and tune data pipelines for efficiency, scalability, and cost optimization.
* Data Visualization \&amp; Low\-Code Solutions: Develop and maintain low/no\-code dashboards and data\-driven apps (e.g., Power BI, Vibe\-coded apps) to enable self\-service analytics for stakeholders.
* Experimentation Infrastructure Support: Help maintain and enhance experiment platforms, including Cosmos streams and VC(s), ensuring reliability and scalability for A/B testing and feature experimentation.
* Collaboration \&amp; Mentorship: Partner with cross\-functional teams to integrate data solutions into AI products and mentor team members/engineers on best practices.
* Innovation \&amp; Continuous Improvement: Evaluate emerging technologies and contribute to architectural decisions for next\-generation data platforms.
**Qualifications**
**Required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 3\+ years experience in building distributed data processing systems leveraging technologies including, but not limited to, Spark, Azure Data Lake, or Synapse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experience in data engineering or software development with a focus on large\-scale data systems
* 2\+ years experience developing and maintaining low/no\-code dashboards and data\-driven apps (e.g., Power BI, Vibe\-coded apps) to enable self\-service analytics for stakeholders
* Proficiency in managing machine learning data pipelines and feature engineering processes
* Proficiency in data security, privacy compliance, and governance frameworks.
* Demonstrate effective communication and collaboration skills in a dynamic, fast\-paced environment
* Creativity, insightfulness, and sensitivity for a dynamic approach to problem\-solving, combined with being motivated and self\-driven, are essential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9">
      <c r="A89" t="inlineStr">
        <is>
          <t>li-4359935096</t>
        </is>
      </c>
      <c r="B89" t="inlineStr">
        <is>
          <t>Data Engineer 2</t>
        </is>
      </c>
      <c r="C89" t="inlineStr">
        <is>
          <t>JLL</t>
        </is>
      </c>
      <c r="D89" t="inlineStr">
        <is>
          <t>linkedin</t>
        </is>
      </c>
      <c r="E89">
        <f>HYPERLINK("https://www.linkedin.com/jobs/view/4359935096", "https://www.linkedin.com/jobs/view/4359935096")</f>
        <v/>
      </c>
      <c r="F89" t="inlineStr"/>
      <c r="G89" t="inlineStr">
        <is>
          <t>Chicago, IL</t>
        </is>
      </c>
      <c r="H89" t="inlineStr"/>
      <c r="I89" t="inlineStr">
        <is>
          <t>**About the Role:**
 JLL is seeking a Data Engineer to join our Central Data Platform Team, supporting enterprise\-wide data initiatives and foundational platform solutions. You will play a key role in designing, building, and maintaining scalable data pipelines and indexing infrastructure, with a strong preference for Databricks experience. You will collaborate with engineering peers to ensure the reliability, performance, and operational excellence of JLL’s enterprise data systems, leveraging cutting\-edge cloud and AI technologies.
 This position offers substantial ownership of technical projects and opportunities to impact code uniformity, performance optimization, and enterprise data best practices. You’ll work with diverse data sources, contribute to both internal and stakeholder\-facing solutions, and participate in the transformation of JLL’s data ecosystem at a global scale.
**Key Responsibilities:**
* Design, implement, and optimize scalable ETL jobs using PySpark within platforms such as Databricks.
* Build and maintain high\-performance data ingestion, transformation, and indexing pipelines that support reliable search and retrieval across both structured and unstructured data sources (e.g., documents, PDFs) within enterprise data lakes.
* Architect and support medallion architecture patterns, ensuring data quality, lineage, and governance across all central data platform layers.
* Develop and maintain APIs for data integration, supporting business and analytical needs.
* Leverage DocumentDB, cache DBs, and indexing solutions for efficient data storage and access.
* Collaborate with infrastructure, software, and AI teams to support the development of foundational data systems, integrating cloud (Azure, AWS, GCP), networking components, and security best practices.
* Manage code repositories using GitHub and automate deployment processes with GitHub Actions and CI/CD pipelines.
* Explore, experiment with, and apply AI tools to enhance data platform capabilities and intelligent search outcomes.
* Contribute to documentation, knowledge sharing, and adoption of best practices in a collaborative, agile engineering environment.
* Optimize cluster operations and Spark jobs for performance and cost efficiency.
**Required Technical Skills:**
* Minimum 4 years of professional experience in data engineering or a related field.
* Proficient in PySpark and Databricks for enterprise\-scale ETL, data processing, and pipeline optimization.
* Hands\-on experience with DocumentDB, cache databases, advanced indexing, and database concepts.
* Exposure to cloud platforms (Azure, AWS, GCP) and strong understanding of cloud architecture and networking components.
* Familiarity with data lake architectures, medallion patterns, and data governance frameworks.
* Experience with API development and event\-driven data pipelines.
* Competency using GitHub, GitHub Actions, and CI/CD practices in data engineering environments.
* Experience or interest in applying AI/ML and AI tooling to data workflows.
**Required Soft Skills:**
* Effectively builds rapport with diverse stakeholders and adapts communication to needs.
* Strong ability to interpret information and resolve moderately defined and advanced problems within guidelines.
* Reviews data to identify and resolve missing, inconsistent, or incomplete information.
* Makes sound decisions within established guidelines, escalating complex issues as needed.
* May provide guidance or direction to lower\-level staff, contributing to their development.
* Supports and contributes to a collaborative team, monitoring timeline and accuracy of operations.
* Demonstrates flexibility and accountability while managing multiple priorities in fast\-paced environments.
* Initiates and maintains professional relationships to support team and business objectives.
**Qualifications:**
* Bachelor’s degree in Computer Science, Engineering, Information Technology, or a related field.
* Minimum 3 years of hands\-on experience in data engineering, including cloud and big data platforms.</t>
        </is>
      </c>
    </row>
    <row r="90">
      <c r="A90" t="inlineStr">
        <is>
          <t>li-4359765927</t>
        </is>
      </c>
      <c r="B90" t="inlineStr">
        <is>
          <t>Data Engineer</t>
        </is>
      </c>
      <c r="C90" t="inlineStr">
        <is>
          <t>NerdWallet</t>
        </is>
      </c>
      <c r="D90" t="inlineStr">
        <is>
          <t>linkedin</t>
        </is>
      </c>
      <c r="E90">
        <f>HYPERLINK("https://www.linkedin.com/jobs/view/4359765927", "https://www.linkedin.com/jobs/view/4359765927")</f>
        <v/>
      </c>
      <c r="F90" t="inlineStr"/>
      <c r="G90" t="inlineStr"/>
      <c r="H90" t="inlineStr"/>
      <c r="I90" t="inlineStr">
        <is>
          <t>**About The Company** 
 NerdWallet is a leading personal finance platform dedicated to empowering consumers to make smarter financial decisions. Committed to transparency, inclusivity, and innovation, NerdWallet offers tools, resources, and expert guidance to help individuals navigate their financial journeys with confidence. Our culture fosters growth, flexibility, and authenticity, supporting team members whether they work remotely or in\-office. We prioritize well\-being, professional development, and impactful work, ensuring our Nerds thrive both personally and professionally. As we continue to expand our services and reach, NerdWallet remains focused on delivering clarity and value to our users through innovative financial solutions.
**About The Role** 
 We are seeking a highly skilled and experienced Staff Data Engineer to join our Core Engineering team. In this role, you will be instrumental in designing, developing, and maintaining scalable, reliable data pipelines and models that underpin our analytics, experimentation, and strategic decision\-making processes. You will work closely with cross\-functional teams across product, engineering, and business units to solve complex data challenges, ensuring our data systems are aligned with NerdWallet’s strategic goals. This position offers a unique opportunity to influence the data architecture directly within a product vertical, translating technical solutions into tangible business outcomes. As a leader in data engineering, you will foster a culture of innovation, reliability, and continuous improvement, mentoring junior engineers and shaping best practices across the organization.
**Qualifications** 
* 7\+ years of professional experience in data engineering
* 5\+ years of hands\-on experience with AWS, Snowflake, DBT, Airflow
* Advanced proficiency in Python and SQL
* Strong knowledge of relational databases and query performance tuning
* Experience with streaming technologies such as Storm, Kafka, Kinesis, and Flume
* Bachelor’s or Master’s degree in Computer Science, Engineering, or a related field (or equivalent professional experience)
* Proven ability to design, build, and operate robust data systems with reliable monitoring and logging practices
* Excellent communication skills, both written and verbal
* Strong analytical and logical thinking skills to define problems, collect data, and draw valid conclusions
* Experience leading technical initiatives and influencing architectural decisions
* Familiarity with modern data engineering practices, including AI and automation solutions
**Responsibilities** 
* Lead the design, development, and maintenance of critical data assets to ensure accuracy, reliability, and alignment with business priorities
* Drive technical innovation by evaluating emerging technologies and implementing scalable solutions to enhance data pipeline performance and reliability
* Address complex technical challenges related to scalability, security, and performance, providing clear rationale for architectural decisions
* Ensure data pipeline observability and reliability by proactively identifying issues, investigating anomalies, and improving monitoring systems
* Collaborate effectively with cross\-functional teams through transparent communication and problem\-solving to meet shared goals
* Take ownership of initiatives that span multiple domains, providing technical leadership to ensure successful project delivery
* Prioritize tasks strategically to balance business impact, risk, and timely execution, driving measurable results
* Act as a technical advisor and thought leader, shaping long\-term architecture and best practices within the team
* Mentor and foster a culture of technical excellence, continuous learning, and innovation among engineering team members
**Benefits** 
* Industry\-leading medical, dental, and vision health plans for employees and their dependents
* Rejuvenation Policy including Vacation Time Off, 11 holidays, and 4 Mental Health Days Off
* New Parent Leave for employees welcoming a new child through birth, adoption, or foster care
* Mental health support services
* Paid sabbatical to recharge, learn, and pursue personal interests
* Health and Dependent Care FSA and HSA plans with company contributions
* Monthly stipends for wellness, cell phone, and Wi\-Fi expenses
* Work from home equipment stipend and co\-working space subsidy
* Participation in employee resource groups and company\-wide events to foster community and inclusion
* Paid volunteer time off and matching donations to charitable causes
* Retirement savings plan with company match through 401(k)
* Access to exclusive financial products, guidance, and unlimited sessions with a Certified Financial Planner (CFP)
* Disability and employer\-paid life insurance coverage
 Equal Opportunity
 NerdWallet is an equal opportunity employer committed to fostering a diverse and inclusive workplace. We prohibit discrimination and harassment based on race, color, religion, sex, national origin, age, disability, sexual orientation, gender identity, or any other characteristic protected by applicable law.</t>
        </is>
      </c>
    </row>
    <row r="91">
      <c r="A91" t="inlineStr">
        <is>
          <t>li-4327069382</t>
        </is>
      </c>
      <c r="B91" t="inlineStr">
        <is>
          <t>Staff Data Engineer</t>
        </is>
      </c>
      <c r="C91" t="inlineStr">
        <is>
          <t>Zions Bancorporation</t>
        </is>
      </c>
      <c r="D91" t="inlineStr">
        <is>
          <t>linkedin</t>
        </is>
      </c>
      <c r="E91">
        <f>HYPERLINK("https://www.linkedin.com/jobs/view/4327069382", "https://www.linkedin.com/jobs/view/4327069382")</f>
        <v/>
      </c>
      <c r="F91">
        <f>HYPERLINK("https://click.appcast.io/t/oCCG-Du4MRrEoKa7DJg-9NXI5tTznrzVvyPbxanqsFI=&amp;urlHash=tSmV", "https://click.appcast.io/t/oCCG-Du4MRrEoKa7DJg-9NXI5tTznrzVvyPbxanqsFI=&amp;urlHash=tSmV")</f>
        <v/>
      </c>
      <c r="G91" t="inlineStr">
        <is>
          <t>Midvale, UT</t>
        </is>
      </c>
      <c r="H91" t="inlineStr"/>
      <c r="I91"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looking for a highly experienced
 **Staff Data Engineer** 
 that will lead the end\-to\-end migration of on\-premise data warehouse systems to modern cloud\-based data platforms (e.g., AWS, GCP, Azure). In this role, you will partner with our Architecture, Data Engineering, and Technology Enablement teams to design and build new data solutions.
**Key Responsibilities:**
* Contribute to the technical strategy, roadmap, and architectural design of software systems.
* Demonstrate strong analytical, organizational, problem\-solving skills and the ability to implement solutions independently.
* Develop and maintain scalable applications using data engineering technologies.
* Creates and manages CI/CD pipelines for automated deployments.
* Mentor and guide engineers on technical aspects of cloud and data development.
* Coordinate efforts across multiple teams and departments.
* Lead and facilitate technical discussions and presentations.
* Actively engage in engineering community channels and events.
* Act as a technical advisor and reviewer for critical projects.
* Demonstrate emotional intelligence and empathy when interacting with others.
**Qualifications:**
* 10\+ years of data engineering development experience. Bachelor’s degree in computer science, computer engineering, or related field. A combination of education and experience may meet requirements.
* Deep experience with the design and management of scalable data pipelines and workflows: Built robust ETL/ELT processes using Databricks Workflows, Kafka, and modern ELT tools. Champion CI/CD and automated testing best practices to ensure reliability, maintainability, and rapid deployment.
* Demonstrated expertise in distributed systems and advanced programming: Developed production\-grade solutions in Python and PySpark, leveraging performance optimization techniques such as partitioning, caching, parallelism, and efficient data formats.
* Optimized cloud infrastructure for cost and performance: Led cost\-efficient Spark workload strategies on Databricks by right\-sizing clusters (e.g., on\-demand drivers, spot/preemptible workers), enabling autoscaling and auto\-termination, and utilizing job compute, serverless clusters, cluster pools, tagging, and budget controls.
* Architected and led scalable data platforms: Designed high\-throughput, distributed data systems including data lakes and warehouses. Applied strong OLTP/OLAP modeling principles to support both real\-time and analytical workloads.
* Deep understanding of cloud platforms (Google Cloud preferred), cloud\-native technologies (e.g., Kubernetes, Docker), and infrastructure\-as\-code (IaC) practices.
* Extensive expertise in managing both cloud and on\-premises environments, with strong focus on seamless data and file movement between cloud and on\-premises systems to ensure efficient and secure data integration.
* Data governance and security: Ensured data governance and compliance with industry standards and regulations through robust security practices and techniques
* Demonstrated ability to mentor and coach engineers and collaborate effectively with cross\-functional teams and facilitate clear communication across the organization.
* Ability to produce comprehensive technical documentation.
**Location:**
 Zions Technology Center \- 7860 South Bingham Junction Blvd, Midvale, UT 84047\.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**Apply now if you have a passion for impactful outcomes, enjoy working collaboratively with co\-workers, and want to make a difference for the clients and communities we serve.**</t>
        </is>
      </c>
    </row>
    <row r="92">
      <c r="A92" t="inlineStr">
        <is>
          <t>li-4345343179</t>
        </is>
      </c>
      <c r="B92" t="inlineStr">
        <is>
          <t>Lead Data Engineer – Platform</t>
        </is>
      </c>
      <c r="C92" t="inlineStr">
        <is>
          <t>hackajob</t>
        </is>
      </c>
      <c r="D92" t="inlineStr">
        <is>
          <t>linkedin</t>
        </is>
      </c>
      <c r="E92">
        <f>HYPERLINK("https://www.linkedin.com/jobs/view/4345343179", "https://www.linkedin.com/jobs/view/4345343179")</f>
        <v/>
      </c>
      <c r="F92" t="inlineStr"/>
      <c r="G92" t="inlineStr">
        <is>
          <t>West Chester, PA</t>
        </is>
      </c>
      <c r="H92" t="inlineStr"/>
      <c r="I92"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Data Engineering Platform, Standards \&amp; Enablement team at Comcast is seeking a Lead Data Engineer – Platform to serve as the senior\-most technical authority for our enterprise data platform. This Engineer 4 will architect and evolve the next\-generation data engineering platform that powers Comcast’s data ecosystem across Databricks, AWS, Kafka, and distributed database environments. As a platform leader, you will define strategy, establish standards, and guide global teams to deliver a secure, scalable, and cost\-efficient platform enabling mission\-critical analytics and data workloads.
**Job Description**
 As the Lead Data Engineer – Platform, you will own the vision and roadmap for Comcast’s enterprise data platform. You will partner with Cloud Engineering, Cybersecurity, Enterprise Architecture, and Product Engineering to shape foundational capabilities that support thousands of data pipelines and analytics workloads. This role requires deep technical expertise, strong leadership skills, and the ability to influence across a large engineering organization. You will lead platform strategy, enforce governance, optimize performance, and ensure resiliency while mentoring senior engineers and driving engineering excellence.
 Due to the nature of the role and the team collaborate, this Engineer 4 role is based in our West Chester, PA office.
*This position is ineligible for visa sponsorship. To be considered for this role, you must be legally authorized to work in the United States and not require sponsorship for employment now or in the future*
**Core Responsibilities**
 Enterprise Platform Strategy \&amp; Architecture
* Define and evolve Comcast’s enterprise data platform strategy across Databricks, AWS, Kafka, and database ecosystems.
* Develop architectural patterns, reference implementations, reusable frameworks, and platform guardrails.
* Lead decisions on compute orchestration, storage tiering, data access models, and multi\-region resiliency.
* Serve as SME for Databricks architecture, including security model, cluster governance, Unity Catalog, Delta Lake strategy, and optimization frameworks.
 Technical Leadership \&amp; Engineering Excellence
* Act as the highest\-level escalation point for complex platform issues.
* Set engineering standards and coding conventions for all data engineering domains.
* Mentor senior engineers and architects; promote best practices and thought leadership.
* Evaluate emerging technologies to enhance scalability and operational efficiency.
 Platform Operations, Governance \&amp; Security
* Own platform governance, including workspace lifecycle, cluster policy enforcement, and compliance.
* Drive adoption of monitoring and observability tools (ELK, CloudWatch, Databricks native logging).
* Implement FinOps strategies for cost management and forecasting.
* Ensure platform resilience, disaster recovery readiness, and high availability.
 Cross\-Functional Leadership \&amp; Delivery
* Lead globally distributed platform engineering teams (onshore, offshore, vendor partners).
* Partner with Security, Enterprise Architecture, and CloudOps to align standards and governance.
* Drive quarterly planning, roadmap execution, and platform enhancements.
* Communicate risks, KPIs, and modernization opportunities to executive stakeholders.
**Required Experience/Qualifications**
* 8\-10\+ years of experience in Data Engineering, Platform Engineering, Distributed Systems, or Software Engineering.
* Deep hands\-on expertise in Databricks engineering and administration: Cluster policies \&amp; cost governance; Workspace architecture; Unity Catalog \&amp; data access models; Delta Lake performance tuning; Job orchestration \&amp; pipeline optimization
* Advanced AWS experience with: S3 lifecycle tiers, encryption, cross\-account architectures; MSK provisioning, tuning, scaling, monitoring; EC2, VPC networking, IAM role design; Lambda for serverless automation
* Strong background in backend/datastore technologies (Oracle, MongoDB).
* Expert\-level knowledge of Kafka, Spark, distributed computing, and real\-time ingestion frameworks.
* Proficiency in Python, SQL, and Shell scripting.
* Prior leadership experience managing platform teams and offshore delivery models.
* Proven ability to define and enforce platform standards across large organizations.
* Excellent communication and stakeholder influence skills.
**Preferred Experience**
* Experience with Databricks Unity Catalog rollout at enterprise scale.
* Experience creating reusable Spark frameworks or platform accelerators.
* Familiarity with Databricks Serverless, DLT, or Photon.
* Knowledge of Kubernetes, container orchestration, and microservices patterns.
* AWS or Databricks professional certifications.
* Telecom or large enterprise digital commerce experience.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Artificial Intelligence (AI); Collaboration; Databricks Platform; ETL Design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2026-01-11T03:02:20Z</dcterms:created>
  <dcterms:modified xsi:type="dcterms:W3CDTF">2026-01-11T03:02:20Z</dcterms:modified>
</cp:coreProperties>
</file>